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housing4houston-my.sharepoint.com/personal/skennedy_housingforhouston_com/Documents/Desktop/"/>
    </mc:Choice>
  </mc:AlternateContent>
  <xr:revisionPtr revIDLastSave="0" documentId="8_{7AE55E87-2035-49CD-ABDB-A660D469FEF1}" xr6:coauthVersionLast="36" xr6:coauthVersionMax="36" xr10:uidLastSave="{00000000-0000-0000-0000-000000000000}"/>
  <bookViews>
    <workbookView xWindow="4425" yWindow="180" windowWidth="27510" windowHeight="15420" tabRatio="819" activeTab="4" xr2:uid="{00000000-000D-0000-FFFF-FFFF00000000}"/>
  </bookViews>
  <sheets>
    <sheet name="HHA Benefits Analysis" sheetId="16" r:id="rId1"/>
    <sheet name="Benefits Analysis" sheetId="8" r:id="rId2"/>
    <sheet name="SOURCES and USES of FUNDS" sheetId="15" r:id="rId3"/>
    <sheet name="P&amp;L" sheetId="4" r:id="rId4"/>
    <sheet name="Cash Flow + Debt" sheetId="5" r:id="rId5"/>
    <sheet name="Mixed Rent" sheetId="1" r:id="rId6"/>
    <sheet name="10 Years Mixed" sheetId="6" r:id="rId7"/>
    <sheet name="Project" sheetId="17" r:id="rId8"/>
    <sheet name="Amort Schedule " sheetId="18" r:id="rId9"/>
  </sheets>
  <externalReferences>
    <externalReference r:id="rId10"/>
  </externalReferences>
  <definedNames>
    <definedName name="_1960">#REF!</definedName>
    <definedName name="_xlnm._FilterDatabase" hidden="1">#REF!</definedName>
    <definedName name="ACC_New_Contracts_and_or_Change_Orders">#REF!</definedName>
    <definedName name="ActualNumberOfPayments" localSheetId="8">IFERROR(IF('Amort Schedule '!LoanIsGood,IF('Amort Schedule '!PaymentsPerYear=1,1,MATCH(0.01,End_Bal,-1)+1)),"")</definedName>
    <definedName name="ActualNumberOfPayments" localSheetId="7">IFERROR(IF(Project!LoanIsGood,IF(Project!PaymentsPerYear=1,1,MATCH(0.01,End_Bal,-1)+1)),"")</definedName>
    <definedName name="ActualNumberOfPayments">IFERROR(IF(LoanIsGood,IF(PaymentsPerYear=1,1,MATCH(0.01,End_Bal,-1)+1)),"")</definedName>
    <definedName name="address">#REF!</definedName>
    <definedName name="AliasTable">#REF!</definedName>
    <definedName name="Alief">#REF!</definedName>
    <definedName name="APPLIANCES" localSheetId="8">#REF!</definedName>
    <definedName name="APPLIANCES">#REF!</definedName>
    <definedName name="Begin">#REF!</definedName>
    <definedName name="BRICK___STUCCO" localSheetId="8">#REF!</definedName>
    <definedName name="BRICK___STUCCO">#REF!</definedName>
    <definedName name="Brick___Stucco_Comparison" localSheetId="8">#REF!</definedName>
    <definedName name="Brick___Stucco_Comparison">#REF!</definedName>
    <definedName name="Budget">#REF!</definedName>
    <definedName name="BWCABINETS" localSheetId="8">#REF!</definedName>
    <definedName name="BWCABINETS">#REF!</definedName>
    <definedName name="bwFENCING" localSheetId="8">#REF!</definedName>
    <definedName name="bwFENCING">#REF!</definedName>
    <definedName name="BWLANDSCAPING" localSheetId="8">#REF!</definedName>
    <definedName name="BWLANDSCAPING">#REF!</definedName>
    <definedName name="BWTRIM" localSheetId="8">#REF!</definedName>
    <definedName name="BWTRIM">#REF!</definedName>
    <definedName name="CAMINO_REAL" localSheetId="8">#REF!</definedName>
    <definedName name="CAMINO_REAL">#REF!</definedName>
    <definedName name="Camino_Real_Sale_Analysis" localSheetId="8">#REF!</definedName>
    <definedName name="Camino_Real_Sale_Analysis">#REF!</definedName>
    <definedName name="CaseControl">#REF!</definedName>
    <definedName name="Cash_to_all_Partners" localSheetId="8">#REF!</definedName>
    <definedName name="Cash_to_all_Partners">#REF!</definedName>
    <definedName name="Cast_Fireplaces" localSheetId="8">#REF!</definedName>
    <definedName name="Cast_Fireplaces">#REF!</definedName>
    <definedName name="Code_All">#REF!</definedName>
    <definedName name="Code_Hotel">#REF!</definedName>
    <definedName name="Code_MF">#REF!</definedName>
    <definedName name="Code_MHP">#REF!</definedName>
    <definedName name="Code_Nursing">#REF!</definedName>
    <definedName name="Code_ROI">#REF!</definedName>
    <definedName name="Code_Storage">#REF!</definedName>
    <definedName name="Completion_Schedule">#REF!</definedName>
    <definedName name="const">#REF!</definedName>
    <definedName name="Cost_Count">#REF!</definedName>
    <definedName name="CPI">#REF!</definedName>
    <definedName name="CR_Building">#REF!</definedName>
    <definedName name="_xlnm.Criteria">#REF!</definedName>
    <definedName name="CRROOFING" localSheetId="8">#REF!</definedName>
    <definedName name="CRROOFING">#REF!</definedName>
    <definedName name="CurrMonth">#REF!</definedName>
    <definedName name="CustomMacro1">#REF!</definedName>
    <definedName name="Data_WS">#REF!</definedName>
    <definedName name="DISTRIBUTIONS_BW" localSheetId="8">#REF!</definedName>
    <definedName name="DISTRIBUTIONS_BW">#REF!</definedName>
    <definedName name="Dixie_Carpet" localSheetId="8">#REF!</definedName>
    <definedName name="Dixie_Carpet">#REF!</definedName>
    <definedName name="Dixie_Magnolia">#REF!</definedName>
    <definedName name="Doors" localSheetId="8">#REF!</definedName>
    <definedName name="Doors">#REF!</definedName>
    <definedName name="Eff_Age">#REF!</definedName>
    <definedName name="End_Bal">#REF!</definedName>
    <definedName name="EsbApplication1">#REF!</definedName>
    <definedName name="EsbDatabase1">#REF!</definedName>
    <definedName name="EsbDetail">#REF!</definedName>
    <definedName name="EsbDetail1">#REF!</definedName>
    <definedName name="EsbHeader">#REF!</definedName>
    <definedName name="EsbHeader1">#REF!</definedName>
    <definedName name="EsbRetrieve">#REF!</definedName>
    <definedName name="EsbRetrieve1">#REF!</definedName>
    <definedName name="EXHIBIT_H" function="1" xlm="1">'[1]Hard Costs'!$AO$1:$AT$33</definedName>
    <definedName name="Expenses_1996_according_HSAD">#REF!</definedName>
    <definedName name="_xlnm.Extract">#REF!</definedName>
    <definedName name="ExtraPayments" localSheetId="8">#REF!</definedName>
    <definedName name="ExtraPayments" localSheetId="7">#REF!</definedName>
    <definedName name="ExtraPayments">#REF!</definedName>
    <definedName name="FinalizedDate">#REF!</definedName>
    <definedName name="Fireplaces" localSheetId="8">#REF!</definedName>
    <definedName name="Fireplaces">#REF!</definedName>
    <definedName name="Framing" localSheetId="8">#REF!</definedName>
    <definedName name="Framing">#REF!</definedName>
    <definedName name="Framing_Materials_Comparison">#REF!</definedName>
    <definedName name="Fun_N_Sun_Pools_of_Georgia">#REF!</definedName>
    <definedName name="Herb">#REF!</definedName>
    <definedName name="Herbno">#REF!</definedName>
    <definedName name="inspa">#REF!</definedName>
    <definedName name="InterestRate" localSheetId="8">#REF!</definedName>
    <definedName name="InterestRate" localSheetId="7">#REF!</definedName>
    <definedName name="InterestRate">#REF!</definedName>
    <definedName name="iser" localSheetId="8" hidden="1">{"Rent_ChangesTotal",#N/A,FALSE,"Sheet1"}</definedName>
    <definedName name="iser" hidden="1">{"Rent_ChangesTotal",#N/A,FALSE,"Sheet1"}</definedName>
    <definedName name="iser_1" localSheetId="8" hidden="1">{"Rent_ChangesTotal",#N/A,FALSE,"Sheet1"}</definedName>
    <definedName name="iser_1" hidden="1">{"Rent_ChangesTotal",#N/A,FALSE,"Sheet1"}</definedName>
    <definedName name="Item_Count">#REF!</definedName>
    <definedName name="KV_TILE_MAGNOLIA">#REF!</definedName>
    <definedName name="KV_TILE_RANCHSTONE" localSheetId="8">#REF!</definedName>
    <definedName name="KV_TILE_RANCHSTONE">#REF!</definedName>
    <definedName name="Land_Cost" localSheetId="8">#REF!</definedName>
    <definedName name="Land_Cost">#REF!</definedName>
    <definedName name="LastDate">#REF!</definedName>
    <definedName name="Ledger">#REF!</definedName>
    <definedName name="Leedo">#REF!</definedName>
    <definedName name="LOAN" localSheetId="8">#REF!</definedName>
    <definedName name="LOAN">#REF!</definedName>
    <definedName name="LoanAmount" localSheetId="8">#REF!</definedName>
    <definedName name="LoanAmount" localSheetId="7">#REF!</definedName>
    <definedName name="LoanAmount">#REF!</definedName>
    <definedName name="LoanIsGood" localSheetId="8">(#REF!*#REF!*#REF!*#REF!)&gt;0</definedName>
    <definedName name="LoanIsGood" localSheetId="7">(#REF!*#REF!*#REF!*#REF!)&gt;0</definedName>
    <definedName name="LoanIsGood">(#REF!*#REF!*#REF!*#REF!)&gt;0</definedName>
    <definedName name="LoanPeriod" localSheetId="8">#REF!</definedName>
    <definedName name="LoanPeriod" localSheetId="7">#REF!</definedName>
    <definedName name="LoanPeriod">#REF!</definedName>
    <definedName name="LoanStartDate" localSheetId="8">#REF!</definedName>
    <definedName name="LoanStartDate" localSheetId="7">#REF!</definedName>
    <definedName name="LoanStartDate">#REF!</definedName>
    <definedName name="Magnolia_loan_balance_28_Nov_95">#REF!</definedName>
    <definedName name="Maintenance_Builders_Supply" localSheetId="8">#REF!</definedName>
    <definedName name="Maintenance_Builders_Supply">#REF!</definedName>
    <definedName name="Master_Select">#REF!</definedName>
    <definedName name="MGMTFEE">#REF!</definedName>
    <definedName name="MissingText">#REF!</definedName>
    <definedName name="MIX" localSheetId="8">#REF!</definedName>
    <definedName name="MIX">#REF!</definedName>
    <definedName name="Month" localSheetId="8">#REF!</definedName>
    <definedName name="Month">#REF!</definedName>
    <definedName name="MTG">#REF!</definedName>
    <definedName name="n">9</definedName>
    <definedName name="NOI" localSheetId="8">#REF!</definedName>
    <definedName name="NOI">#REF!</definedName>
    <definedName name="note">#REF!</definedName>
    <definedName name="number">#REF!</definedName>
    <definedName name="Occupancies" localSheetId="8">#REF!</definedName>
    <definedName name="Occupancies">#REF!</definedName>
    <definedName name="Omega_Drywall">#REF!</definedName>
    <definedName name="PaymentsPerYear" localSheetId="8">#REF!</definedName>
    <definedName name="PaymentsPerYear" localSheetId="7">#REF!</definedName>
    <definedName name="PaymentsPerYear">#REF!</definedName>
    <definedName name="Payroll">#REF!</definedName>
    <definedName name="pb.dataRef">#REF!</definedName>
    <definedName name="Plumbing" localSheetId="8">#REF!</definedName>
    <definedName name="Plumbing">#REF!</definedName>
    <definedName name="Pre_Development_Expenses">#REF!</definedName>
    <definedName name="PreliminaryDate">#REF!</definedName>
    <definedName name="_xlnm.Print_Area" localSheetId="8">'Amort Schedule '!$A$8:$G$67</definedName>
    <definedName name="_xlnm.Print_Area" localSheetId="7">Project!$A$1:$M$104</definedName>
    <definedName name="_xlnm.Print_Titles" localSheetId="8">'Amort Schedule '!$1:$7</definedName>
    <definedName name="Proposed_Unit_Mix" localSheetId="8">#REF!</definedName>
    <definedName name="Proposed_Unit_Mix">#REF!</definedName>
    <definedName name="QTRLYDIST" localSheetId="8">#REF!</definedName>
    <definedName name="QTRLYDIST">#REF!</definedName>
    <definedName name="REAL_ESTATE_TAXES">#REF!</definedName>
    <definedName name="_xlnm.Recorder">#REF!</definedName>
    <definedName name="Rent">#REF!</definedName>
    <definedName name="Reserve_Note">#REF!</definedName>
    <definedName name="Reserve_Term">#REF!</definedName>
    <definedName name="REVISED_DEVELOPMENT_SCHEDULE">#REF!</definedName>
    <definedName name="ROCKPORT_APARTMENTS" localSheetId="8">#REF!</definedName>
    <definedName name="ROCKPORT_APARTMENTS">#REF!</definedName>
    <definedName name="Roofing" localSheetId="8">#REF!</definedName>
    <definedName name="Roofing">#REF!</definedName>
    <definedName name="ROOFING_RANCHSTONE" localSheetId="8">#REF!</definedName>
    <definedName name="ROOFING_RANCHSTONE">#REF!</definedName>
    <definedName name="Sale_WCV" localSheetId="8">#REF!</definedName>
    <definedName name="Sale_WCV">#REF!</definedName>
    <definedName name="Scenario">#REF!</definedName>
    <definedName name="ScheduledNumberOfPayments" localSheetId="8">#REF!</definedName>
    <definedName name="ScheduledNumberOfPayments" localSheetId="7">#REF!</definedName>
    <definedName name="ScheduledNumberOfPayments">#REF!</definedName>
    <definedName name="ScheduledPayment" localSheetId="8">#REF!</definedName>
    <definedName name="ScheduledPayment" localSheetId="7">#REF!</definedName>
    <definedName name="ScheduledPayment">#REF!</definedName>
    <definedName name="SDA">#REF!</definedName>
    <definedName name="Sitework" localSheetId="8">#REF!</definedName>
    <definedName name="Sitework">#REF!</definedName>
    <definedName name="solver_adj" localSheetId="7" hidden="1">Project!$L$65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Project!$L$67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0.15</definedName>
    <definedName name="solver_ver" localSheetId="7" hidden="1">3</definedName>
    <definedName name="Sources_of_Funds_Ranchstone" localSheetId="8">#REF!</definedName>
    <definedName name="Sources_of_Funds_Ranchstone">#REF!</definedName>
    <definedName name="Southwestern_Metal_Services">#REF!</definedName>
    <definedName name="sqft">#REF!</definedName>
    <definedName name="Start">#REF!</definedName>
    <definedName name="SUBJECT">#REF!</definedName>
    <definedName name="Summary">#REF!</definedName>
    <definedName name="TAX" localSheetId="8">#REF!</definedName>
    <definedName name="TAX">#REF!</definedName>
    <definedName name="test" description="Macro recorded 3/18/95 by Tom Wilkinson" xlm="1">#REF!</definedName>
    <definedName name="THE_BENTWORTH_APARTMENTS___PROGRESS_REPORT">#REF!</definedName>
    <definedName name="Tile_Magnolia">#REF!</definedName>
    <definedName name="Timeline">#REF!</definedName>
    <definedName name="Title">#REF!</definedName>
    <definedName name="TOTAL_DEVELOPMENT_COSTS">#REF!</definedName>
    <definedName name="TOTAL_RETURN_ON_INVESTMENT_FULL_STABILIZED_YEAR" localSheetId="8">#REF!</definedName>
    <definedName name="TOTAL_RETURN_ON_INVESTMENT_FULL_STABILIZED_YEAR">#REF!</definedName>
    <definedName name="TotalEarlyPayments">SUM(#REF!)</definedName>
    <definedName name="TotalInterest">SUM(#REF!)</definedName>
    <definedName name="TotalUnits">#REF!</definedName>
    <definedName name="TRUSSWAY" localSheetId="8">#REF!</definedName>
    <definedName name="TRUSSWAY">#REF!</definedName>
    <definedName name="Unhide">#REF!</definedName>
    <definedName name="Unit_SF_Quantity">#REF!</definedName>
    <definedName name="unit91">#REF!</definedName>
    <definedName name="units">#REF!</definedName>
    <definedName name="UnitTypeDetail">#REF!</definedName>
    <definedName name="Utilities">#REF!</definedName>
    <definedName name="value1">#REF!</definedName>
    <definedName name="value10">#REF!</definedName>
    <definedName name="value2">#REF!</definedName>
    <definedName name="value3">#REF!</definedName>
    <definedName name="value4">#REF!</definedName>
    <definedName name="value5">#REF!</definedName>
    <definedName name="value6">#REF!</definedName>
    <definedName name="value7">#REF!</definedName>
    <definedName name="value8">#REF!</definedName>
    <definedName name="value9">#REF!</definedName>
    <definedName name="Version">#REF!</definedName>
    <definedName name="W_1" localSheetId="8">#REF!:WSEnd</definedName>
    <definedName name="W_1">#REF!:WSEnd</definedName>
    <definedName name="W_10" localSheetId="8">#REF!:WSEnd</definedName>
    <definedName name="W_10">#REF!:WSEnd</definedName>
    <definedName name="W_11" localSheetId="8">#REF!:WSEnd</definedName>
    <definedName name="W_11">#REF!:WSEnd</definedName>
    <definedName name="W_12" localSheetId="8">#REF!:WSEnd</definedName>
    <definedName name="W_12">#REF!:WSEnd</definedName>
    <definedName name="W_13" localSheetId="8">#REF!:WSEnd</definedName>
    <definedName name="W_13">#REF!:WSEnd</definedName>
    <definedName name="W_14" localSheetId="8">#REF!:WSEnd</definedName>
    <definedName name="W_14">#REF!:WSEnd</definedName>
    <definedName name="W_15" localSheetId="8">#REF!:WSEnd</definedName>
    <definedName name="W_15">#REF!:WSEnd</definedName>
    <definedName name="W_16" localSheetId="8">#REF!:WSEnd</definedName>
    <definedName name="W_16">#REF!:WSEnd</definedName>
    <definedName name="W_17" localSheetId="8">#REF!:WSEnd</definedName>
    <definedName name="W_17">#REF!:WSEnd</definedName>
    <definedName name="W_18" localSheetId="8">#REF!:WSEnd</definedName>
    <definedName name="W_18">#REF!:WSEnd</definedName>
    <definedName name="W_19" localSheetId="8">#REF!:WSEnd</definedName>
    <definedName name="W_19">#REF!:WSEnd</definedName>
    <definedName name="W_2" localSheetId="8">#REF!:WSEnd</definedName>
    <definedName name="W_2">#REF!:WSEnd</definedName>
    <definedName name="W_20" localSheetId="8">#REF!:WSEnd</definedName>
    <definedName name="W_20">#REF!:WSEnd</definedName>
    <definedName name="W_21" localSheetId="8">#REF!:WSEnd</definedName>
    <definedName name="W_21">#REF!:WSEnd</definedName>
    <definedName name="W_22" localSheetId="8">#REF!:WSEnd</definedName>
    <definedName name="W_22">#REF!:WSEnd</definedName>
    <definedName name="W_23" localSheetId="8">#REF!:WSEnd</definedName>
    <definedName name="W_23">#REF!:WSEnd</definedName>
    <definedName name="W_24" localSheetId="8">#REF!:WSEnd</definedName>
    <definedName name="W_24">#REF!:WSEnd</definedName>
    <definedName name="W_25" localSheetId="8">#REF!:WSEnd</definedName>
    <definedName name="W_25">#REF!:WSEnd</definedName>
    <definedName name="W_26" localSheetId="8">#REF!:WSEnd</definedName>
    <definedName name="W_26">#REF!:WSEnd</definedName>
    <definedName name="W_27" localSheetId="8">#REF!:WSEnd</definedName>
    <definedName name="W_27">#REF!:WSEnd</definedName>
    <definedName name="W_28" localSheetId="8">#REF!:WSEnd</definedName>
    <definedName name="W_28">#REF!:WSEnd</definedName>
    <definedName name="W_29" localSheetId="8">#REF!:WSEnd</definedName>
    <definedName name="W_29">#REF!:WSEnd</definedName>
    <definedName name="W_3" localSheetId="8">#REF!:WSEnd</definedName>
    <definedName name="W_3">#REF!:WSEnd</definedName>
    <definedName name="W_30" localSheetId="8">#REF!:WSEnd</definedName>
    <definedName name="W_30">#REF!:WSEnd</definedName>
    <definedName name="W_31" localSheetId="8">#REF!:WSEnd</definedName>
    <definedName name="W_31">#REF!:WSEnd</definedName>
    <definedName name="W_32" localSheetId="8">#REF!:WSEnd</definedName>
    <definedName name="W_32">#REF!:WSEnd</definedName>
    <definedName name="W_33" localSheetId="8">#REF!:WSEnd</definedName>
    <definedName name="W_33">#REF!:WSEnd</definedName>
    <definedName name="W_34" localSheetId="8">#REF!:WSEnd</definedName>
    <definedName name="W_34">#REF!:WSEnd</definedName>
    <definedName name="W_4" localSheetId="8">#REF!:WSEnd</definedName>
    <definedName name="W_4">#REF!:WSEnd</definedName>
    <definedName name="W_5" localSheetId="8">#REF!:WSEnd</definedName>
    <definedName name="W_5">#REF!:WSEnd</definedName>
    <definedName name="W_6" localSheetId="8">#REF!:WSEnd</definedName>
    <definedName name="W_6">#REF!:WSEnd</definedName>
    <definedName name="W_7" localSheetId="8">#REF!:WSEnd</definedName>
    <definedName name="W_7">#REF!:WSEnd</definedName>
    <definedName name="W_8" localSheetId="8">#REF!:WSEnd</definedName>
    <definedName name="W_8">#REF!:WSEnd</definedName>
    <definedName name="W_9" localSheetId="8">#REF!:WSEnd</definedName>
    <definedName name="W_9">#REF!:WSEnd</definedName>
    <definedName name="WCV_Building">#REF!</definedName>
    <definedName name="WCV_CLOSING" localSheetId="8">#REF!</definedName>
    <definedName name="WCV_CLOSING">#REF!</definedName>
    <definedName name="WCV_Closing_with_Jefferson_Pilot" localSheetId="8">#REF!</definedName>
    <definedName name="WCV_Closing_with_Jefferson_Pilot">#REF!</definedName>
    <definedName name="WCV_Total_Parking">#REF!</definedName>
    <definedName name="WCV_Values_for_Depreciation_Purposes">#REF!</definedName>
    <definedName name="wrn.All._.Main._.Reports." localSheetId="8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_1" localSheetId="8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Main._.Reports._1" hidden="1">{"Summary",#N/A,FALSE,"Sheet1";"Budget",#N/A,FALSE,"Sheet1";"Notes 2",#N/A,FALSE,"Sheet1";"Payroll Assumption Summary",#N/A,FALSE,"Sheet1";"Payroll_Assumption1",#N/A,FALSE,"Sheet1";"Rent_Assumptions",#N/A,FALSE,"Sheet1"}</definedName>
    <definedName name="wrn.All._.Payroll._.Reports." localSheetId="8" hidden="1">{"Payroll Assumption Summary",#N/A,FALSE,"Sheet1";"Payroll_Assumption1",#N/A,FALSE,"Sheet1";"Payroll_Assumption2",#N/A,FALSE,"Sheet1"}</definedName>
    <definedName name="wrn.All._.Payroll._.Reports." hidden="1">{"Payroll Assumption Summary",#N/A,FALSE,"Sheet1";"Payroll_Assumption1",#N/A,FALSE,"Sheet1";"Payroll_Assumption2",#N/A,FALSE,"Sheet1"}</definedName>
    <definedName name="wrn.All._.Payroll._.Reports._1" localSheetId="8" hidden="1">{"Payroll Assumption Summary",#N/A,FALSE,"Sheet1";"Payroll_Assumption1",#N/A,FALSE,"Sheet1";"Payroll_Assumption2",#N/A,FALSE,"Sheet1"}</definedName>
    <definedName name="wrn.All._.Payroll._.Reports._1" hidden="1">{"Payroll Assumption Summary",#N/A,FALSE,"Sheet1";"Payroll_Assumption1",#N/A,FALSE,"Sheet1";"Payroll_Assumption2",#N/A,FALSE,"Sheet1"}</definedName>
    <definedName name="wrn.All._.Rent._.Reports." localSheetId="8" hidden="1">{"Rent_Assumptions",#N/A,FALSE,"Sheet1";"Rent_ChangesPerUnit",#N/A,FALSE,"Sheet1";"Rent_ChangesTotal",#N/A,FALSE,"Sheet1";"Rent_Totals",#N/A,FALSE,"Sheet1"}</definedName>
    <definedName name="wrn.All._.Rent._.Reports." hidden="1">{"Rent_Assumptions",#N/A,FALSE,"Sheet1";"Rent_ChangesPerUnit",#N/A,FALSE,"Sheet1";"Rent_ChangesTotal",#N/A,FALSE,"Sheet1";"Rent_Totals",#N/A,FALSE,"Sheet1"}</definedName>
    <definedName name="wrn.All._.Rent._.Reports._1" localSheetId="8" hidden="1">{"Rent_Assumptions",#N/A,FALSE,"Sheet1";"Rent_ChangesPerUnit",#N/A,FALSE,"Sheet1";"Rent_ChangesTotal",#N/A,FALSE,"Sheet1";"Rent_Totals",#N/A,FALSE,"Sheet1"}</definedName>
    <definedName name="wrn.All._.Rent._.Reports._1" hidden="1">{"Rent_Assumptions",#N/A,FALSE,"Sheet1";"Rent_ChangesPerUnit",#N/A,FALSE,"Sheet1";"Rent_ChangesTotal",#N/A,FALSE,"Sheet1";"Rent_Totals",#N/A,FALSE,"Sheet1"}</definedName>
    <definedName name="wrn.All._.Summary." localSheetId="8" hidden="1">{"Summary",#N/A,FALSE,"Sheet1"}</definedName>
    <definedName name="wrn.All._.Summary." hidden="1">{"Summary",#N/A,FALSE,"Sheet1"}</definedName>
    <definedName name="wrn.All._.Summary._1" localSheetId="8" hidden="1">{"Summary",#N/A,FALSE,"Sheet1"}</definedName>
    <definedName name="wrn.All._.Summary._1" hidden="1">{"Summary",#N/A,FALSE,"Sheet1"}</definedName>
    <definedName name="wrn.Ambassador." localSheetId="8" hidden="1">{#N/A,#N/A,TRUE,"Summary Acquisition Ambassador";#N/A,#N/A,TRUE,"Prime Crest Apartments";#N/A,#N/A,TRUE,"Royal Crest Apartments"}</definedName>
    <definedName name="wrn.Ambassador." hidden="1">{#N/A,#N/A,TRUE,"Summary Acquisition Ambassador";#N/A,#N/A,TRUE,"Prime Crest Apartments";#N/A,#N/A,TRUE,"Royal Crest Apartments"}</definedName>
    <definedName name="wrn.Ambassador._1" localSheetId="8" hidden="1">{#N/A,#N/A,TRUE,"Summary Acquisition Ambassador";#N/A,#N/A,TRUE,"Prime Crest Apartments";#N/A,#N/A,TRUE,"Royal Crest Apartments"}</definedName>
    <definedName name="wrn.Ambassador._1" hidden="1">{#N/A,#N/A,TRUE,"Summary Acquisition Ambassador";#N/A,#N/A,TRUE,"Prime Crest Apartments";#N/A,#N/A,TRUE,"Royal Crest Apartments"}</definedName>
    <definedName name="wrn.Budget." localSheetId="8" hidden="1">{"Budget",#N/A,FALSE,"Sheet1"}</definedName>
    <definedName name="wrn.Budget." hidden="1">{"Budget",#N/A,FALSE,"Sheet1"}</definedName>
    <definedName name="wrn.Budget._.1997._.Analysis." localSheetId="8" hidden="1">{#N/A,#N/A,TRUE,"Budget 1997 Class A";#N/A,#N/A,TRUE,"Budgets 1997 Class B &amp; C"}</definedName>
    <definedName name="wrn.Budget._.1997._.Analysis." hidden="1">{#N/A,#N/A,TRUE,"Budget 1997 Class A";#N/A,#N/A,TRUE,"Budgets 1997 Class B &amp; C"}</definedName>
    <definedName name="wrn.Budget._.1997._.Analysis._1" localSheetId="8" hidden="1">{#N/A,#N/A,TRUE,"Budget 1997 Class A";#N/A,#N/A,TRUE,"Budgets 1997 Class B &amp; C"}</definedName>
    <definedName name="wrn.Budget._.1997._.Analysis._1" hidden="1">{#N/A,#N/A,TRUE,"Budget 1997 Class A";#N/A,#N/A,TRUE,"Budgets 1997 Class B &amp; C"}</definedName>
    <definedName name="wrn.Budget._1" localSheetId="8" hidden="1">{"Budget",#N/A,FALSE,"Sheet1"}</definedName>
    <definedName name="wrn.Budget._1" hidden="1">{"Budget",#N/A,FALSE,"Sheet1"}</definedName>
    <definedName name="wrn.Closing._.BW." localSheetId="8" hidden="1">{#N/A,#N/A,FALSE,"Closing Bentley Wynde";#N/A,#N/A,FALSE,"Closing Bantley Wynde (1)"}</definedName>
    <definedName name="wrn.Closing._.BW." hidden="1">{#N/A,#N/A,FALSE,"Closing Bentley Wynde";#N/A,#N/A,FALSE,"Closing Bantley Wynde (1)"}</definedName>
    <definedName name="wrn.Closing._.BW._1" localSheetId="8" hidden="1">{#N/A,#N/A,FALSE,"Closing Bentley Wynde";#N/A,#N/A,FALSE,"Closing Bantley Wynde (1)"}</definedName>
    <definedName name="wrn.Closing._.BW._1" hidden="1">{#N/A,#N/A,FALSE,"Closing Bentley Wynde";#N/A,#N/A,FALSE,"Closing Bantley Wynde (1)"}</definedName>
    <definedName name="wrn.Northborough._.Station." localSheetId="8" hidden="1">{#N/A,#N/A,FALSE,"Total Acquisition and Rehab ";#N/A,#N/A,FALSE,"Summary of Hard Costs"}</definedName>
    <definedName name="wrn.Northborough._.Station." hidden="1">{#N/A,#N/A,FALSE,"Total Acquisition and Rehab ";#N/A,#N/A,FALSE,"Summary of Hard Costs"}</definedName>
    <definedName name="wrn.Northborough._.Station._1" localSheetId="8" hidden="1">{#N/A,#N/A,FALSE,"Total Acquisition and Rehab ";#N/A,#N/A,FALSE,"Summary of Hard Costs"}</definedName>
    <definedName name="wrn.Northborough._.Station._1" hidden="1">{#N/A,#N/A,FALSE,"Total Acquisition and Rehab ";#N/A,#N/A,FALSE,"Summary of Hard Costs"}</definedName>
    <definedName name="wrn.Notes._.2." localSheetId="8" hidden="1">{"Notes 2",#N/A,FALSE,"Sheet1"}</definedName>
    <definedName name="wrn.Notes._.2." hidden="1">{"Notes 2",#N/A,FALSE,"Sheet1"}</definedName>
    <definedName name="wrn.Notes._.2._1" localSheetId="8" hidden="1">{"Notes 2",#N/A,FALSE,"Sheet1"}</definedName>
    <definedName name="wrn.Notes._.2._1" hidden="1">{"Notes 2",#N/A,FALSE,"Sheet1"}</definedName>
    <definedName name="wrn.Payroll._.Assumption._.1." localSheetId="8" hidden="1">{"Payroll_Assumption1",#N/A,FALSE,"Sheet1"}</definedName>
    <definedName name="wrn.Payroll._.Assumption._.1." hidden="1">{"Payroll_Assumption1",#N/A,FALSE,"Sheet1"}</definedName>
    <definedName name="wrn.Payroll._.Assumption._.1._1" localSheetId="8" hidden="1">{"Payroll_Assumption1",#N/A,FALSE,"Sheet1"}</definedName>
    <definedName name="wrn.Payroll._.Assumption._.1._1" hidden="1">{"Payroll_Assumption1",#N/A,FALSE,"Sheet1"}</definedName>
    <definedName name="wrn.Payroll._.Assumptions." localSheetId="8" hidden="1">{"Payroll_Assuptions",#N/A,FALSE,"Sheet1"}</definedName>
    <definedName name="wrn.Payroll._.Assumptions." hidden="1">{"Payroll_Assuptions",#N/A,FALSE,"Sheet1"}</definedName>
    <definedName name="wrn.Payroll._.Assumptions._.Summary." localSheetId="8" hidden="1">{"Payroll Assumption Summary",#N/A,FALSE,"Sheet1"}</definedName>
    <definedName name="wrn.Payroll._.Assumptions._.Summary." hidden="1">{"Payroll Assumption Summary",#N/A,FALSE,"Sheet1"}</definedName>
    <definedName name="wrn.Payroll._.Assumptions._.Summary._1" localSheetId="8" hidden="1">{"Payroll Assumption Summary",#N/A,FALSE,"Sheet1"}</definedName>
    <definedName name="wrn.Payroll._.Assumptions._.Summary._1" hidden="1">{"Payroll Assumption Summary",#N/A,FALSE,"Sheet1"}</definedName>
    <definedName name="wrn.Payroll._.Assumptions._1" localSheetId="8" hidden="1">{"Payroll_Assuptions",#N/A,FALSE,"Sheet1"}</definedName>
    <definedName name="wrn.Payroll._.Assumptions._1" hidden="1">{"Payroll_Assuptions",#N/A,FALSE,"Sheet1"}</definedName>
    <definedName name="wrn.Payroll._.Assumptions2." localSheetId="8" hidden="1">{"Payroll_Assumption2",#N/A,FALSE,"Sheet1"}</definedName>
    <definedName name="wrn.Payroll._.Assumptions2." hidden="1">{"Payroll_Assumption2",#N/A,FALSE,"Sheet1"}</definedName>
    <definedName name="wrn.Payroll._.Assumptions2._1" localSheetId="8" hidden="1">{"Payroll_Assumption2",#N/A,FALSE,"Sheet1"}</definedName>
    <definedName name="wrn.Payroll._.Assumptions2._1" hidden="1">{"Payroll_Assumption2",#N/A,FALSE,"Sheet1"}</definedName>
    <definedName name="wrn.Per._.Unit." localSheetId="8" hidden="1">{#N/A,#N/A,FALSE,"Budget 1997 Class A (2)";#N/A,#N/A,FALSE,"Budgets 1997 Class B &amp; C (2)"}</definedName>
    <definedName name="wrn.Per._.Unit." hidden="1">{#N/A,#N/A,FALSE,"Budget 1997 Class A (2)";#N/A,#N/A,FALSE,"Budgets 1997 Class B &amp; C (2)"}</definedName>
    <definedName name="wrn.Per._.Unit._1" localSheetId="8" hidden="1">{#N/A,#N/A,FALSE,"Budget 1997 Class A (2)";#N/A,#N/A,FALSE,"Budgets 1997 Class B &amp; C (2)"}</definedName>
    <definedName name="wrn.Per._.Unit._1" hidden="1">{#N/A,#N/A,FALSE,"Budget 1997 Class A (2)";#N/A,#N/A,FALSE,"Budgets 1997 Class B &amp; C (2)"}</definedName>
    <definedName name="wrn.Presentation." localSheetId="8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_1" localSheetId="8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esentation._1" hidden="1">{#N/A,#N/A,FALSE,"Cedar Branch Apartments";#N/A,#N/A,FALSE,"Creekbend Apartments";#N/A,#N/A,FALSE,"Heatherwood Apartments";#N/A,#N/A,FALSE,"Rockport Apartments";#N/A,#N/A,FALSE,"Rocksprings Apartments";#N/A,#N/A,FALSE,"The Bentworth Apartments"}</definedName>
    <definedName name="wrn.Project._.Cost._.Estimate." localSheetId="8" hidden="1">{#N/A,#N/A,FALSE,"cost";#N/A,#N/A,FALSE,"draw sched.";#N/A,#N/A,FALSE,"spread";#N/A,#N/A,FALSE,"Assumptions"}</definedName>
    <definedName name="wrn.Project._.Cost._.Estimate." hidden="1">{#N/A,#N/A,FALSE,"cost";#N/A,#N/A,FALSE,"draw sched.";#N/A,#N/A,FALSE,"spread";#N/A,#N/A,FALSE,"Assumptions"}</definedName>
    <definedName name="wrn.Project._.Cost._.Estimate._1" localSheetId="8" hidden="1">{#N/A,#N/A,FALSE,"cost";#N/A,#N/A,FALSE,"draw sched.";#N/A,#N/A,FALSE,"spread";#N/A,#N/A,FALSE,"Assumptions"}</definedName>
    <definedName name="wrn.Project._.Cost._.Estimate._1" hidden="1">{#N/A,#N/A,FALSE,"cost";#N/A,#N/A,FALSE,"draw sched.";#N/A,#N/A,FALSE,"spread";#N/A,#N/A,FALSE,"Assumptions"}</definedName>
    <definedName name="wrn.Rehab." localSheetId="8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.Projects." localSheetId="8" hidden="1">{#N/A,#N/A,FALSE,"Bankside Village Apartments";#N/A,#N/A,FALSE,"Stoneridge Apartments"}</definedName>
    <definedName name="wrn.Rehab._.Projects." hidden="1">{#N/A,#N/A,FALSE,"Bankside Village Apartments";#N/A,#N/A,FALSE,"Stoneridge Apartments"}</definedName>
    <definedName name="wrn.Rehab._.Projects._1" localSheetId="8" hidden="1">{#N/A,#N/A,FALSE,"Bankside Village Apartments";#N/A,#N/A,FALSE,"Stoneridge Apartments"}</definedName>
    <definedName name="wrn.Rehab._.Projects._1" hidden="1">{#N/A,#N/A,FALSE,"Bankside Village Apartments";#N/A,#N/A,FALSE,"Stoneridge Apartments"}</definedName>
    <definedName name="wrn.Rehab._1" localSheetId="8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1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novation." localSheetId="8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_1" localSheetId="8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_1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t._.Assumptions." localSheetId="8" hidden="1">{"Rent_Assumptions",#N/A,FALSE,"Sheet1"}</definedName>
    <definedName name="wrn.Rent._.Assumptions." hidden="1">{"Rent_Assumptions",#N/A,FALSE,"Sheet1"}</definedName>
    <definedName name="wrn.Rent._.Assumptions._1" localSheetId="8" hidden="1">{"Rent_Assumptions",#N/A,FALSE,"Sheet1"}</definedName>
    <definedName name="wrn.Rent._.Assumptions._1" hidden="1">{"Rent_Assumptions",#N/A,FALSE,"Sheet1"}</definedName>
    <definedName name="wrn.Rent._.Changes._.Per._.Unit." localSheetId="8" hidden="1">{"Rent_ChangesPerUnit",#N/A,FALSE,"Sheet1"}</definedName>
    <definedName name="wrn.Rent._.Changes._.Per._.Unit." hidden="1">{"Rent_ChangesPerUnit",#N/A,FALSE,"Sheet1"}</definedName>
    <definedName name="wrn.Rent._.Changes._.Per._.Unit._1" localSheetId="8" hidden="1">{"Rent_ChangesPerUnit",#N/A,FALSE,"Sheet1"}</definedName>
    <definedName name="wrn.Rent._.Changes._.Per._.Unit._1" hidden="1">{"Rent_ChangesPerUnit",#N/A,FALSE,"Sheet1"}</definedName>
    <definedName name="wrn.Rent._.Changes._.Total." localSheetId="8" hidden="1">{"Rent_ChangesTotal",#N/A,FALSE,"Sheet1"}</definedName>
    <definedName name="wrn.Rent._.Changes._.Total." hidden="1">{"Rent_ChangesTotal",#N/A,FALSE,"Sheet1"}</definedName>
    <definedName name="wrn.Rent._.Changes._.Total._1" localSheetId="8" hidden="1">{"Rent_ChangesTotal",#N/A,FALSE,"Sheet1"}</definedName>
    <definedName name="wrn.Rent._.Changes._.Total._1" hidden="1">{"Rent_ChangesTotal",#N/A,FALSE,"Sheet1"}</definedName>
    <definedName name="wrn.Rent._.Totals." localSheetId="8" hidden="1">{"Rent_Totals",#N/A,FALSE,"Sheet1"}</definedName>
    <definedName name="wrn.Rent._.Totals." hidden="1">{"Rent_Totals",#N/A,FALSE,"Sheet1"}</definedName>
    <definedName name="wrn.Rent._.Totals._1" localSheetId="8" hidden="1">{"Rent_Totals",#N/A,FALSE,"Sheet1"}</definedName>
    <definedName name="wrn.Rent._.Totals._1" hidden="1">{"Rent_Totals",#N/A,FALSE,"Sheet1"}</definedName>
    <definedName name="wrn.Savannah._.Place." localSheetId="8" hidden="1">{#N/A,#N/A,FALSE,"Investment Analysis ";#N/A,#N/A,FALSE,"Savannah Place"}</definedName>
    <definedName name="wrn.Savannah._.Place." hidden="1">{#N/A,#N/A,FALSE,"Investment Analysis ";#N/A,#N/A,FALSE,"Savannah Place"}</definedName>
    <definedName name="wrn.Savannah._.Place._1" localSheetId="8" hidden="1">{#N/A,#N/A,FALSE,"Investment Analysis ";#N/A,#N/A,FALSE,"Savannah Place"}</definedName>
    <definedName name="wrn.Savannah._.Place._1" hidden="1">{#N/A,#N/A,FALSE,"Investment Analysis ";#N/A,#N/A,FALSE,"Savannah Place"}</definedName>
    <definedName name="wrn.Special._.Project." localSheetId="8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_1" localSheetId="8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_1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read._.Sheet." localSheetId="8" hidden="1">{#N/A,#N/A,FALSE,"spread"}</definedName>
    <definedName name="wrn.Spread._.Sheet." hidden="1">{#N/A,#N/A,FALSE,"spread"}</definedName>
    <definedName name="wrn.Spread._.Sheet._1" localSheetId="8" hidden="1">{#N/A,#N/A,FALSE,"spread"}</definedName>
    <definedName name="wrn.Spread._.Sheet._1" hidden="1">{#N/A,#N/A,FALSE,"spread"}</definedName>
    <definedName name="wrn.Summary." localSheetId="8" hidden="1">{"Summary",#N/A,FALSE,"Sheet1"}</definedName>
    <definedName name="wrn.Summary." hidden="1">{"Summary",#N/A,FALSE,"Sheet1"}</definedName>
    <definedName name="wrn.Summary._1" localSheetId="8" hidden="1">{"Summary",#N/A,FALSE,"Sheet1"}</definedName>
    <definedName name="wrn.Summary._1" hidden="1">{"Summary",#N/A,FALSE,"Sheet1"}</definedName>
    <definedName name="WSEnd">#REF!</definedName>
    <definedName name="WSEnd1">#REF!</definedName>
    <definedName name="WSEnd2">#REF!</definedName>
    <definedName name="WSEnd3">#REF!</definedName>
    <definedName name="Year">#REF!</definedName>
    <definedName name="YTDColumn">#REF!</definedName>
    <definedName name="ZoomPercent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5" l="1"/>
  <c r="D2" i="18" s="1"/>
  <c r="A2" i="1"/>
  <c r="D40" i="6"/>
  <c r="C19" i="8"/>
  <c r="O19" i="8"/>
  <c r="F11" i="16" s="1"/>
  <c r="C64" i="6"/>
  <c r="C12" i="16"/>
  <c r="O29" i="6" l="1"/>
  <c r="C43" i="6"/>
  <c r="V52" i="1"/>
  <c r="V44" i="1"/>
  <c r="P19" i="8"/>
  <c r="M52" i="1" l="1"/>
  <c r="K52" i="1"/>
  <c r="N12" i="8"/>
  <c r="K56" i="1" l="1"/>
  <c r="K41" i="1"/>
  <c r="D72" i="17"/>
  <c r="E72" i="17"/>
  <c r="F72" i="17"/>
  <c r="G72" i="17"/>
  <c r="H72" i="17"/>
  <c r="I72" i="17"/>
  <c r="J72" i="17"/>
  <c r="K72" i="17"/>
  <c r="L72" i="17"/>
  <c r="C72" i="17"/>
  <c r="L54" i="17"/>
  <c r="E40" i="6"/>
  <c r="F40" i="6"/>
  <c r="G40" i="6"/>
  <c r="H40" i="6"/>
  <c r="I40" i="6"/>
  <c r="J40" i="6"/>
  <c r="I19" i="8" s="1"/>
  <c r="K40" i="6"/>
  <c r="L40" i="6"/>
  <c r="K34" i="17" s="1"/>
  <c r="M40" i="6"/>
  <c r="C34" i="17"/>
  <c r="D34" i="17"/>
  <c r="E34" i="17"/>
  <c r="F34" i="17"/>
  <c r="G34" i="17"/>
  <c r="H34" i="17"/>
  <c r="I34" i="17"/>
  <c r="J34" i="17"/>
  <c r="L34" i="17"/>
  <c r="D19" i="8"/>
  <c r="E19" i="8"/>
  <c r="F19" i="8"/>
  <c r="G19" i="8"/>
  <c r="H19" i="8"/>
  <c r="J19" i="8"/>
  <c r="K19" i="8"/>
  <c r="L19" i="8"/>
  <c r="C76" i="6"/>
  <c r="B46" i="17" l="1"/>
  <c r="B40" i="17"/>
  <c r="B39" i="17"/>
  <c r="D25" i="5"/>
  <c r="H33" i="5"/>
  <c r="C14" i="16" s="1"/>
  <c r="D37" i="4"/>
  <c r="Q52" i="1" l="1"/>
  <c r="Q56" i="1"/>
  <c r="Q59" i="1"/>
  <c r="V48" i="1" l="1"/>
  <c r="Q44" i="1"/>
  <c r="Q41" i="1"/>
  <c r="V56" i="1"/>
  <c r="S41" i="1" l="1"/>
  <c r="V41" i="1"/>
  <c r="A2" i="17" l="1"/>
  <c r="A2" i="6"/>
  <c r="A2" i="5"/>
  <c r="A2" i="4"/>
  <c r="A2" i="15"/>
  <c r="A2" i="8"/>
  <c r="A4" i="6" l="1"/>
  <c r="A4" i="1"/>
  <c r="A4" i="5"/>
  <c r="A4" i="4"/>
  <c r="A4" i="15"/>
  <c r="A4" i="8"/>
  <c r="A1" i="18"/>
  <c r="A1" i="17"/>
  <c r="A1" i="6"/>
  <c r="A1" i="1"/>
  <c r="A1" i="5"/>
  <c r="A1" i="4"/>
  <c r="A1" i="15"/>
  <c r="A1" i="8"/>
  <c r="D30" i="4" l="1"/>
  <c r="I93" i="17" l="1"/>
  <c r="C70" i="6"/>
  <c r="C71" i="6"/>
  <c r="C72" i="6"/>
  <c r="C74" i="6"/>
  <c r="C75" i="6"/>
  <c r="C33" i="6" l="1"/>
  <c r="C59" i="17"/>
  <c r="C5" i="17"/>
  <c r="D3" i="18"/>
  <c r="C15" i="6"/>
  <c r="G30" i="15"/>
  <c r="Q47" i="1"/>
  <c r="E59" i="1"/>
  <c r="E56" i="1"/>
  <c r="E52" i="1"/>
  <c r="E47" i="1"/>
  <c r="D47" i="1" s="1"/>
  <c r="E44" i="1"/>
  <c r="D44" i="1" s="1"/>
  <c r="E41" i="1"/>
  <c r="D41" i="1" s="1"/>
  <c r="K59" i="1"/>
  <c r="V59" i="1" s="1"/>
  <c r="K47" i="1"/>
  <c r="V47" i="1" s="1"/>
  <c r="G35" i="1"/>
  <c r="G14" i="1"/>
  <c r="K13" i="1"/>
  <c r="K14" i="1" s="1"/>
  <c r="G11" i="1"/>
  <c r="K10" i="1"/>
  <c r="K11" i="1" s="1"/>
  <c r="G8" i="1"/>
  <c r="K7" i="1"/>
  <c r="K8" i="1" s="1"/>
  <c r="G10" i="15"/>
  <c r="G9" i="15"/>
  <c r="D42" i="1" l="1"/>
  <c r="M41" i="1"/>
  <c r="M42" i="1" s="1"/>
  <c r="X41" i="1"/>
  <c r="D48" i="1"/>
  <c r="X47" i="1"/>
  <c r="X48" i="1" s="1"/>
  <c r="F28" i="5"/>
  <c r="D37" i="6" s="1"/>
  <c r="D59" i="1"/>
  <c r="X59" i="1" s="1"/>
  <c r="X60" i="1" s="1"/>
  <c r="G59" i="1"/>
  <c r="S47" i="1"/>
  <c r="M56" i="1"/>
  <c r="S59" i="1"/>
  <c r="G47" i="1"/>
  <c r="M47" i="1"/>
  <c r="M48" i="1" s="1"/>
  <c r="K15" i="1"/>
  <c r="G15" i="1"/>
  <c r="M59" i="1" l="1"/>
  <c r="M60" i="1" s="1"/>
  <c r="D60" i="1"/>
  <c r="E15" i="1"/>
  <c r="D4" i="18"/>
  <c r="C23" i="6" l="1"/>
  <c r="K44" i="1" l="1"/>
  <c r="G32" i="1"/>
  <c r="I32" i="1" s="1"/>
  <c r="X44" i="1" l="1"/>
  <c r="X45" i="1" s="1"/>
  <c r="M44" i="1"/>
  <c r="S44" i="1"/>
  <c r="T44" i="1"/>
  <c r="G44" i="1"/>
  <c r="O44" i="1" s="1"/>
  <c r="G56" i="1"/>
  <c r="D45" i="1" l="1"/>
  <c r="H129" i="18"/>
  <c r="H130" i="18" s="1"/>
  <c r="H131" i="18" s="1"/>
  <c r="H132" i="18" s="1"/>
  <c r="H133" i="18" s="1"/>
  <c r="H134" i="18" s="1"/>
  <c r="H135" i="18" s="1"/>
  <c r="H136" i="18" s="1"/>
  <c r="H137" i="18" s="1"/>
  <c r="H138" i="18" s="1"/>
  <c r="H139" i="18" s="1"/>
  <c r="K117" i="18"/>
  <c r="A18" i="18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17" i="18"/>
  <c r="B9" i="18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B93" i="18" s="1"/>
  <c r="B94" i="18" s="1"/>
  <c r="B95" i="18" s="1"/>
  <c r="B96" i="18" s="1"/>
  <c r="B97" i="18" s="1"/>
  <c r="B98" i="18" s="1"/>
  <c r="B99" i="18" s="1"/>
  <c r="C76" i="17"/>
  <c r="C69" i="17"/>
  <c r="O60" i="6"/>
  <c r="C44" i="17"/>
  <c r="D5" i="17"/>
  <c r="D44" i="17" s="1"/>
  <c r="B69" i="17"/>
  <c r="C11" i="16"/>
  <c r="A30" i="18" l="1"/>
  <c r="E5" i="17"/>
  <c r="D69" i="17"/>
  <c r="D59" i="17"/>
  <c r="D76" i="17"/>
  <c r="B44" i="17"/>
  <c r="E76" i="17" l="1"/>
  <c r="E44" i="17"/>
  <c r="F5" i="17"/>
  <c r="E59" i="17"/>
  <c r="E69" i="17"/>
  <c r="A31" i="18"/>
  <c r="D12" i="6"/>
  <c r="D13" i="6"/>
  <c r="C11" i="17" s="1"/>
  <c r="C10" i="17" l="1"/>
  <c r="E12" i="6"/>
  <c r="F76" i="17"/>
  <c r="F44" i="17"/>
  <c r="G5" i="17"/>
  <c r="F69" i="17"/>
  <c r="F59" i="17"/>
  <c r="A32" i="18"/>
  <c r="G52" i="1"/>
  <c r="G29" i="1"/>
  <c r="I29" i="1" s="1"/>
  <c r="A33" i="18" l="1"/>
  <c r="G69" i="17"/>
  <c r="G59" i="17"/>
  <c r="G76" i="17"/>
  <c r="G44" i="17"/>
  <c r="H5" i="17"/>
  <c r="T24" i="1"/>
  <c r="G20" i="1"/>
  <c r="E32" i="1" l="1"/>
  <c r="D32" i="1" s="1"/>
  <c r="M32" i="1" s="1"/>
  <c r="E29" i="1"/>
  <c r="D29" i="1" s="1"/>
  <c r="E35" i="1"/>
  <c r="D35" i="1" s="1"/>
  <c r="F12" i="6"/>
  <c r="D10" i="17"/>
  <c r="H59" i="17"/>
  <c r="H76" i="17"/>
  <c r="H69" i="17"/>
  <c r="H44" i="17"/>
  <c r="I5" i="17"/>
  <c r="A34" i="18"/>
  <c r="D30" i="1" l="1"/>
  <c r="M29" i="1"/>
  <c r="M35" i="1"/>
  <c r="M36" i="1" s="1"/>
  <c r="D36" i="1"/>
  <c r="G12" i="6"/>
  <c r="E10" i="17"/>
  <c r="A35" i="18"/>
  <c r="I59" i="17"/>
  <c r="I76" i="17"/>
  <c r="I69" i="17"/>
  <c r="J5" i="17"/>
  <c r="I44" i="17"/>
  <c r="D57" i="1"/>
  <c r="H100" i="17"/>
  <c r="D21" i="6"/>
  <c r="C20" i="17" s="1"/>
  <c r="C16" i="6"/>
  <c r="E13" i="6"/>
  <c r="D11" i="17" s="1"/>
  <c r="C73" i="6"/>
  <c r="A12" i="5"/>
  <c r="G41" i="1"/>
  <c r="H99" i="17" l="1"/>
  <c r="H101" i="17" s="1"/>
  <c r="D49" i="1"/>
  <c r="G100" i="17"/>
  <c r="H12" i="6"/>
  <c r="F10" i="17"/>
  <c r="J69" i="17"/>
  <c r="J76" i="17"/>
  <c r="J44" i="17"/>
  <c r="K5" i="17"/>
  <c r="J59" i="17"/>
  <c r="A36" i="18"/>
  <c r="F13" i="6"/>
  <c r="D33" i="1"/>
  <c r="X56" i="1"/>
  <c r="X57" i="1" s="1"/>
  <c r="T41" i="1"/>
  <c r="T52" i="1"/>
  <c r="I41" i="1"/>
  <c r="S52" i="1"/>
  <c r="I52" i="1"/>
  <c r="O52" i="1"/>
  <c r="O41" i="1"/>
  <c r="X42" i="1"/>
  <c r="X49" i="1" s="1"/>
  <c r="I100" i="17" l="1"/>
  <c r="J100" i="17" s="1"/>
  <c r="I10" i="1"/>
  <c r="V49" i="1"/>
  <c r="X52" i="1"/>
  <c r="X53" i="1" s="1"/>
  <c r="X61" i="1" s="1"/>
  <c r="M53" i="1"/>
  <c r="D38" i="1"/>
  <c r="I99" i="17"/>
  <c r="D53" i="1"/>
  <c r="I7" i="1" s="1"/>
  <c r="T56" i="1"/>
  <c r="I12" i="6"/>
  <c r="G10" i="17"/>
  <c r="G13" i="6"/>
  <c r="E11" i="17"/>
  <c r="A37" i="18"/>
  <c r="K69" i="17"/>
  <c r="L5" i="17"/>
  <c r="K44" i="17"/>
  <c r="K59" i="17"/>
  <c r="K76" i="17"/>
  <c r="E42" i="1"/>
  <c r="M33" i="1"/>
  <c r="M30" i="1"/>
  <c r="E57" i="1"/>
  <c r="M38" i="1" l="1"/>
  <c r="D7" i="4" s="1"/>
  <c r="I101" i="17"/>
  <c r="G99" i="17"/>
  <c r="G101" i="17" s="1"/>
  <c r="D61" i="1"/>
  <c r="E53" i="1"/>
  <c r="I56" i="1"/>
  <c r="J12" i="6"/>
  <c r="H10" i="17"/>
  <c r="H13" i="6"/>
  <c r="F11" i="17"/>
  <c r="A38" i="18"/>
  <c r="L69" i="17"/>
  <c r="L44" i="17"/>
  <c r="L59" i="17"/>
  <c r="L76" i="17"/>
  <c r="E33" i="1"/>
  <c r="D8" i="6" l="1"/>
  <c r="E8" i="6" s="1"/>
  <c r="K38" i="1"/>
  <c r="J99" i="17"/>
  <c r="J101" i="17" s="1"/>
  <c r="J102" i="17" s="1"/>
  <c r="X63" i="1"/>
  <c r="K12" i="6"/>
  <c r="I10" i="17"/>
  <c r="I13" i="6"/>
  <c r="G11" i="17"/>
  <c r="A39" i="18"/>
  <c r="D10" i="6"/>
  <c r="C9" i="17" s="1"/>
  <c r="D9" i="4"/>
  <c r="I102" i="17" l="1"/>
  <c r="H102" i="17"/>
  <c r="G102" i="17"/>
  <c r="J13" i="6"/>
  <c r="H11" i="17"/>
  <c r="L12" i="6"/>
  <c r="J10" i="17"/>
  <c r="A40" i="18"/>
  <c r="C8" i="6"/>
  <c r="C9" i="6"/>
  <c r="C10" i="6"/>
  <c r="M12" i="6" l="1"/>
  <c r="L10" i="17" s="1"/>
  <c r="K10" i="17"/>
  <c r="K13" i="6"/>
  <c r="I11" i="17"/>
  <c r="A41" i="18"/>
  <c r="J93" i="17" l="1"/>
  <c r="L13" i="6"/>
  <c r="J11" i="17"/>
  <c r="A42" i="18"/>
  <c r="E61" i="1"/>
  <c r="E34" i="15"/>
  <c r="D60" i="4"/>
  <c r="E35" i="4" l="1"/>
  <c r="E27" i="4"/>
  <c r="D23" i="15"/>
  <c r="D19" i="15"/>
  <c r="D17" i="15"/>
  <c r="D11" i="15"/>
  <c r="D20" i="15"/>
  <c r="D13" i="15"/>
  <c r="D18" i="15"/>
  <c r="D12" i="15"/>
  <c r="D21" i="15"/>
  <c r="D22" i="15"/>
  <c r="D14" i="15"/>
  <c r="D15" i="15"/>
  <c r="D46" i="4"/>
  <c r="D47" i="4" s="1"/>
  <c r="I26" i="16"/>
  <c r="G11" i="16" s="1"/>
  <c r="M13" i="6"/>
  <c r="L11" i="17" s="1"/>
  <c r="K11" i="17"/>
  <c r="A43" i="18"/>
  <c r="E26" i="4"/>
  <c r="D10" i="15"/>
  <c r="D7" i="15"/>
  <c r="E36" i="4"/>
  <c r="E23" i="4"/>
  <c r="E25" i="4"/>
  <c r="E24" i="4"/>
  <c r="E29" i="4"/>
  <c r="E33" i="4"/>
  <c r="E30" i="4"/>
  <c r="E22" i="4"/>
  <c r="E28" i="4"/>
  <c r="E47" i="4" l="1"/>
  <c r="D33" i="6"/>
  <c r="A2" i="18"/>
  <c r="A44" i="18"/>
  <c r="D24" i="6"/>
  <c r="D42" i="4"/>
  <c r="F8" i="5" s="1"/>
  <c r="F12" i="5"/>
  <c r="E33" i="6" l="1"/>
  <c r="C28" i="17"/>
  <c r="C12" i="8"/>
  <c r="E24" i="6"/>
  <c r="F24" i="6" s="1"/>
  <c r="G24" i="6" s="1"/>
  <c r="H24" i="6" s="1"/>
  <c r="I24" i="6" s="1"/>
  <c r="J24" i="6" s="1"/>
  <c r="K24" i="6" s="1"/>
  <c r="L24" i="6" s="1"/>
  <c r="M24" i="6" s="1"/>
  <c r="A45" i="18"/>
  <c r="E42" i="4"/>
  <c r="D29" i="6"/>
  <c r="F33" i="6" l="1"/>
  <c r="D28" i="17"/>
  <c r="C88" i="17"/>
  <c r="E29" i="6"/>
  <c r="F29" i="6" s="1"/>
  <c r="G29" i="6" s="1"/>
  <c r="H29" i="6" s="1"/>
  <c r="I29" i="6" s="1"/>
  <c r="J29" i="6" s="1"/>
  <c r="K29" i="6" s="1"/>
  <c r="L29" i="6" s="1"/>
  <c r="M29" i="6" s="1"/>
  <c r="D12" i="8"/>
  <c r="A46" i="18"/>
  <c r="E12" i="8"/>
  <c r="E21" i="6"/>
  <c r="D20" i="17" s="1"/>
  <c r="G33" i="6" l="1"/>
  <c r="E28" i="17"/>
  <c r="A47" i="18"/>
  <c r="F12" i="8"/>
  <c r="F21" i="6"/>
  <c r="E20" i="17" s="1"/>
  <c r="S56" i="1"/>
  <c r="O56" i="1"/>
  <c r="H33" i="6" l="1"/>
  <c r="F28" i="17"/>
  <c r="D88" i="17"/>
  <c r="A48" i="18"/>
  <c r="G12" i="8"/>
  <c r="G21" i="6"/>
  <c r="I44" i="1"/>
  <c r="E45" i="1"/>
  <c r="I33" i="6" l="1"/>
  <c r="G28" i="17"/>
  <c r="F20" i="17"/>
  <c r="E88" i="17"/>
  <c r="A49" i="18"/>
  <c r="H12" i="8"/>
  <c r="E49" i="1"/>
  <c r="H21" i="6"/>
  <c r="G20" i="17" s="1"/>
  <c r="M57" i="1"/>
  <c r="M61" i="1" s="1"/>
  <c r="M45" i="1"/>
  <c r="M49" i="1" s="1"/>
  <c r="K61" i="1" l="1"/>
  <c r="M63" i="1"/>
  <c r="J33" i="6"/>
  <c r="H28" i="17"/>
  <c r="F88" i="17"/>
  <c r="A50" i="18"/>
  <c r="I12" i="8"/>
  <c r="V57" i="1"/>
  <c r="V53" i="1"/>
  <c r="E30" i="1"/>
  <c r="K53" i="1"/>
  <c r="V42" i="1"/>
  <c r="K42" i="1"/>
  <c r="I21" i="6"/>
  <c r="H20" i="17" s="1"/>
  <c r="X65" i="1" l="1"/>
  <c r="X66" i="1" s="1"/>
  <c r="C8" i="8"/>
  <c r="K33" i="6"/>
  <c r="I28" i="17"/>
  <c r="G88" i="17"/>
  <c r="A51" i="18"/>
  <c r="J12" i="8"/>
  <c r="K49" i="1"/>
  <c r="K57" i="1"/>
  <c r="K45" i="1"/>
  <c r="J21" i="6"/>
  <c r="I20" i="17" s="1"/>
  <c r="E10" i="6"/>
  <c r="L33" i="6" l="1"/>
  <c r="J28" i="17"/>
  <c r="F10" i="6"/>
  <c r="D9" i="17"/>
  <c r="H88" i="17"/>
  <c r="A52" i="18"/>
  <c r="D8" i="4"/>
  <c r="L12" i="8"/>
  <c r="K12" i="8"/>
  <c r="E38" i="1"/>
  <c r="D63" i="1"/>
  <c r="E63" i="1" s="1"/>
  <c r="D9" i="6"/>
  <c r="D11" i="6" s="1"/>
  <c r="K21" i="6"/>
  <c r="J20" i="17" s="1"/>
  <c r="M33" i="6" l="1"/>
  <c r="L28" i="17" s="1"/>
  <c r="K28" i="17"/>
  <c r="D16" i="6"/>
  <c r="D15" i="6"/>
  <c r="E9" i="6"/>
  <c r="C8" i="17"/>
  <c r="I88" i="17"/>
  <c r="G10" i="6"/>
  <c r="E9" i="17"/>
  <c r="A53" i="18"/>
  <c r="L21" i="6"/>
  <c r="K20" i="17" s="1"/>
  <c r="D8" i="8" l="1"/>
  <c r="C78" i="17"/>
  <c r="I20" i="16"/>
  <c r="H10" i="6"/>
  <c r="F9" i="17"/>
  <c r="F9" i="6"/>
  <c r="D8" i="17"/>
  <c r="J88" i="17"/>
  <c r="A54" i="18"/>
  <c r="M21" i="6"/>
  <c r="L20" i="17" s="1"/>
  <c r="H11" i="16" l="1"/>
  <c r="C80" i="17"/>
  <c r="C79" i="17"/>
  <c r="E8" i="8"/>
  <c r="D78" i="17"/>
  <c r="D79" i="17" s="1"/>
  <c r="J20" i="16"/>
  <c r="K88" i="17"/>
  <c r="G9" i="6"/>
  <c r="E8" i="17"/>
  <c r="I10" i="6"/>
  <c r="G9" i="17"/>
  <c r="A55" i="18"/>
  <c r="D80" i="17" l="1"/>
  <c r="E78" i="17"/>
  <c r="E79" i="17" s="1"/>
  <c r="F8" i="8"/>
  <c r="L88" i="17"/>
  <c r="M88" i="17" s="1"/>
  <c r="C98" i="17" s="1"/>
  <c r="H9" i="6"/>
  <c r="F8" i="17"/>
  <c r="J10" i="6"/>
  <c r="H9" i="17"/>
  <c r="A56" i="18"/>
  <c r="N14" i="8"/>
  <c r="E80" i="17" l="1"/>
  <c r="G8" i="8"/>
  <c r="F78" i="17"/>
  <c r="F79" i="17" s="1"/>
  <c r="I9" i="6"/>
  <c r="G8" i="17"/>
  <c r="K10" i="6"/>
  <c r="I9" i="17"/>
  <c r="A57" i="18"/>
  <c r="D10" i="4"/>
  <c r="D13" i="4" l="1"/>
  <c r="D15" i="4"/>
  <c r="D16" i="4"/>
  <c r="F80" i="17"/>
  <c r="H8" i="8"/>
  <c r="G78" i="17"/>
  <c r="G79" i="17" s="1"/>
  <c r="D7" i="17"/>
  <c r="C7" i="17"/>
  <c r="L10" i="6"/>
  <c r="J9" i="17"/>
  <c r="J9" i="6"/>
  <c r="H8" i="17"/>
  <c r="A58" i="18"/>
  <c r="C9" i="8"/>
  <c r="C10" i="8" s="1"/>
  <c r="C14" i="8" s="1"/>
  <c r="G80" i="17" l="1"/>
  <c r="D17" i="4"/>
  <c r="I8" i="8"/>
  <c r="H78" i="17"/>
  <c r="H79" i="17" s="1"/>
  <c r="F8" i="6"/>
  <c r="E7" i="17" s="1"/>
  <c r="E83" i="17" s="1"/>
  <c r="E11" i="6"/>
  <c r="M10" i="6"/>
  <c r="L9" i="17" s="1"/>
  <c r="K9" i="17"/>
  <c r="C83" i="17"/>
  <c r="C87" i="17" s="1"/>
  <c r="K9" i="6"/>
  <c r="I8" i="17"/>
  <c r="D83" i="17"/>
  <c r="A59" i="18"/>
  <c r="D14" i="6"/>
  <c r="D9" i="8" l="1"/>
  <c r="D10" i="8" s="1"/>
  <c r="E16" i="6"/>
  <c r="E15" i="6"/>
  <c r="H80" i="17"/>
  <c r="D17" i="6"/>
  <c r="D41" i="6" s="1"/>
  <c r="C16" i="17"/>
  <c r="C18" i="17" s="1"/>
  <c r="C25" i="17" s="1"/>
  <c r="J8" i="8"/>
  <c r="I78" i="17"/>
  <c r="I80" i="17" s="1"/>
  <c r="D22" i="6"/>
  <c r="E32" i="4"/>
  <c r="E34" i="4"/>
  <c r="E14" i="6"/>
  <c r="F11" i="6"/>
  <c r="G8" i="6"/>
  <c r="F7" i="17" s="1"/>
  <c r="F83" i="17" s="1"/>
  <c r="E85" i="17"/>
  <c r="E84" i="17"/>
  <c r="E87" i="17"/>
  <c r="E89" i="17" s="1"/>
  <c r="L9" i="6"/>
  <c r="J8" i="17"/>
  <c r="D84" i="17"/>
  <c r="D85" i="17"/>
  <c r="D87" i="17"/>
  <c r="D89" i="17" s="1"/>
  <c r="C85" i="17"/>
  <c r="C84" i="17"/>
  <c r="A60" i="18"/>
  <c r="D14" i="8" l="1"/>
  <c r="D23" i="6"/>
  <c r="D25" i="6" s="1"/>
  <c r="D27" i="6" s="1"/>
  <c r="D30" i="6" s="1"/>
  <c r="D35" i="6" s="1"/>
  <c r="D39" i="6" s="1"/>
  <c r="D42" i="6" s="1"/>
  <c r="E9" i="8"/>
  <c r="E10" i="8" s="1"/>
  <c r="F16" i="6"/>
  <c r="F15" i="6"/>
  <c r="I79" i="17"/>
  <c r="E17" i="6"/>
  <c r="E41" i="6" s="1"/>
  <c r="K8" i="8"/>
  <c r="J78" i="17"/>
  <c r="J80" i="17" s="1"/>
  <c r="D16" i="17"/>
  <c r="D18" i="17" s="1"/>
  <c r="D25" i="17" s="1"/>
  <c r="D38" i="4"/>
  <c r="E37" i="4"/>
  <c r="E22" i="6"/>
  <c r="C21" i="17"/>
  <c r="C29" i="17" s="1"/>
  <c r="C31" i="17" s="1"/>
  <c r="F14" i="6"/>
  <c r="G11" i="6"/>
  <c r="H8" i="6"/>
  <c r="G7" i="17" s="1"/>
  <c r="G83" i="17" s="1"/>
  <c r="M9" i="6"/>
  <c r="L8" i="17" s="1"/>
  <c r="K8" i="17"/>
  <c r="B99" i="17"/>
  <c r="C89" i="17"/>
  <c r="F84" i="17"/>
  <c r="F85" i="17"/>
  <c r="F87" i="17"/>
  <c r="F89" i="17" s="1"/>
  <c r="A61" i="18"/>
  <c r="E23" i="6" l="1"/>
  <c r="E25" i="6" s="1"/>
  <c r="E27" i="6" s="1"/>
  <c r="E30" i="6" s="1"/>
  <c r="E35" i="6" s="1"/>
  <c r="D20" i="8"/>
  <c r="E14" i="8"/>
  <c r="F9" i="8"/>
  <c r="F10" i="8" s="1"/>
  <c r="F14" i="8" s="1"/>
  <c r="G16" i="6"/>
  <c r="G15" i="6"/>
  <c r="J79" i="17"/>
  <c r="F17" i="6"/>
  <c r="F41" i="6" s="1"/>
  <c r="E16" i="17"/>
  <c r="E18" i="17" s="1"/>
  <c r="E25" i="17" s="1"/>
  <c r="L8" i="8"/>
  <c r="L78" i="17" s="1"/>
  <c r="K78" i="17"/>
  <c r="K80" i="17" s="1"/>
  <c r="I8" i="6"/>
  <c r="H7" i="17" s="1"/>
  <c r="H83" i="17" s="1"/>
  <c r="E38" i="4"/>
  <c r="D40" i="4"/>
  <c r="D43" i="4" s="1"/>
  <c r="D21" i="17"/>
  <c r="D29" i="17" s="1"/>
  <c r="D31" i="17" s="1"/>
  <c r="F22" i="6"/>
  <c r="G14" i="6"/>
  <c r="H11" i="6"/>
  <c r="C20" i="8"/>
  <c r="C33" i="17"/>
  <c r="C71" i="17" s="1"/>
  <c r="C74" i="17" s="1"/>
  <c r="G85" i="17"/>
  <c r="G84" i="17"/>
  <c r="G87" i="17"/>
  <c r="A62" i="18"/>
  <c r="D33" i="17" l="1"/>
  <c r="D71" i="17" s="1"/>
  <c r="F23" i="6"/>
  <c r="F25" i="6" s="1"/>
  <c r="F27" i="6" s="1"/>
  <c r="F30" i="6" s="1"/>
  <c r="F35" i="6" s="1"/>
  <c r="G9" i="8"/>
  <c r="G10" i="8" s="1"/>
  <c r="H16" i="6"/>
  <c r="H15" i="6"/>
  <c r="K79" i="17"/>
  <c r="G17" i="6"/>
  <c r="G41" i="6" s="1"/>
  <c r="F16" i="17"/>
  <c r="F18" i="17" s="1"/>
  <c r="F25" i="17" s="1"/>
  <c r="I11" i="6"/>
  <c r="J8" i="6"/>
  <c r="I7" i="17" s="1"/>
  <c r="I83" i="17" s="1"/>
  <c r="G22" i="6"/>
  <c r="E21" i="17"/>
  <c r="E29" i="17" s="1"/>
  <c r="E31" i="17" s="1"/>
  <c r="D49" i="4"/>
  <c r="E49" i="4" s="1"/>
  <c r="E40" i="4"/>
  <c r="E43" i="4" s="1"/>
  <c r="F6" i="5"/>
  <c r="F9" i="5" s="1"/>
  <c r="F14" i="5" s="1"/>
  <c r="H14" i="6"/>
  <c r="H85" i="17"/>
  <c r="H84" i="17"/>
  <c r="H87" i="17"/>
  <c r="H89" i="17" s="1"/>
  <c r="L80" i="17"/>
  <c r="L79" i="17"/>
  <c r="G89" i="17"/>
  <c r="A63" i="18"/>
  <c r="E33" i="17" l="1"/>
  <c r="E71" i="17" s="1"/>
  <c r="G23" i="6"/>
  <c r="G25" i="6" s="1"/>
  <c r="G27" i="6" s="1"/>
  <c r="G30" i="6" s="1"/>
  <c r="G35" i="6" s="1"/>
  <c r="E20" i="8"/>
  <c r="H9" i="8"/>
  <c r="H10" i="8" s="1"/>
  <c r="I16" i="6"/>
  <c r="I15" i="6"/>
  <c r="G14" i="8"/>
  <c r="H17" i="6"/>
  <c r="H41" i="6" s="1"/>
  <c r="G16" i="17"/>
  <c r="G18" i="17" s="1"/>
  <c r="K8" i="6"/>
  <c r="J7" i="17" s="1"/>
  <c r="J83" i="17" s="1"/>
  <c r="J11" i="6"/>
  <c r="I14" i="6"/>
  <c r="H22" i="6"/>
  <c r="F21" i="17"/>
  <c r="F29" i="17" s="1"/>
  <c r="F31" i="17" s="1"/>
  <c r="I85" i="17"/>
  <c r="I84" i="17"/>
  <c r="I87" i="17"/>
  <c r="I89" i="17" s="1"/>
  <c r="A64" i="18"/>
  <c r="H23" i="6" l="1"/>
  <c r="H25" i="6" s="1"/>
  <c r="H27" i="6" s="1"/>
  <c r="H30" i="6" s="1"/>
  <c r="H35" i="6" s="1"/>
  <c r="I9" i="8"/>
  <c r="I10" i="8" s="1"/>
  <c r="I14" i="8" s="1"/>
  <c r="J16" i="6"/>
  <c r="J15" i="6"/>
  <c r="I17" i="6"/>
  <c r="I41" i="6" s="1"/>
  <c r="H16" i="17"/>
  <c r="H18" i="17" s="1"/>
  <c r="L8" i="6"/>
  <c r="K7" i="17" s="1"/>
  <c r="K83" i="17" s="1"/>
  <c r="K11" i="6"/>
  <c r="J14" i="6"/>
  <c r="I22" i="6"/>
  <c r="G21" i="17"/>
  <c r="J85" i="17"/>
  <c r="J84" i="17"/>
  <c r="J87" i="17"/>
  <c r="G25" i="17"/>
  <c r="F33" i="17"/>
  <c r="F20" i="8"/>
  <c r="A65" i="18"/>
  <c r="H14" i="8"/>
  <c r="I23" i="6" l="1"/>
  <c r="I25" i="6" s="1"/>
  <c r="I27" i="6" s="1"/>
  <c r="I30" i="6" s="1"/>
  <c r="I35" i="6" s="1"/>
  <c r="G20" i="8"/>
  <c r="G33" i="17"/>
  <c r="G71" i="17" s="1"/>
  <c r="J9" i="8"/>
  <c r="J10" i="8" s="1"/>
  <c r="J14" i="8" s="1"/>
  <c r="K16" i="6"/>
  <c r="K15" i="6"/>
  <c r="J17" i="6"/>
  <c r="J41" i="6" s="1"/>
  <c r="I16" i="17"/>
  <c r="I18" i="17" s="1"/>
  <c r="I25" i="17" s="1"/>
  <c r="K14" i="6"/>
  <c r="L11" i="6"/>
  <c r="M8" i="6"/>
  <c r="M11" i="6" s="1"/>
  <c r="G29" i="17"/>
  <c r="G31" i="17" s="1"/>
  <c r="J22" i="6"/>
  <c r="H21" i="17"/>
  <c r="F71" i="17"/>
  <c r="K84" i="17"/>
  <c r="K85" i="17"/>
  <c r="K87" i="17"/>
  <c r="K89" i="17" s="1"/>
  <c r="H25" i="17"/>
  <c r="J89" i="17"/>
  <c r="A66" i="18"/>
  <c r="J23" i="6" l="1"/>
  <c r="J25" i="6" s="1"/>
  <c r="J27" i="6" s="1"/>
  <c r="J30" i="6" s="1"/>
  <c r="J35" i="6" s="1"/>
  <c r="K9" i="8"/>
  <c r="K10" i="8" s="1"/>
  <c r="K14" i="8" s="1"/>
  <c r="L16" i="6"/>
  <c r="L15" i="6"/>
  <c r="L9" i="8"/>
  <c r="L10" i="8" s="1"/>
  <c r="M16" i="6"/>
  <c r="M15" i="6"/>
  <c r="K17" i="6"/>
  <c r="K41" i="6" s="1"/>
  <c r="J16" i="17"/>
  <c r="J18" i="17" s="1"/>
  <c r="J25" i="17" s="1"/>
  <c r="L14" i="6"/>
  <c r="L7" i="17"/>
  <c r="L83" i="17" s="1"/>
  <c r="H29" i="17"/>
  <c r="H31" i="17" s="1"/>
  <c r="K22" i="6"/>
  <c r="I21" i="17"/>
  <c r="I29" i="17" s="1"/>
  <c r="I31" i="17" s="1"/>
  <c r="M14" i="6"/>
  <c r="H20" i="8"/>
  <c r="H33" i="17"/>
  <c r="H71" i="17" s="1"/>
  <c r="A67" i="18"/>
  <c r="O10" i="8" l="1"/>
  <c r="I7" i="16" s="1"/>
  <c r="K23" i="6"/>
  <c r="K25" i="6" s="1"/>
  <c r="K27" i="6" s="1"/>
  <c r="K30" i="6" s="1"/>
  <c r="K35" i="6" s="1"/>
  <c r="J33" i="17"/>
  <c r="J71" i="17" s="1"/>
  <c r="L17" i="6"/>
  <c r="L41" i="6" s="1"/>
  <c r="L16" i="17"/>
  <c r="K16" i="17"/>
  <c r="K18" i="17" s="1"/>
  <c r="L22" i="6"/>
  <c r="J21" i="17"/>
  <c r="J29" i="17" s="1"/>
  <c r="J31" i="17" s="1"/>
  <c r="I33" i="17"/>
  <c r="I20" i="8"/>
  <c r="L84" i="17"/>
  <c r="L85" i="17"/>
  <c r="L87" i="17"/>
  <c r="A68" i="18"/>
  <c r="L14" i="8"/>
  <c r="J20" i="8" l="1"/>
  <c r="L23" i="6"/>
  <c r="L25" i="6" s="1"/>
  <c r="L27" i="6" s="1"/>
  <c r="L30" i="6" s="1"/>
  <c r="L35" i="6" s="1"/>
  <c r="K20" i="8"/>
  <c r="M17" i="6"/>
  <c r="M41" i="6" s="1"/>
  <c r="M22" i="6"/>
  <c r="K21" i="17"/>
  <c r="K33" i="17"/>
  <c r="K71" i="17" s="1"/>
  <c r="K25" i="17"/>
  <c r="B100" i="17"/>
  <c r="L89" i="17"/>
  <c r="M89" i="17" s="1"/>
  <c r="M87" i="17"/>
  <c r="C100" i="17" s="1"/>
  <c r="I71" i="17"/>
  <c r="L18" i="17"/>
  <c r="A69" i="18"/>
  <c r="P10" i="8"/>
  <c r="O14" i="8"/>
  <c r="P14" i="8" s="1"/>
  <c r="M23" i="6" l="1"/>
  <c r="M25" i="6" s="1"/>
  <c r="M27" i="6" s="1"/>
  <c r="M30" i="6" s="1"/>
  <c r="L21" i="17"/>
  <c r="K29" i="17"/>
  <c r="K31" i="17" s="1"/>
  <c r="J7" i="16"/>
  <c r="K7" i="16"/>
  <c r="L25" i="17"/>
  <c r="A70" i="18"/>
  <c r="L29" i="17" l="1"/>
  <c r="L31" i="17" s="1"/>
  <c r="L46" i="17" s="1"/>
  <c r="M35" i="6"/>
  <c r="O52" i="6" s="1"/>
  <c r="O53" i="6" s="1"/>
  <c r="L33" i="17"/>
  <c r="L71" i="17" s="1"/>
  <c r="C95" i="17" s="1"/>
  <c r="L20" i="8"/>
  <c r="O20" i="8" s="1"/>
  <c r="F14" i="16" s="1"/>
  <c r="A71" i="18"/>
  <c r="P20" i="8" l="1"/>
  <c r="O54" i="6"/>
  <c r="L47" i="17"/>
  <c r="G14" i="16"/>
  <c r="A72" i="18"/>
  <c r="L48" i="17" l="1"/>
  <c r="H14" i="16"/>
  <c r="A73" i="18"/>
  <c r="A74" i="18" l="1"/>
  <c r="A75" i="18" l="1"/>
  <c r="A76" i="18" l="1"/>
  <c r="A77" i="18" l="1"/>
  <c r="A78" i="18" l="1"/>
  <c r="A79" i="18" l="1"/>
  <c r="A80" i="18" l="1"/>
  <c r="A81" i="18" l="1"/>
  <c r="A82" i="18" l="1"/>
  <c r="A83" i="18" l="1"/>
  <c r="A84" i="18" l="1"/>
  <c r="A85" i="18" l="1"/>
  <c r="A86" i="18" l="1"/>
  <c r="A87" i="18" l="1"/>
  <c r="A88" i="18" l="1"/>
  <c r="A89" i="18" l="1"/>
  <c r="A90" i="18" l="1"/>
  <c r="A91" i="18" l="1"/>
  <c r="A92" i="18" l="1"/>
  <c r="A93" i="18" l="1"/>
  <c r="A94" i="18" l="1"/>
  <c r="A95" i="18" l="1"/>
  <c r="A96" i="18" l="1"/>
  <c r="A97" i="18" l="1"/>
  <c r="A98" i="18" l="1"/>
  <c r="A99" i="18" l="1"/>
  <c r="A100" i="18" l="1"/>
  <c r="A101" i="18" l="1"/>
  <c r="A102" i="18" l="1"/>
  <c r="A103" i="18" l="1"/>
  <c r="A104" i="18" l="1"/>
  <c r="A105" i="18" l="1"/>
  <c r="A106" i="18" l="1"/>
  <c r="A107" i="18" l="1"/>
  <c r="A108" i="18" l="1"/>
  <c r="A109" i="18" l="1"/>
  <c r="A110" i="18" l="1"/>
  <c r="A111" i="18" l="1"/>
  <c r="A112" i="18" l="1"/>
  <c r="A113" i="18" l="1"/>
  <c r="A114" i="18" l="1"/>
  <c r="A115" i="18" l="1"/>
  <c r="A116" i="18" l="1"/>
  <c r="A117" i="18" l="1"/>
  <c r="A118" i="18" l="1"/>
  <c r="A119" i="18" l="1"/>
  <c r="A120" i="18" l="1"/>
  <c r="A121" i="18" l="1"/>
  <c r="A122" i="18" l="1"/>
  <c r="A123" i="18" l="1"/>
  <c r="A124" i="18" l="1"/>
  <c r="A125" i="18" l="1"/>
  <c r="A126" i="18" l="1"/>
  <c r="A127" i="18" l="1"/>
  <c r="A128" i="18" l="1"/>
  <c r="A129" i="18" l="1"/>
  <c r="A130" i="18" l="1"/>
  <c r="A131" i="18" l="1"/>
  <c r="A132" i="18" l="1"/>
  <c r="A133" i="18" l="1"/>
  <c r="A134" i="18" l="1"/>
  <c r="A135" i="18" l="1"/>
  <c r="A136" i="18" l="1"/>
  <c r="A137" i="18" l="1"/>
  <c r="A138" i="18" l="1"/>
  <c r="A139" i="18" l="1"/>
  <c r="A140" i="18" l="1"/>
  <c r="A141" i="18" l="1"/>
  <c r="A142" i="18" l="1"/>
  <c r="A143" i="18" l="1"/>
  <c r="A144" i="18" l="1"/>
  <c r="A145" i="18" l="1"/>
  <c r="A146" i="18" l="1"/>
  <c r="A147" i="18" l="1"/>
  <c r="A148" i="18" l="1"/>
  <c r="A149" i="18" l="1"/>
  <c r="A150" i="18" l="1"/>
  <c r="A151" i="18" l="1"/>
  <c r="A152" i="18" l="1"/>
  <c r="A153" i="18" l="1"/>
  <c r="A154" i="18" l="1"/>
  <c r="A155" i="18" l="1"/>
  <c r="A156" i="18" l="1"/>
  <c r="A157" i="18" l="1"/>
  <c r="A158" i="18" l="1"/>
  <c r="A159" i="18" l="1"/>
  <c r="A160" i="18" l="1"/>
  <c r="A161" i="18" l="1"/>
  <c r="A162" i="18" l="1"/>
  <c r="A163" i="18" l="1"/>
  <c r="A164" i="18" l="1"/>
  <c r="A165" i="18" l="1"/>
  <c r="A166" i="18" l="1"/>
  <c r="A167" i="18" l="1"/>
  <c r="A168" i="18" l="1"/>
  <c r="A169" i="18" l="1"/>
  <c r="A170" i="18" l="1"/>
  <c r="A171" i="18" l="1"/>
  <c r="A172" i="18" l="1"/>
  <c r="A173" i="18" l="1"/>
  <c r="A174" i="18" l="1"/>
  <c r="A175" i="18" l="1"/>
  <c r="A176" i="18" l="1"/>
  <c r="A177" i="18" l="1"/>
  <c r="A178" i="18" l="1"/>
  <c r="A179" i="18" l="1"/>
  <c r="A180" i="18" l="1"/>
  <c r="A181" i="18" l="1"/>
  <c r="A182" i="18" l="1"/>
  <c r="A183" i="18" l="1"/>
  <c r="A184" i="18" l="1"/>
  <c r="A185" i="18" l="1"/>
  <c r="A186" i="18" l="1"/>
  <c r="A187" i="18" l="1"/>
  <c r="A188" i="18" l="1"/>
  <c r="A189" i="18" l="1"/>
  <c r="A190" i="18" l="1"/>
  <c r="A191" i="18" l="1"/>
  <c r="A192" i="18" l="1"/>
  <c r="A193" i="18" l="1"/>
  <c r="A194" i="18" l="1"/>
  <c r="A195" i="18" l="1"/>
  <c r="A196" i="18" l="1"/>
  <c r="A197" i="18" l="1"/>
  <c r="A198" i="18" l="1"/>
  <c r="A199" i="18" l="1"/>
  <c r="A200" i="18" l="1"/>
  <c r="A201" i="18" l="1"/>
  <c r="A202" i="18" l="1"/>
  <c r="A203" i="18" l="1"/>
  <c r="A204" i="18" l="1"/>
  <c r="A205" i="18" l="1"/>
  <c r="A206" i="18" l="1"/>
  <c r="A207" i="18" l="1"/>
  <c r="A208" i="18" l="1"/>
  <c r="A209" i="18" l="1"/>
  <c r="A210" i="18" l="1"/>
  <c r="A211" i="18" l="1"/>
  <c r="A212" i="18" l="1"/>
  <c r="A213" i="18" l="1"/>
  <c r="A214" i="18" l="1"/>
  <c r="A215" i="18" l="1"/>
  <c r="A216" i="18" l="1"/>
  <c r="A217" i="18" l="1"/>
  <c r="A218" i="18" l="1"/>
  <c r="A219" i="18" l="1"/>
  <c r="A220" i="18" l="1"/>
  <c r="A221" i="18" l="1"/>
  <c r="A222" i="18" l="1"/>
  <c r="A223" i="18" l="1"/>
  <c r="A224" i="18" l="1"/>
  <c r="A225" i="18" l="1"/>
  <c r="A226" i="18" l="1"/>
  <c r="A227" i="18" l="1"/>
  <c r="A228" i="18" l="1"/>
  <c r="A229" i="18" l="1"/>
  <c r="A230" i="18" l="1"/>
  <c r="A231" i="18" l="1"/>
  <c r="A232" i="18" l="1"/>
  <c r="A233" i="18" l="1"/>
  <c r="A234" i="18" l="1"/>
  <c r="A235" i="18" l="1"/>
  <c r="A236" i="18" l="1"/>
  <c r="A237" i="18" l="1"/>
  <c r="A238" i="18" l="1"/>
  <c r="A239" i="18" l="1"/>
  <c r="A240" i="18" l="1"/>
  <c r="A241" i="18" l="1"/>
  <c r="A242" i="18" l="1"/>
  <c r="A243" i="18" l="1"/>
  <c r="A244" i="18" l="1"/>
  <c r="A245" i="18" l="1"/>
  <c r="A246" i="18" l="1"/>
  <c r="A247" i="18" l="1"/>
  <c r="A248" i="18" l="1"/>
  <c r="A249" i="18" l="1"/>
  <c r="A250" i="18" l="1"/>
  <c r="A251" i="18" l="1"/>
  <c r="A252" i="18" l="1"/>
  <c r="A253" i="18" l="1"/>
  <c r="A254" i="18" l="1"/>
  <c r="A255" i="18" l="1"/>
  <c r="A256" i="18" l="1"/>
  <c r="A257" i="18" l="1"/>
  <c r="A258" i="18" l="1"/>
  <c r="A259" i="18" l="1"/>
  <c r="A260" i="18" l="1"/>
  <c r="A261" i="18" l="1"/>
  <c r="A262" i="18" l="1"/>
  <c r="A263" i="18" l="1"/>
  <c r="A264" i="18" l="1"/>
  <c r="A265" i="18" l="1"/>
  <c r="A266" i="18" l="1"/>
  <c r="A267" i="18" l="1"/>
  <c r="A268" i="18" l="1"/>
  <c r="A269" i="18" l="1"/>
  <c r="A270" i="18" l="1"/>
  <c r="A271" i="18" l="1"/>
  <c r="A272" i="18" l="1"/>
  <c r="A273" i="18" l="1"/>
  <c r="A274" i="18" l="1"/>
  <c r="A275" i="18" l="1"/>
  <c r="A276" i="18" l="1"/>
  <c r="A277" i="18" l="1"/>
  <c r="A278" i="18" l="1"/>
  <c r="A279" i="18" l="1"/>
  <c r="A280" i="18" l="1"/>
  <c r="A281" i="18" l="1"/>
  <c r="A282" i="18" l="1"/>
  <c r="A283" i="18" l="1"/>
  <c r="A284" i="18" l="1"/>
  <c r="A285" i="18" l="1"/>
  <c r="A286" i="18" l="1"/>
  <c r="A287" i="18" l="1"/>
  <c r="A288" i="18" l="1"/>
  <c r="A289" i="18" l="1"/>
  <c r="A290" i="18" l="1"/>
  <c r="A291" i="18" l="1"/>
  <c r="A292" i="18" l="1"/>
  <c r="A293" i="18" l="1"/>
  <c r="A294" i="18" l="1"/>
  <c r="A295" i="18" l="1"/>
  <c r="A296" i="18" l="1"/>
  <c r="A297" i="18" l="1"/>
  <c r="A298" i="18" l="1"/>
  <c r="A299" i="18" l="1"/>
  <c r="A300" i="18" l="1"/>
  <c r="A301" i="18" l="1"/>
  <c r="A302" i="18" l="1"/>
  <c r="A303" i="18" l="1"/>
  <c r="A304" i="18" l="1"/>
  <c r="A305" i="18" l="1"/>
  <c r="A306" i="18" l="1"/>
  <c r="A307" i="18" l="1"/>
  <c r="A308" i="18" l="1"/>
  <c r="A309" i="18" l="1"/>
  <c r="A310" i="18" l="1"/>
  <c r="A311" i="18" l="1"/>
  <c r="A312" i="18" l="1"/>
  <c r="A313" i="18" l="1"/>
  <c r="A314" i="18" l="1"/>
  <c r="A315" i="18" l="1"/>
  <c r="A316" i="18" l="1"/>
  <c r="A317" i="18" l="1"/>
  <c r="A318" i="18" l="1"/>
  <c r="A319" i="18" l="1"/>
  <c r="A320" i="18" l="1"/>
  <c r="A321" i="18" l="1"/>
  <c r="A322" i="18" l="1"/>
  <c r="A323" i="18" l="1"/>
  <c r="A324" i="18" l="1"/>
  <c r="A325" i="18" l="1"/>
  <c r="A326" i="18" l="1"/>
  <c r="A327" i="18" l="1"/>
  <c r="A328" i="18" l="1"/>
  <c r="A329" i="18" l="1"/>
  <c r="A330" i="18" l="1"/>
  <c r="A331" i="18" l="1"/>
  <c r="A332" i="18" l="1"/>
  <c r="A333" i="18" l="1"/>
  <c r="A334" i="18" l="1"/>
  <c r="A335" i="18" l="1"/>
  <c r="A336" i="18" l="1"/>
  <c r="A337" i="18" l="1"/>
  <c r="A338" i="18" l="1"/>
  <c r="A339" i="18" l="1"/>
  <c r="A340" i="18" l="1"/>
  <c r="A341" i="18" l="1"/>
  <c r="A342" i="18" l="1"/>
  <c r="A343" i="18" l="1"/>
  <c r="A344" i="18" l="1"/>
  <c r="A345" i="18" l="1"/>
  <c r="A346" i="18" l="1"/>
  <c r="A347" i="18" l="1"/>
  <c r="A348" i="18" l="1"/>
  <c r="A349" i="18" l="1"/>
  <c r="A350" i="18" l="1"/>
  <c r="A351" i="18" l="1"/>
  <c r="A352" i="18" l="1"/>
  <c r="A353" i="18" l="1"/>
  <c r="A354" i="18" l="1"/>
  <c r="A355" i="18" l="1"/>
  <c r="A356" i="18" l="1"/>
  <c r="A357" i="18" l="1"/>
  <c r="A358" i="18" l="1"/>
  <c r="A359" i="18" l="1"/>
  <c r="A360" i="18" l="1"/>
  <c r="A361" i="18" l="1"/>
  <c r="A362" i="18" l="1"/>
  <c r="A363" i="18" l="1"/>
  <c r="A364" i="18" l="1"/>
  <c r="A365" i="18" l="1"/>
  <c r="A366" i="18" l="1"/>
  <c r="A367" i="18" l="1"/>
  <c r="D9" i="15" l="1"/>
  <c r="G5" i="18" l="1"/>
  <c r="D5" i="18"/>
  <c r="E5" i="18" s="1"/>
  <c r="D277" i="18" l="1"/>
  <c r="C278" i="18" s="1"/>
  <c r="E278" i="18" s="1"/>
  <c r="D269" i="18"/>
  <c r="C270" i="18" s="1"/>
  <c r="E270" i="18" s="1"/>
  <c r="D324" i="18"/>
  <c r="C325" i="18" s="1"/>
  <c r="E325" i="18" s="1"/>
  <c r="D340" i="18"/>
  <c r="C341" i="18" s="1"/>
  <c r="E341" i="18" s="1"/>
  <c r="D318" i="18"/>
  <c r="C319" i="18" s="1"/>
  <c r="E319" i="18" s="1"/>
  <c r="D251" i="18"/>
  <c r="C252" i="18" s="1"/>
  <c r="E252" i="18" s="1"/>
  <c r="D359" i="18"/>
  <c r="C360" i="18" s="1"/>
  <c r="E360" i="18" s="1"/>
  <c r="D356" i="18"/>
  <c r="C357" i="18" s="1"/>
  <c r="E357" i="18" s="1"/>
  <c r="D334" i="18"/>
  <c r="C335" i="18" s="1"/>
  <c r="E335" i="18" s="1"/>
  <c r="D311" i="18"/>
  <c r="C312" i="18" s="1"/>
  <c r="E312" i="18" s="1"/>
  <c r="D342" i="18"/>
  <c r="C343" i="18" s="1"/>
  <c r="E343" i="18" s="1"/>
  <c r="D357" i="18"/>
  <c r="C358" i="18" s="1"/>
  <c r="E358" i="18" s="1"/>
  <c r="D367" i="18"/>
  <c r="D351" i="18"/>
  <c r="C352" i="18" s="1"/>
  <c r="E352" i="18" s="1"/>
  <c r="D332" i="18"/>
  <c r="C333" i="18" s="1"/>
  <c r="E333" i="18" s="1"/>
  <c r="D308" i="18"/>
  <c r="C309" i="18" s="1"/>
  <c r="E309" i="18" s="1"/>
  <c r="D364" i="18"/>
  <c r="C365" i="18" s="1"/>
  <c r="E365" i="18" s="1"/>
  <c r="D319" i="18"/>
  <c r="C320" i="18" s="1"/>
  <c r="E320" i="18" s="1"/>
  <c r="D316" i="18"/>
  <c r="C317" i="18" s="1"/>
  <c r="E317" i="18" s="1"/>
  <c r="D366" i="18"/>
  <c r="C367" i="18" s="1"/>
  <c r="E367" i="18" s="1"/>
  <c r="D350" i="18"/>
  <c r="C351" i="18" s="1"/>
  <c r="E351" i="18" s="1"/>
  <c r="D327" i="18"/>
  <c r="C328" i="18" s="1"/>
  <c r="E328" i="18" s="1"/>
  <c r="D299" i="18"/>
  <c r="C300" i="18" s="1"/>
  <c r="E300" i="18" s="1"/>
  <c r="D343" i="18"/>
  <c r="C344" i="18" s="1"/>
  <c r="E344" i="18" s="1"/>
  <c r="D358" i="18"/>
  <c r="C359" i="18" s="1"/>
  <c r="E359" i="18" s="1"/>
  <c r="D335" i="18"/>
  <c r="C336" i="18" s="1"/>
  <c r="E336" i="18" s="1"/>
  <c r="D365" i="18"/>
  <c r="C366" i="18" s="1"/>
  <c r="E366" i="18" s="1"/>
  <c r="D348" i="18"/>
  <c r="C349" i="18" s="1"/>
  <c r="E349" i="18" s="1"/>
  <c r="D326" i="18"/>
  <c r="C327" i="18" s="1"/>
  <c r="E327" i="18" s="1"/>
  <c r="D292" i="18"/>
  <c r="C293" i="18" s="1"/>
  <c r="E293" i="18" s="1"/>
  <c r="D310" i="18"/>
  <c r="C311" i="18" s="1"/>
  <c r="E311" i="18" s="1"/>
  <c r="D298" i="18"/>
  <c r="C299" i="18" s="1"/>
  <c r="E299" i="18" s="1"/>
  <c r="D275" i="18"/>
  <c r="C276" i="18" s="1"/>
  <c r="E276" i="18" s="1"/>
  <c r="D226" i="18"/>
  <c r="C227" i="18" s="1"/>
  <c r="E227" i="18" s="1"/>
  <c r="D349" i="18"/>
  <c r="C350" i="18" s="1"/>
  <c r="E350" i="18" s="1"/>
  <c r="D341" i="18"/>
  <c r="C342" i="18" s="1"/>
  <c r="E342" i="18" s="1"/>
  <c r="F342" i="18" s="1"/>
  <c r="G342" i="18" s="1"/>
  <c r="D333" i="18"/>
  <c r="C334" i="18" s="1"/>
  <c r="E334" i="18" s="1"/>
  <c r="D325" i="18"/>
  <c r="C326" i="18" s="1"/>
  <c r="E326" i="18" s="1"/>
  <c r="D317" i="18"/>
  <c r="C318" i="18" s="1"/>
  <c r="E318" i="18" s="1"/>
  <c r="D309" i="18"/>
  <c r="C310" i="18" s="1"/>
  <c r="E310" i="18" s="1"/>
  <c r="D297" i="18"/>
  <c r="C298" i="18" s="1"/>
  <c r="E298" i="18" s="1"/>
  <c r="D270" i="18"/>
  <c r="C271" i="18" s="1"/>
  <c r="E271" i="18" s="1"/>
  <c r="D193" i="18"/>
  <c r="C194" i="18" s="1"/>
  <c r="E194" i="18" s="1"/>
  <c r="D363" i="18"/>
  <c r="C364" i="18" s="1"/>
  <c r="E364" i="18" s="1"/>
  <c r="D355" i="18"/>
  <c r="C356" i="18" s="1"/>
  <c r="E356" i="18" s="1"/>
  <c r="D347" i="18"/>
  <c r="C348" i="18" s="1"/>
  <c r="E348" i="18" s="1"/>
  <c r="F348" i="18" s="1"/>
  <c r="G348" i="18" s="1"/>
  <c r="D339" i="18"/>
  <c r="C340" i="18" s="1"/>
  <c r="E340" i="18" s="1"/>
  <c r="F340" i="18" s="1"/>
  <c r="G340" i="18" s="1"/>
  <c r="D331" i="18"/>
  <c r="C332" i="18" s="1"/>
  <c r="E332" i="18" s="1"/>
  <c r="D323" i="18"/>
  <c r="C324" i="18" s="1"/>
  <c r="E324" i="18" s="1"/>
  <c r="D315" i="18"/>
  <c r="C316" i="18" s="1"/>
  <c r="E316" i="18" s="1"/>
  <c r="D307" i="18"/>
  <c r="C308" i="18" s="1"/>
  <c r="E308" i="18" s="1"/>
  <c r="D290" i="18"/>
  <c r="C291" i="18" s="1"/>
  <c r="E291" i="18" s="1"/>
  <c r="D267" i="18"/>
  <c r="C268" i="18" s="1"/>
  <c r="E268" i="18" s="1"/>
  <c r="D362" i="18"/>
  <c r="C363" i="18" s="1"/>
  <c r="E363" i="18" s="1"/>
  <c r="D354" i="18"/>
  <c r="C355" i="18" s="1"/>
  <c r="E355" i="18" s="1"/>
  <c r="D346" i="18"/>
  <c r="C347" i="18" s="1"/>
  <c r="E347" i="18" s="1"/>
  <c r="D338" i="18"/>
  <c r="C339" i="18" s="1"/>
  <c r="E339" i="18" s="1"/>
  <c r="D330" i="18"/>
  <c r="C331" i="18" s="1"/>
  <c r="E331" i="18" s="1"/>
  <c r="D322" i="18"/>
  <c r="C323" i="18" s="1"/>
  <c r="E323" i="18" s="1"/>
  <c r="D314" i="18"/>
  <c r="C315" i="18" s="1"/>
  <c r="E315" i="18" s="1"/>
  <c r="D306" i="18"/>
  <c r="C307" i="18" s="1"/>
  <c r="E307" i="18" s="1"/>
  <c r="D285" i="18"/>
  <c r="C286" i="18" s="1"/>
  <c r="E286" i="18" s="1"/>
  <c r="D261" i="18"/>
  <c r="C262" i="18" s="1"/>
  <c r="E262" i="18" s="1"/>
  <c r="D361" i="18"/>
  <c r="C362" i="18" s="1"/>
  <c r="E362" i="18" s="1"/>
  <c r="D353" i="18"/>
  <c r="C354" i="18" s="1"/>
  <c r="E354" i="18" s="1"/>
  <c r="D345" i="18"/>
  <c r="C346" i="18" s="1"/>
  <c r="E346" i="18" s="1"/>
  <c r="D337" i="18"/>
  <c r="C338" i="18" s="1"/>
  <c r="E338" i="18" s="1"/>
  <c r="D329" i="18"/>
  <c r="C330" i="18" s="1"/>
  <c r="E330" i="18" s="1"/>
  <c r="D321" i="18"/>
  <c r="C322" i="18" s="1"/>
  <c r="E322" i="18" s="1"/>
  <c r="D313" i="18"/>
  <c r="C314" i="18" s="1"/>
  <c r="E314" i="18" s="1"/>
  <c r="D305" i="18"/>
  <c r="C306" i="18" s="1"/>
  <c r="E306" i="18" s="1"/>
  <c r="D283" i="18"/>
  <c r="C284" i="18" s="1"/>
  <c r="E284" i="18" s="1"/>
  <c r="D259" i="18"/>
  <c r="C260" i="18" s="1"/>
  <c r="E260" i="18" s="1"/>
  <c r="D360" i="18"/>
  <c r="C361" i="18" s="1"/>
  <c r="E361" i="18" s="1"/>
  <c r="D352" i="18"/>
  <c r="C353" i="18" s="1"/>
  <c r="E353" i="18" s="1"/>
  <c r="D344" i="18"/>
  <c r="C345" i="18" s="1"/>
  <c r="E345" i="18" s="1"/>
  <c r="D336" i="18"/>
  <c r="C337" i="18" s="1"/>
  <c r="E337" i="18" s="1"/>
  <c r="D328" i="18"/>
  <c r="C329" i="18" s="1"/>
  <c r="E329" i="18" s="1"/>
  <c r="D320" i="18"/>
  <c r="C321" i="18" s="1"/>
  <c r="E321" i="18" s="1"/>
  <c r="D312" i="18"/>
  <c r="C313" i="18" s="1"/>
  <c r="E313" i="18" s="1"/>
  <c r="D300" i="18"/>
  <c r="C301" i="18" s="1"/>
  <c r="E301" i="18" s="1"/>
  <c r="D278" i="18"/>
  <c r="C279" i="18" s="1"/>
  <c r="E279" i="18" s="1"/>
  <c r="D253" i="18"/>
  <c r="C254" i="18" s="1"/>
  <c r="E254" i="18" s="1"/>
  <c r="D262" i="18"/>
  <c r="C263" i="18" s="1"/>
  <c r="E263" i="18" s="1"/>
  <c r="D254" i="18"/>
  <c r="C255" i="18" s="1"/>
  <c r="E255" i="18" s="1"/>
  <c r="D237" i="18"/>
  <c r="C238" i="18" s="1"/>
  <c r="E238" i="18" s="1"/>
  <c r="D207" i="18"/>
  <c r="C208" i="18" s="1"/>
  <c r="E208" i="18" s="1"/>
  <c r="D133" i="18"/>
  <c r="C134" i="18" s="1"/>
  <c r="E134" i="18" s="1"/>
  <c r="D234" i="18"/>
  <c r="C235" i="18" s="1"/>
  <c r="E235" i="18" s="1"/>
  <c r="D204" i="18"/>
  <c r="C205" i="18" s="1"/>
  <c r="E205" i="18" s="1"/>
  <c r="D119" i="18"/>
  <c r="C120" i="18" s="1"/>
  <c r="E120" i="18" s="1"/>
  <c r="D291" i="18"/>
  <c r="C292" i="18" s="1"/>
  <c r="E292" i="18" s="1"/>
  <c r="D284" i="18"/>
  <c r="C285" i="18" s="1"/>
  <c r="E285" i="18" s="1"/>
  <c r="D276" i="18"/>
  <c r="C277" i="18" s="1"/>
  <c r="E277" i="18" s="1"/>
  <c r="D268" i="18"/>
  <c r="C269" i="18" s="1"/>
  <c r="E269" i="18" s="1"/>
  <c r="D260" i="18"/>
  <c r="C261" i="18" s="1"/>
  <c r="E261" i="18" s="1"/>
  <c r="D252" i="18"/>
  <c r="C253" i="18" s="1"/>
  <c r="E253" i="18" s="1"/>
  <c r="D229" i="18"/>
  <c r="C230" i="18" s="1"/>
  <c r="E230" i="18" s="1"/>
  <c r="D199" i="18"/>
  <c r="C200" i="18" s="1"/>
  <c r="E200" i="18" s="1"/>
  <c r="D80" i="18"/>
  <c r="C81" i="18" s="1"/>
  <c r="E81" i="18" s="1"/>
  <c r="D304" i="18"/>
  <c r="C305" i="18" s="1"/>
  <c r="E305" i="18" s="1"/>
  <c r="D296" i="18"/>
  <c r="C297" i="18" s="1"/>
  <c r="E297" i="18" s="1"/>
  <c r="D289" i="18"/>
  <c r="C290" i="18" s="1"/>
  <c r="E290" i="18" s="1"/>
  <c r="D282" i="18"/>
  <c r="C283" i="18" s="1"/>
  <c r="E283" i="18" s="1"/>
  <c r="D274" i="18"/>
  <c r="C275" i="18" s="1"/>
  <c r="E275" i="18" s="1"/>
  <c r="F275" i="18" s="1"/>
  <c r="G275" i="18" s="1"/>
  <c r="D266" i="18"/>
  <c r="C267" i="18" s="1"/>
  <c r="E267" i="18" s="1"/>
  <c r="D258" i="18"/>
  <c r="C259" i="18" s="1"/>
  <c r="E259" i="18" s="1"/>
  <c r="D250" i="18"/>
  <c r="C251" i="18" s="1"/>
  <c r="E251" i="18" s="1"/>
  <c r="D221" i="18"/>
  <c r="C222" i="18" s="1"/>
  <c r="E222" i="18" s="1"/>
  <c r="D180" i="18"/>
  <c r="C181" i="18" s="1"/>
  <c r="E181" i="18" s="1"/>
  <c r="D303" i="18"/>
  <c r="C304" i="18" s="1"/>
  <c r="E304" i="18" s="1"/>
  <c r="D295" i="18"/>
  <c r="C296" i="18" s="1"/>
  <c r="E296" i="18" s="1"/>
  <c r="D288" i="18"/>
  <c r="C289" i="18" s="1"/>
  <c r="E289" i="18" s="1"/>
  <c r="D281" i="18"/>
  <c r="C282" i="18" s="1"/>
  <c r="E282" i="18" s="1"/>
  <c r="D273" i="18"/>
  <c r="C274" i="18" s="1"/>
  <c r="E274" i="18" s="1"/>
  <c r="D265" i="18"/>
  <c r="C266" i="18" s="1"/>
  <c r="E266" i="18" s="1"/>
  <c r="D257" i="18"/>
  <c r="C258" i="18" s="1"/>
  <c r="E258" i="18" s="1"/>
  <c r="D249" i="18"/>
  <c r="C250" i="18" s="1"/>
  <c r="E250" i="18" s="1"/>
  <c r="D219" i="18"/>
  <c r="C220" i="18" s="1"/>
  <c r="E220" i="18" s="1"/>
  <c r="D173" i="18"/>
  <c r="C174" i="18" s="1"/>
  <c r="E174" i="18" s="1"/>
  <c r="D302" i="18"/>
  <c r="C303" i="18" s="1"/>
  <c r="E303" i="18" s="1"/>
  <c r="D294" i="18"/>
  <c r="C295" i="18" s="1"/>
  <c r="E295" i="18" s="1"/>
  <c r="D287" i="18"/>
  <c r="C288" i="18" s="1"/>
  <c r="E288" i="18" s="1"/>
  <c r="D280" i="18"/>
  <c r="C281" i="18" s="1"/>
  <c r="E281" i="18" s="1"/>
  <c r="D272" i="18"/>
  <c r="C273" i="18" s="1"/>
  <c r="E273" i="18" s="1"/>
  <c r="D264" i="18"/>
  <c r="C265" i="18" s="1"/>
  <c r="E265" i="18" s="1"/>
  <c r="D256" i="18"/>
  <c r="C257" i="18" s="1"/>
  <c r="E257" i="18" s="1"/>
  <c r="D248" i="18"/>
  <c r="C249" i="18" s="1"/>
  <c r="E249" i="18" s="1"/>
  <c r="D215" i="18"/>
  <c r="C216" i="18" s="1"/>
  <c r="E216" i="18" s="1"/>
  <c r="D162" i="18"/>
  <c r="C163" i="18" s="1"/>
  <c r="E163" i="18" s="1"/>
  <c r="D301" i="18"/>
  <c r="C302" i="18" s="1"/>
  <c r="E302" i="18" s="1"/>
  <c r="D293" i="18"/>
  <c r="C294" i="18" s="1"/>
  <c r="E294" i="18" s="1"/>
  <c r="D286" i="18"/>
  <c r="C287" i="18" s="1"/>
  <c r="E287" i="18" s="1"/>
  <c r="D279" i="18"/>
  <c r="C280" i="18" s="1"/>
  <c r="E280" i="18" s="1"/>
  <c r="D271" i="18"/>
  <c r="C272" i="18" s="1"/>
  <c r="E272" i="18" s="1"/>
  <c r="D263" i="18"/>
  <c r="C264" i="18" s="1"/>
  <c r="E264" i="18" s="1"/>
  <c r="D255" i="18"/>
  <c r="C256" i="18" s="1"/>
  <c r="E256" i="18" s="1"/>
  <c r="D242" i="18"/>
  <c r="C243" i="18" s="1"/>
  <c r="E243" i="18" s="1"/>
  <c r="D212" i="18"/>
  <c r="C213" i="18" s="1"/>
  <c r="E213" i="18" s="1"/>
  <c r="D151" i="18"/>
  <c r="C152" i="18" s="1"/>
  <c r="E152" i="18" s="1"/>
  <c r="D244" i="18"/>
  <c r="C245" i="18" s="1"/>
  <c r="E245" i="18" s="1"/>
  <c r="D236" i="18"/>
  <c r="C237" i="18" s="1"/>
  <c r="E237" i="18" s="1"/>
  <c r="D228" i="18"/>
  <c r="C229" i="18" s="1"/>
  <c r="E229" i="18" s="1"/>
  <c r="D214" i="18"/>
  <c r="C215" i="18" s="1"/>
  <c r="E215" i="18" s="1"/>
  <c r="D206" i="18"/>
  <c r="C207" i="18" s="1"/>
  <c r="E207" i="18" s="1"/>
  <c r="D198" i="18"/>
  <c r="C199" i="18" s="1"/>
  <c r="E199" i="18" s="1"/>
  <c r="F199" i="18" s="1"/>
  <c r="G199" i="18" s="1"/>
  <c r="D179" i="18"/>
  <c r="C180" i="18" s="1"/>
  <c r="E180" i="18" s="1"/>
  <c r="D159" i="18"/>
  <c r="C160" i="18" s="1"/>
  <c r="E160" i="18" s="1"/>
  <c r="D127" i="18"/>
  <c r="C128" i="18" s="1"/>
  <c r="E128" i="18" s="1"/>
  <c r="D75" i="18"/>
  <c r="C76" i="18" s="1"/>
  <c r="E76" i="18" s="1"/>
  <c r="D243" i="18"/>
  <c r="C244" i="18" s="1"/>
  <c r="E244" i="18" s="1"/>
  <c r="D235" i="18"/>
  <c r="C236" i="18" s="1"/>
  <c r="E236" i="18" s="1"/>
  <c r="D227" i="18"/>
  <c r="C228" i="18" s="1"/>
  <c r="E228" i="18" s="1"/>
  <c r="D220" i="18"/>
  <c r="C221" i="18" s="1"/>
  <c r="E221" i="18" s="1"/>
  <c r="D213" i="18"/>
  <c r="C214" i="18" s="1"/>
  <c r="E214" i="18" s="1"/>
  <c r="D205" i="18"/>
  <c r="C206" i="18" s="1"/>
  <c r="E206" i="18" s="1"/>
  <c r="D194" i="18"/>
  <c r="C195" i="18" s="1"/>
  <c r="E195" i="18" s="1"/>
  <c r="D178" i="18"/>
  <c r="C179" i="18" s="1"/>
  <c r="E179" i="18" s="1"/>
  <c r="D154" i="18"/>
  <c r="C155" i="18" s="1"/>
  <c r="E155" i="18" s="1"/>
  <c r="D122" i="18"/>
  <c r="C123" i="18" s="1"/>
  <c r="E123" i="18" s="1"/>
  <c r="D48" i="18"/>
  <c r="C49" i="18" s="1"/>
  <c r="E49" i="18" s="1"/>
  <c r="D247" i="18"/>
  <c r="C248" i="18" s="1"/>
  <c r="E248" i="18" s="1"/>
  <c r="D241" i="18"/>
  <c r="C242" i="18" s="1"/>
  <c r="E242" i="18" s="1"/>
  <c r="D233" i="18"/>
  <c r="C234" i="18" s="1"/>
  <c r="E234" i="18" s="1"/>
  <c r="D225" i="18"/>
  <c r="C226" i="18" s="1"/>
  <c r="E226" i="18" s="1"/>
  <c r="D218" i="18"/>
  <c r="C219" i="18" s="1"/>
  <c r="E219" i="18" s="1"/>
  <c r="D211" i="18"/>
  <c r="C212" i="18" s="1"/>
  <c r="E212" i="18" s="1"/>
  <c r="F212" i="18" s="1"/>
  <c r="G212" i="18" s="1"/>
  <c r="D203" i="18"/>
  <c r="C204" i="18" s="1"/>
  <c r="E204" i="18" s="1"/>
  <c r="D192" i="18"/>
  <c r="C193" i="18" s="1"/>
  <c r="E193" i="18" s="1"/>
  <c r="D172" i="18"/>
  <c r="C173" i="18" s="1"/>
  <c r="E173" i="18" s="1"/>
  <c r="D146" i="18"/>
  <c r="C147" i="18" s="1"/>
  <c r="E147" i="18" s="1"/>
  <c r="D114" i="18"/>
  <c r="C115" i="18" s="1"/>
  <c r="E115" i="18" s="1"/>
  <c r="D246" i="18"/>
  <c r="C247" i="18" s="1"/>
  <c r="E247" i="18" s="1"/>
  <c r="D240" i="18"/>
  <c r="C241" i="18" s="1"/>
  <c r="E241" i="18" s="1"/>
  <c r="D232" i="18"/>
  <c r="C233" i="18" s="1"/>
  <c r="E233" i="18" s="1"/>
  <c r="D224" i="18"/>
  <c r="C225" i="18" s="1"/>
  <c r="E225" i="18" s="1"/>
  <c r="D217" i="18"/>
  <c r="C218" i="18" s="1"/>
  <c r="E218" i="18" s="1"/>
  <c r="D210" i="18"/>
  <c r="C211" i="18" s="1"/>
  <c r="E211" i="18" s="1"/>
  <c r="D202" i="18"/>
  <c r="C203" i="18" s="1"/>
  <c r="E203" i="18" s="1"/>
  <c r="D187" i="18"/>
  <c r="C188" i="18" s="1"/>
  <c r="E188" i="18" s="1"/>
  <c r="D171" i="18"/>
  <c r="C172" i="18" s="1"/>
  <c r="E172" i="18" s="1"/>
  <c r="D143" i="18"/>
  <c r="C144" i="18" s="1"/>
  <c r="E144" i="18" s="1"/>
  <c r="D110" i="18"/>
  <c r="C111" i="18" s="1"/>
  <c r="E111" i="18" s="1"/>
  <c r="D239" i="18"/>
  <c r="C240" i="18" s="1"/>
  <c r="E240" i="18" s="1"/>
  <c r="D231" i="18"/>
  <c r="C232" i="18" s="1"/>
  <c r="E232" i="18" s="1"/>
  <c r="D223" i="18"/>
  <c r="C224" i="18" s="1"/>
  <c r="E224" i="18" s="1"/>
  <c r="D209" i="18"/>
  <c r="C210" i="18" s="1"/>
  <c r="E210" i="18" s="1"/>
  <c r="D201" i="18"/>
  <c r="C202" i="18" s="1"/>
  <c r="E202" i="18" s="1"/>
  <c r="D186" i="18"/>
  <c r="C187" i="18" s="1"/>
  <c r="E187" i="18" s="1"/>
  <c r="D168" i="18"/>
  <c r="C169" i="18" s="1"/>
  <c r="E169" i="18" s="1"/>
  <c r="D140" i="18"/>
  <c r="C141" i="18" s="1"/>
  <c r="E141" i="18" s="1"/>
  <c r="D100" i="18"/>
  <c r="C101" i="18" s="1"/>
  <c r="E101" i="18" s="1"/>
  <c r="D245" i="18"/>
  <c r="C246" i="18" s="1"/>
  <c r="E246" i="18" s="1"/>
  <c r="D238" i="18"/>
  <c r="C239" i="18" s="1"/>
  <c r="E239" i="18" s="1"/>
  <c r="D230" i="18"/>
  <c r="C231" i="18" s="1"/>
  <c r="E231" i="18" s="1"/>
  <c r="D222" i="18"/>
  <c r="C223" i="18" s="1"/>
  <c r="E223" i="18" s="1"/>
  <c r="D216" i="18"/>
  <c r="C217" i="18" s="1"/>
  <c r="E217" i="18" s="1"/>
  <c r="D208" i="18"/>
  <c r="C209" i="18" s="1"/>
  <c r="E209" i="18" s="1"/>
  <c r="D200" i="18"/>
  <c r="C201" i="18" s="1"/>
  <c r="E201" i="18" s="1"/>
  <c r="D185" i="18"/>
  <c r="C186" i="18" s="1"/>
  <c r="E186" i="18" s="1"/>
  <c r="D167" i="18"/>
  <c r="C168" i="18" s="1"/>
  <c r="E168" i="18" s="1"/>
  <c r="D137" i="18"/>
  <c r="C138" i="18" s="1"/>
  <c r="E138" i="18" s="1"/>
  <c r="D93" i="18"/>
  <c r="C94" i="18" s="1"/>
  <c r="E94" i="18" s="1"/>
  <c r="D161" i="18"/>
  <c r="C162" i="18" s="1"/>
  <c r="E162" i="18" s="1"/>
  <c r="D153" i="18"/>
  <c r="C154" i="18" s="1"/>
  <c r="E154" i="18" s="1"/>
  <c r="D145" i="18"/>
  <c r="C146" i="18" s="1"/>
  <c r="E146" i="18" s="1"/>
  <c r="D139" i="18"/>
  <c r="C140" i="18" s="1"/>
  <c r="E140" i="18" s="1"/>
  <c r="D126" i="18"/>
  <c r="C127" i="18" s="1"/>
  <c r="E127" i="18" s="1"/>
  <c r="D121" i="18"/>
  <c r="C122" i="18" s="1"/>
  <c r="E122" i="18" s="1"/>
  <c r="D113" i="18"/>
  <c r="C114" i="18" s="1"/>
  <c r="E114" i="18" s="1"/>
  <c r="D98" i="18"/>
  <c r="C99" i="18" s="1"/>
  <c r="E99" i="18" s="1"/>
  <c r="D79" i="18"/>
  <c r="C80" i="18" s="1"/>
  <c r="E80" i="18" s="1"/>
  <c r="D39" i="18"/>
  <c r="C40" i="18" s="1"/>
  <c r="E40" i="18" s="1"/>
  <c r="D166" i="18"/>
  <c r="C167" i="18" s="1"/>
  <c r="E167" i="18" s="1"/>
  <c r="D160" i="18"/>
  <c r="C161" i="18" s="1"/>
  <c r="E161" i="18" s="1"/>
  <c r="D152" i="18"/>
  <c r="C153" i="18" s="1"/>
  <c r="E153" i="18" s="1"/>
  <c r="D144" i="18"/>
  <c r="C145" i="18" s="1"/>
  <c r="E145" i="18" s="1"/>
  <c r="D138" i="18"/>
  <c r="C139" i="18" s="1"/>
  <c r="E139" i="18" s="1"/>
  <c r="D132" i="18"/>
  <c r="C133" i="18" s="1"/>
  <c r="E133" i="18" s="1"/>
  <c r="D125" i="18"/>
  <c r="C126" i="18" s="1"/>
  <c r="E126" i="18" s="1"/>
  <c r="D120" i="18"/>
  <c r="C121" i="18" s="1"/>
  <c r="E121" i="18" s="1"/>
  <c r="D111" i="18"/>
  <c r="C112" i="18" s="1"/>
  <c r="E112" i="18" s="1"/>
  <c r="D96" i="18"/>
  <c r="C97" i="18" s="1"/>
  <c r="E97" i="18" s="1"/>
  <c r="D76" i="18"/>
  <c r="C77" i="18" s="1"/>
  <c r="E77" i="18" s="1"/>
  <c r="D36" i="18"/>
  <c r="C37" i="18" s="1"/>
  <c r="E37" i="18" s="1"/>
  <c r="D191" i="18"/>
  <c r="C192" i="18" s="1"/>
  <c r="E192" i="18" s="1"/>
  <c r="D184" i="18"/>
  <c r="C185" i="18" s="1"/>
  <c r="E185" i="18" s="1"/>
  <c r="D177" i="18"/>
  <c r="C178" i="18" s="1"/>
  <c r="E178" i="18" s="1"/>
  <c r="D170" i="18"/>
  <c r="C171" i="18" s="1"/>
  <c r="E171" i="18" s="1"/>
  <c r="F171" i="18" s="1"/>
  <c r="G171" i="18" s="1"/>
  <c r="D165" i="18"/>
  <c r="C166" i="18" s="1"/>
  <c r="E166" i="18" s="1"/>
  <c r="D158" i="18"/>
  <c r="C159" i="18" s="1"/>
  <c r="E159" i="18" s="1"/>
  <c r="D150" i="18"/>
  <c r="C151" i="18" s="1"/>
  <c r="E151" i="18" s="1"/>
  <c r="D142" i="18"/>
  <c r="C143" i="18" s="1"/>
  <c r="E143" i="18" s="1"/>
  <c r="D136" i="18"/>
  <c r="C137" i="18" s="1"/>
  <c r="E137" i="18" s="1"/>
  <c r="D131" i="18"/>
  <c r="C132" i="18" s="1"/>
  <c r="E132" i="18" s="1"/>
  <c r="D124" i="18"/>
  <c r="C125" i="18" s="1"/>
  <c r="E125" i="18" s="1"/>
  <c r="D118" i="18"/>
  <c r="C119" i="18" s="1"/>
  <c r="E119" i="18" s="1"/>
  <c r="D109" i="18"/>
  <c r="C110" i="18" s="1"/>
  <c r="E110" i="18" s="1"/>
  <c r="D92" i="18"/>
  <c r="C93" i="18" s="1"/>
  <c r="E93" i="18" s="1"/>
  <c r="D71" i="18"/>
  <c r="C72" i="18" s="1"/>
  <c r="E72" i="18" s="1"/>
  <c r="D197" i="18"/>
  <c r="C198" i="18" s="1"/>
  <c r="E198" i="18" s="1"/>
  <c r="D190" i="18"/>
  <c r="C191" i="18" s="1"/>
  <c r="E191" i="18" s="1"/>
  <c r="D183" i="18"/>
  <c r="C184" i="18" s="1"/>
  <c r="E184" i="18" s="1"/>
  <c r="D176" i="18"/>
  <c r="C177" i="18" s="1"/>
  <c r="E177" i="18" s="1"/>
  <c r="D164" i="18"/>
  <c r="C165" i="18" s="1"/>
  <c r="E165" i="18" s="1"/>
  <c r="D157" i="18"/>
  <c r="C158" i="18" s="1"/>
  <c r="E158" i="18" s="1"/>
  <c r="D149" i="18"/>
  <c r="C150" i="18" s="1"/>
  <c r="E150" i="18" s="1"/>
  <c r="D141" i="18"/>
  <c r="C142" i="18" s="1"/>
  <c r="E142" i="18" s="1"/>
  <c r="D135" i="18"/>
  <c r="C136" i="18" s="1"/>
  <c r="E136" i="18" s="1"/>
  <c r="D130" i="18"/>
  <c r="C131" i="18" s="1"/>
  <c r="E131" i="18" s="1"/>
  <c r="D117" i="18"/>
  <c r="C118" i="18" s="1"/>
  <c r="E118" i="18" s="1"/>
  <c r="D105" i="18"/>
  <c r="C106" i="18" s="1"/>
  <c r="E106" i="18" s="1"/>
  <c r="D89" i="18"/>
  <c r="C90" i="18" s="1"/>
  <c r="E90" i="18" s="1"/>
  <c r="D67" i="18"/>
  <c r="D196" i="18"/>
  <c r="C197" i="18" s="1"/>
  <c r="E197" i="18" s="1"/>
  <c r="D189" i="18"/>
  <c r="C190" i="18" s="1"/>
  <c r="E190" i="18" s="1"/>
  <c r="D182" i="18"/>
  <c r="C183" i="18" s="1"/>
  <c r="E183" i="18" s="1"/>
  <c r="D175" i="18"/>
  <c r="C176" i="18" s="1"/>
  <c r="E176" i="18" s="1"/>
  <c r="D169" i="18"/>
  <c r="C170" i="18" s="1"/>
  <c r="E170" i="18" s="1"/>
  <c r="D163" i="18"/>
  <c r="C164" i="18" s="1"/>
  <c r="E164" i="18" s="1"/>
  <c r="D156" i="18"/>
  <c r="C157" i="18" s="1"/>
  <c r="E157" i="18" s="1"/>
  <c r="D148" i="18"/>
  <c r="C149" i="18" s="1"/>
  <c r="E149" i="18" s="1"/>
  <c r="D134" i="18"/>
  <c r="C135" i="18" s="1"/>
  <c r="E135" i="18" s="1"/>
  <c r="D129" i="18"/>
  <c r="C130" i="18" s="1"/>
  <c r="E130" i="18" s="1"/>
  <c r="D123" i="18"/>
  <c r="C124" i="18" s="1"/>
  <c r="E124" i="18" s="1"/>
  <c r="D116" i="18"/>
  <c r="C117" i="18" s="1"/>
  <c r="E117" i="18" s="1"/>
  <c r="D104" i="18"/>
  <c r="C105" i="18" s="1"/>
  <c r="E105" i="18" s="1"/>
  <c r="D87" i="18"/>
  <c r="C88" i="18" s="1"/>
  <c r="E88" i="18" s="1"/>
  <c r="D58" i="18"/>
  <c r="C59" i="18" s="1"/>
  <c r="E59" i="18" s="1"/>
  <c r="D195" i="18"/>
  <c r="C196" i="18" s="1"/>
  <c r="E196" i="18" s="1"/>
  <c r="D188" i="18"/>
  <c r="C189" i="18" s="1"/>
  <c r="E189" i="18" s="1"/>
  <c r="D181" i="18"/>
  <c r="C182" i="18" s="1"/>
  <c r="E182" i="18" s="1"/>
  <c r="D174" i="18"/>
  <c r="C175" i="18" s="1"/>
  <c r="E175" i="18" s="1"/>
  <c r="D155" i="18"/>
  <c r="C156" i="18" s="1"/>
  <c r="E156" i="18" s="1"/>
  <c r="D147" i="18"/>
  <c r="C148" i="18" s="1"/>
  <c r="E148" i="18" s="1"/>
  <c r="D128" i="18"/>
  <c r="C129" i="18" s="1"/>
  <c r="E129" i="18" s="1"/>
  <c r="D115" i="18"/>
  <c r="C116" i="18" s="1"/>
  <c r="E116" i="18" s="1"/>
  <c r="D101" i="18"/>
  <c r="C102" i="18" s="1"/>
  <c r="E102" i="18" s="1"/>
  <c r="D85" i="18"/>
  <c r="C86" i="18" s="1"/>
  <c r="E86" i="18" s="1"/>
  <c r="D52" i="18"/>
  <c r="C53" i="18" s="1"/>
  <c r="E53" i="18" s="1"/>
  <c r="D69" i="18"/>
  <c r="C70" i="18" s="1"/>
  <c r="E70" i="18" s="1"/>
  <c r="D42" i="18"/>
  <c r="C43" i="18" s="1"/>
  <c r="E43" i="18" s="1"/>
  <c r="D37" i="18"/>
  <c r="C38" i="18" s="1"/>
  <c r="E38" i="18" s="1"/>
  <c r="D33" i="18"/>
  <c r="C34" i="18" s="1"/>
  <c r="E34" i="18" s="1"/>
  <c r="D30" i="18"/>
  <c r="C31" i="18" s="1"/>
  <c r="E31" i="18" s="1"/>
  <c r="D24" i="18"/>
  <c r="C25" i="18" s="1"/>
  <c r="E25" i="18" s="1"/>
  <c r="D60" i="18"/>
  <c r="C61" i="18" s="1"/>
  <c r="E61" i="18" s="1"/>
  <c r="D54" i="18"/>
  <c r="C55" i="18" s="1"/>
  <c r="E55" i="18" s="1"/>
  <c r="D49" i="18"/>
  <c r="C50" i="18" s="1"/>
  <c r="E50" i="18" s="1"/>
  <c r="D41" i="18"/>
  <c r="C42" i="18" s="1"/>
  <c r="E42" i="18" s="1"/>
  <c r="D32" i="18"/>
  <c r="C33" i="18" s="1"/>
  <c r="E33" i="18" s="1"/>
  <c r="D19" i="18"/>
  <c r="C20" i="18" s="1"/>
  <c r="E20" i="18" s="1"/>
  <c r="D97" i="18"/>
  <c r="C98" i="18" s="1"/>
  <c r="E98" i="18" s="1"/>
  <c r="D88" i="18"/>
  <c r="C89" i="18" s="1"/>
  <c r="E89" i="18" s="1"/>
  <c r="D84" i="18"/>
  <c r="C85" i="18" s="1"/>
  <c r="E85" i="18" s="1"/>
  <c r="D78" i="18"/>
  <c r="C79" i="18" s="1"/>
  <c r="E79" i="18" s="1"/>
  <c r="F79" i="18" s="1"/>
  <c r="G79" i="18" s="1"/>
  <c r="D68" i="18"/>
  <c r="C69" i="18" s="1"/>
  <c r="E69" i="18" s="1"/>
  <c r="D63" i="18"/>
  <c r="C64" i="18" s="1"/>
  <c r="E64" i="18" s="1"/>
  <c r="D59" i="18"/>
  <c r="C60" i="18" s="1"/>
  <c r="E60" i="18" s="1"/>
  <c r="D53" i="18"/>
  <c r="C54" i="18" s="1"/>
  <c r="E54" i="18" s="1"/>
  <c r="D45" i="18"/>
  <c r="C46" i="18" s="1"/>
  <c r="E46" i="18" s="1"/>
  <c r="D40" i="18"/>
  <c r="C41" i="18" s="1"/>
  <c r="E41" i="18" s="1"/>
  <c r="D29" i="18"/>
  <c r="C30" i="18" s="1"/>
  <c r="E30" i="18" s="1"/>
  <c r="D16" i="18"/>
  <c r="C17" i="18" s="1"/>
  <c r="E17" i="18" s="1"/>
  <c r="D108" i="18"/>
  <c r="C109" i="18" s="1"/>
  <c r="E109" i="18" s="1"/>
  <c r="D103" i="18"/>
  <c r="C104" i="18" s="1"/>
  <c r="E104" i="18" s="1"/>
  <c r="D95" i="18"/>
  <c r="C96" i="18" s="1"/>
  <c r="E96" i="18" s="1"/>
  <c r="D86" i="18"/>
  <c r="C87" i="18" s="1"/>
  <c r="E87" i="18" s="1"/>
  <c r="D83" i="18"/>
  <c r="C84" i="18" s="1"/>
  <c r="E84" i="18" s="1"/>
  <c r="D66" i="18"/>
  <c r="C67" i="18" s="1"/>
  <c r="E67" i="18" s="1"/>
  <c r="D57" i="18"/>
  <c r="C58" i="18" s="1"/>
  <c r="E58" i="18" s="1"/>
  <c r="D51" i="18"/>
  <c r="C52" i="18" s="1"/>
  <c r="E52" i="18" s="1"/>
  <c r="D44" i="18"/>
  <c r="C45" i="18" s="1"/>
  <c r="E45" i="18" s="1"/>
  <c r="D38" i="18"/>
  <c r="C39" i="18" s="1"/>
  <c r="E39" i="18" s="1"/>
  <c r="D31" i="18"/>
  <c r="C32" i="18" s="1"/>
  <c r="E32" i="18" s="1"/>
  <c r="D28" i="18"/>
  <c r="C29" i="18" s="1"/>
  <c r="E29" i="18" s="1"/>
  <c r="D107" i="18"/>
  <c r="C108" i="18" s="1"/>
  <c r="E108" i="18" s="1"/>
  <c r="D99" i="18"/>
  <c r="C100" i="18" s="1"/>
  <c r="D94" i="18"/>
  <c r="C95" i="18" s="1"/>
  <c r="E95" i="18" s="1"/>
  <c r="D91" i="18"/>
  <c r="C92" i="18" s="1"/>
  <c r="E92" i="18" s="1"/>
  <c r="D74" i="18"/>
  <c r="C75" i="18" s="1"/>
  <c r="E75" i="18" s="1"/>
  <c r="D65" i="18"/>
  <c r="C66" i="18" s="1"/>
  <c r="E66" i="18" s="1"/>
  <c r="D62" i="18"/>
  <c r="C63" i="18" s="1"/>
  <c r="E63" i="18" s="1"/>
  <c r="D50" i="18"/>
  <c r="C51" i="18" s="1"/>
  <c r="E51" i="18" s="1"/>
  <c r="D47" i="18"/>
  <c r="C48" i="18" s="1"/>
  <c r="E48" i="18" s="1"/>
  <c r="D35" i="18"/>
  <c r="C36" i="18" s="1"/>
  <c r="E36" i="18" s="1"/>
  <c r="D27" i="18"/>
  <c r="C28" i="18" s="1"/>
  <c r="E28" i="18" s="1"/>
  <c r="D82" i="18"/>
  <c r="C83" i="18" s="1"/>
  <c r="E83" i="18" s="1"/>
  <c r="D77" i="18"/>
  <c r="C78" i="18" s="1"/>
  <c r="E78" i="18" s="1"/>
  <c r="D73" i="18"/>
  <c r="C74" i="18" s="1"/>
  <c r="E74" i="18" s="1"/>
  <c r="D70" i="18"/>
  <c r="C71" i="18" s="1"/>
  <c r="E71" i="18" s="1"/>
  <c r="D64" i="18"/>
  <c r="C65" i="18" s="1"/>
  <c r="E65" i="18" s="1"/>
  <c r="D56" i="18"/>
  <c r="C57" i="18" s="1"/>
  <c r="E57" i="18" s="1"/>
  <c r="D46" i="18"/>
  <c r="C47" i="18" s="1"/>
  <c r="E47" i="18" s="1"/>
  <c r="D43" i="18"/>
  <c r="C44" i="18" s="1"/>
  <c r="E44" i="18" s="1"/>
  <c r="D26" i="18"/>
  <c r="C27" i="18" s="1"/>
  <c r="E27" i="18" s="1"/>
  <c r="D112" i="18"/>
  <c r="C113" i="18" s="1"/>
  <c r="E113" i="18" s="1"/>
  <c r="D106" i="18"/>
  <c r="C107" i="18" s="1"/>
  <c r="E107" i="18" s="1"/>
  <c r="D102" i="18"/>
  <c r="C103" i="18" s="1"/>
  <c r="E103" i="18" s="1"/>
  <c r="D90" i="18"/>
  <c r="C91" i="18" s="1"/>
  <c r="E91" i="18" s="1"/>
  <c r="D81" i="18"/>
  <c r="C82" i="18" s="1"/>
  <c r="E82" i="18" s="1"/>
  <c r="D72" i="18"/>
  <c r="C73" i="18" s="1"/>
  <c r="E73" i="18" s="1"/>
  <c r="D61" i="18"/>
  <c r="C62" i="18" s="1"/>
  <c r="E62" i="18" s="1"/>
  <c r="D55" i="18"/>
  <c r="C56" i="18" s="1"/>
  <c r="E56" i="18" s="1"/>
  <c r="D34" i="18"/>
  <c r="C35" i="18" s="1"/>
  <c r="E35" i="18" s="1"/>
  <c r="D25" i="18"/>
  <c r="C26" i="18" s="1"/>
  <c r="E26" i="18" s="1"/>
  <c r="F349" i="18"/>
  <c r="G349" i="18" s="1"/>
  <c r="F366" i="18"/>
  <c r="G366" i="18" s="1"/>
  <c r="D11" i="18"/>
  <c r="C12" i="18" s="1"/>
  <c r="E12" i="18" s="1"/>
  <c r="D22" i="18"/>
  <c r="C23" i="18" s="1"/>
  <c r="E23" i="18" s="1"/>
  <c r="D14" i="18"/>
  <c r="C15" i="18" s="1"/>
  <c r="E15" i="18" s="1"/>
  <c r="D17" i="18"/>
  <c r="C18" i="18" s="1"/>
  <c r="E18" i="18" s="1"/>
  <c r="D20" i="18"/>
  <c r="C21" i="18" s="1"/>
  <c r="E21" i="18" s="1"/>
  <c r="D12" i="18"/>
  <c r="C13" i="18" s="1"/>
  <c r="E13" i="18" s="1"/>
  <c r="D8" i="18"/>
  <c r="C9" i="18" s="1"/>
  <c r="E9" i="18" s="1"/>
  <c r="D23" i="18"/>
  <c r="C24" i="18" s="1"/>
  <c r="E24" i="18" s="1"/>
  <c r="D15" i="18"/>
  <c r="C16" i="18" s="1"/>
  <c r="E16" i="18" s="1"/>
  <c r="D9" i="18"/>
  <c r="C10" i="18" s="1"/>
  <c r="E10" i="18" s="1"/>
  <c r="C8" i="18"/>
  <c r="D18" i="18"/>
  <c r="C19" i="18" s="1"/>
  <c r="E19" i="18" s="1"/>
  <c r="D10" i="18"/>
  <c r="C11" i="18" s="1"/>
  <c r="E11" i="18" s="1"/>
  <c r="D21" i="18"/>
  <c r="C22" i="18" s="1"/>
  <c r="E22" i="18" s="1"/>
  <c r="D13" i="18"/>
  <c r="C14" i="18" s="1"/>
  <c r="E14" i="18" s="1"/>
  <c r="F324" i="18" l="1"/>
  <c r="G324" i="18" s="1"/>
  <c r="F287" i="18"/>
  <c r="G287" i="18" s="1"/>
  <c r="F307" i="18"/>
  <c r="G307" i="18" s="1"/>
  <c r="F187" i="18"/>
  <c r="G187" i="18" s="1"/>
  <c r="F273" i="18"/>
  <c r="G273" i="18" s="1"/>
  <c r="F184" i="18"/>
  <c r="G184" i="18" s="1"/>
  <c r="F283" i="18"/>
  <c r="G283" i="18" s="1"/>
  <c r="F177" i="18"/>
  <c r="G177" i="18" s="1"/>
  <c r="F191" i="18"/>
  <c r="G191" i="18" s="1"/>
  <c r="F316" i="18"/>
  <c r="G316" i="18" s="1"/>
  <c r="F193" i="18"/>
  <c r="G193" i="18" s="1"/>
  <c r="F222" i="18"/>
  <c r="G222" i="18" s="1"/>
  <c r="F254" i="18"/>
  <c r="G254" i="18" s="1"/>
  <c r="F75" i="18"/>
  <c r="G75" i="18" s="1"/>
  <c r="F205" i="18"/>
  <c r="G205" i="18" s="1"/>
  <c r="F270" i="18"/>
  <c r="G270" i="18" s="1"/>
  <c r="F315" i="18"/>
  <c r="G315" i="18" s="1"/>
  <c r="F226" i="18"/>
  <c r="G226" i="18" s="1"/>
  <c r="F114" i="18"/>
  <c r="G114" i="18" s="1"/>
  <c r="F301" i="18"/>
  <c r="G301" i="18" s="1"/>
  <c r="F269" i="18"/>
  <c r="G269" i="18" s="1"/>
  <c r="F311" i="18"/>
  <c r="G311" i="18" s="1"/>
  <c r="F323" i="18"/>
  <c r="G323" i="18" s="1"/>
  <c r="F204" i="18"/>
  <c r="G204" i="18" s="1"/>
  <c r="F304" i="18"/>
  <c r="G304" i="18" s="1"/>
  <c r="F117" i="18"/>
  <c r="G117" i="18" s="1"/>
  <c r="F253" i="18"/>
  <c r="G253" i="18" s="1"/>
  <c r="F164" i="18"/>
  <c r="G164" i="18" s="1"/>
  <c r="F48" i="18"/>
  <c r="G48" i="18" s="1"/>
  <c r="F277" i="18"/>
  <c r="G277" i="18" s="1"/>
  <c r="F162" i="18"/>
  <c r="G162" i="18" s="1"/>
  <c r="F294" i="18"/>
  <c r="G294" i="18" s="1"/>
  <c r="F281" i="18"/>
  <c r="G281" i="18" s="1"/>
  <c r="F345" i="18"/>
  <c r="G345" i="18" s="1"/>
  <c r="F330" i="18"/>
  <c r="G330" i="18" s="1"/>
  <c r="F105" i="18"/>
  <c r="G105" i="18" s="1"/>
  <c r="F297" i="18"/>
  <c r="G297" i="18" s="1"/>
  <c r="F130" i="18"/>
  <c r="G130" i="18" s="1"/>
  <c r="F175" i="18"/>
  <c r="G175" i="18" s="1"/>
  <c r="F357" i="18"/>
  <c r="G357" i="18" s="1"/>
  <c r="F157" i="18"/>
  <c r="G157" i="18" s="1"/>
  <c r="F337" i="18"/>
  <c r="G337" i="18" s="1"/>
  <c r="F178" i="18"/>
  <c r="G178" i="18" s="1"/>
  <c r="F309" i="18"/>
  <c r="G309" i="18" s="1"/>
  <c r="F149" i="18"/>
  <c r="G149" i="18" s="1"/>
  <c r="F92" i="18"/>
  <c r="G92" i="18" s="1"/>
  <c r="F295" i="18"/>
  <c r="G295" i="18" s="1"/>
  <c r="F121" i="18"/>
  <c r="G121" i="18" s="1"/>
  <c r="F331" i="18"/>
  <c r="G331" i="18" s="1"/>
  <c r="F233" i="18"/>
  <c r="G233" i="18" s="1"/>
  <c r="F343" i="18"/>
  <c r="G343" i="18" s="1"/>
  <c r="F109" i="18"/>
  <c r="G109" i="18" s="1"/>
  <c r="F133" i="18"/>
  <c r="G133" i="18" s="1"/>
  <c r="F356" i="18"/>
  <c r="G356" i="18" s="1"/>
  <c r="F282" i="18"/>
  <c r="G282" i="18" s="1"/>
  <c r="F95" i="18"/>
  <c r="G95" i="18" s="1"/>
  <c r="F266" i="18"/>
  <c r="G266" i="18" s="1"/>
  <c r="F346" i="18"/>
  <c r="G346" i="18" s="1"/>
  <c r="F242" i="18"/>
  <c r="G242" i="18" s="1"/>
  <c r="F214" i="18"/>
  <c r="G214" i="18" s="1"/>
  <c r="F308" i="18"/>
  <c r="G308" i="18" s="1"/>
  <c r="F173" i="18"/>
  <c r="G173" i="18" s="1"/>
  <c r="F248" i="18"/>
  <c r="G248" i="18" s="1"/>
  <c r="F312" i="18"/>
  <c r="G312" i="18" s="1"/>
  <c r="F272" i="18"/>
  <c r="G272" i="18" s="1"/>
  <c r="F257" i="18"/>
  <c r="G257" i="18" s="1"/>
  <c r="F361" i="18"/>
  <c r="G361" i="18" s="1"/>
  <c r="F54" i="18"/>
  <c r="G54" i="18" s="1"/>
  <c r="F116" i="18"/>
  <c r="G116" i="18" s="1"/>
  <c r="F298" i="18"/>
  <c r="G298" i="18" s="1"/>
  <c r="F161" i="18"/>
  <c r="G161" i="18" s="1"/>
  <c r="F186" i="18"/>
  <c r="G186" i="18" s="1"/>
  <c r="F305" i="18"/>
  <c r="G305" i="18" s="1"/>
  <c r="F76" i="18"/>
  <c r="G76" i="18" s="1"/>
  <c r="F183" i="18"/>
  <c r="G183" i="18" s="1"/>
  <c r="F206" i="18"/>
  <c r="G206" i="18" s="1"/>
  <c r="F236" i="18"/>
  <c r="G236" i="18" s="1"/>
  <c r="F271" i="18"/>
  <c r="G271" i="18" s="1"/>
  <c r="F110" i="18"/>
  <c r="G110" i="18" s="1"/>
  <c r="F320" i="18"/>
  <c r="G320" i="18" s="1"/>
  <c r="F339" i="18"/>
  <c r="G339" i="18" s="1"/>
  <c r="F207" i="18"/>
  <c r="G207" i="18" s="1"/>
  <c r="F317" i="18"/>
  <c r="G317" i="18" s="1"/>
  <c r="F261" i="18"/>
  <c r="G261" i="18" s="1"/>
  <c r="F310" i="18"/>
  <c r="G310" i="18" s="1"/>
  <c r="F232" i="18"/>
  <c r="G232" i="18" s="1"/>
  <c r="F303" i="18"/>
  <c r="G303" i="18" s="1"/>
  <c r="F354" i="18"/>
  <c r="G354" i="18" s="1"/>
  <c r="F365" i="18"/>
  <c r="G365" i="18" s="1"/>
  <c r="F158" i="18"/>
  <c r="G158" i="18" s="1"/>
  <c r="F215" i="18"/>
  <c r="G215" i="18" s="1"/>
  <c r="F238" i="18"/>
  <c r="G238" i="18" s="1"/>
  <c r="F286" i="18"/>
  <c r="G286" i="18" s="1"/>
  <c r="F252" i="18"/>
  <c r="G252" i="18" s="1"/>
  <c r="F367" i="18"/>
  <c r="G367" i="18" s="1"/>
  <c r="F235" i="18"/>
  <c r="G235" i="18" s="1"/>
  <c r="F335" i="18"/>
  <c r="G335" i="18" s="1"/>
  <c r="F278" i="18"/>
  <c r="G278" i="18" s="1"/>
  <c r="F288" i="18"/>
  <c r="G288" i="18" s="1"/>
  <c r="F334" i="18"/>
  <c r="G334" i="18" s="1"/>
  <c r="F358" i="18"/>
  <c r="G358" i="18" s="1"/>
  <c r="F300" i="18"/>
  <c r="G300" i="18" s="1"/>
  <c r="F333" i="18"/>
  <c r="G333" i="18" s="1"/>
  <c r="F143" i="18"/>
  <c r="G143" i="18" s="1"/>
  <c r="F61" i="18"/>
  <c r="G61" i="18" s="1"/>
  <c r="F240" i="18"/>
  <c r="G240" i="18" s="1"/>
  <c r="F234" i="18"/>
  <c r="G234" i="18" s="1"/>
  <c r="F338" i="18"/>
  <c r="G338" i="18" s="1"/>
  <c r="F327" i="18"/>
  <c r="G327" i="18" s="1"/>
  <c r="F319" i="18"/>
  <c r="G319" i="18" s="1"/>
  <c r="F218" i="18"/>
  <c r="G218" i="18" s="1"/>
  <c r="F351" i="18"/>
  <c r="G351" i="18" s="1"/>
  <c r="F180" i="18"/>
  <c r="G180" i="18" s="1"/>
  <c r="F81" i="18"/>
  <c r="G81" i="18" s="1"/>
  <c r="F292" i="18"/>
  <c r="G292" i="18" s="1"/>
  <c r="F263" i="18"/>
  <c r="G263" i="18" s="1"/>
  <c r="F291" i="18"/>
  <c r="G291" i="18" s="1"/>
  <c r="F364" i="18"/>
  <c r="G364" i="18" s="1"/>
  <c r="F353" i="18"/>
  <c r="G353" i="18" s="1"/>
  <c r="F113" i="18"/>
  <c r="G113" i="18" s="1"/>
  <c r="F59" i="18"/>
  <c r="G59" i="18" s="1"/>
  <c r="F302" i="18"/>
  <c r="G302" i="18" s="1"/>
  <c r="F274" i="18"/>
  <c r="G274" i="18" s="1"/>
  <c r="F259" i="18"/>
  <c r="G259" i="18" s="1"/>
  <c r="F208" i="18"/>
  <c r="G208" i="18" s="1"/>
  <c r="F82" i="18"/>
  <c r="G82" i="18" s="1"/>
  <c r="F179" i="18"/>
  <c r="G179" i="18" s="1"/>
  <c r="F28" i="18"/>
  <c r="G28" i="18" s="1"/>
  <c r="F174" i="18"/>
  <c r="G174" i="18" s="1"/>
  <c r="F258" i="18"/>
  <c r="G258" i="18" s="1"/>
  <c r="F262" i="18"/>
  <c r="G262" i="18" s="1"/>
  <c r="F91" i="18"/>
  <c r="G91" i="18" s="1"/>
  <c r="F144" i="18"/>
  <c r="G144" i="18" s="1"/>
  <c r="F84" i="18"/>
  <c r="G84" i="18" s="1"/>
  <c r="F189" i="18"/>
  <c r="G189" i="18" s="1"/>
  <c r="F192" i="18"/>
  <c r="G192" i="18" s="1"/>
  <c r="F318" i="18"/>
  <c r="G318" i="18" s="1"/>
  <c r="F58" i="18"/>
  <c r="G58" i="18" s="1"/>
  <c r="F111" i="18"/>
  <c r="G111" i="18" s="1"/>
  <c r="F195" i="18"/>
  <c r="G195" i="18" s="1"/>
  <c r="F245" i="18"/>
  <c r="G245" i="18" s="1"/>
  <c r="F314" i="18"/>
  <c r="G314" i="18" s="1"/>
  <c r="F363" i="18"/>
  <c r="G363" i="18" s="1"/>
  <c r="F326" i="18"/>
  <c r="G326" i="18" s="1"/>
  <c r="F217" i="18"/>
  <c r="G217" i="18" s="1"/>
  <c r="F151" i="18"/>
  <c r="G151" i="18" s="1"/>
  <c r="F122" i="18"/>
  <c r="G122" i="18" s="1"/>
  <c r="F290" i="18"/>
  <c r="G290" i="18" s="1"/>
  <c r="F156" i="18"/>
  <c r="G156" i="18" s="1"/>
  <c r="F165" i="18"/>
  <c r="G165" i="18" s="1"/>
  <c r="F185" i="18"/>
  <c r="G185" i="18" s="1"/>
  <c r="F350" i="18"/>
  <c r="G350" i="18" s="1"/>
  <c r="F57" i="18"/>
  <c r="G57" i="18" s="1"/>
  <c r="F67" i="18"/>
  <c r="G67" i="18" s="1"/>
  <c r="F80" i="18"/>
  <c r="G80" i="18" s="1"/>
  <c r="F194" i="18"/>
  <c r="G194" i="18" s="1"/>
  <c r="F332" i="18"/>
  <c r="G332" i="18" s="1"/>
  <c r="F362" i="18"/>
  <c r="G362" i="18" s="1"/>
  <c r="F264" i="18"/>
  <c r="G264" i="18" s="1"/>
  <c r="F46" i="18"/>
  <c r="G46" i="18" s="1"/>
  <c r="F93" i="18"/>
  <c r="G93" i="18" s="1"/>
  <c r="F237" i="18"/>
  <c r="G237" i="18" s="1"/>
  <c r="F230" i="18"/>
  <c r="G230" i="18" s="1"/>
  <c r="F35" i="18"/>
  <c r="G35" i="18" s="1"/>
  <c r="F66" i="18"/>
  <c r="G66" i="18" s="1"/>
  <c r="F299" i="18"/>
  <c r="G299" i="18" s="1"/>
  <c r="F146" i="18"/>
  <c r="G146" i="18" s="1"/>
  <c r="F241" i="18"/>
  <c r="G241" i="18" s="1"/>
  <c r="F276" i="18"/>
  <c r="G276" i="18" s="1"/>
  <c r="F347" i="18"/>
  <c r="G347" i="18" s="1"/>
  <c r="F325" i="18"/>
  <c r="G325" i="18" s="1"/>
  <c r="F359" i="18"/>
  <c r="G359" i="18" s="1"/>
  <c r="F329" i="18"/>
  <c r="G329" i="18" s="1"/>
  <c r="F60" i="18"/>
  <c r="G60" i="18" s="1"/>
  <c r="F202" i="18"/>
  <c r="G202" i="18" s="1"/>
  <c r="F249" i="18"/>
  <c r="G249" i="18" s="1"/>
  <c r="F279" i="18"/>
  <c r="G279" i="18" s="1"/>
  <c r="F255" i="18"/>
  <c r="G255" i="18" s="1"/>
  <c r="F268" i="18"/>
  <c r="G268" i="18" s="1"/>
  <c r="F33" i="18"/>
  <c r="G33" i="18" s="1"/>
  <c r="F223" i="18"/>
  <c r="G223" i="18" s="1"/>
  <c r="F97" i="18"/>
  <c r="G97" i="18" s="1"/>
  <c r="F251" i="18"/>
  <c r="G251" i="18" s="1"/>
  <c r="F131" i="18"/>
  <c r="G131" i="18" s="1"/>
  <c r="F137" i="18"/>
  <c r="G137" i="18" s="1"/>
  <c r="F139" i="18"/>
  <c r="G139" i="18" s="1"/>
  <c r="F124" i="18"/>
  <c r="G124" i="18" s="1"/>
  <c r="F94" i="18"/>
  <c r="G94" i="18" s="1"/>
  <c r="F96" i="18"/>
  <c r="G96" i="18" s="1"/>
  <c r="F213" i="18"/>
  <c r="G213" i="18" s="1"/>
  <c r="F313" i="18"/>
  <c r="G313" i="18" s="1"/>
  <c r="F285" i="18"/>
  <c r="G285" i="18" s="1"/>
  <c r="F83" i="18"/>
  <c r="G83" i="18" s="1"/>
  <c r="F170" i="18"/>
  <c r="G170" i="18" s="1"/>
  <c r="F70" i="18"/>
  <c r="G70" i="18" s="1"/>
  <c r="F72" i="18"/>
  <c r="G72" i="18" s="1"/>
  <c r="F201" i="18"/>
  <c r="G201" i="18" s="1"/>
  <c r="F141" i="18"/>
  <c r="G141" i="18" s="1"/>
  <c r="F328" i="18"/>
  <c r="G328" i="18" s="1"/>
  <c r="F225" i="18"/>
  <c r="G225" i="18" s="1"/>
  <c r="F221" i="18"/>
  <c r="G221" i="18" s="1"/>
  <c r="F112" i="18"/>
  <c r="G112" i="18" s="1"/>
  <c r="F103" i="18"/>
  <c r="G103" i="18" s="1"/>
  <c r="F159" i="18"/>
  <c r="G159" i="18" s="1"/>
  <c r="F341" i="18"/>
  <c r="G341" i="18" s="1"/>
  <c r="F32" i="18"/>
  <c r="G32" i="18" s="1"/>
  <c r="F118" i="18"/>
  <c r="G118" i="18" s="1"/>
  <c r="F163" i="18"/>
  <c r="G163" i="18" s="1"/>
  <c r="F160" i="18"/>
  <c r="G160" i="18" s="1"/>
  <c r="F41" i="18"/>
  <c r="G41" i="18" s="1"/>
  <c r="F89" i="18"/>
  <c r="G89" i="18" s="1"/>
  <c r="F27" i="18"/>
  <c r="G27" i="18" s="1"/>
  <c r="F138" i="18"/>
  <c r="G138" i="18" s="1"/>
  <c r="F265" i="18"/>
  <c r="G265" i="18" s="1"/>
  <c r="F355" i="18"/>
  <c r="G355" i="18" s="1"/>
  <c r="F69" i="18"/>
  <c r="G69" i="18" s="1"/>
  <c r="F154" i="18"/>
  <c r="G154" i="18" s="1"/>
  <c r="F284" i="18"/>
  <c r="G284" i="18" s="1"/>
  <c r="F267" i="18"/>
  <c r="G267" i="18" s="1"/>
  <c r="F152" i="18"/>
  <c r="G152" i="18" s="1"/>
  <c r="F280" i="18"/>
  <c r="G280" i="18" s="1"/>
  <c r="F306" i="18"/>
  <c r="G306" i="18" s="1"/>
  <c r="F78" i="18"/>
  <c r="G78" i="18" s="1"/>
  <c r="F115" i="18"/>
  <c r="G115" i="18" s="1"/>
  <c r="F220" i="18"/>
  <c r="G220" i="18" s="1"/>
  <c r="F200" i="18"/>
  <c r="G200" i="18" s="1"/>
  <c r="F293" i="18"/>
  <c r="G293" i="18" s="1"/>
  <c r="F224" i="18"/>
  <c r="G224" i="18" s="1"/>
  <c r="F203" i="18"/>
  <c r="G203" i="18" s="1"/>
  <c r="F198" i="18"/>
  <c r="G198" i="18" s="1"/>
  <c r="F250" i="18"/>
  <c r="G250" i="18" s="1"/>
  <c r="F336" i="18"/>
  <c r="G336" i="18" s="1"/>
  <c r="F321" i="18"/>
  <c r="G321" i="18" s="1"/>
  <c r="F129" i="18"/>
  <c r="G129" i="18" s="1"/>
  <c r="E8" i="18"/>
  <c r="F8" i="18" s="1"/>
  <c r="G8" i="18" s="1"/>
  <c r="L49" i="17"/>
  <c r="L50" i="17" s="1"/>
  <c r="O56" i="6"/>
  <c r="O57" i="6" s="1"/>
  <c r="F38" i="18"/>
  <c r="G38" i="18" s="1"/>
  <c r="F168" i="18"/>
  <c r="G168" i="18" s="1"/>
  <c r="F211" i="18"/>
  <c r="G211" i="18" s="1"/>
  <c r="F73" i="18"/>
  <c r="G73" i="18" s="1"/>
  <c r="F90" i="18"/>
  <c r="G90" i="18" s="1"/>
  <c r="F182" i="18"/>
  <c r="G182" i="18" s="1"/>
  <c r="F188" i="18"/>
  <c r="G188" i="18" s="1"/>
  <c r="F56" i="18"/>
  <c r="G56" i="18" s="1"/>
  <c r="F322" i="18"/>
  <c r="G322" i="18" s="1"/>
  <c r="F108" i="18"/>
  <c r="G108" i="18" s="1"/>
  <c r="F87" i="18"/>
  <c r="G87" i="18" s="1"/>
  <c r="F197" i="18"/>
  <c r="G197" i="18" s="1"/>
  <c r="F190" i="18"/>
  <c r="G190" i="18" s="1"/>
  <c r="F256" i="18"/>
  <c r="G256" i="18" s="1"/>
  <c r="F219" i="18"/>
  <c r="G219" i="18" s="1"/>
  <c r="F344" i="18"/>
  <c r="G344" i="18" s="1"/>
  <c r="F119" i="18"/>
  <c r="G119" i="18" s="1"/>
  <c r="F352" i="18"/>
  <c r="G352" i="18" s="1"/>
  <c r="F34" i="18"/>
  <c r="G34" i="18" s="1"/>
  <c r="F65" i="18"/>
  <c r="G65" i="18" s="1"/>
  <c r="F127" i="18"/>
  <c r="G127" i="18" s="1"/>
  <c r="F244" i="18"/>
  <c r="G244" i="18" s="1"/>
  <c r="F229" i="18"/>
  <c r="G229" i="18" s="1"/>
  <c r="F289" i="18"/>
  <c r="G289" i="18" s="1"/>
  <c r="F360" i="18"/>
  <c r="G360" i="18" s="1"/>
  <c r="F20" i="18"/>
  <c r="G20" i="18" s="1"/>
  <c r="F155" i="18"/>
  <c r="G155" i="18" s="1"/>
  <c r="F62" i="18"/>
  <c r="G62" i="18" s="1"/>
  <c r="F126" i="18"/>
  <c r="G126" i="18" s="1"/>
  <c r="F246" i="18"/>
  <c r="G246" i="18" s="1"/>
  <c r="F40" i="18"/>
  <c r="G40" i="18" s="1"/>
  <c r="F120" i="18"/>
  <c r="G120" i="18" s="1"/>
  <c r="F296" i="18"/>
  <c r="G296" i="18" s="1"/>
  <c r="F260" i="18"/>
  <c r="G260" i="18" s="1"/>
  <c r="F166" i="18"/>
  <c r="G166" i="18" s="1"/>
  <c r="F145" i="18"/>
  <c r="G145" i="18" s="1"/>
  <c r="F209" i="18"/>
  <c r="G209" i="18" s="1"/>
  <c r="F227" i="18"/>
  <c r="G227" i="18" s="1"/>
  <c r="F135" i="18"/>
  <c r="G135" i="18" s="1"/>
  <c r="F153" i="18"/>
  <c r="G153" i="18" s="1"/>
  <c r="F196" i="18"/>
  <c r="G196" i="18" s="1"/>
  <c r="F247" i="18"/>
  <c r="G247" i="18" s="1"/>
  <c r="F99" i="18"/>
  <c r="G99" i="18" s="1"/>
  <c r="F74" i="18"/>
  <c r="G74" i="18" s="1"/>
  <c r="F134" i="18"/>
  <c r="G134" i="18" s="1"/>
  <c r="F167" i="18"/>
  <c r="G167" i="18" s="1"/>
  <c r="F88" i="18"/>
  <c r="G88" i="18" s="1"/>
  <c r="F39" i="18"/>
  <c r="G39" i="18" s="1"/>
  <c r="F29" i="18"/>
  <c r="G29" i="18" s="1"/>
  <c r="F55" i="18"/>
  <c r="G55" i="18" s="1"/>
  <c r="F43" i="18"/>
  <c r="G43" i="18" s="1"/>
  <c r="F53" i="18"/>
  <c r="G53" i="18" s="1"/>
  <c r="F51" i="18"/>
  <c r="G51" i="18" s="1"/>
  <c r="F231" i="18"/>
  <c r="G231" i="18" s="1"/>
  <c r="F243" i="18"/>
  <c r="G243" i="18" s="1"/>
  <c r="F128" i="18"/>
  <c r="G128" i="18" s="1"/>
  <c r="F26" i="18"/>
  <c r="G26" i="18" s="1"/>
  <c r="F107" i="18"/>
  <c r="G107" i="18" s="1"/>
  <c r="F140" i="18"/>
  <c r="G140" i="18" s="1"/>
  <c r="F210" i="18"/>
  <c r="G210" i="18" s="1"/>
  <c r="F172" i="18"/>
  <c r="G172" i="18" s="1"/>
  <c r="F150" i="18"/>
  <c r="G150" i="18" s="1"/>
  <c r="F228" i="18"/>
  <c r="G228" i="18" s="1"/>
  <c r="F239" i="18"/>
  <c r="G239" i="18" s="1"/>
  <c r="F216" i="18"/>
  <c r="G216" i="18" s="1"/>
  <c r="F147" i="18"/>
  <c r="G147" i="18" s="1"/>
  <c r="F36" i="18"/>
  <c r="G36" i="18" s="1"/>
  <c r="F102" i="18"/>
  <c r="G102" i="18" s="1"/>
  <c r="F52" i="18"/>
  <c r="G52" i="18" s="1"/>
  <c r="F142" i="18"/>
  <c r="G142" i="18" s="1"/>
  <c r="F148" i="18"/>
  <c r="G148" i="18" s="1"/>
  <c r="C68" i="18"/>
  <c r="E68" i="18" s="1"/>
  <c r="F68" i="18" s="1"/>
  <c r="G68" i="18" s="1"/>
  <c r="F64" i="18"/>
  <c r="G64" i="18" s="1"/>
  <c r="F42" i="18"/>
  <c r="G42" i="18" s="1"/>
  <c r="F47" i="18"/>
  <c r="G47" i="18" s="1"/>
  <c r="F86" i="18"/>
  <c r="G86" i="18" s="1"/>
  <c r="F104" i="18"/>
  <c r="G104" i="18" s="1"/>
  <c r="F169" i="18"/>
  <c r="G169" i="18" s="1"/>
  <c r="F176" i="18"/>
  <c r="G176" i="18" s="1"/>
  <c r="F50" i="18"/>
  <c r="G50" i="18" s="1"/>
  <c r="F44" i="18"/>
  <c r="G44" i="18" s="1"/>
  <c r="F25" i="18"/>
  <c r="G25" i="18" s="1"/>
  <c r="F125" i="18"/>
  <c r="G125" i="18" s="1"/>
  <c r="F181" i="18"/>
  <c r="G181" i="18" s="1"/>
  <c r="F132" i="18"/>
  <c r="G132" i="18" s="1"/>
  <c r="F98" i="18"/>
  <c r="G98" i="18" s="1"/>
  <c r="F101" i="18"/>
  <c r="G101" i="18" s="1"/>
  <c r="F136" i="18"/>
  <c r="G136" i="18" s="1"/>
  <c r="F123" i="18"/>
  <c r="G123" i="18" s="1"/>
  <c r="B100" i="18"/>
  <c r="B101" i="18" s="1"/>
  <c r="B102" i="18" s="1"/>
  <c r="B103" i="18" s="1"/>
  <c r="B104" i="18" s="1"/>
  <c r="B105" i="18" s="1"/>
  <c r="B106" i="18" s="1"/>
  <c r="B107" i="18" s="1"/>
  <c r="B108" i="18" s="1"/>
  <c r="B109" i="18" s="1"/>
  <c r="B110" i="18" s="1"/>
  <c r="B111" i="18" s="1"/>
  <c r="B112" i="18" s="1"/>
  <c r="B113" i="18" s="1"/>
  <c r="B114" i="18" s="1"/>
  <c r="B115" i="18" s="1"/>
  <c r="B116" i="18" s="1"/>
  <c r="B117" i="18" s="1"/>
  <c r="B118" i="18" s="1"/>
  <c r="B119" i="18" s="1"/>
  <c r="B120" i="18" s="1"/>
  <c r="B121" i="18" s="1"/>
  <c r="B122" i="18" s="1"/>
  <c r="B123" i="18" s="1"/>
  <c r="B124" i="18" s="1"/>
  <c r="B125" i="18" s="1"/>
  <c r="B126" i="18" s="1"/>
  <c r="B127" i="18" s="1"/>
  <c r="B128" i="18" s="1"/>
  <c r="B129" i="18" s="1"/>
  <c r="B130" i="18" s="1"/>
  <c r="B131" i="18" s="1"/>
  <c r="B132" i="18" s="1"/>
  <c r="B133" i="18" s="1"/>
  <c r="B134" i="18" s="1"/>
  <c r="B135" i="18" s="1"/>
  <c r="B136" i="18" s="1"/>
  <c r="B137" i="18" s="1"/>
  <c r="B138" i="18" s="1"/>
  <c r="B139" i="18" s="1"/>
  <c r="B140" i="18" s="1"/>
  <c r="B141" i="18" s="1"/>
  <c r="B142" i="18" s="1"/>
  <c r="B143" i="18" s="1"/>
  <c r="B144" i="18" s="1"/>
  <c r="B145" i="18" s="1"/>
  <c r="B146" i="18" s="1"/>
  <c r="B147" i="18" s="1"/>
  <c r="B148" i="18" s="1"/>
  <c r="B149" i="18" s="1"/>
  <c r="B150" i="18" s="1"/>
  <c r="B151" i="18" s="1"/>
  <c r="B152" i="18" s="1"/>
  <c r="B153" i="18" s="1"/>
  <c r="B154" i="18" s="1"/>
  <c r="B155" i="18" s="1"/>
  <c r="B156" i="18" s="1"/>
  <c r="B157" i="18" s="1"/>
  <c r="B158" i="18" s="1"/>
  <c r="B159" i="18" s="1"/>
  <c r="B160" i="18" s="1"/>
  <c r="B161" i="18" s="1"/>
  <c r="B162" i="18" s="1"/>
  <c r="B163" i="18" s="1"/>
  <c r="B164" i="18" s="1"/>
  <c r="B165" i="18" s="1"/>
  <c r="B166" i="18" s="1"/>
  <c r="B167" i="18" s="1"/>
  <c r="B168" i="18" s="1"/>
  <c r="B169" i="18" s="1"/>
  <c r="B170" i="18" s="1"/>
  <c r="B171" i="18" s="1"/>
  <c r="B172" i="18" s="1"/>
  <c r="B173" i="18" s="1"/>
  <c r="B174" i="18" s="1"/>
  <c r="B175" i="18" s="1"/>
  <c r="B176" i="18" s="1"/>
  <c r="B177" i="18" s="1"/>
  <c r="B178" i="18" s="1"/>
  <c r="B179" i="18" s="1"/>
  <c r="B180" i="18" s="1"/>
  <c r="B181" i="18" s="1"/>
  <c r="B182" i="18" s="1"/>
  <c r="B183" i="18" s="1"/>
  <c r="B184" i="18" s="1"/>
  <c r="B185" i="18" s="1"/>
  <c r="B186" i="18" s="1"/>
  <c r="B187" i="18" s="1"/>
  <c r="B188" i="18" s="1"/>
  <c r="B189" i="18" s="1"/>
  <c r="B190" i="18" s="1"/>
  <c r="B191" i="18" s="1"/>
  <c r="B192" i="18" s="1"/>
  <c r="B193" i="18" s="1"/>
  <c r="B194" i="18" s="1"/>
  <c r="B195" i="18" s="1"/>
  <c r="B196" i="18" s="1"/>
  <c r="B197" i="18" s="1"/>
  <c r="B198" i="18" s="1"/>
  <c r="B199" i="18" s="1"/>
  <c r="B200" i="18" s="1"/>
  <c r="B201" i="18" s="1"/>
  <c r="B202" i="18" s="1"/>
  <c r="B203" i="18" s="1"/>
  <c r="B204" i="18" s="1"/>
  <c r="B205" i="18" s="1"/>
  <c r="B206" i="18" s="1"/>
  <c r="B207" i="18" s="1"/>
  <c r="B208" i="18" s="1"/>
  <c r="B209" i="18" s="1"/>
  <c r="B210" i="18" s="1"/>
  <c r="B211" i="18" s="1"/>
  <c r="B212" i="18" s="1"/>
  <c r="B213" i="18" s="1"/>
  <c r="B214" i="18" s="1"/>
  <c r="B215" i="18" s="1"/>
  <c r="B216" i="18" s="1"/>
  <c r="B217" i="18" s="1"/>
  <c r="B218" i="18" s="1"/>
  <c r="B219" i="18" s="1"/>
  <c r="B220" i="18" s="1"/>
  <c r="B221" i="18" s="1"/>
  <c r="B222" i="18" s="1"/>
  <c r="B223" i="18" s="1"/>
  <c r="B224" i="18" s="1"/>
  <c r="B225" i="18" s="1"/>
  <c r="B226" i="18" s="1"/>
  <c r="B227" i="18" s="1"/>
  <c r="B228" i="18" s="1"/>
  <c r="B229" i="18" s="1"/>
  <c r="B230" i="18" s="1"/>
  <c r="B231" i="18" s="1"/>
  <c r="B232" i="18" s="1"/>
  <c r="B233" i="18" s="1"/>
  <c r="B234" i="18" s="1"/>
  <c r="B235" i="18" s="1"/>
  <c r="B236" i="18" s="1"/>
  <c r="B237" i="18" s="1"/>
  <c r="B238" i="18" s="1"/>
  <c r="B239" i="18" s="1"/>
  <c r="B240" i="18" s="1"/>
  <c r="B241" i="18" s="1"/>
  <c r="B242" i="18" s="1"/>
  <c r="B243" i="18" s="1"/>
  <c r="B244" i="18" s="1"/>
  <c r="B245" i="18" s="1"/>
  <c r="B246" i="18" s="1"/>
  <c r="B247" i="18" s="1"/>
  <c r="B248" i="18" s="1"/>
  <c r="B249" i="18" s="1"/>
  <c r="B250" i="18" s="1"/>
  <c r="B251" i="18" s="1"/>
  <c r="B252" i="18" s="1"/>
  <c r="B253" i="18" s="1"/>
  <c r="B254" i="18" s="1"/>
  <c r="B255" i="18" s="1"/>
  <c r="B256" i="18" s="1"/>
  <c r="B257" i="18" s="1"/>
  <c r="B258" i="18" s="1"/>
  <c r="B259" i="18" s="1"/>
  <c r="B260" i="18" s="1"/>
  <c r="B261" i="18" s="1"/>
  <c r="B262" i="18" s="1"/>
  <c r="B263" i="18" s="1"/>
  <c r="B264" i="18" s="1"/>
  <c r="B265" i="18" s="1"/>
  <c r="B266" i="18" s="1"/>
  <c r="B267" i="18" s="1"/>
  <c r="B268" i="18" s="1"/>
  <c r="B269" i="18" s="1"/>
  <c r="B270" i="18" s="1"/>
  <c r="B271" i="18" s="1"/>
  <c r="B272" i="18" s="1"/>
  <c r="B273" i="18" s="1"/>
  <c r="B274" i="18" s="1"/>
  <c r="B275" i="18" s="1"/>
  <c r="B276" i="18" s="1"/>
  <c r="B277" i="18" s="1"/>
  <c r="B278" i="18" s="1"/>
  <c r="B279" i="18" s="1"/>
  <c r="B280" i="18" s="1"/>
  <c r="B281" i="18" s="1"/>
  <c r="B282" i="18" s="1"/>
  <c r="B283" i="18" s="1"/>
  <c r="B284" i="18" s="1"/>
  <c r="B285" i="18" s="1"/>
  <c r="B286" i="18" s="1"/>
  <c r="B287" i="18" s="1"/>
  <c r="B288" i="18" s="1"/>
  <c r="B289" i="18" s="1"/>
  <c r="B290" i="18" s="1"/>
  <c r="B291" i="18" s="1"/>
  <c r="B292" i="18" s="1"/>
  <c r="B293" i="18" s="1"/>
  <c r="B294" i="18" s="1"/>
  <c r="B295" i="18" s="1"/>
  <c r="B296" i="18" s="1"/>
  <c r="B297" i="18" s="1"/>
  <c r="B298" i="18" s="1"/>
  <c r="B299" i="18" s="1"/>
  <c r="B300" i="18" s="1"/>
  <c r="B301" i="18" s="1"/>
  <c r="B302" i="18" s="1"/>
  <c r="B303" i="18" s="1"/>
  <c r="B304" i="18" s="1"/>
  <c r="B305" i="18" s="1"/>
  <c r="B306" i="18" s="1"/>
  <c r="B307" i="18" s="1"/>
  <c r="B308" i="18" s="1"/>
  <c r="B309" i="18" s="1"/>
  <c r="B310" i="18" s="1"/>
  <c r="B311" i="18" s="1"/>
  <c r="B312" i="18" s="1"/>
  <c r="B313" i="18" s="1"/>
  <c r="B314" i="18" s="1"/>
  <c r="B315" i="18" s="1"/>
  <c r="B316" i="18" s="1"/>
  <c r="B317" i="18" s="1"/>
  <c r="B318" i="18" s="1"/>
  <c r="B319" i="18" s="1"/>
  <c r="B320" i="18" s="1"/>
  <c r="B321" i="18" s="1"/>
  <c r="B322" i="18" s="1"/>
  <c r="B323" i="18" s="1"/>
  <c r="B324" i="18" s="1"/>
  <c r="B325" i="18" s="1"/>
  <c r="B326" i="18" s="1"/>
  <c r="B327" i="18" s="1"/>
  <c r="B328" i="18" s="1"/>
  <c r="B329" i="18" s="1"/>
  <c r="B330" i="18" s="1"/>
  <c r="B331" i="18" s="1"/>
  <c r="B332" i="18" s="1"/>
  <c r="B333" i="18" s="1"/>
  <c r="B334" i="18" s="1"/>
  <c r="B335" i="18" s="1"/>
  <c r="B336" i="18" s="1"/>
  <c r="B337" i="18" s="1"/>
  <c r="B338" i="18" s="1"/>
  <c r="B339" i="18" s="1"/>
  <c r="B340" i="18" s="1"/>
  <c r="B341" i="18" s="1"/>
  <c r="B342" i="18" s="1"/>
  <c r="B343" i="18" s="1"/>
  <c r="B344" i="18" s="1"/>
  <c r="B345" i="18" s="1"/>
  <c r="B346" i="18" s="1"/>
  <c r="B347" i="18" s="1"/>
  <c r="B348" i="18" s="1"/>
  <c r="B349" i="18" s="1"/>
  <c r="B350" i="18" s="1"/>
  <c r="B351" i="18" s="1"/>
  <c r="B352" i="18" s="1"/>
  <c r="B353" i="18" s="1"/>
  <c r="B354" i="18" s="1"/>
  <c r="B355" i="18" s="1"/>
  <c r="B356" i="18" s="1"/>
  <c r="B357" i="18" s="1"/>
  <c r="B358" i="18" s="1"/>
  <c r="B359" i="18" s="1"/>
  <c r="B360" i="18" s="1"/>
  <c r="B361" i="18" s="1"/>
  <c r="B362" i="18" s="1"/>
  <c r="B363" i="18" s="1"/>
  <c r="B364" i="18" s="1"/>
  <c r="B365" i="18" s="1"/>
  <c r="B366" i="18" s="1"/>
  <c r="B367" i="18" s="1"/>
  <c r="E100" i="18"/>
  <c r="F37" i="18"/>
  <c r="G37" i="18" s="1"/>
  <c r="F71" i="18"/>
  <c r="G71" i="18" s="1"/>
  <c r="F63" i="18"/>
  <c r="G63" i="18" s="1"/>
  <c r="F106" i="18"/>
  <c r="G106" i="18" s="1"/>
  <c r="F77" i="18"/>
  <c r="G77" i="18" s="1"/>
  <c r="F45" i="18"/>
  <c r="G45" i="18" s="1"/>
  <c r="F49" i="18"/>
  <c r="G49" i="18" s="1"/>
  <c r="F30" i="18"/>
  <c r="G30" i="18" s="1"/>
  <c r="F85" i="18"/>
  <c r="G85" i="18" s="1"/>
  <c r="F31" i="18"/>
  <c r="G31" i="18" s="1"/>
  <c r="F18" i="18"/>
  <c r="G18" i="18" s="1"/>
  <c r="F17" i="18"/>
  <c r="G17" i="18" s="1"/>
  <c r="F23" i="18"/>
  <c r="G23" i="18" s="1"/>
  <c r="F15" i="18"/>
  <c r="G15" i="18" s="1"/>
  <c r="F24" i="18"/>
  <c r="G24" i="18" s="1"/>
  <c r="F10" i="18"/>
  <c r="G10" i="18" s="1"/>
  <c r="F14" i="18"/>
  <c r="G14" i="18" s="1"/>
  <c r="F9" i="18"/>
  <c r="G9" i="18" s="1"/>
  <c r="F22" i="18"/>
  <c r="G22" i="18" s="1"/>
  <c r="F19" i="18"/>
  <c r="G19" i="18" s="1"/>
  <c r="F16" i="18"/>
  <c r="G16" i="18" s="1"/>
  <c r="F12" i="18"/>
  <c r="G12" i="18" s="1"/>
  <c r="F13" i="18"/>
  <c r="G13" i="18" s="1"/>
  <c r="F11" i="18"/>
  <c r="G11" i="18" s="1"/>
  <c r="F21" i="18"/>
  <c r="G21" i="18" s="1"/>
  <c r="Q46" i="18" l="1"/>
  <c r="Q47" i="18" s="1"/>
  <c r="L74" i="18"/>
  <c r="L75" i="18" s="1"/>
  <c r="J74" i="18"/>
  <c r="J75" i="18" s="1"/>
  <c r="I46" i="18"/>
  <c r="I47" i="18" s="1"/>
  <c r="O46" i="18"/>
  <c r="O47" i="18" s="1"/>
  <c r="N46" i="18"/>
  <c r="N47" i="18" s="1"/>
  <c r="R46" i="18"/>
  <c r="R47" i="18" s="1"/>
  <c r="P46" i="18"/>
  <c r="P47" i="18" s="1"/>
  <c r="R8" i="18"/>
  <c r="R9" i="18" s="1"/>
  <c r="Q8" i="18"/>
  <c r="Q9" i="18" s="1"/>
  <c r="M74" i="18"/>
  <c r="M75" i="18" s="1"/>
  <c r="J8" i="18"/>
  <c r="J9" i="18" s="1"/>
  <c r="I33" i="18"/>
  <c r="I34" i="18" s="1"/>
  <c r="J33" i="18"/>
  <c r="J34" i="18" s="1"/>
  <c r="L8" i="18"/>
  <c r="L9" i="18" s="1"/>
  <c r="K33" i="18"/>
  <c r="K34" i="18" s="1"/>
  <c r="J46" i="18"/>
  <c r="J47" i="18" s="1"/>
  <c r="M8" i="18"/>
  <c r="M9" i="18" s="1"/>
  <c r="I55" i="18"/>
  <c r="I56" i="18" s="1"/>
  <c r="L33" i="18"/>
  <c r="L34" i="18" s="1"/>
  <c r="N8" i="18"/>
  <c r="N9" i="18" s="1"/>
  <c r="J55" i="18"/>
  <c r="J56" i="18" s="1"/>
  <c r="K46" i="18"/>
  <c r="K47" i="18" s="1"/>
  <c r="M33" i="18"/>
  <c r="M34" i="18" s="1"/>
  <c r="L46" i="18"/>
  <c r="L47" i="18" s="1"/>
  <c r="K55" i="18"/>
  <c r="K56" i="18" s="1"/>
  <c r="O8" i="18"/>
  <c r="O9" i="18" s="1"/>
  <c r="I74" i="18"/>
  <c r="I75" i="18" s="1"/>
  <c r="K8" i="18"/>
  <c r="K9" i="18" s="1"/>
  <c r="F100" i="18"/>
  <c r="G100" i="18" s="1"/>
  <c r="I8" i="18"/>
  <c r="I9" i="18" s="1"/>
  <c r="M55" i="18"/>
  <c r="M56" i="18" s="1"/>
  <c r="P8" i="18"/>
  <c r="P9" i="18" s="1"/>
  <c r="L55" i="18" l="1"/>
  <c r="L56" i="18" s="1"/>
  <c r="M46" i="18"/>
  <c r="M47" i="18" s="1"/>
  <c r="K74" i="18"/>
  <c r="K75" i="18" s="1"/>
  <c r="D21" i="5"/>
  <c r="D27" i="5"/>
  <c r="D26" i="5" s="1"/>
  <c r="F30" i="5"/>
  <c r="H34" i="5" s="1"/>
  <c r="G16" i="15"/>
  <c r="G24" i="15" s="1"/>
  <c r="G26" i="15" l="1"/>
  <c r="F9" i="16" s="1"/>
  <c r="G27" i="15"/>
  <c r="G31" i="15" s="1"/>
  <c r="D16" i="15"/>
  <c r="D24" i="15" s="1"/>
  <c r="J95" i="17"/>
  <c r="D30" i="15"/>
  <c r="F93" i="17"/>
  <c r="D27" i="15" l="1"/>
  <c r="E9" i="15"/>
  <c r="E37" i="6"/>
  <c r="C36" i="17"/>
  <c r="G93" i="17"/>
  <c r="I94" i="17" l="1"/>
  <c r="I96" i="17" s="1"/>
  <c r="O18" i="8"/>
  <c r="P18" i="8" s="1"/>
  <c r="Q66" i="6"/>
  <c r="C18" i="8"/>
  <c r="D26" i="15"/>
  <c r="E12" i="15"/>
  <c r="E10" i="15"/>
  <c r="E18" i="15"/>
  <c r="E14" i="15"/>
  <c r="E7" i="15"/>
  <c r="E20" i="15"/>
  <c r="E19" i="15"/>
  <c r="E15" i="15"/>
  <c r="D17" i="5"/>
  <c r="E11" i="15"/>
  <c r="E13" i="15"/>
  <c r="E26" i="15"/>
  <c r="C66" i="6" s="1"/>
  <c r="E16" i="15"/>
  <c r="E21" i="15"/>
  <c r="E22" i="15"/>
  <c r="E17" i="15"/>
  <c r="G32" i="15"/>
  <c r="E23" i="15"/>
  <c r="F37" i="6"/>
  <c r="E39" i="6"/>
  <c r="E42" i="6" s="1"/>
  <c r="D36" i="17"/>
  <c r="C9" i="16" l="1"/>
  <c r="H9" i="16"/>
  <c r="J94" i="17"/>
  <c r="J96" i="17" s="1"/>
  <c r="B70" i="17"/>
  <c r="G9" i="16"/>
  <c r="E24" i="15"/>
  <c r="E27" i="15" s="1"/>
  <c r="O58" i="6"/>
  <c r="D19" i="5"/>
  <c r="D18" i="5"/>
  <c r="D37" i="5"/>
  <c r="H38" i="5" s="1"/>
  <c r="L51" i="17"/>
  <c r="B60" i="17" s="1"/>
  <c r="E31" i="15"/>
  <c r="D31" i="15"/>
  <c r="F94" i="17"/>
  <c r="G37" i="6"/>
  <c r="F39" i="6"/>
  <c r="F42" i="6" s="1"/>
  <c r="E36" i="17"/>
  <c r="H41" i="5" l="1"/>
  <c r="D43" i="6"/>
  <c r="C21" i="8" s="1"/>
  <c r="B74" i="17"/>
  <c r="C90" i="17" s="1"/>
  <c r="C94" i="17"/>
  <c r="E43" i="6"/>
  <c r="M43" i="6"/>
  <c r="I43" i="6"/>
  <c r="K43" i="6"/>
  <c r="F43" i="6"/>
  <c r="F45" i="6" s="1"/>
  <c r="J43" i="6"/>
  <c r="G43" i="6"/>
  <c r="H43" i="6"/>
  <c r="L43" i="6"/>
  <c r="G94" i="17"/>
  <c r="G96" i="17" s="1"/>
  <c r="F96" i="17"/>
  <c r="E30" i="15"/>
  <c r="E32" i="15" s="1"/>
  <c r="D32" i="15"/>
  <c r="B66" i="17"/>
  <c r="L64" i="17"/>
  <c r="H37" i="6"/>
  <c r="I37" i="6" s="1"/>
  <c r="G39" i="6"/>
  <c r="G42" i="6" s="1"/>
  <c r="F36" i="17"/>
  <c r="I35" i="17" l="1"/>
  <c r="I61" i="17" s="1"/>
  <c r="I21" i="8"/>
  <c r="E21" i="8"/>
  <c r="E35" i="17"/>
  <c r="C35" i="17"/>
  <c r="D45" i="6"/>
  <c r="D44" i="6"/>
  <c r="H21" i="8"/>
  <c r="H35" i="17"/>
  <c r="H61" i="17" s="1"/>
  <c r="K21" i="8"/>
  <c r="K35" i="17"/>
  <c r="K61" i="17" s="1"/>
  <c r="L21" i="8"/>
  <c r="L35" i="17"/>
  <c r="L61" i="17" s="1"/>
  <c r="G21" i="8"/>
  <c r="G35" i="17"/>
  <c r="G61" i="17" s="1"/>
  <c r="F44" i="6"/>
  <c r="J35" i="17"/>
  <c r="J61" i="17" s="1"/>
  <c r="J21" i="8"/>
  <c r="F35" i="17"/>
  <c r="F61" i="17" s="1"/>
  <c r="F21" i="8"/>
  <c r="E44" i="6"/>
  <c r="D21" i="8"/>
  <c r="E45" i="6"/>
  <c r="D35" i="17"/>
  <c r="J37" i="6"/>
  <c r="H36" i="17"/>
  <c r="I39" i="6"/>
  <c r="I42" i="6" s="1"/>
  <c r="G44" i="6"/>
  <c r="G45" i="6"/>
  <c r="H39" i="6"/>
  <c r="H42" i="6" s="1"/>
  <c r="G36" i="17"/>
  <c r="N21" i="8" l="1"/>
  <c r="C38" i="17"/>
  <c r="C61" i="17"/>
  <c r="H38" i="17"/>
  <c r="H40" i="17" s="1"/>
  <c r="H74" i="17" s="1"/>
  <c r="H90" i="17" s="1"/>
  <c r="E47" i="6"/>
  <c r="D22" i="8" s="1"/>
  <c r="E48" i="6"/>
  <c r="D23" i="8" s="1"/>
  <c r="D48" i="6"/>
  <c r="C23" i="8" s="1"/>
  <c r="D47" i="6"/>
  <c r="C22" i="8" s="1"/>
  <c r="G47" i="6"/>
  <c r="F22" i="8" s="1"/>
  <c r="G48" i="6"/>
  <c r="F48" i="6"/>
  <c r="E23" i="8" s="1"/>
  <c r="F47" i="6"/>
  <c r="E22" i="8" s="1"/>
  <c r="G38" i="17"/>
  <c r="E38" i="17"/>
  <c r="E61" i="17"/>
  <c r="D38" i="17"/>
  <c r="D61" i="17"/>
  <c r="F38" i="17"/>
  <c r="I44" i="6"/>
  <c r="I45" i="6"/>
  <c r="K37" i="6"/>
  <c r="J39" i="6"/>
  <c r="J42" i="6" s="1"/>
  <c r="I36" i="17"/>
  <c r="I38" i="17" s="1"/>
  <c r="H45" i="6"/>
  <c r="H44" i="6"/>
  <c r="H39" i="17" l="1"/>
  <c r="H62" i="17" s="1"/>
  <c r="H66" i="17" s="1"/>
  <c r="C39" i="17"/>
  <c r="C62" i="17" s="1"/>
  <c r="C66" i="17" s="1"/>
  <c r="C40" i="17"/>
  <c r="E40" i="17"/>
  <c r="E74" i="17" s="1"/>
  <c r="E90" i="17" s="1"/>
  <c r="E39" i="17"/>
  <c r="E62" i="17" s="1"/>
  <c r="E66" i="17" s="1"/>
  <c r="F39" i="17"/>
  <c r="F40" i="17"/>
  <c r="G39" i="17"/>
  <c r="G62" i="17" s="1"/>
  <c r="G66" i="17" s="1"/>
  <c r="G40" i="17"/>
  <c r="G74" i="17" s="1"/>
  <c r="G90" i="17" s="1"/>
  <c r="I40" i="17"/>
  <c r="I74" i="17" s="1"/>
  <c r="I90" i="17" s="1"/>
  <c r="I39" i="17"/>
  <c r="I62" i="17" s="1"/>
  <c r="I66" i="17" s="1"/>
  <c r="D40" i="17"/>
  <c r="D74" i="17" s="1"/>
  <c r="D90" i="17" s="1"/>
  <c r="D39" i="17"/>
  <c r="D62" i="17" s="1"/>
  <c r="D66" i="17" s="1"/>
  <c r="I47" i="6"/>
  <c r="H22" i="8" s="1"/>
  <c r="I48" i="6"/>
  <c r="H23" i="8" s="1"/>
  <c r="H48" i="6"/>
  <c r="G23" i="8" s="1"/>
  <c r="H47" i="6"/>
  <c r="G22" i="8" s="1"/>
  <c r="J44" i="6"/>
  <c r="J45" i="6"/>
  <c r="L37" i="6"/>
  <c r="K39" i="6"/>
  <c r="K42" i="6" s="1"/>
  <c r="J36" i="17"/>
  <c r="J38" i="17" s="1"/>
  <c r="F23" i="8"/>
  <c r="H42" i="17" l="1"/>
  <c r="C42" i="17"/>
  <c r="D42" i="17"/>
  <c r="J39" i="17"/>
  <c r="J62" i="17" s="1"/>
  <c r="J66" i="17" s="1"/>
  <c r="J40" i="17"/>
  <c r="E42" i="17"/>
  <c r="J47" i="6"/>
  <c r="I22" i="8" s="1"/>
  <c r="J48" i="6"/>
  <c r="I23" i="8" s="1"/>
  <c r="G42" i="17"/>
  <c r="F74" i="17"/>
  <c r="F90" i="17" s="1"/>
  <c r="F62" i="17"/>
  <c r="F66" i="17" s="1"/>
  <c r="F42" i="17"/>
  <c r="I42" i="17"/>
  <c r="K44" i="6"/>
  <c r="K45" i="6"/>
  <c r="M37" i="6"/>
  <c r="L39" i="6"/>
  <c r="L42" i="6" s="1"/>
  <c r="K36" i="17"/>
  <c r="K38" i="17" s="1"/>
  <c r="K39" i="17" l="1"/>
  <c r="K62" i="17" s="1"/>
  <c r="K66" i="17" s="1"/>
  <c r="K40" i="17"/>
  <c r="K74" i="17" s="1"/>
  <c r="K90" i="17" s="1"/>
  <c r="K48" i="6"/>
  <c r="K47" i="6"/>
  <c r="J22" i="8" s="1"/>
  <c r="J42" i="17"/>
  <c r="L36" i="17"/>
  <c r="L38" i="17" s="1"/>
  <c r="M39" i="6"/>
  <c r="M42" i="6" s="1"/>
  <c r="L45" i="6"/>
  <c r="L44" i="6"/>
  <c r="J74" i="17"/>
  <c r="J90" i="17" s="1"/>
  <c r="L40" i="17" l="1"/>
  <c r="L39" i="17"/>
  <c r="L62" i="17" s="1"/>
  <c r="L47" i="6"/>
  <c r="K22" i="8" s="1"/>
  <c r="L48" i="6"/>
  <c r="K23" i="8" s="1"/>
  <c r="K42" i="17"/>
  <c r="M45" i="6"/>
  <c r="O59" i="6" s="1"/>
  <c r="M44" i="6"/>
  <c r="J23" i="8"/>
  <c r="L52" i="17" l="1"/>
  <c r="O61" i="6"/>
  <c r="O64" i="6" s="1"/>
  <c r="Q64" i="6" s="1"/>
  <c r="L26" i="8" s="1"/>
  <c r="O26" i="8" s="1"/>
  <c r="F12" i="16" s="1"/>
  <c r="I16" i="16" s="1"/>
  <c r="I18" i="16" s="1"/>
  <c r="M47" i="6"/>
  <c r="L22" i="8" s="1"/>
  <c r="N22" i="8" s="1"/>
  <c r="N24" i="8" s="1"/>
  <c r="M48" i="6"/>
  <c r="L42" i="17"/>
  <c r="C96" i="17"/>
  <c r="P26" i="8" l="1"/>
  <c r="O27" i="8"/>
  <c r="O63" i="6"/>
  <c r="L63" i="17"/>
  <c r="L66" i="17" s="1"/>
  <c r="L67" i="17" s="1"/>
  <c r="L55" i="17"/>
  <c r="L23" i="8"/>
  <c r="O23" i="8" s="1"/>
  <c r="O24" i="8" s="1"/>
  <c r="L25" i="8" l="1"/>
  <c r="N25" i="8" s="1"/>
  <c r="N27" i="8" s="1"/>
  <c r="N28" i="8" s="1"/>
  <c r="O28" i="8"/>
  <c r="Q68" i="6"/>
  <c r="L56" i="17"/>
  <c r="L57" i="17"/>
  <c r="L73" i="17" s="1"/>
  <c r="P23" i="8"/>
  <c r="P24" i="8" s="1"/>
  <c r="P28" i="8" s="1"/>
  <c r="I23" i="16" l="1"/>
  <c r="H12" i="16"/>
  <c r="N29" i="8"/>
  <c r="G12" i="16"/>
  <c r="C97" i="17"/>
  <c r="L74" i="17"/>
  <c r="L90" i="17" s="1"/>
  <c r="O29" i="8" l="1"/>
  <c r="M90" i="17"/>
  <c r="C101" i="17" s="1"/>
  <c r="B101" i="17" s="1"/>
  <c r="I24" i="16"/>
  <c r="K16" i="16" l="1"/>
  <c r="J16" i="16"/>
  <c r="J18" i="16"/>
  <c r="K18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Cukierman</author>
  </authors>
  <commentList>
    <comment ref="B4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David Cukierman:</t>
        </r>
        <r>
          <rPr>
            <sz val="9"/>
            <color indexed="81"/>
            <rFont val="Tahoma"/>
            <family val="2"/>
          </rPr>
          <t xml:space="preserve">
incl Title &amp; Closing + Brokerage
</t>
        </r>
      </text>
    </comment>
    <comment ref="C7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David Cukierman:</t>
        </r>
        <r>
          <rPr>
            <sz val="9"/>
            <color indexed="81"/>
            <rFont val="Tahoma"/>
            <family val="2"/>
          </rPr>
          <t xml:space="preserve">
From Cell M61  'Mixed Rent' Tab</t>
        </r>
      </text>
    </comment>
  </commentList>
</comments>
</file>

<file path=xl/sharedStrings.xml><?xml version="1.0" encoding="utf-8"?>
<sst xmlns="http://schemas.openxmlformats.org/spreadsheetml/2006/main" count="497" uniqueCount="297">
  <si>
    <t>80% AMI</t>
  </si>
  <si>
    <t>60% AMI</t>
  </si>
  <si>
    <t>Sq.Ft.</t>
  </si>
  <si>
    <t>Unit</t>
  </si>
  <si>
    <t>Subtotal</t>
  </si>
  <si>
    <t>Total</t>
  </si>
  <si>
    <t>Annual Rent</t>
  </si>
  <si>
    <t>#</t>
  </si>
  <si>
    <t>Units</t>
  </si>
  <si>
    <t>%age</t>
  </si>
  <si>
    <t>Size</t>
  </si>
  <si>
    <t>Monthly Rent</t>
  </si>
  <si>
    <t>PSF</t>
  </si>
  <si>
    <t>Market Rate</t>
  </si>
  <si>
    <t>Difference</t>
  </si>
  <si>
    <t>vs Market</t>
  </si>
  <si>
    <t>Lesser of</t>
  </si>
  <si>
    <t>Type</t>
  </si>
  <si>
    <t># of Units</t>
  </si>
  <si>
    <t>1-Bedroom</t>
  </si>
  <si>
    <t>2-Bedroom</t>
  </si>
  <si>
    <t>Less</t>
  </si>
  <si>
    <t>Vacancy Factor</t>
  </si>
  <si>
    <t>Adj Gross Rents</t>
  </si>
  <si>
    <t>Rental Income</t>
  </si>
  <si>
    <t>Other Income</t>
  </si>
  <si>
    <t>Total Income</t>
  </si>
  <si>
    <t>Real Estate Taxes</t>
  </si>
  <si>
    <t>Operating Expenses</t>
  </si>
  <si>
    <t>Total Expenses</t>
  </si>
  <si>
    <t>Net Income</t>
  </si>
  <si>
    <t>Non-Operating Expenses</t>
  </si>
  <si>
    <t>Adj Net Income</t>
  </si>
  <si>
    <t>Add</t>
  </si>
  <si>
    <t>Loan Amount</t>
  </si>
  <si>
    <t>Interest Rate</t>
  </si>
  <si>
    <t>Amortization Period</t>
  </si>
  <si>
    <t>Payment</t>
  </si>
  <si>
    <t>Per Unit</t>
  </si>
  <si>
    <t>Overall Rate of Return</t>
  </si>
  <si>
    <t>Cash Flow</t>
  </si>
  <si>
    <t>Origination Fee</t>
  </si>
  <si>
    <t>HHA</t>
  </si>
  <si>
    <t>Sponsor</t>
  </si>
  <si>
    <t>Constant</t>
  </si>
  <si>
    <t>Adj Net Income2</t>
  </si>
  <si>
    <t>Asset Management Fee</t>
  </si>
  <si>
    <t>Adj Cash Flow</t>
  </si>
  <si>
    <t>Preferential Distribution</t>
  </si>
  <si>
    <t>Balance (or Accrued Deficit)</t>
  </si>
  <si>
    <t>Market Rents</t>
  </si>
  <si>
    <t>Affordable Rents</t>
  </si>
  <si>
    <t>80% AMI Rents</t>
  </si>
  <si>
    <t>60% AMI Rents</t>
  </si>
  <si>
    <t>Rate of Increase</t>
  </si>
  <si>
    <t>Total Rental Income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</si>
  <si>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</si>
  <si>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</si>
  <si>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</si>
  <si>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</si>
  <si>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</si>
  <si>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</si>
  <si>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</si>
  <si>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</si>
  <si>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</si>
  <si>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</si>
  <si>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Debt Service</t>
  </si>
  <si>
    <t>Other Distributions</t>
  </si>
  <si>
    <t>Total Accrual</t>
  </si>
  <si>
    <t>Dipsosition</t>
  </si>
  <si>
    <t>Sales Price</t>
  </si>
  <si>
    <t>Capitalization Rate</t>
  </si>
  <si>
    <t>Closing Costs</t>
  </si>
  <si>
    <t>Adj Sales Price</t>
  </si>
  <si>
    <t>Sales Proceeds</t>
  </si>
  <si>
    <t>Loan Balance</t>
  </si>
  <si>
    <t>Net Sales Proceeds</t>
  </si>
  <si>
    <t>Capital Account</t>
  </si>
  <si>
    <t>Adj Net Sales Proceeds</t>
  </si>
  <si>
    <t>excl Non-Operating Expenses</t>
  </si>
  <si>
    <t>incl Title &amp; Closing + Brokerage</t>
  </si>
  <si>
    <t>Total Benefit</t>
  </si>
  <si>
    <t>Market Rent</t>
  </si>
  <si>
    <t>Mixed Income</t>
  </si>
  <si>
    <t>Net Savings</t>
  </si>
  <si>
    <t>Other Benefits</t>
  </si>
  <si>
    <t>in Order of Distribution</t>
  </si>
  <si>
    <t>%age Real Estate Taxes</t>
  </si>
  <si>
    <t>Total Benefits</t>
  </si>
  <si>
    <t>SOURCES and USES of FUNDS</t>
  </si>
  <si>
    <t>CASH FLOW and LOAN ANALYSIS</t>
  </si>
  <si>
    <t>Imputed Equity</t>
  </si>
  <si>
    <t>Rate of Return</t>
  </si>
  <si>
    <t>10 Year PRO FORMA</t>
  </si>
  <si>
    <t>PRO FORMA PROFIT &amp; LOSS STATEMENT</t>
  </si>
  <si>
    <t>BENEFITS ANALYSIS</t>
  </si>
  <si>
    <t>Distribution, Sales Proceeds</t>
  </si>
  <si>
    <t>Loan</t>
  </si>
  <si>
    <t>Total Sources</t>
  </si>
  <si>
    <t>Total Sq.Ft.</t>
  </si>
  <si>
    <t>Novogradac Rents</t>
  </si>
  <si>
    <t>Novogradac</t>
  </si>
  <si>
    <t>Subtotal2</t>
  </si>
  <si>
    <t>Market</t>
  </si>
  <si>
    <t>Pro Forma Rate</t>
  </si>
  <si>
    <t>Total - Average Size (SF)</t>
  </si>
  <si>
    <t>HCV Payment Standard</t>
  </si>
  <si>
    <t>Difference from 60% AMI</t>
  </si>
  <si>
    <t>Net Reduction</t>
  </si>
  <si>
    <t>Difference vs Market</t>
  </si>
  <si>
    <t>Number of Units</t>
  </si>
  <si>
    <t>Total Controllable Expenses</t>
  </si>
  <si>
    <t>Total Non-Controllable Operating Expenses</t>
  </si>
  <si>
    <t>Net Operating Income</t>
  </si>
  <si>
    <t>Adj Net Operating Income</t>
  </si>
  <si>
    <t>Total Net Income</t>
  </si>
  <si>
    <t>Debt Service Coverage (P+I)</t>
  </si>
  <si>
    <t>per Unit</t>
  </si>
  <si>
    <t>MARKET versus AFFORDABLE RENT ANALYSIS</t>
  </si>
  <si>
    <t>Gross Potential Income</t>
  </si>
  <si>
    <t>Equity</t>
  </si>
  <si>
    <t>Controllable Expenses</t>
  </si>
  <si>
    <t xml:space="preserve">  Insurance</t>
  </si>
  <si>
    <t xml:space="preserve">  Real Estate Taxes</t>
  </si>
  <si>
    <t>Vacancy</t>
  </si>
  <si>
    <t>excl Real Estate Taxes</t>
  </si>
  <si>
    <t>Fixed</t>
  </si>
  <si>
    <t>Uses</t>
  </si>
  <si>
    <t>Total 1 Bedroom</t>
  </si>
  <si>
    <t>Total 2 Bedrooms</t>
  </si>
  <si>
    <t>Total Other Non-Controllable Expenses</t>
  </si>
  <si>
    <t>3-Bedroom</t>
  </si>
  <si>
    <t>Utilities Income</t>
  </si>
  <si>
    <t>Other &amp; Utilities Income</t>
  </si>
  <si>
    <t>2 BR/2 Bath</t>
  </si>
  <si>
    <t>1 BR/1 Bath</t>
  </si>
  <si>
    <t xml:space="preserve">  Other</t>
  </si>
  <si>
    <t>ADJ for Post-Closing Lease Payment</t>
  </si>
  <si>
    <t xml:space="preserve">  Repairs &amp; Maintenance</t>
  </si>
  <si>
    <t>Non-Controllable Expenses</t>
  </si>
  <si>
    <t>Est</t>
  </si>
  <si>
    <t>Marketing</t>
  </si>
  <si>
    <t>Total Project Cost</t>
  </si>
  <si>
    <t>Capital Reserves</t>
  </si>
  <si>
    <t>Adj Rent, incl Affordability</t>
  </si>
  <si>
    <t>Capital Events (Back End)</t>
  </si>
  <si>
    <t>Annual Compliance Fee</t>
  </si>
  <si>
    <t>Total Direct Benefits</t>
  </si>
  <si>
    <t>Total Public Benefit</t>
  </si>
  <si>
    <t>Total Est Property Tax Savings</t>
  </si>
  <si>
    <t>Public versus Private Benefit</t>
  </si>
  <si>
    <t>Percentage</t>
  </si>
  <si>
    <t xml:space="preserve"> / Unit</t>
  </si>
  <si>
    <t>10 Year Cash Flow - PFC Model</t>
  </si>
  <si>
    <t>Project Proforma</t>
  </si>
  <si>
    <t xml:space="preserve"> Income Analysis</t>
  </si>
  <si>
    <t>Non-Revenue Units:</t>
  </si>
  <si>
    <t>Concessions:</t>
  </si>
  <si>
    <t>Employee:</t>
  </si>
  <si>
    <t>Bad Debt Write Offs:</t>
  </si>
  <si>
    <t>Less: Vacancy</t>
  </si>
  <si>
    <t>Effective Gross Income</t>
  </si>
  <si>
    <t>Utilities</t>
  </si>
  <si>
    <t>Repairs &amp; Maintenance</t>
  </si>
  <si>
    <t>Property Taxes &amp; Franchise Tax</t>
  </si>
  <si>
    <t>Insurance</t>
  </si>
  <si>
    <t>Management Fee</t>
  </si>
  <si>
    <t>Reserves</t>
  </si>
  <si>
    <t>Underwritten NOI</t>
  </si>
  <si>
    <t>HHA Asset Management Fee</t>
  </si>
  <si>
    <t>Cash Flow for Distribution</t>
  </si>
  <si>
    <t>Developer</t>
  </si>
  <si>
    <t>Net Cash Flow</t>
  </si>
  <si>
    <t>Sale Proceeds</t>
  </si>
  <si>
    <t>Cash to  Developer to reach IRR</t>
  </si>
  <si>
    <t>Balance for Distribution</t>
  </si>
  <si>
    <t>IRR Calculation for Developer</t>
  </si>
  <si>
    <t>Cash Investment</t>
  </si>
  <si>
    <t>Return of Equity</t>
  </si>
  <si>
    <t>Preferrential Return to achive IRR goal</t>
  </si>
  <si>
    <t>Total Cash Flows</t>
  </si>
  <si>
    <t>IRR Target</t>
  </si>
  <si>
    <t>Cash to HHA</t>
  </si>
  <si>
    <t xml:space="preserve">HHA Origination Fee </t>
  </si>
  <si>
    <t>Exit Cash Flow</t>
  </si>
  <si>
    <t>Total Cash Flow to HHA</t>
  </si>
  <si>
    <t>Market vs PFC</t>
  </si>
  <si>
    <t>Totals</t>
  </si>
  <si>
    <t>Scheduled Rent</t>
  </si>
  <si>
    <t>Effective Rent per Unit</t>
  </si>
  <si>
    <t>Effective Rent PSF</t>
  </si>
  <si>
    <t>PFC</t>
  </si>
  <si>
    <t>Rent Concession Delta</t>
  </si>
  <si>
    <t>Developer's Net Savings</t>
  </si>
  <si>
    <t>Cash Flow to HHA</t>
  </si>
  <si>
    <t>HHA gets:</t>
  </si>
  <si>
    <t>Source</t>
  </si>
  <si>
    <t>Use</t>
  </si>
  <si>
    <t>Bond Inducement Fee</t>
  </si>
  <si>
    <t>Developer Fee/Origination Fee</t>
  </si>
  <si>
    <t>Total Source</t>
  </si>
  <si>
    <t>Total Use</t>
  </si>
  <si>
    <t xml:space="preserve">Cash Flow </t>
  </si>
  <si>
    <t>Back-end Cash</t>
  </si>
  <si>
    <t>Total Property Tax Savings</t>
  </si>
  <si>
    <t>Rent Concession Delta varies from</t>
  </si>
  <si>
    <t>to</t>
  </si>
  <si>
    <t>Total Public Benefits</t>
  </si>
  <si>
    <t>Developer Fee/Origination Fee on total acquisition costs</t>
  </si>
  <si>
    <t>HHA Capital Contribution:</t>
  </si>
  <si>
    <t>None</t>
  </si>
  <si>
    <t>HHA Origination Fee:</t>
  </si>
  <si>
    <t>0.75% of the Purchase Price,</t>
  </si>
  <si>
    <t xml:space="preserve">Cash Flow Waterfall: </t>
  </si>
  <si>
    <t xml:space="preserve">I00% to Investor Member until a rate of return of 10% on imputed, </t>
  </si>
  <si>
    <t>contributed equity is met; thereafter, 80% to Investor Member and `</t>
  </si>
  <si>
    <t>and 20% to the Special Member</t>
  </si>
  <si>
    <t>Capital Proceeds Waterfall:</t>
  </si>
  <si>
    <t xml:space="preserve">100% to Investor Member until an internal rate of return of 15% is met; </t>
  </si>
  <si>
    <t xml:space="preserve">Asset Management Fee: </t>
  </si>
  <si>
    <t>Term:</t>
  </si>
  <si>
    <t>months</t>
  </si>
  <si>
    <t>Monthly payment</t>
  </si>
  <si>
    <t>Month</t>
  </si>
  <si>
    <t>Date</t>
  </si>
  <si>
    <t>Beginning Bal.</t>
  </si>
  <si>
    <t>Ending Bal.</t>
  </si>
  <si>
    <t>Interest</t>
  </si>
  <si>
    <t>Principal</t>
  </si>
  <si>
    <t xml:space="preserve">  Marketing</t>
  </si>
  <si>
    <t xml:space="preserve">  Utilities</t>
  </si>
  <si>
    <t>Total Development Cost</t>
  </si>
  <si>
    <t>Franchise Tax</t>
  </si>
  <si>
    <t xml:space="preserve">  Franchise Tax</t>
  </si>
  <si>
    <t>Accrued Preferential Distribution</t>
  </si>
  <si>
    <t>See Note</t>
  </si>
  <si>
    <t>DEBT SERVICE | PERMANENT LOAN</t>
  </si>
  <si>
    <t>Initial Sources</t>
  </si>
  <si>
    <t>Other</t>
  </si>
  <si>
    <t>Purchase Price</t>
  </si>
  <si>
    <t>Acquisition Fee, MORGAN</t>
  </si>
  <si>
    <t>Add:</t>
  </si>
  <si>
    <t>HHA Acquisition Fee</t>
  </si>
  <si>
    <t>Advisory Fee</t>
  </si>
  <si>
    <t>MORGAN Legal</t>
  </si>
  <si>
    <t>MORGAN Third Party Legal</t>
  </si>
  <si>
    <t>Legal Fees, HHA</t>
  </si>
  <si>
    <t>Legal Fees, Lender</t>
  </si>
  <si>
    <t>Title &amp; Closing Costs</t>
  </si>
  <si>
    <t>Loan Origination Fee</t>
  </si>
  <si>
    <t>Lender Processing Fee</t>
  </si>
  <si>
    <t>Lender Application Fee</t>
  </si>
  <si>
    <t>Third Party Reports</t>
  </si>
  <si>
    <t>Contingency</t>
  </si>
  <si>
    <t>Working Capital</t>
  </si>
  <si>
    <t>Year 1 Insurance / Interest</t>
  </si>
  <si>
    <t>Capex Reserve</t>
  </si>
  <si>
    <t>A</t>
  </si>
  <si>
    <t>B</t>
  </si>
  <si>
    <t>C</t>
  </si>
  <si>
    <t>3 BR/2 Bath</t>
  </si>
  <si>
    <t>Subtotal3</t>
  </si>
  <si>
    <t>Subtotal1</t>
  </si>
  <si>
    <t>Loan to Purchase Price</t>
  </si>
  <si>
    <t xml:space="preserve">  Payroll</t>
  </si>
  <si>
    <t xml:space="preserve">  Turnover / Make Ready</t>
  </si>
  <si>
    <t xml:space="preserve">  Contract Services</t>
  </si>
  <si>
    <t xml:space="preserve">  Administrative</t>
  </si>
  <si>
    <t xml:space="preserve">  Bad Debt</t>
  </si>
  <si>
    <t>Collection Loss/Employee/Model</t>
  </si>
  <si>
    <t>Interest Only, Years 1-10</t>
  </si>
  <si>
    <t>Years 3-10</t>
  </si>
  <si>
    <t>Accrued Pref Distribution</t>
  </si>
  <si>
    <t>thereafter 85% to Investor Member and 15% to the Special Member.</t>
  </si>
  <si>
    <t>$25,000 per year</t>
  </si>
  <si>
    <t>Purchase</t>
  </si>
  <si>
    <t>Misc</t>
  </si>
  <si>
    <t>Utility Income</t>
  </si>
  <si>
    <t>HHA AM Fee Escalation</t>
  </si>
  <si>
    <t>or 0.5% of Total Income per Annum</t>
  </si>
  <si>
    <t>1 Bedroom</t>
  </si>
  <si>
    <t>2 Bedrooms</t>
  </si>
  <si>
    <t>Percentages</t>
  </si>
  <si>
    <t>Public Benefit Analysis</t>
  </si>
  <si>
    <t>incl 25% of Units for 60% AMI</t>
  </si>
  <si>
    <t xml:space="preserve">  Management Fee 3% incl Asset Management Fee 1%</t>
  </si>
  <si>
    <t>after 12% preferred IRR</t>
  </si>
  <si>
    <t>PILOT Fee</t>
  </si>
  <si>
    <t>HHA PILOT Fee</t>
  </si>
  <si>
    <t>Preferred return - 8%</t>
  </si>
  <si>
    <t>Project Cost + HHA Acqusition Fee</t>
  </si>
  <si>
    <t>Novogradac Rents (2 per bedroom)</t>
  </si>
  <si>
    <t>Total Development Cost x Origination Fee</t>
  </si>
  <si>
    <t>New Orleans, Louisiana   70113</t>
  </si>
  <si>
    <t>Baronne Lofts</t>
  </si>
  <si>
    <t>Housing Authority of New Orleans</t>
  </si>
  <si>
    <t>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</si>
</sst>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[$-409]mmmm\ d\,\ yyyy;@"/>
    <numFmt numFmtId="167" formatCode="&quot;$&quot;#,##0.00"/>
    <numFmt numFmtId="168" formatCode="[$-409]d/mmm/yy;@"/>
    <numFmt numFmtId="169" formatCode="&quot;$&quot;#,##0"/>
    <numFmt numFmtId="170" formatCode="#,##0\ ;\(#,##0\)"/>
    <numFmt numFmtId="171" formatCode="dd\-mmm\-yy"/>
    <numFmt numFmtId="172" formatCode="0.000%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匠牥晩††††††††††"/>
    </font>
    <font>
      <sz val="11"/>
      <color theme="1" tint="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Arial"/>
      <family val="2"/>
    </font>
    <font>
      <sz val="11"/>
      <color theme="1"/>
      <name val="Symbol"/>
      <family val="1"/>
      <charset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6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" fillId="0" borderId="0"/>
    <xf numFmtId="167" fontId="4" fillId="3" borderId="0" applyFont="0" applyFill="0" applyBorder="0" applyAlignment="0" applyProtection="0"/>
    <xf numFmtId="0" fontId="4" fillId="2" borderId="0" applyNumberFormat="0" applyFont="0" applyAlignment="0">
      <alignment horizontal="center" vertical="center" wrapText="1"/>
    </xf>
    <xf numFmtId="1" fontId="4" fillId="2" borderId="0" applyFont="0" applyFill="0" applyBorder="0" applyAlignment="0"/>
    <xf numFmtId="14" fontId="4" fillId="0" borderId="0" applyFont="0" applyFill="0" applyBorder="0" applyAlignment="0"/>
    <xf numFmtId="0" fontId="2" fillId="4" borderId="0" applyBorder="0" applyProtection="0">
      <alignment horizontal="right" vertical="center" wrapText="1" indent="2"/>
    </xf>
    <xf numFmtId="167" fontId="4" fillId="3" borderId="0" applyFont="0" applyFill="0" applyBorder="0" applyProtection="0">
      <alignment horizontal="right" indent="2"/>
    </xf>
    <xf numFmtId="0" fontId="17" fillId="0" borderId="0"/>
    <xf numFmtId="0" fontId="22" fillId="0" borderId="0"/>
  </cellStyleXfs>
  <cellXfs count="326">
    <xf numFmtId="0" fontId="0" fillId="0" borderId="0" xfId="0"/>
    <xf numFmtId="0" fontId="7" fillId="0" borderId="0" xfId="0" applyFont="1"/>
    <xf numFmtId="0" fontId="5" fillId="0" borderId="0" xfId="0" applyFont="1"/>
    <xf numFmtId="165" fontId="7" fillId="0" borderId="0" xfId="0" applyNumberFormat="1" applyFont="1"/>
    <xf numFmtId="0" fontId="7" fillId="0" borderId="0" xfId="0" applyFont="1" applyAlignment="1">
      <alignment horizontal="center"/>
    </xf>
    <xf numFmtId="10" fontId="7" fillId="0" borderId="0" xfId="0" applyNumberFormat="1" applyFont="1"/>
    <xf numFmtId="164" fontId="7" fillId="0" borderId="0" xfId="1" applyNumberFormat="1" applyFont="1" applyBorder="1"/>
    <xf numFmtId="0" fontId="5" fillId="0" borderId="1" xfId="0" applyFont="1" applyBorder="1" applyAlignment="1">
      <alignment horizontal="center"/>
    </xf>
    <xf numFmtId="3" fontId="7" fillId="0" borderId="0" xfId="0" applyNumberFormat="1" applyFont="1"/>
    <xf numFmtId="165" fontId="7" fillId="0" borderId="0" xfId="2" applyNumberFormat="1" applyFont="1"/>
    <xf numFmtId="10" fontId="7" fillId="0" borderId="0" xfId="3" applyNumberFormat="1" applyFont="1" applyAlignment="1">
      <alignment horizontal="center"/>
    </xf>
    <xf numFmtId="165" fontId="7" fillId="0" borderId="1" xfId="2" applyNumberFormat="1" applyFont="1" applyBorder="1"/>
    <xf numFmtId="10" fontId="7" fillId="0" borderId="1" xfId="3" applyNumberFormat="1" applyFont="1" applyBorder="1" applyAlignment="1">
      <alignment horizontal="center"/>
    </xf>
    <xf numFmtId="165" fontId="7" fillId="0" borderId="4" xfId="2" applyNumberFormat="1" applyFont="1" applyBorder="1"/>
    <xf numFmtId="10" fontId="7" fillId="0" borderId="4" xfId="0" applyNumberFormat="1" applyFont="1" applyBorder="1" applyAlignment="1">
      <alignment horizontal="center"/>
    </xf>
    <xf numFmtId="10" fontId="7" fillId="0" borderId="6" xfId="3" applyNumberFormat="1" applyFont="1" applyBorder="1"/>
    <xf numFmtId="0" fontId="6" fillId="0" borderId="0" xfId="0" applyFont="1"/>
    <xf numFmtId="49" fontId="8" fillId="0" borderId="0" xfId="0" applyNumberFormat="1" applyFont="1" applyAlignment="1">
      <alignment horizontal="center" vertical="top"/>
    </xf>
    <xf numFmtId="3" fontId="8" fillId="0" borderId="0" xfId="0" applyNumberFormat="1" applyFont="1" applyAlignment="1">
      <alignment horizontal="right" vertical="top"/>
    </xf>
    <xf numFmtId="3" fontId="8" fillId="0" borderId="1" xfId="0" applyNumberFormat="1" applyFont="1" applyBorder="1" applyAlignment="1">
      <alignment horizontal="right" vertical="top"/>
    </xf>
    <xf numFmtId="49" fontId="9" fillId="0" borderId="1" xfId="0" applyNumberFormat="1" applyFont="1" applyBorder="1" applyAlignment="1">
      <alignment horizontal="center" vertical="top"/>
    </xf>
    <xf numFmtId="49" fontId="8" fillId="0" borderId="0" xfId="0" applyNumberFormat="1" applyFont="1" applyAlignment="1">
      <alignment vertical="top"/>
    </xf>
    <xf numFmtId="43" fontId="8" fillId="0" borderId="0" xfId="1" applyFont="1" applyAlignment="1">
      <alignment horizontal="right" vertical="top"/>
    </xf>
    <xf numFmtId="4" fontId="8" fillId="0" borderId="0" xfId="0" applyNumberFormat="1" applyFont="1" applyAlignment="1">
      <alignment horizontal="right" vertical="top"/>
    </xf>
    <xf numFmtId="44" fontId="8" fillId="0" borderId="0" xfId="2" applyFont="1" applyAlignment="1">
      <alignment horizontal="right" vertical="top"/>
    </xf>
    <xf numFmtId="4" fontId="8" fillId="0" borderId="1" xfId="0" applyNumberFormat="1" applyFont="1" applyBorder="1" applyAlignment="1">
      <alignment horizontal="right" vertical="top"/>
    </xf>
    <xf numFmtId="165" fontId="8" fillId="0" borderId="0" xfId="2" applyNumberFormat="1" applyFont="1" applyAlignment="1">
      <alignment horizontal="right" vertical="top"/>
    </xf>
    <xf numFmtId="3" fontId="8" fillId="0" borderId="2" xfId="0" applyNumberFormat="1" applyFont="1" applyBorder="1" applyAlignment="1">
      <alignment horizontal="right" vertical="top"/>
    </xf>
    <xf numFmtId="4" fontId="8" fillId="0" borderId="2" xfId="0" applyNumberFormat="1" applyFont="1" applyBorder="1" applyAlignment="1">
      <alignment horizontal="right" vertical="top"/>
    </xf>
    <xf numFmtId="10" fontId="7" fillId="0" borderId="0" xfId="0" applyNumberFormat="1" applyFont="1" applyAlignment="1">
      <alignment horizontal="center"/>
    </xf>
    <xf numFmtId="0" fontId="5" fillId="0" borderId="2" xfId="0" applyFont="1" applyBorder="1"/>
    <xf numFmtId="10" fontId="7" fillId="0" borderId="0" xfId="3" applyNumberFormat="1" applyFont="1"/>
    <xf numFmtId="44" fontId="7" fillId="0" borderId="0" xfId="0" applyNumberFormat="1" applyFont="1"/>
    <xf numFmtId="44" fontId="8" fillId="0" borderId="3" xfId="2" applyFont="1" applyBorder="1" applyAlignment="1">
      <alignment horizontal="right" vertical="top"/>
    </xf>
    <xf numFmtId="43" fontId="8" fillId="0" borderId="0" xfId="1" applyFont="1" applyBorder="1" applyAlignment="1">
      <alignment horizontal="right" vertical="top"/>
    </xf>
    <xf numFmtId="0" fontId="9" fillId="0" borderId="2" xfId="0" applyFont="1" applyBorder="1"/>
    <xf numFmtId="10" fontId="9" fillId="0" borderId="2" xfId="3" applyNumberFormat="1" applyFont="1" applyBorder="1"/>
    <xf numFmtId="10" fontId="8" fillId="0" borderId="0" xfId="3" applyNumberFormat="1" applyFont="1" applyAlignment="1">
      <alignment horizontal="right" vertical="top"/>
    </xf>
    <xf numFmtId="10" fontId="10" fillId="0" borderId="0" xfId="0" applyNumberFormat="1" applyFont="1" applyAlignment="1">
      <alignment horizontal="center"/>
    </xf>
    <xf numFmtId="164" fontId="10" fillId="0" borderId="0" xfId="1" applyNumberFormat="1" applyFont="1" applyBorder="1"/>
    <xf numFmtId="10" fontId="8" fillId="0" borderId="0" xfId="0" applyNumberFormat="1" applyFont="1" applyAlignment="1">
      <alignment horizontal="center"/>
    </xf>
    <xf numFmtId="164" fontId="10" fillId="0" borderId="0" xfId="1" applyNumberFormat="1" applyFont="1"/>
    <xf numFmtId="44" fontId="7" fillId="0" borderId="0" xfId="2" applyFont="1"/>
    <xf numFmtId="10" fontId="8" fillId="0" borderId="0" xfId="0" applyNumberFormat="1" applyFont="1"/>
    <xf numFmtId="10" fontId="7" fillId="0" borderId="1" xfId="3" applyNumberFormat="1" applyFont="1" applyBorder="1"/>
    <xf numFmtId="0" fontId="8" fillId="0" borderId="0" xfId="0" applyFont="1"/>
    <xf numFmtId="0" fontId="8" fillId="0" borderId="1" xfId="0" applyFont="1" applyBorder="1"/>
    <xf numFmtId="10" fontId="8" fillId="0" borderId="1" xfId="0" applyNumberFormat="1" applyFont="1" applyBorder="1"/>
    <xf numFmtId="10" fontId="8" fillId="0" borderId="0" xfId="3" applyNumberFormat="1" applyFont="1"/>
    <xf numFmtId="165" fontId="10" fillId="0" borderId="0" xfId="2" applyNumberFormat="1" applyFont="1"/>
    <xf numFmtId="165" fontId="7" fillId="0" borderId="2" xfId="2" applyNumberFormat="1" applyFont="1" applyBorder="1"/>
    <xf numFmtId="0" fontId="8" fillId="0" borderId="3" xfId="0" applyFont="1" applyBorder="1"/>
    <xf numFmtId="1" fontId="9" fillId="0" borderId="0" xfId="0" applyNumberFormat="1" applyFont="1"/>
    <xf numFmtId="43" fontId="8" fillId="0" borderId="0" xfId="1" applyFont="1"/>
    <xf numFmtId="10" fontId="8" fillId="0" borderId="0" xfId="3" applyNumberFormat="1" applyFont="1" applyBorder="1" applyAlignment="1">
      <alignment horizontal="right" vertical="top"/>
    </xf>
    <xf numFmtId="0" fontId="7" fillId="0" borderId="0" xfId="0" applyFont="1" applyAlignment="1">
      <alignment horizontal="right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5" borderId="11" xfId="0" applyFill="1" applyBorder="1"/>
    <xf numFmtId="0" fontId="0" fillId="5" borderId="12" xfId="0" applyFill="1" applyBorder="1"/>
    <xf numFmtId="0" fontId="2" fillId="6" borderId="11" xfId="0" applyFont="1" applyFill="1" applyBorder="1"/>
    <xf numFmtId="168" fontId="2" fillId="6" borderId="0" xfId="0" applyNumberFormat="1" applyFont="1" applyFill="1"/>
    <xf numFmtId="168" fontId="2" fillId="6" borderId="0" xfId="0" applyNumberFormat="1" applyFont="1" applyFill="1" applyAlignment="1">
      <alignment horizontal="center"/>
    </xf>
    <xf numFmtId="168" fontId="2" fillId="6" borderId="12" xfId="0" applyNumberFormat="1" applyFont="1" applyFill="1" applyBorder="1" applyAlignment="1">
      <alignment horizontal="center"/>
    </xf>
    <xf numFmtId="168" fontId="0" fillId="5" borderId="0" xfId="0" applyNumberFormat="1" applyFill="1"/>
    <xf numFmtId="6" fontId="0" fillId="5" borderId="0" xfId="0" applyNumberFormat="1" applyFill="1"/>
    <xf numFmtId="10" fontId="0" fillId="5" borderId="0" xfId="3" applyNumberFormat="1" applyFont="1" applyFill="1"/>
    <xf numFmtId="6" fontId="0" fillId="5" borderId="12" xfId="0" applyNumberFormat="1" applyFill="1" applyBorder="1"/>
    <xf numFmtId="0" fontId="2" fillId="6" borderId="13" xfId="0" applyFont="1" applyFill="1" applyBorder="1"/>
    <xf numFmtId="6" fontId="2" fillId="6" borderId="1" xfId="0" applyNumberFormat="1" applyFont="1" applyFill="1" applyBorder="1"/>
    <xf numFmtId="6" fontId="2" fillId="6" borderId="14" xfId="0" applyNumberFormat="1" applyFont="1" applyFill="1" applyBorder="1"/>
    <xf numFmtId="0" fontId="0" fillId="5" borderId="8" xfId="0" applyFill="1" applyBorder="1"/>
    <xf numFmtId="0" fontId="0" fillId="5" borderId="9" xfId="0" applyFill="1" applyBorder="1"/>
    <xf numFmtId="6" fontId="0" fillId="5" borderId="9" xfId="0" applyNumberFormat="1" applyFill="1" applyBorder="1"/>
    <xf numFmtId="6" fontId="0" fillId="5" borderId="10" xfId="0" applyNumberFormat="1" applyFill="1" applyBorder="1"/>
    <xf numFmtId="0" fontId="0" fillId="5" borderId="13" xfId="0" applyFill="1" applyBorder="1"/>
    <xf numFmtId="0" fontId="0" fillId="5" borderId="1" xfId="0" applyFill="1" applyBorder="1"/>
    <xf numFmtId="6" fontId="0" fillId="5" borderId="1" xfId="0" applyNumberFormat="1" applyFill="1" applyBorder="1"/>
    <xf numFmtId="6" fontId="0" fillId="5" borderId="14" xfId="0" applyNumberFormat="1" applyFill="1" applyBorder="1"/>
    <xf numFmtId="0" fontId="12" fillId="6" borderId="15" xfId="0" applyFont="1" applyFill="1" applyBorder="1"/>
    <xf numFmtId="0" fontId="0" fillId="6" borderId="3" xfId="0" applyFill="1" applyBorder="1"/>
    <xf numFmtId="5" fontId="12" fillId="6" borderId="3" xfId="0" applyNumberFormat="1" applyFont="1" applyFill="1" applyBorder="1"/>
    <xf numFmtId="5" fontId="12" fillId="6" borderId="16" xfId="0" applyNumberFormat="1" applyFont="1" applyFill="1" applyBorder="1"/>
    <xf numFmtId="0" fontId="2" fillId="6" borderId="8" xfId="0" applyFont="1" applyFill="1" applyBorder="1"/>
    <xf numFmtId="0" fontId="2" fillId="6" borderId="9" xfId="0" applyFont="1" applyFill="1" applyBorder="1"/>
    <xf numFmtId="5" fontId="2" fillId="6" borderId="9" xfId="0" applyNumberFormat="1" applyFont="1" applyFill="1" applyBorder="1"/>
    <xf numFmtId="5" fontId="2" fillId="6" borderId="10" xfId="0" applyNumberFormat="1" applyFont="1" applyFill="1" applyBorder="1"/>
    <xf numFmtId="10" fontId="0" fillId="5" borderId="0" xfId="0" applyNumberFormat="1" applyFill="1" applyAlignment="1">
      <alignment horizontal="center"/>
    </xf>
    <xf numFmtId="9" fontId="0" fillId="5" borderId="0" xfId="0" applyNumberFormat="1" applyFill="1" applyAlignment="1">
      <alignment horizontal="center"/>
    </xf>
    <xf numFmtId="0" fontId="0" fillId="5" borderId="15" xfId="0" applyFill="1" applyBorder="1"/>
    <xf numFmtId="0" fontId="0" fillId="5" borderId="3" xfId="0" applyFill="1" applyBorder="1"/>
    <xf numFmtId="6" fontId="0" fillId="5" borderId="3" xfId="0" applyNumberFormat="1" applyFill="1" applyBorder="1"/>
    <xf numFmtId="6" fontId="0" fillId="5" borderId="16" xfId="0" applyNumberFormat="1" applyFill="1" applyBorder="1"/>
    <xf numFmtId="0" fontId="7" fillId="5" borderId="11" xfId="0" applyFont="1" applyFill="1" applyBorder="1" applyAlignment="1">
      <alignment horizontal="left"/>
    </xf>
    <xf numFmtId="9" fontId="8" fillId="5" borderId="0" xfId="0" applyNumberFormat="1" applyFont="1" applyFill="1" applyAlignment="1">
      <alignment horizontal="center"/>
    </xf>
    <xf numFmtId="0" fontId="2" fillId="6" borderId="15" xfId="0" applyFont="1" applyFill="1" applyBorder="1"/>
    <xf numFmtId="0" fontId="2" fillId="6" borderId="3" xfId="0" applyFont="1" applyFill="1" applyBorder="1"/>
    <xf numFmtId="5" fontId="2" fillId="6" borderId="3" xfId="0" applyNumberFormat="1" applyFont="1" applyFill="1" applyBorder="1"/>
    <xf numFmtId="5" fontId="2" fillId="6" borderId="16" xfId="0" applyNumberFormat="1" applyFont="1" applyFill="1" applyBorder="1"/>
    <xf numFmtId="0" fontId="2" fillId="5" borderId="3" xfId="0" applyFont="1" applyFill="1" applyBorder="1"/>
    <xf numFmtId="0" fontId="2" fillId="5" borderId="9" xfId="0" applyFont="1" applyFill="1" applyBorder="1"/>
    <xf numFmtId="6" fontId="2" fillId="5" borderId="9" xfId="0" applyNumberFormat="1" applyFont="1" applyFill="1" applyBorder="1"/>
    <xf numFmtId="6" fontId="2" fillId="5" borderId="3" xfId="0" applyNumberFormat="1" applyFont="1" applyFill="1" applyBorder="1"/>
    <xf numFmtId="168" fontId="2" fillId="6" borderId="9" xfId="0" applyNumberFormat="1" applyFont="1" applyFill="1" applyBorder="1"/>
    <xf numFmtId="168" fontId="2" fillId="6" borderId="10" xfId="0" applyNumberFormat="1" applyFont="1" applyFill="1" applyBorder="1"/>
    <xf numFmtId="10" fontId="8" fillId="5" borderId="0" xfId="0" applyNumberFormat="1" applyFont="1" applyFill="1" applyAlignment="1">
      <alignment horizontal="center"/>
    </xf>
    <xf numFmtId="165" fontId="7" fillId="5" borderId="0" xfId="0" applyNumberFormat="1" applyFont="1" applyFill="1"/>
    <xf numFmtId="164" fontId="7" fillId="5" borderId="0" xfId="1" applyNumberFormat="1" applyFont="1" applyFill="1" applyBorder="1"/>
    <xf numFmtId="10" fontId="0" fillId="5" borderId="0" xfId="0" applyNumberFormat="1" applyFill="1"/>
    <xf numFmtId="9" fontId="0" fillId="5" borderId="1" xfId="0" applyNumberFormat="1" applyFill="1" applyBorder="1"/>
    <xf numFmtId="0" fontId="7" fillId="5" borderId="0" xfId="0" applyFont="1" applyFill="1"/>
    <xf numFmtId="0" fontId="0" fillId="7" borderId="15" xfId="0" applyFill="1" applyBorder="1"/>
    <xf numFmtId="0" fontId="0" fillId="7" borderId="3" xfId="0" applyFill="1" applyBorder="1"/>
    <xf numFmtId="6" fontId="0" fillId="7" borderId="3" xfId="0" applyNumberFormat="1" applyFill="1" applyBorder="1"/>
    <xf numFmtId="6" fontId="0" fillId="7" borderId="16" xfId="0" applyNumberFormat="1" applyFill="1" applyBorder="1"/>
    <xf numFmtId="0" fontId="0" fillId="7" borderId="8" xfId="0" applyFill="1" applyBorder="1"/>
    <xf numFmtId="9" fontId="0" fillId="7" borderId="9" xfId="0" applyNumberFormat="1" applyFill="1" applyBorder="1"/>
    <xf numFmtId="6" fontId="0" fillId="7" borderId="9" xfId="0" applyNumberFormat="1" applyFill="1" applyBorder="1"/>
    <xf numFmtId="6" fontId="0" fillId="7" borderId="10" xfId="0" applyNumberFormat="1" applyFill="1" applyBorder="1"/>
    <xf numFmtId="0" fontId="0" fillId="7" borderId="13" xfId="0" applyFill="1" applyBorder="1"/>
    <xf numFmtId="9" fontId="0" fillId="7" borderId="1" xfId="0" applyNumberFormat="1" applyFill="1" applyBorder="1"/>
    <xf numFmtId="6" fontId="0" fillId="7" borderId="1" xfId="0" applyNumberFormat="1" applyFill="1" applyBorder="1"/>
    <xf numFmtId="6" fontId="0" fillId="7" borderId="14" xfId="0" applyNumberFormat="1" applyFill="1" applyBorder="1"/>
    <xf numFmtId="164" fontId="7" fillId="0" borderId="0" xfId="1" applyNumberFormat="1" applyFont="1" applyFill="1" applyBorder="1"/>
    <xf numFmtId="168" fontId="12" fillId="6" borderId="9" xfId="0" applyNumberFormat="1" applyFont="1" applyFill="1" applyBorder="1"/>
    <xf numFmtId="168" fontId="12" fillId="6" borderId="10" xfId="0" applyNumberFormat="1" applyFont="1" applyFill="1" applyBorder="1"/>
    <xf numFmtId="5" fontId="2" fillId="6" borderId="0" xfId="0" applyNumberFormat="1" applyFont="1" applyFill="1"/>
    <xf numFmtId="6" fontId="2" fillId="6" borderId="0" xfId="0" applyNumberFormat="1" applyFont="1" applyFill="1"/>
    <xf numFmtId="6" fontId="2" fillId="6" borderId="12" xfId="0" applyNumberFormat="1" applyFont="1" applyFill="1" applyBorder="1"/>
    <xf numFmtId="0" fontId="0" fillId="7" borderId="1" xfId="0" applyFill="1" applyBorder="1"/>
    <xf numFmtId="10" fontId="0" fillId="7" borderId="14" xfId="3" applyNumberFormat="1" applyFont="1" applyFill="1" applyBorder="1"/>
    <xf numFmtId="10" fontId="0" fillId="5" borderId="0" xfId="3" applyNumberFormat="1" applyFont="1" applyFill="1" applyBorder="1"/>
    <xf numFmtId="0" fontId="12" fillId="6" borderId="8" xfId="0" applyFont="1" applyFill="1" applyBorder="1"/>
    <xf numFmtId="4" fontId="0" fillId="0" borderId="0" xfId="0" applyNumberFormat="1"/>
    <xf numFmtId="6" fontId="0" fillId="0" borderId="0" xfId="0" applyNumberFormat="1"/>
    <xf numFmtId="0" fontId="2" fillId="6" borderId="9" xfId="0" applyFont="1" applyFill="1" applyBorder="1" applyAlignment="1">
      <alignment horizontal="center"/>
    </xf>
    <xf numFmtId="168" fontId="2" fillId="6" borderId="9" xfId="0" applyNumberFormat="1" applyFont="1" applyFill="1" applyBorder="1" applyAlignment="1">
      <alignment horizontal="center"/>
    </xf>
    <xf numFmtId="168" fontId="2" fillId="6" borderId="10" xfId="0" applyNumberFormat="1" applyFont="1" applyFill="1" applyBorder="1" applyAlignment="1">
      <alignment horizontal="center"/>
    </xf>
    <xf numFmtId="0" fontId="11" fillId="5" borderId="15" xfId="0" applyFont="1" applyFill="1" applyBorder="1"/>
    <xf numFmtId="0" fontId="0" fillId="5" borderId="16" xfId="0" applyFill="1" applyBorder="1"/>
    <xf numFmtId="0" fontId="0" fillId="8" borderId="12" xfId="0" applyFill="1" applyBorder="1"/>
    <xf numFmtId="0" fontId="15" fillId="5" borderId="11" xfId="0" applyFont="1" applyFill="1" applyBorder="1"/>
    <xf numFmtId="8" fontId="0" fillId="5" borderId="0" xfId="0" applyNumberFormat="1" applyFill="1"/>
    <xf numFmtId="8" fontId="0" fillId="5" borderId="12" xfId="0" applyNumberFormat="1" applyFill="1" applyBorder="1"/>
    <xf numFmtId="0" fontId="16" fillId="5" borderId="15" xfId="0" applyFont="1" applyFill="1" applyBorder="1"/>
    <xf numFmtId="6" fontId="18" fillId="5" borderId="0" xfId="12" applyNumberFormat="1" applyFont="1" applyFill="1" applyAlignment="1">
      <alignment horizontal="right" vertical="top"/>
    </xf>
    <xf numFmtId="6" fontId="18" fillId="5" borderId="12" xfId="12" applyNumberFormat="1" applyFont="1" applyFill="1" applyBorder="1" applyAlignment="1">
      <alignment horizontal="right" vertical="top"/>
    </xf>
    <xf numFmtId="6" fontId="0" fillId="8" borderId="12" xfId="0" applyNumberFormat="1" applyFill="1" applyBorder="1"/>
    <xf numFmtId="0" fontId="15" fillId="5" borderId="13" xfId="0" applyFont="1" applyFill="1" applyBorder="1"/>
    <xf numFmtId="6" fontId="0" fillId="8" borderId="14" xfId="0" applyNumberFormat="1" applyFill="1" applyBorder="1"/>
    <xf numFmtId="0" fontId="0" fillId="5" borderId="10" xfId="0" applyFill="1" applyBorder="1"/>
    <xf numFmtId="0" fontId="12" fillId="6" borderId="9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0" fontId="15" fillId="5" borderId="8" xfId="0" applyFont="1" applyFill="1" applyBorder="1"/>
    <xf numFmtId="9" fontId="0" fillId="5" borderId="9" xfId="0" applyNumberFormat="1" applyFill="1" applyBorder="1" applyAlignment="1">
      <alignment horizontal="center"/>
    </xf>
    <xf numFmtId="169" fontId="0" fillId="5" borderId="10" xfId="0" applyNumberFormat="1" applyFill="1" applyBorder="1"/>
    <xf numFmtId="169" fontId="0" fillId="5" borderId="0" xfId="0" applyNumberFormat="1" applyFill="1"/>
    <xf numFmtId="169" fontId="0" fillId="5" borderId="12" xfId="0" applyNumberFormat="1" applyFill="1" applyBorder="1"/>
    <xf numFmtId="6" fontId="12" fillId="6" borderId="1" xfId="0" applyNumberFormat="1" applyFont="1" applyFill="1" applyBorder="1"/>
    <xf numFmtId="6" fontId="12" fillId="6" borderId="14" xfId="0" applyNumberFormat="1" applyFont="1" applyFill="1" applyBorder="1"/>
    <xf numFmtId="0" fontId="0" fillId="5" borderId="0" xfId="0" applyFill="1" applyAlignment="1">
      <alignment horizontal="center"/>
    </xf>
    <xf numFmtId="0" fontId="12" fillId="6" borderId="8" xfId="0" applyFont="1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6" fontId="0" fillId="5" borderId="0" xfId="0" applyNumberFormat="1" applyFill="1" applyAlignment="1">
      <alignment horizontal="left"/>
    </xf>
    <xf numFmtId="0" fontId="15" fillId="5" borderId="11" xfId="0" applyFont="1" applyFill="1" applyBorder="1" applyAlignment="1">
      <alignment horizontal="right"/>
    </xf>
    <xf numFmtId="0" fontId="12" fillId="6" borderId="11" xfId="0" applyFont="1" applyFill="1" applyBorder="1"/>
    <xf numFmtId="0" fontId="12" fillId="6" borderId="0" xfId="0" applyFont="1" applyFill="1"/>
    <xf numFmtId="0" fontId="12" fillId="6" borderId="0" xfId="0" applyFont="1" applyFill="1" applyAlignment="1">
      <alignment horizontal="center"/>
    </xf>
    <xf numFmtId="0" fontId="12" fillId="6" borderId="12" xfId="0" applyFont="1" applyFill="1" applyBorder="1" applyAlignment="1">
      <alignment horizontal="center"/>
    </xf>
    <xf numFmtId="10" fontId="0" fillId="5" borderId="1" xfId="3" applyNumberFormat="1" applyFont="1" applyFill="1" applyBorder="1" applyAlignment="1">
      <alignment horizontal="center"/>
    </xf>
    <xf numFmtId="0" fontId="12" fillId="9" borderId="13" xfId="0" applyFont="1" applyFill="1" applyBorder="1"/>
    <xf numFmtId="0" fontId="12" fillId="9" borderId="1" xfId="0" applyFont="1" applyFill="1" applyBorder="1"/>
    <xf numFmtId="10" fontId="12" fillId="9" borderId="1" xfId="3" applyNumberFormat="1" applyFont="1" applyFill="1" applyBorder="1" applyAlignment="1">
      <alignment horizontal="center"/>
    </xf>
    <xf numFmtId="10" fontId="12" fillId="9" borderId="14" xfId="3" applyNumberFormat="1" applyFont="1" applyFill="1" applyBorder="1" applyAlignment="1">
      <alignment horizontal="center"/>
    </xf>
    <xf numFmtId="0" fontId="7" fillId="5" borderId="15" xfId="0" applyFont="1" applyFill="1" applyBorder="1"/>
    <xf numFmtId="0" fontId="0" fillId="5" borderId="14" xfId="0" applyFill="1" applyBorder="1"/>
    <xf numFmtId="0" fontId="7" fillId="5" borderId="9" xfId="0" applyFont="1" applyFill="1" applyBorder="1"/>
    <xf numFmtId="0" fontId="19" fillId="5" borderId="0" xfId="0" applyFont="1" applyFill="1" applyAlignment="1">
      <alignment horizontal="left" vertical="center" indent="4"/>
    </xf>
    <xf numFmtId="0" fontId="19" fillId="5" borderId="0" xfId="0" applyFont="1" applyFill="1" applyAlignment="1">
      <alignment vertical="center"/>
    </xf>
    <xf numFmtId="170" fontId="22" fillId="5" borderId="0" xfId="13" quotePrefix="1" applyNumberFormat="1" applyFill="1" applyAlignment="1">
      <alignment horizontal="left"/>
    </xf>
    <xf numFmtId="170" fontId="22" fillId="5" borderId="0" xfId="13" applyNumberFormat="1" applyFill="1"/>
    <xf numFmtId="0" fontId="22" fillId="5" borderId="0" xfId="13" applyFill="1"/>
    <xf numFmtId="0" fontId="22" fillId="0" borderId="0" xfId="13"/>
    <xf numFmtId="6" fontId="22" fillId="5" borderId="0" xfId="13" applyNumberFormat="1" applyFill="1"/>
    <xf numFmtId="10" fontId="22" fillId="5" borderId="0" xfId="13" applyNumberFormat="1" applyFill="1"/>
    <xf numFmtId="0" fontId="23" fillId="0" borderId="0" xfId="13" applyFont="1"/>
    <xf numFmtId="170" fontId="22" fillId="5" borderId="1" xfId="13" applyNumberFormat="1" applyFill="1" applyBorder="1" applyAlignment="1">
      <alignment horizontal="left"/>
    </xf>
    <xf numFmtId="6" fontId="22" fillId="5" borderId="1" xfId="13" applyNumberFormat="1" applyFill="1" applyBorder="1" applyAlignment="1">
      <alignment horizontal="center"/>
    </xf>
    <xf numFmtId="170" fontId="22" fillId="5" borderId="0" xfId="13" applyNumberFormat="1" applyFill="1" applyAlignment="1">
      <alignment horizontal="left"/>
    </xf>
    <xf numFmtId="171" fontId="22" fillId="5" borderId="0" xfId="13" applyNumberFormat="1" applyFill="1" applyAlignment="1">
      <alignment horizontal="left"/>
    </xf>
    <xf numFmtId="6" fontId="22" fillId="10" borderId="0" xfId="13" applyNumberFormat="1" applyFill="1"/>
    <xf numFmtId="6" fontId="22" fillId="0" borderId="0" xfId="13" applyNumberFormat="1"/>
    <xf numFmtId="170" fontId="22" fillId="0" borderId="0" xfId="13" applyNumberFormat="1" applyAlignment="1">
      <alignment horizontal="left"/>
    </xf>
    <xf numFmtId="171" fontId="22" fillId="0" borderId="0" xfId="13" applyNumberFormat="1" applyAlignment="1">
      <alignment horizontal="left"/>
    </xf>
    <xf numFmtId="0" fontId="22" fillId="10" borderId="0" xfId="13" applyFill="1"/>
    <xf numFmtId="170" fontId="22" fillId="11" borderId="0" xfId="13" applyNumberFormat="1" applyFill="1" applyAlignment="1">
      <alignment horizontal="left"/>
    </xf>
    <xf numFmtId="171" fontId="22" fillId="11" borderId="0" xfId="13" applyNumberFormat="1" applyFill="1" applyAlignment="1">
      <alignment horizontal="left"/>
    </xf>
    <xf numFmtId="6" fontId="22" fillId="11" borderId="0" xfId="13" applyNumberFormat="1" applyFill="1"/>
    <xf numFmtId="10" fontId="22" fillId="0" borderId="0" xfId="3" applyNumberFormat="1" applyFont="1" applyAlignment="1">
      <alignment horizontal="center"/>
    </xf>
    <xf numFmtId="170" fontId="22" fillId="8" borderId="0" xfId="13" applyNumberFormat="1" applyFill="1" applyAlignment="1">
      <alignment horizontal="left"/>
    </xf>
    <xf numFmtId="171" fontId="22" fillId="8" borderId="0" xfId="13" applyNumberFormat="1" applyFill="1" applyAlignment="1">
      <alignment horizontal="left"/>
    </xf>
    <xf numFmtId="6" fontId="22" fillId="8" borderId="0" xfId="13" applyNumberFormat="1" applyFill="1"/>
    <xf numFmtId="170" fontId="22" fillId="0" borderId="7" xfId="13" applyNumberFormat="1" applyBorder="1" applyAlignment="1">
      <alignment horizontal="left"/>
    </xf>
    <xf numFmtId="171" fontId="22" fillId="0" borderId="7" xfId="13" applyNumberFormat="1" applyBorder="1" applyAlignment="1">
      <alignment horizontal="left"/>
    </xf>
    <xf numFmtId="6" fontId="22" fillId="0" borderId="7" xfId="13" applyNumberFormat="1" applyBorder="1"/>
    <xf numFmtId="171" fontId="22" fillId="0" borderId="0" xfId="13" applyNumberFormat="1"/>
    <xf numFmtId="5" fontId="0" fillId="5" borderId="0" xfId="0" applyNumberFormat="1" applyFill="1"/>
    <xf numFmtId="0" fontId="8" fillId="0" borderId="0" xfId="0" applyFont="1" applyAlignment="1">
      <alignment horizontal="right"/>
    </xf>
    <xf numFmtId="165" fontId="8" fillId="0" borderId="0" xfId="0" applyNumberFormat="1" applyFont="1"/>
    <xf numFmtId="165" fontId="8" fillId="0" borderId="0" xfId="2" applyNumberFormat="1" applyFont="1"/>
    <xf numFmtId="10" fontId="8" fillId="0" borderId="1" xfId="3" applyNumberFormat="1" applyFont="1" applyBorder="1" applyAlignment="1">
      <alignment horizontal="right" vertical="top"/>
    </xf>
    <xf numFmtId="165" fontId="8" fillId="0" borderId="1" xfId="2" applyNumberFormat="1" applyFont="1" applyBorder="1"/>
    <xf numFmtId="165" fontId="7" fillId="0" borderId="0" xfId="2" applyNumberFormat="1" applyFont="1" applyAlignment="1">
      <alignment horizontal="center"/>
    </xf>
    <xf numFmtId="44" fontId="8" fillId="0" borderId="0" xfId="2" applyFont="1"/>
    <xf numFmtId="44" fontId="7" fillId="0" borderId="1" xfId="2" applyFont="1" applyBorder="1"/>
    <xf numFmtId="165" fontId="7" fillId="0" borderId="1" xfId="2" applyNumberFormat="1" applyFont="1" applyFill="1" applyBorder="1"/>
    <xf numFmtId="165" fontId="7" fillId="0" borderId="0" xfId="2" quotePrefix="1" applyNumberFormat="1" applyFont="1"/>
    <xf numFmtId="165" fontId="7" fillId="0" borderId="0" xfId="2" applyNumberFormat="1" applyFont="1" applyBorder="1"/>
    <xf numFmtId="165" fontId="9" fillId="0" borderId="1" xfId="2" applyNumberFormat="1" applyFont="1" applyBorder="1" applyAlignment="1">
      <alignment horizontal="center"/>
    </xf>
    <xf numFmtId="165" fontId="8" fillId="0" borderId="0" xfId="2" applyNumberFormat="1" applyFont="1" applyBorder="1"/>
    <xf numFmtId="165" fontId="8" fillId="0" borderId="3" xfId="2" applyNumberFormat="1" applyFont="1" applyBorder="1"/>
    <xf numFmtId="165" fontId="8" fillId="0" borderId="2" xfId="2" applyNumberFormat="1" applyFont="1" applyBorder="1"/>
    <xf numFmtId="10" fontId="8" fillId="0" borderId="0" xfId="3" applyNumberFormat="1" applyFont="1" applyAlignment="1">
      <alignment horizontal="center"/>
    </xf>
    <xf numFmtId="0" fontId="8" fillId="0" borderId="0" xfId="0" applyFont="1" applyAlignment="1">
      <alignment horizontal="center"/>
    </xf>
    <xf numFmtId="164" fontId="8" fillId="0" borderId="0" xfId="0" applyNumberFormat="1" applyFont="1"/>
    <xf numFmtId="3" fontId="8" fillId="0" borderId="0" xfId="0" applyNumberFormat="1" applyFont="1"/>
    <xf numFmtId="9" fontId="8" fillId="0" borderId="0" xfId="0" applyNumberFormat="1" applyFont="1"/>
    <xf numFmtId="164" fontId="8" fillId="0" borderId="1" xfId="1" applyNumberFormat="1" applyFont="1" applyBorder="1"/>
    <xf numFmtId="8" fontId="8" fillId="0" borderId="0" xfId="0" applyNumberFormat="1" applyFont="1"/>
    <xf numFmtId="164" fontId="8" fillId="0" borderId="0" xfId="1" applyNumberFormat="1" applyFont="1" applyBorder="1"/>
    <xf numFmtId="44" fontId="8" fillId="0" borderId="0" xfId="0" applyNumberFormat="1" applyFont="1"/>
    <xf numFmtId="165" fontId="8" fillId="0" borderId="2" xfId="0" applyNumberFormat="1" applyFont="1" applyBorder="1"/>
    <xf numFmtId="165" fontId="8" fillId="0" borderId="1" xfId="1" applyNumberFormat="1" applyFont="1" applyBorder="1"/>
    <xf numFmtId="10" fontId="9" fillId="0" borderId="0" xfId="0" applyNumberFormat="1" applyFont="1"/>
    <xf numFmtId="165" fontId="8" fillId="0" borderId="0" xfId="1" applyNumberFormat="1" applyFont="1" applyBorder="1"/>
    <xf numFmtId="165" fontId="8" fillId="0" borderId="4" xfId="0" applyNumberFormat="1" applyFont="1" applyBorder="1"/>
    <xf numFmtId="44" fontId="8" fillId="0" borderId="1" xfId="2" applyFont="1" applyBorder="1"/>
    <xf numFmtId="0" fontId="9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16" fontId="8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164" fontId="9" fillId="0" borderId="2" xfId="0" applyNumberFormat="1" applyFont="1" applyBorder="1"/>
    <xf numFmtId="3" fontId="9" fillId="0" borderId="4" xfId="0" applyNumberFormat="1" applyFont="1" applyBorder="1"/>
    <xf numFmtId="164" fontId="9" fillId="0" borderId="4" xfId="1" applyNumberFormat="1" applyFont="1" applyBorder="1"/>
    <xf numFmtId="9" fontId="9" fillId="0" borderId="1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9" fontId="8" fillId="0" borderId="0" xfId="0" applyNumberFormat="1" applyFont="1" applyAlignment="1">
      <alignment horizontal="center"/>
    </xf>
    <xf numFmtId="164" fontId="8" fillId="0" borderId="0" xfId="1" applyNumberFormat="1" applyFont="1" applyAlignment="1">
      <alignment horizontal="center"/>
    </xf>
    <xf numFmtId="164" fontId="8" fillId="0" borderId="1" xfId="1" applyNumberFormat="1" applyFont="1" applyBorder="1" applyAlignment="1">
      <alignment horizontal="center"/>
    </xf>
    <xf numFmtId="10" fontId="8" fillId="0" borderId="3" xfId="0" applyNumberFormat="1" applyFont="1" applyBorder="1"/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 applyAlignment="1"/>
    <xf numFmtId="164" fontId="8" fillId="0" borderId="2" xfId="1" applyNumberFormat="1" applyFont="1" applyBorder="1" applyAlignment="1">
      <alignment horizontal="center"/>
    </xf>
    <xf numFmtId="0" fontId="8" fillId="0" borderId="2" xfId="0" applyFont="1" applyBorder="1"/>
    <xf numFmtId="165" fontId="9" fillId="0" borderId="2" xfId="2" applyNumberFormat="1" applyFont="1" applyBorder="1"/>
    <xf numFmtId="10" fontId="9" fillId="0" borderId="0" xfId="3" applyNumberFormat="1" applyFont="1"/>
    <xf numFmtId="0" fontId="8" fillId="0" borderId="0" xfId="0" applyFont="1" applyAlignment="1">
      <alignment horizontal="left"/>
    </xf>
    <xf numFmtId="10" fontId="9" fillId="0" borderId="6" xfId="3" applyNumberFormat="1" applyFont="1" applyBorder="1"/>
    <xf numFmtId="44" fontId="8" fillId="0" borderId="1" xfId="2" applyFont="1" applyBorder="1" applyAlignment="1">
      <alignment horizontal="right" vertical="top"/>
    </xf>
    <xf numFmtId="44" fontId="8" fillId="0" borderId="0" xfId="2" applyFont="1" applyBorder="1"/>
    <xf numFmtId="44" fontId="8" fillId="0" borderId="0" xfId="2" applyFont="1" applyBorder="1" applyAlignment="1">
      <alignment horizontal="right" vertical="top"/>
    </xf>
    <xf numFmtId="44" fontId="8" fillId="0" borderId="2" xfId="2" applyFont="1" applyBorder="1"/>
    <xf numFmtId="44" fontId="8" fillId="0" borderId="2" xfId="2" applyFont="1" applyBorder="1" applyAlignment="1">
      <alignment horizontal="right" vertical="top"/>
    </xf>
    <xf numFmtId="44" fontId="8" fillId="0" borderId="3" xfId="2" applyFont="1" applyBorder="1"/>
    <xf numFmtId="44" fontId="8" fillId="0" borderId="0" xfId="2" applyFont="1" applyAlignment="1">
      <alignment vertical="top"/>
    </xf>
    <xf numFmtId="165" fontId="8" fillId="0" borderId="0" xfId="2" applyNumberFormat="1" applyFont="1" applyAlignment="1">
      <alignment vertical="top"/>
    </xf>
    <xf numFmtId="44" fontId="8" fillId="0" borderId="0" xfId="2" applyFont="1" applyAlignment="1">
      <alignment horizontal="left"/>
    </xf>
    <xf numFmtId="165" fontId="8" fillId="0" borderId="7" xfId="2" applyNumberFormat="1" applyFont="1" applyBorder="1"/>
    <xf numFmtId="165" fontId="8" fillId="0" borderId="1" xfId="2" applyNumberFormat="1" applyFont="1" applyBorder="1" applyAlignment="1">
      <alignment horizontal="center"/>
    </xf>
    <xf numFmtId="165" fontId="8" fillId="0" borderId="0" xfId="2" applyNumberFormat="1" applyFont="1" applyAlignment="1">
      <alignment horizontal="right"/>
    </xf>
    <xf numFmtId="165" fontId="8" fillId="0" borderId="0" xfId="2" applyNumberFormat="1" applyFont="1" applyAlignment="1">
      <alignment horizontal="center"/>
    </xf>
    <xf numFmtId="0" fontId="8" fillId="8" borderId="0" xfId="0" applyFont="1" applyFill="1"/>
    <xf numFmtId="0" fontId="8" fillId="8" borderId="0" xfId="0" applyFont="1" applyFill="1" applyAlignment="1">
      <alignment horizontal="center"/>
    </xf>
    <xf numFmtId="0" fontId="8" fillId="8" borderId="0" xfId="0" applyFont="1" applyFill="1" applyAlignment="1">
      <alignment horizontal="left"/>
    </xf>
    <xf numFmtId="165" fontId="8" fillId="8" borderId="0" xfId="2" applyNumberFormat="1" applyFont="1" applyFill="1"/>
    <xf numFmtId="165" fontId="8" fillId="8" borderId="1" xfId="2" applyNumberFormat="1" applyFont="1" applyFill="1" applyBorder="1"/>
    <xf numFmtId="165" fontId="8" fillId="8" borderId="0" xfId="2" applyNumberFormat="1" applyFont="1" applyFill="1" applyBorder="1"/>
    <xf numFmtId="10" fontId="8" fillId="0" borderId="1" xfId="3" applyNumberFormat="1" applyFont="1" applyBorder="1"/>
    <xf numFmtId="10" fontId="8" fillId="0" borderId="2" xfId="0" applyNumberFormat="1" applyFont="1" applyBorder="1"/>
    <xf numFmtId="10" fontId="9" fillId="0" borderId="2" xfId="3" applyNumberFormat="1" applyFont="1" applyBorder="1" applyAlignment="1">
      <alignment horizontal="center"/>
    </xf>
    <xf numFmtId="165" fontId="25" fillId="0" borderId="0" xfId="2" applyNumberFormat="1" applyFont="1"/>
    <xf numFmtId="165" fontId="25" fillId="0" borderId="1" xfId="2" applyNumberFormat="1" applyFont="1" applyBorder="1"/>
    <xf numFmtId="44" fontId="25" fillId="0" borderId="0" xfId="2" applyFont="1"/>
    <xf numFmtId="9" fontId="25" fillId="0" borderId="0" xfId="0" applyNumberFormat="1" applyFont="1" applyAlignment="1">
      <alignment horizontal="center"/>
    </xf>
    <xf numFmtId="3" fontId="25" fillId="0" borderId="0" xfId="0" applyNumberFormat="1" applyFont="1" applyAlignment="1">
      <alignment horizontal="right" vertical="top"/>
    </xf>
    <xf numFmtId="0" fontId="25" fillId="0" borderId="1" xfId="0" applyFont="1" applyBorder="1" applyAlignment="1">
      <alignment horizontal="right"/>
    </xf>
    <xf numFmtId="0" fontId="25" fillId="0" borderId="1" xfId="0" applyFont="1" applyBorder="1"/>
    <xf numFmtId="0" fontId="25" fillId="0" borderId="0" xfId="0" applyFont="1"/>
    <xf numFmtId="10" fontId="25" fillId="8" borderId="0" xfId="0" applyNumberFormat="1" applyFont="1" applyFill="1" applyAlignment="1">
      <alignment horizontal="center"/>
    </xf>
    <xf numFmtId="10" fontId="25" fillId="0" borderId="0" xfId="0" applyNumberFormat="1" applyFont="1" applyAlignment="1">
      <alignment horizontal="center"/>
    </xf>
    <xf numFmtId="10" fontId="25" fillId="0" borderId="0" xfId="0" applyNumberFormat="1" applyFont="1"/>
    <xf numFmtId="43" fontId="25" fillId="0" borderId="0" xfId="1" applyFont="1"/>
    <xf numFmtId="10" fontId="26" fillId="0" borderId="0" xfId="0" applyNumberFormat="1" applyFont="1"/>
    <xf numFmtId="165" fontId="25" fillId="0" borderId="0" xfId="2" applyNumberFormat="1" applyFont="1" applyBorder="1"/>
    <xf numFmtId="172" fontId="25" fillId="0" borderId="0" xfId="0" applyNumberFormat="1" applyFont="1" applyAlignment="1">
      <alignment horizontal="center"/>
    </xf>
    <xf numFmtId="0" fontId="9" fillId="12" borderId="0" xfId="0" applyFont="1" applyFill="1"/>
    <xf numFmtId="0" fontId="8" fillId="12" borderId="0" xfId="0" applyFont="1" applyFill="1"/>
    <xf numFmtId="165" fontId="8" fillId="12" borderId="1" xfId="2" applyNumberFormat="1" applyFont="1" applyFill="1" applyBorder="1"/>
    <xf numFmtId="10" fontId="8" fillId="12" borderId="1" xfId="0" applyNumberFormat="1" applyFont="1" applyFill="1" applyBorder="1"/>
    <xf numFmtId="0" fontId="8" fillId="12" borderId="1" xfId="0" applyFont="1" applyFill="1" applyBorder="1"/>
    <xf numFmtId="165" fontId="9" fillId="12" borderId="1" xfId="2" applyNumberFormat="1" applyFont="1" applyFill="1" applyBorder="1"/>
    <xf numFmtId="44" fontId="25" fillId="0" borderId="1" xfId="2" applyFont="1" applyBorder="1" applyAlignment="1">
      <alignment horizontal="right" vertical="top"/>
    </xf>
    <xf numFmtId="44" fontId="25" fillId="0" borderId="0" xfId="2" applyFont="1" applyAlignment="1">
      <alignment horizontal="right" vertical="top"/>
    </xf>
    <xf numFmtId="172" fontId="7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66" fontId="6" fillId="0" borderId="2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66" fontId="9" fillId="0" borderId="2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horizontal="left"/>
    </xf>
    <xf numFmtId="9" fontId="9" fillId="0" borderId="1" xfId="0" applyNumberFormat="1" applyFont="1" applyBorder="1" applyAlignment="1">
      <alignment horizontal="center"/>
    </xf>
    <xf numFmtId="49" fontId="9" fillId="0" borderId="0" xfId="0" applyNumberFormat="1" applyFont="1" applyAlignment="1">
      <alignment horizontal="left" vertical="top"/>
    </xf>
    <xf numFmtId="0" fontId="8" fillId="8" borderId="0" xfId="0" applyFont="1" applyFill="1" applyAlignment="1">
      <alignment horizontal="left"/>
    </xf>
    <xf numFmtId="0" fontId="14" fillId="6" borderId="8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13" fillId="5" borderId="1" xfId="0" applyFont="1" applyFill="1" applyBorder="1" applyAlignment="1">
      <alignment horizontal="center"/>
    </xf>
  </cellXfs>
  <cellStyles count="14">
    <cellStyle name="Amount" xfId="6" xr:uid="{00000000-0005-0000-0000-000000000000}"/>
    <cellStyle name="Comma" xfId="1" builtinId="3"/>
    <cellStyle name="Currency" xfId="2" builtinId="4"/>
    <cellStyle name="Date" xfId="9" xr:uid="{00000000-0005-0000-0000-000003000000}"/>
    <cellStyle name="Heading 4 Right aligned" xfId="10" xr:uid="{00000000-0005-0000-0000-000004000000}"/>
    <cellStyle name="Loan Summary" xfId="7" xr:uid="{00000000-0005-0000-0000-000005000000}"/>
    <cellStyle name="Normal" xfId="0" builtinId="0"/>
    <cellStyle name="Normal 2" xfId="5" xr:uid="{00000000-0005-0000-0000-000007000000}"/>
    <cellStyle name="Normal 2 2" xfId="13" xr:uid="{00000000-0005-0000-0000-000008000000}"/>
    <cellStyle name="Normal 3 3" xfId="12" xr:uid="{00000000-0005-0000-0000-000009000000}"/>
    <cellStyle name="Normal 5" xfId="4" xr:uid="{00000000-0005-0000-0000-00000A000000}"/>
    <cellStyle name="Number" xfId="8" xr:uid="{00000000-0005-0000-0000-00000B000000}"/>
    <cellStyle name="Percent" xfId="3" builtinId="5"/>
    <cellStyle name="Table Amount" xfId="11" xr:uid="{00000000-0005-0000-0000-00000D000000}"/>
  </cellStyles>
  <dxfs count="7">
    <dxf>
      <font>
        <color theme="1" tint="0.24994659260841701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1" tint="0.24994659260841701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1" tint="0.24994659260841701"/>
      </font>
    </dxf>
    <dxf>
      <font>
        <color theme="1" tint="0.24994659260841701"/>
      </font>
    </dxf>
    <dxf>
      <font>
        <color theme="1" tint="0.24994659260841701"/>
      </font>
      <border>
        <top style="double">
          <color theme="4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</dxf>
    <dxf>
      <font>
        <color theme="1" tint="0.2499465926084170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2" defaultPivotStyle="PivotStyleLight16">
    <tableStyle name="Invisible" pivot="0" table="0" count="0" xr9:uid="{00000000-0011-0000-FFFF-FFFF00000000}"/>
    <tableStyle name="Loan Amortization Schedule" pivot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elopment Costs"/>
      <sheetName val="Hard Costs"/>
      <sheetName val="The Bristol Hard Costs"/>
      <sheetName val="Sheet1"/>
      <sheetName val="Sheet2"/>
      <sheetName val="Sheet3"/>
    </sheetNames>
    <sheetDataSet>
      <sheetData sheetId="0" refreshError="1"/>
      <sheetData sheetId="1">
        <row r="1">
          <cell r="AH1" t="str">
            <v>Southwestern Metal Services</v>
          </cell>
          <cell r="AO1" t="str">
            <v>EXHIBIT H</v>
          </cell>
        </row>
        <row r="2">
          <cell r="AO2" t="str">
            <v>PROJECT BUDGET</v>
          </cell>
        </row>
        <row r="3">
          <cell r="AO3" t="str">
            <v>THE MAGNOLIA AT VININGS</v>
          </cell>
          <cell r="AQ3" t="str">
            <v>Equity</v>
          </cell>
          <cell r="AR3" t="str">
            <v>Fleet Bank</v>
          </cell>
          <cell r="AT3" t="str">
            <v>Total Revised</v>
          </cell>
        </row>
        <row r="4">
          <cell r="AO4" t="str">
            <v>TOTAL DEVELOPMENT COSTS</v>
          </cell>
          <cell r="AR4" t="str">
            <v>Original Schedule</v>
          </cell>
          <cell r="AS4" t="str">
            <v>Revised Schedule</v>
          </cell>
          <cell r="AT4" t="str">
            <v>Budget</v>
          </cell>
        </row>
        <row r="6">
          <cell r="AO6">
            <v>91500</v>
          </cell>
          <cell r="AP6" t="str">
            <v>LAND</v>
          </cell>
          <cell r="AQ6">
            <v>3626875</v>
          </cell>
          <cell r="AR6">
            <v>0</v>
          </cell>
          <cell r="AS6">
            <v>0</v>
          </cell>
          <cell r="AT6">
            <v>3626875</v>
          </cell>
        </row>
        <row r="8">
          <cell r="AO8">
            <v>91600</v>
          </cell>
          <cell r="AP8" t="str">
            <v>HARD COSTS</v>
          </cell>
        </row>
        <row r="9">
          <cell r="AO9">
            <v>91610</v>
          </cell>
          <cell r="AP9" t="str">
            <v>Construction Costs</v>
          </cell>
          <cell r="AQ9">
            <v>246400.77027462423</v>
          </cell>
          <cell r="AR9">
            <v>17215000</v>
          </cell>
          <cell r="AS9">
            <v>17815000.212931328</v>
          </cell>
          <cell r="AT9">
            <v>18061400.483205952</v>
          </cell>
        </row>
        <row r="10">
          <cell r="AO10">
            <v>91620</v>
          </cell>
          <cell r="AP10" t="str">
            <v>General Contractor's Fee</v>
          </cell>
          <cell r="AQ10">
            <v>750000</v>
          </cell>
          <cell r="AR10">
            <v>0</v>
          </cell>
          <cell r="AS10">
            <v>0</v>
          </cell>
          <cell r="AT10">
            <v>750000</v>
          </cell>
        </row>
        <row r="11">
          <cell r="AP11" t="str">
            <v>Total Hard Costs</v>
          </cell>
          <cell r="AQ11">
            <v>996400.77027462423</v>
          </cell>
          <cell r="AR11">
            <v>17215000</v>
          </cell>
          <cell r="AS11">
            <v>17815000.212931328</v>
          </cell>
          <cell r="AT11">
            <v>18811400.483205952</v>
          </cell>
        </row>
        <row r="13">
          <cell r="AO13">
            <v>91700</v>
          </cell>
          <cell r="AP13" t="str">
            <v>SOFT COSTS</v>
          </cell>
        </row>
        <row r="14">
          <cell r="AO14">
            <v>91710</v>
          </cell>
          <cell r="AP14" t="str">
            <v>Architecture</v>
          </cell>
          <cell r="AQ14">
            <v>100000</v>
          </cell>
          <cell r="AR14">
            <v>0</v>
          </cell>
          <cell r="AS14">
            <v>15000</v>
          </cell>
          <cell r="AT14">
            <v>115000</v>
          </cell>
        </row>
        <row r="15">
          <cell r="AO15">
            <v>91720</v>
          </cell>
          <cell r="AP15" t="str">
            <v>Engineering</v>
          </cell>
          <cell r="AQ15">
            <v>120000</v>
          </cell>
          <cell r="AR15">
            <v>0</v>
          </cell>
          <cell r="AS15">
            <v>0</v>
          </cell>
          <cell r="AT15">
            <v>120000</v>
          </cell>
        </row>
        <row r="16">
          <cell r="AO16">
            <v>91730</v>
          </cell>
          <cell r="AP16" t="str">
            <v>Arc. &amp; Eng. Inspection Fees</v>
          </cell>
          <cell r="AQ16">
            <v>0</v>
          </cell>
          <cell r="AR16">
            <v>25000</v>
          </cell>
          <cell r="AS16">
            <v>25000</v>
          </cell>
          <cell r="AT16">
            <v>25000</v>
          </cell>
        </row>
        <row r="17">
          <cell r="AO17">
            <v>91740</v>
          </cell>
          <cell r="AP17" t="str">
            <v>Site Fees (Permit Fees,  Tap &amp; Impact Fees, Plan Check Fees, DOT)</v>
          </cell>
          <cell r="AQ17">
            <v>647924</v>
          </cell>
          <cell r="AR17">
            <v>400000</v>
          </cell>
          <cell r="AS17">
            <v>1585.4000000000233</v>
          </cell>
          <cell r="AT17">
            <v>649510.40000000002</v>
          </cell>
        </row>
        <row r="18">
          <cell r="AO18">
            <v>91750</v>
          </cell>
          <cell r="AP18" t="str">
            <v>Marketing Costs</v>
          </cell>
          <cell r="AQ18">
            <v>0</v>
          </cell>
          <cell r="AR18">
            <v>85000</v>
          </cell>
          <cell r="AS18">
            <v>85000</v>
          </cell>
          <cell r="AT18">
            <v>85000</v>
          </cell>
        </row>
        <row r="19">
          <cell r="AO19">
            <v>91810</v>
          </cell>
          <cell r="AP19" t="str">
            <v>Legal/Accounting</v>
          </cell>
          <cell r="AQ19">
            <v>300000</v>
          </cell>
          <cell r="AR19">
            <v>0</v>
          </cell>
          <cell r="AS19">
            <v>-30000</v>
          </cell>
          <cell r="AT19">
            <v>270000</v>
          </cell>
        </row>
        <row r="20">
          <cell r="AO20">
            <v>91824</v>
          </cell>
          <cell r="AP20" t="str">
            <v>Developer's  Fee</v>
          </cell>
          <cell r="AQ20">
            <v>758000</v>
          </cell>
          <cell r="AR20">
            <v>0</v>
          </cell>
          <cell r="AS20">
            <v>0</v>
          </cell>
          <cell r="AT20">
            <v>758000</v>
          </cell>
        </row>
        <row r="21">
          <cell r="AO21">
            <v>91841</v>
          </cell>
          <cell r="AP21" t="str">
            <v>Appraisal</v>
          </cell>
          <cell r="AQ21">
            <v>7500</v>
          </cell>
          <cell r="AR21">
            <v>0</v>
          </cell>
          <cell r="AS21">
            <v>0</v>
          </cell>
          <cell r="AT21">
            <v>7500</v>
          </cell>
        </row>
        <row r="22">
          <cell r="AO22">
            <v>91842</v>
          </cell>
          <cell r="AP22" t="str">
            <v>Title Policy &amp; Closing Costs</v>
          </cell>
          <cell r="AQ22">
            <v>83800</v>
          </cell>
          <cell r="AR22">
            <v>0</v>
          </cell>
          <cell r="AS22">
            <v>0</v>
          </cell>
          <cell r="AT22">
            <v>83800</v>
          </cell>
        </row>
        <row r="23">
          <cell r="AO23">
            <v>91846</v>
          </cell>
          <cell r="AP23" t="str">
            <v>1st Lien Fee &amp; Application</v>
          </cell>
          <cell r="AQ23">
            <v>97500</v>
          </cell>
          <cell r="AR23">
            <v>0</v>
          </cell>
          <cell r="AS23">
            <v>0</v>
          </cell>
          <cell r="AT23">
            <v>97500</v>
          </cell>
        </row>
        <row r="24">
          <cell r="AO24">
            <v>91847</v>
          </cell>
          <cell r="AP24" t="str">
            <v>2nd Lien Fee &amp; Application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</row>
        <row r="25">
          <cell r="AO25">
            <v>91848</v>
          </cell>
          <cell r="AP25" t="str">
            <v>Mortgage Broker's Fee</v>
          </cell>
          <cell r="AQ25">
            <v>140000</v>
          </cell>
          <cell r="AR25">
            <v>0</v>
          </cell>
          <cell r="AS25">
            <v>0</v>
          </cell>
          <cell r="AT25">
            <v>140000</v>
          </cell>
        </row>
        <row r="26">
          <cell r="AO26">
            <v>91852</v>
          </cell>
          <cell r="AP26" t="str">
            <v>Interest Reserve (First Lien only)</v>
          </cell>
          <cell r="AQ26">
            <v>0</v>
          </cell>
          <cell r="AR26">
            <v>1150000</v>
          </cell>
          <cell r="AS26">
            <v>1150000</v>
          </cell>
          <cell r="AT26">
            <v>1150000</v>
          </cell>
        </row>
        <row r="27">
          <cell r="AO27">
            <v>91854</v>
          </cell>
          <cell r="AP27" t="str">
            <v>Interest Reserve (Second Lien only)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</row>
        <row r="28">
          <cell r="AO28">
            <v>91862</v>
          </cell>
          <cell r="AP28" t="str">
            <v>Ad-Valorem Taxes</v>
          </cell>
          <cell r="AQ28">
            <v>30000</v>
          </cell>
          <cell r="AR28">
            <v>0</v>
          </cell>
          <cell r="AS28">
            <v>0</v>
          </cell>
          <cell r="AT28">
            <v>30000</v>
          </cell>
        </row>
        <row r="29">
          <cell r="AO29">
            <v>91890</v>
          </cell>
          <cell r="AP29" t="str">
            <v>Furnishings/Equipment</v>
          </cell>
          <cell r="AQ29">
            <v>0</v>
          </cell>
          <cell r="AR29">
            <v>75000</v>
          </cell>
          <cell r="AS29">
            <v>175000</v>
          </cell>
          <cell r="AT29">
            <v>175000</v>
          </cell>
        </row>
        <row r="30">
          <cell r="AO30">
            <v>91790</v>
          </cell>
          <cell r="AP30" t="str">
            <v>Contingency</v>
          </cell>
          <cell r="AQ30">
            <v>0</v>
          </cell>
          <cell r="AR30">
            <v>750000</v>
          </cell>
          <cell r="AS30">
            <v>463414.6</v>
          </cell>
          <cell r="AT30">
            <v>463414.6</v>
          </cell>
        </row>
        <row r="31">
          <cell r="AP31" t="str">
            <v>Total Soft Costs</v>
          </cell>
          <cell r="AQ31">
            <v>2284724</v>
          </cell>
          <cell r="AR31">
            <v>2485000</v>
          </cell>
          <cell r="AS31">
            <v>1885000</v>
          </cell>
          <cell r="AT31">
            <v>4169725</v>
          </cell>
        </row>
        <row r="33">
          <cell r="AP33" t="str">
            <v>TOTAL PROJECT COSTS</v>
          </cell>
          <cell r="AQ33">
            <v>6907999.7702746242</v>
          </cell>
          <cell r="AR33">
            <v>19700000</v>
          </cell>
          <cell r="AS33">
            <v>19700000.212931328</v>
          </cell>
          <cell r="AT33">
            <v>26608000.483205952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26"/>
  <sheetViews>
    <sheetView zoomScale="90" zoomScaleNormal="90" workbookViewId="0">
      <selection activeCell="A5" sqref="A5"/>
    </sheetView>
  </sheetViews>
  <sheetFormatPr defaultColWidth="8.7109375" defaultRowHeight="12.75"/>
  <cols>
    <col min="1" max="1" width="23.85546875" style="1" bestFit="1" customWidth="1"/>
    <col min="2" max="2" width="1.5703125" style="1" customWidth="1"/>
    <col min="3" max="3" width="12.28515625" style="1" bestFit="1" customWidth="1"/>
    <col min="4" max="4" width="39.42578125" style="1" customWidth="1"/>
    <col min="5" max="5" width="1.5703125" style="1" customWidth="1"/>
    <col min="6" max="6" width="13.5703125" style="1" bestFit="1" customWidth="1"/>
    <col min="7" max="8" width="12.140625" style="1" customWidth="1"/>
    <col min="9" max="9" width="14.5703125" style="1" bestFit="1" customWidth="1"/>
    <col min="10" max="10" width="11" style="1" bestFit="1" customWidth="1"/>
    <col min="11" max="16384" width="8.7109375" style="1"/>
  </cols>
  <sheetData>
    <row r="1" spans="1:18">
      <c r="A1" s="305" t="s">
        <v>294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16"/>
      <c r="M1" s="16"/>
      <c r="N1" s="16"/>
      <c r="O1" s="16"/>
      <c r="P1" s="16"/>
      <c r="Q1" s="16"/>
      <c r="R1" s="16"/>
    </row>
    <row r="2" spans="1:18">
      <c r="A2" s="305" t="s">
        <v>293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16"/>
      <c r="M2" s="16"/>
      <c r="N2" s="16"/>
      <c r="O2" s="16"/>
      <c r="P2" s="16"/>
      <c r="Q2" s="16"/>
      <c r="R2" s="16"/>
    </row>
    <row r="3" spans="1:18">
      <c r="A3" s="306" t="s">
        <v>283</v>
      </c>
      <c r="B3" s="306"/>
      <c r="C3" s="306"/>
      <c r="D3" s="306"/>
      <c r="E3" s="306"/>
      <c r="F3" s="306"/>
      <c r="G3" s="306"/>
      <c r="H3" s="306"/>
      <c r="I3" s="306"/>
      <c r="J3" s="306"/>
      <c r="K3" s="306"/>
    </row>
    <row r="4" spans="1:18">
      <c r="A4" s="307">
        <v>46107</v>
      </c>
      <c r="B4" s="307"/>
      <c r="C4" s="307"/>
      <c r="D4" s="307"/>
      <c r="E4" s="307"/>
      <c r="F4" s="307"/>
      <c r="G4" s="307"/>
      <c r="H4" s="307"/>
      <c r="I4" s="307"/>
      <c r="J4" s="307"/>
      <c r="K4" s="307"/>
    </row>
    <row r="6" spans="1:18">
      <c r="I6" s="7"/>
      <c r="J6" s="7" t="s">
        <v>152</v>
      </c>
      <c r="K6" s="7" t="s">
        <v>9</v>
      </c>
    </row>
    <row r="7" spans="1:18">
      <c r="A7" s="2" t="s">
        <v>144</v>
      </c>
      <c r="D7" s="55" t="s">
        <v>284</v>
      </c>
      <c r="I7" s="42">
        <f>'Benefits Analysis'!O10</f>
        <v>5658532.2508555204</v>
      </c>
      <c r="J7" s="42">
        <f>I7/$I$26</f>
        <v>33285.483828561883</v>
      </c>
      <c r="K7" s="31">
        <f>I7/$I$20</f>
        <v>0.60272256974981353</v>
      </c>
    </row>
    <row r="8" spans="1:18">
      <c r="A8" s="2"/>
      <c r="F8" s="7"/>
      <c r="G8" s="7" t="s">
        <v>152</v>
      </c>
      <c r="H8" s="7" t="s">
        <v>9</v>
      </c>
      <c r="I8" s="42"/>
      <c r="J8" s="42"/>
    </row>
    <row r="9" spans="1:18">
      <c r="A9" s="2" t="s">
        <v>41</v>
      </c>
      <c r="C9" s="304">
        <f>F9/'SOURCES and USES of FUNDS'!G24</f>
        <v>8.7500000000000008E-3</v>
      </c>
      <c r="D9" s="55" t="s">
        <v>292</v>
      </c>
      <c r="F9" s="9">
        <f>'SOURCES and USES of FUNDS'!G26</f>
        <v>343551.25000000006</v>
      </c>
      <c r="G9" s="9">
        <f>F9/$I$26</f>
        <v>2020.8897058823534</v>
      </c>
      <c r="H9" s="31">
        <f>F9/$I$20</f>
        <v>3.6593604677158831E-2</v>
      </c>
      <c r="I9" s="42"/>
      <c r="J9" s="42"/>
    </row>
    <row r="10" spans="1:18">
      <c r="F10" s="9"/>
      <c r="G10" s="9"/>
      <c r="I10" s="42"/>
      <c r="J10" s="42"/>
    </row>
    <row r="11" spans="1:18">
      <c r="A11" s="2" t="s">
        <v>40</v>
      </c>
      <c r="C11" s="29">
        <f>'10 Years Mixed'!C48</f>
        <v>0</v>
      </c>
      <c r="D11" s="207" t="s">
        <v>287</v>
      </c>
      <c r="F11" s="9">
        <f>'Benefits Analysis'!O19</f>
        <v>1408242.9964098595</v>
      </c>
      <c r="G11" s="9">
        <f>F11/$I$26</f>
        <v>8283.7823318227038</v>
      </c>
      <c r="H11" s="31">
        <f>F11/$I$20</f>
        <v>0.14999999999999997</v>
      </c>
      <c r="I11" s="42"/>
      <c r="J11" s="42"/>
    </row>
    <row r="12" spans="1:18">
      <c r="A12" s="2" t="s">
        <v>145</v>
      </c>
      <c r="C12" s="29">
        <f>'10 Years Mixed'!C64</f>
        <v>9.9999999999999978E-2</v>
      </c>
      <c r="D12" s="55" t="s">
        <v>286</v>
      </c>
      <c r="F12" s="9">
        <f>'Benefits Analysis'!O26</f>
        <v>565578.82292662945</v>
      </c>
      <c r="G12" s="9">
        <f>F12/$I$26</f>
        <v>3326.9342525095849</v>
      </c>
      <c r="H12" s="31">
        <f>F12/$I$20</f>
        <v>6.0243028834707744E-2</v>
      </c>
      <c r="I12" s="42"/>
      <c r="J12" s="42"/>
    </row>
    <row r="13" spans="1:18">
      <c r="C13" s="4"/>
      <c r="D13" s="55"/>
      <c r="F13" s="9"/>
      <c r="G13" s="9"/>
      <c r="I13" s="42"/>
      <c r="J13" s="42"/>
    </row>
    <row r="14" spans="1:18">
      <c r="A14" s="2" t="s">
        <v>146</v>
      </c>
      <c r="C14" s="212">
        <f>-'Cash Flow + Debt'!H33</f>
        <v>50000</v>
      </c>
      <c r="D14" s="55" t="s">
        <v>279</v>
      </c>
      <c r="F14" s="11">
        <f>'Benefits Analysis'!O20</f>
        <v>573193.96557353658</v>
      </c>
      <c r="G14" s="11">
        <f>F14/$I$26</f>
        <v>3371.7292092560974</v>
      </c>
      <c r="H14" s="44">
        <f>F14/$I$20</f>
        <v>6.1054161146352925E-2</v>
      </c>
      <c r="I14" s="42"/>
      <c r="J14" s="42"/>
    </row>
    <row r="15" spans="1:18">
      <c r="I15" s="42"/>
      <c r="J15" s="42"/>
    </row>
    <row r="16" spans="1:18">
      <c r="A16" s="2" t="s">
        <v>147</v>
      </c>
      <c r="I16" s="214">
        <f>SUM(F9:F14)</f>
        <v>2890567.0349100255</v>
      </c>
      <c r="J16" s="214">
        <f>I16/$I$26</f>
        <v>17003.335499470737</v>
      </c>
      <c r="K16" s="44">
        <f>I16/$I$20</f>
        <v>0.30789079465821945</v>
      </c>
    </row>
    <row r="17" spans="1:11">
      <c r="I17" s="42"/>
      <c r="J17" s="42"/>
    </row>
    <row r="18" spans="1:11">
      <c r="A18" s="2" t="s">
        <v>148</v>
      </c>
      <c r="I18" s="42">
        <f>I7+I16</f>
        <v>8549099.2857655454</v>
      </c>
      <c r="J18" s="42">
        <f>I18/$I$26</f>
        <v>50288.819328032623</v>
      </c>
      <c r="K18" s="31">
        <f>I18/$I$20</f>
        <v>0.91061336440803287</v>
      </c>
    </row>
    <row r="19" spans="1:11">
      <c r="I19" s="42"/>
      <c r="J19" s="42"/>
    </row>
    <row r="20" spans="1:11">
      <c r="A20" s="2" t="s">
        <v>149</v>
      </c>
      <c r="I20" s="42">
        <f>'Benefits Analysis'!N12</f>
        <v>9388286.6427323986</v>
      </c>
      <c r="J20" s="42">
        <f>I20/$I$26</f>
        <v>55225.215545484694</v>
      </c>
    </row>
    <row r="21" spans="1:11">
      <c r="I21" s="42"/>
      <c r="J21" s="42"/>
    </row>
    <row r="22" spans="1:11">
      <c r="A22" s="2" t="s">
        <v>150</v>
      </c>
      <c r="I22" s="42"/>
      <c r="J22" s="42"/>
    </row>
    <row r="23" spans="1:11">
      <c r="A23" s="2" t="s">
        <v>14</v>
      </c>
      <c r="I23" s="42">
        <f>I18-I20</f>
        <v>-839187.35696685314</v>
      </c>
      <c r="J23" s="42"/>
    </row>
    <row r="24" spans="1:11">
      <c r="A24" s="2" t="s">
        <v>151</v>
      </c>
      <c r="I24" s="5">
        <f>I18/I20</f>
        <v>0.91061336440803287</v>
      </c>
    </row>
    <row r="26" spans="1:11">
      <c r="A26" s="2" t="s">
        <v>110</v>
      </c>
      <c r="I26" s="8">
        <f>'SOURCES and USES of FUNDS'!E34</f>
        <v>170</v>
      </c>
    </row>
  </sheetData>
  <mergeCells count="4">
    <mergeCell ref="A1:K1"/>
    <mergeCell ref="A2:K2"/>
    <mergeCell ref="A3:K3"/>
    <mergeCell ref="A4:K4"/>
  </mergeCells>
  <pageMargins left="0.25" right="0.25" top="0.75" bottom="0.75" header="0.3" footer="0.3"/>
  <pageSetup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P30"/>
  <sheetViews>
    <sheetView zoomScale="90" zoomScaleNormal="90" workbookViewId="0">
      <selection activeCell="C21" sqref="C21"/>
    </sheetView>
  </sheetViews>
  <sheetFormatPr defaultColWidth="9.140625" defaultRowHeight="12.75"/>
  <cols>
    <col min="1" max="1" width="23.140625" style="1" bestFit="1" customWidth="1"/>
    <col min="2" max="2" width="9.140625" style="1"/>
    <col min="3" max="12" width="15.7109375" style="1" customWidth="1"/>
    <col min="13" max="13" width="1.7109375" style="1" customWidth="1"/>
    <col min="14" max="14" width="15.7109375" style="1" customWidth="1"/>
    <col min="15" max="15" width="15" style="1" bestFit="1" customWidth="1"/>
    <col min="16" max="16" width="11" style="1" bestFit="1" customWidth="1"/>
    <col min="17" max="16384" width="9.140625" style="1"/>
  </cols>
  <sheetData>
    <row r="1" spans="1:16">
      <c r="A1" s="305" t="str">
        <f>'HHA Benefits Analysis'!A1:K1</f>
        <v>Baronne Lofts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</row>
    <row r="2" spans="1:16">
      <c r="A2" s="305" t="str">
        <f>'HHA Benefits Analysis'!A2:K2</f>
        <v>New Orleans, Louisiana   70113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</row>
    <row r="3" spans="1:16">
      <c r="A3" s="305" t="s">
        <v>95</v>
      </c>
      <c r="B3" s="305"/>
      <c r="C3" s="305"/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</row>
    <row r="4" spans="1:16" ht="13.5" thickBot="1">
      <c r="A4" s="311">
        <f>'HHA Benefits Analysis'!A4:K4</f>
        <v>46107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</row>
    <row r="5" spans="1:16" ht="13.5" thickTop="1">
      <c r="O5" s="308" t="s">
        <v>42</v>
      </c>
      <c r="P5" s="308"/>
    </row>
    <row r="6" spans="1:16">
      <c r="O6" s="309" t="s">
        <v>5</v>
      </c>
      <c r="P6" s="309" t="s">
        <v>87</v>
      </c>
    </row>
    <row r="7" spans="1:16">
      <c r="C7" s="7" t="s">
        <v>56</v>
      </c>
      <c r="D7" s="7" t="s">
        <v>57</v>
      </c>
      <c r="E7" s="7" t="s">
        <v>58</v>
      </c>
      <c r="F7" s="7" t="s">
        <v>59</v>
      </c>
      <c r="G7" s="7" t="s">
        <v>60</v>
      </c>
      <c r="H7" s="7" t="s">
        <v>61</v>
      </c>
      <c r="I7" s="7" t="s">
        <v>62</v>
      </c>
      <c r="J7" s="7" t="s">
        <v>63</v>
      </c>
      <c r="K7" s="7" t="s">
        <v>64</v>
      </c>
      <c r="L7" s="7" t="s">
        <v>65</v>
      </c>
      <c r="N7" s="7" t="s">
        <v>43</v>
      </c>
      <c r="O7" s="310"/>
      <c r="P7" s="310"/>
    </row>
    <row r="8" spans="1:16">
      <c r="A8" s="1" t="s">
        <v>82</v>
      </c>
      <c r="C8" s="9">
        <f>'Mixed Rent'!M63*(100%+'10 Years Mixed'!$C70)</f>
        <v>3468049.2</v>
      </c>
      <c r="D8" s="9">
        <f>C8*(100%+'10 Years Mixed'!$C71)</f>
        <v>3641451.66</v>
      </c>
      <c r="E8" s="9">
        <f>D8*(100%+'10 Years Mixed'!$C$72)</f>
        <v>3823524.2430000002</v>
      </c>
      <c r="F8" s="9">
        <f>E8*(100%+'10 Years Mixed'!$C$72)</f>
        <v>4014700.4551500003</v>
      </c>
      <c r="G8" s="9">
        <f>F8*(100%+'10 Years Mixed'!$C$72)</f>
        <v>4215435.4779075002</v>
      </c>
      <c r="H8" s="9">
        <f>G8*(100%+'10 Years Mixed'!$C$72)</f>
        <v>4426207.2518028757</v>
      </c>
      <c r="I8" s="9">
        <f>H8*(100%+'10 Years Mixed'!$C$72)</f>
        <v>4647517.61439302</v>
      </c>
      <c r="J8" s="9">
        <f>I8*(100%+'10 Years Mixed'!$C$72)</f>
        <v>4879893.4951126715</v>
      </c>
      <c r="K8" s="9">
        <f>J8*(100%+'10 Years Mixed'!$C$72)</f>
        <v>5123888.1698683053</v>
      </c>
      <c r="L8" s="9">
        <f>K8*(100%+'10 Years Mixed'!$C$72)</f>
        <v>5380082.5783617208</v>
      </c>
      <c r="M8" s="9"/>
      <c r="N8" s="9"/>
      <c r="O8" s="9"/>
    </row>
    <row r="9" spans="1:16">
      <c r="A9" s="1" t="s">
        <v>83</v>
      </c>
      <c r="C9" s="11">
        <f>-'10 Years Mixed'!D11</f>
        <v>-3079136.04</v>
      </c>
      <c r="D9" s="11">
        <f>-'10 Years Mixed'!E11</f>
        <v>-3219325.9620000003</v>
      </c>
      <c r="E9" s="11">
        <f>-'10 Years Mixed'!F11</f>
        <v>-3366112.3737000003</v>
      </c>
      <c r="F9" s="11">
        <f>-'10 Years Mixed'!G11</f>
        <v>-3519812.7093930007</v>
      </c>
      <c r="G9" s="11">
        <f>-'10 Years Mixed'!H11</f>
        <v>-3680759.9033808904</v>
      </c>
      <c r="H9" s="11">
        <f>-'10 Years Mixed'!I11</f>
        <v>-3849303.1538237226</v>
      </c>
      <c r="I9" s="11">
        <f>-'10 Years Mixed'!J11</f>
        <v>-4025808.72444691</v>
      </c>
      <c r="J9" s="11">
        <f>-'10 Years Mixed'!K11</f>
        <v>-4210660.7859892165</v>
      </c>
      <c r="K9" s="11">
        <f>-'10 Years Mixed'!L11</f>
        <v>-4404262.2993682371</v>
      </c>
      <c r="L9" s="11">
        <f>-'10 Years Mixed'!M11</f>
        <v>-4607035.9426385956</v>
      </c>
      <c r="M9" s="9"/>
      <c r="N9" s="9"/>
      <c r="O9" s="9"/>
    </row>
    <row r="10" spans="1:16">
      <c r="A10" s="1" t="s">
        <v>14</v>
      </c>
      <c r="C10" s="9">
        <f>SUM(C8:C9)</f>
        <v>388913.16000000015</v>
      </c>
      <c r="D10" s="9">
        <f t="shared" ref="D10:L10" si="0">SUM(D8:D9)</f>
        <v>422125.69799999986</v>
      </c>
      <c r="E10" s="9">
        <f t="shared" si="0"/>
        <v>457411.8692999999</v>
      </c>
      <c r="F10" s="9">
        <f t="shared" si="0"/>
        <v>494887.74575699959</v>
      </c>
      <c r="G10" s="9">
        <f t="shared" si="0"/>
        <v>534675.57452660985</v>
      </c>
      <c r="H10" s="9">
        <f t="shared" si="0"/>
        <v>576904.09797915304</v>
      </c>
      <c r="I10" s="9">
        <f t="shared" si="0"/>
        <v>621708.88994611008</v>
      </c>
      <c r="J10" s="9">
        <f t="shared" si="0"/>
        <v>669232.70912345499</v>
      </c>
      <c r="K10" s="9">
        <f t="shared" si="0"/>
        <v>719625.87050006818</v>
      </c>
      <c r="L10" s="9">
        <f t="shared" si="0"/>
        <v>773046.63572312519</v>
      </c>
      <c r="M10" s="9"/>
      <c r="N10" s="9"/>
      <c r="O10" s="9">
        <f>SUM(C10:L10)</f>
        <v>5658532.2508555204</v>
      </c>
      <c r="P10" s="10">
        <f>O10/N12</f>
        <v>0.60272256974981353</v>
      </c>
    </row>
    <row r="11" spans="1:16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10"/>
    </row>
    <row r="12" spans="1:16">
      <c r="A12" s="1" t="s">
        <v>27</v>
      </c>
      <c r="C12" s="11">
        <f>'10 Years Mixed'!D24</f>
        <v>-818945</v>
      </c>
      <c r="D12" s="11">
        <f>'10 Years Mixed'!E24</f>
        <v>-843513.35</v>
      </c>
      <c r="E12" s="11">
        <f>'10 Years Mixed'!F24</f>
        <v>-868818.75049999997</v>
      </c>
      <c r="F12" s="11">
        <f>'10 Years Mixed'!G24</f>
        <v>-894883.31301499996</v>
      </c>
      <c r="G12" s="11">
        <f>'10 Years Mixed'!H24</f>
        <v>-921729.81240545004</v>
      </c>
      <c r="H12" s="11">
        <f>'10 Years Mixed'!I24</f>
        <v>-949381.70677761361</v>
      </c>
      <c r="I12" s="11">
        <f>'10 Years Mixed'!J24</f>
        <v>-977863.15798094205</v>
      </c>
      <c r="J12" s="11">
        <f>'10 Years Mixed'!K24</f>
        <v>-1007199.0527203704</v>
      </c>
      <c r="K12" s="11">
        <f>'10 Years Mixed'!L24</f>
        <v>-1037415.0243019814</v>
      </c>
      <c r="L12" s="11">
        <f>'10 Years Mixed'!M24</f>
        <v>-1068537.4750310408</v>
      </c>
      <c r="M12" s="9"/>
      <c r="N12" s="11">
        <f>SUM(C12:L12)*-1</f>
        <v>9388286.6427323986</v>
      </c>
      <c r="O12" s="11"/>
      <c r="P12" s="12"/>
    </row>
    <row r="13" spans="1:16"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10"/>
    </row>
    <row r="14" spans="1:16" ht="13.5" thickBot="1">
      <c r="A14" s="1" t="s">
        <v>84</v>
      </c>
      <c r="C14" s="50">
        <f>C10+C12</f>
        <v>-430031.83999999985</v>
      </c>
      <c r="D14" s="50">
        <f t="shared" ref="D14:L14" si="1">D10+D12</f>
        <v>-421387.65200000012</v>
      </c>
      <c r="E14" s="50">
        <f t="shared" si="1"/>
        <v>-411406.88120000006</v>
      </c>
      <c r="F14" s="50">
        <f t="shared" si="1"/>
        <v>-399995.56725800037</v>
      </c>
      <c r="G14" s="50">
        <f t="shared" si="1"/>
        <v>-387054.23787884018</v>
      </c>
      <c r="H14" s="50">
        <f t="shared" si="1"/>
        <v>-372477.60879846057</v>
      </c>
      <c r="I14" s="50">
        <f t="shared" si="1"/>
        <v>-356154.26803483197</v>
      </c>
      <c r="J14" s="50">
        <f t="shared" si="1"/>
        <v>-337966.34359691537</v>
      </c>
      <c r="K14" s="50">
        <f t="shared" si="1"/>
        <v>-317789.15380191326</v>
      </c>
      <c r="L14" s="50">
        <f t="shared" si="1"/>
        <v>-295490.83930791565</v>
      </c>
      <c r="M14" s="9"/>
      <c r="N14" s="50">
        <f>SUM(N8:N12)</f>
        <v>9388286.6427323986</v>
      </c>
      <c r="O14" s="50">
        <f>SUM(O8:O12)</f>
        <v>5658532.2508555204</v>
      </c>
      <c r="P14" s="280">
        <f>O14/N12</f>
        <v>0.60272256974981353</v>
      </c>
    </row>
    <row r="15" spans="1:16" ht="13.5" thickTop="1"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4"/>
    </row>
    <row r="16" spans="1:16">
      <c r="A16" s="2" t="s">
        <v>85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4"/>
    </row>
    <row r="17" spans="1:16">
      <c r="A17" s="2" t="s">
        <v>86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4"/>
    </row>
    <row r="18" spans="1:16">
      <c r="A18" s="1" t="s">
        <v>41</v>
      </c>
      <c r="B18" s="4" t="s">
        <v>42</v>
      </c>
      <c r="C18" s="9">
        <f>'SOURCES and USES of FUNDS'!G26</f>
        <v>343551.25000000006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>
        <f>'SOURCES and USES of FUNDS'!G26</f>
        <v>343551.25000000006</v>
      </c>
      <c r="P18" s="10">
        <f>O18/$N$12</f>
        <v>3.6593604677158831E-2</v>
      </c>
    </row>
    <row r="19" spans="1:16">
      <c r="A19" s="1" t="s">
        <v>287</v>
      </c>
      <c r="B19" s="4" t="s">
        <v>42</v>
      </c>
      <c r="C19" s="9">
        <f>-'10 Years Mixed'!D40</f>
        <v>122841.75</v>
      </c>
      <c r="D19" s="9">
        <f>-'10 Years Mixed'!E40</f>
        <v>126527.00249999999</v>
      </c>
      <c r="E19" s="9">
        <f>-'10 Years Mixed'!F40</f>
        <v>130322.81257499999</v>
      </c>
      <c r="F19" s="9">
        <f>-'10 Years Mixed'!G40</f>
        <v>134232.49695224999</v>
      </c>
      <c r="G19" s="9">
        <f>-'10 Years Mixed'!H40</f>
        <v>138259.47186081749</v>
      </c>
      <c r="H19" s="9">
        <f>-'10 Years Mixed'!I40</f>
        <v>142407.25601664203</v>
      </c>
      <c r="I19" s="9">
        <f>-'10 Years Mixed'!J40</f>
        <v>146679.47369714131</v>
      </c>
      <c r="J19" s="9">
        <f>-'10 Years Mixed'!K40</f>
        <v>151079.85790805554</v>
      </c>
      <c r="K19" s="9">
        <f>-'10 Years Mixed'!L40</f>
        <v>155612.2536452972</v>
      </c>
      <c r="L19" s="9">
        <f>-'10 Years Mixed'!M40</f>
        <v>160280.62125465611</v>
      </c>
      <c r="M19" s="9"/>
      <c r="N19" s="9"/>
      <c r="O19" s="9">
        <f>SUM(C19:L19)</f>
        <v>1408242.9964098595</v>
      </c>
      <c r="P19" s="10">
        <f>O19/N12</f>
        <v>0.14999999999999997</v>
      </c>
    </row>
    <row r="20" spans="1:16">
      <c r="A20" s="1" t="s">
        <v>46</v>
      </c>
      <c r="B20" s="4" t="s">
        <v>42</v>
      </c>
      <c r="C20" s="9">
        <f>-'10 Years Mixed'!D41</f>
        <v>50000</v>
      </c>
      <c r="D20" s="9">
        <f>-'10 Years Mixed'!E41</f>
        <v>51500</v>
      </c>
      <c r="E20" s="9">
        <f>-'10 Years Mixed'!F41</f>
        <v>53045</v>
      </c>
      <c r="F20" s="9">
        <f>-'10 Years Mixed'!G41</f>
        <v>54636.35</v>
      </c>
      <c r="G20" s="9">
        <f>-'10 Years Mixed'!H41</f>
        <v>56275.440499999997</v>
      </c>
      <c r="H20" s="9">
        <f>-'10 Years Mixed'!I41</f>
        <v>57963.703714999996</v>
      </c>
      <c r="I20" s="9">
        <f>-'10 Years Mixed'!J41</f>
        <v>59702.614826450001</v>
      </c>
      <c r="J20" s="9">
        <f>-'10 Years Mixed'!K41</f>
        <v>61493.693271243501</v>
      </c>
      <c r="K20" s="9">
        <f>-'10 Years Mixed'!L41</f>
        <v>63338.504069380804</v>
      </c>
      <c r="L20" s="9">
        <f>-'10 Years Mixed'!M41</f>
        <v>65238.659191462233</v>
      </c>
      <c r="M20" s="9"/>
      <c r="N20" s="9"/>
      <c r="O20" s="9">
        <f>SUM(C20:L20)</f>
        <v>573193.96557353658</v>
      </c>
      <c r="P20" s="10">
        <f>O20/N12</f>
        <v>6.1054161146352925E-2</v>
      </c>
    </row>
    <row r="21" spans="1:16">
      <c r="A21" s="1" t="s">
        <v>48</v>
      </c>
      <c r="B21" s="4" t="s">
        <v>43</v>
      </c>
      <c r="C21" s="9">
        <f>-'10 Years Mixed'!D43</f>
        <v>1257040</v>
      </c>
      <c r="D21" s="9">
        <f>-'10 Years Mixed'!E43</f>
        <v>1257040</v>
      </c>
      <c r="E21" s="9">
        <f>-'10 Years Mixed'!F43</f>
        <v>1257040</v>
      </c>
      <c r="F21" s="9">
        <f>-'10 Years Mixed'!G43</f>
        <v>1257040</v>
      </c>
      <c r="G21" s="9">
        <f>-'10 Years Mixed'!H43</f>
        <v>1257040</v>
      </c>
      <c r="H21" s="9">
        <f>-'10 Years Mixed'!I43</f>
        <v>1257040</v>
      </c>
      <c r="I21" s="9">
        <f>-'10 Years Mixed'!J43</f>
        <v>1257040</v>
      </c>
      <c r="J21" s="9">
        <f>-'10 Years Mixed'!K43</f>
        <v>1257040</v>
      </c>
      <c r="K21" s="9">
        <f>-'10 Years Mixed'!L43</f>
        <v>1257040</v>
      </c>
      <c r="L21" s="9">
        <f>-'10 Years Mixed'!M43</f>
        <v>1257040</v>
      </c>
      <c r="M21" s="9"/>
      <c r="N21" s="9">
        <f>SUM(C21:L21)</f>
        <v>12570400</v>
      </c>
      <c r="O21" s="9"/>
      <c r="P21" s="10"/>
    </row>
    <row r="22" spans="1:16">
      <c r="A22" s="1" t="s">
        <v>40</v>
      </c>
      <c r="B22" s="4" t="s">
        <v>43</v>
      </c>
      <c r="C22" s="9">
        <f>'10 Years Mixed'!D47</f>
        <v>0</v>
      </c>
      <c r="D22" s="9">
        <f>'10 Years Mixed'!E47</f>
        <v>0</v>
      </c>
      <c r="E22" s="9">
        <f>'10 Years Mixed'!F47</f>
        <v>0</v>
      </c>
      <c r="F22" s="9">
        <f>'10 Years Mixed'!G47</f>
        <v>0</v>
      </c>
      <c r="G22" s="9">
        <f>'10 Years Mixed'!H47</f>
        <v>0</v>
      </c>
      <c r="H22" s="9">
        <f>'10 Years Mixed'!I47</f>
        <v>0</v>
      </c>
      <c r="I22" s="9">
        <f>'10 Years Mixed'!J47</f>
        <v>0</v>
      </c>
      <c r="J22" s="9">
        <f>'10 Years Mixed'!K47</f>
        <v>0</v>
      </c>
      <c r="K22" s="9">
        <f>'10 Years Mixed'!L47</f>
        <v>0</v>
      </c>
      <c r="L22" s="9">
        <f>'10 Years Mixed'!M47</f>
        <v>71082.263187830802</v>
      </c>
      <c r="M22" s="9"/>
      <c r="N22" s="9">
        <f>SUM(C22:L22)</f>
        <v>71082.263187830802</v>
      </c>
      <c r="O22" s="9"/>
      <c r="P22" s="10"/>
    </row>
    <row r="23" spans="1:16">
      <c r="A23" s="1" t="s">
        <v>40</v>
      </c>
      <c r="B23" s="4" t="s">
        <v>42</v>
      </c>
      <c r="C23" s="9">
        <f>'10 Years Mixed'!D48</f>
        <v>0</v>
      </c>
      <c r="D23" s="9">
        <f>'10 Years Mixed'!E48</f>
        <v>0</v>
      </c>
      <c r="E23" s="9">
        <f>'10 Years Mixed'!F48</f>
        <v>0</v>
      </c>
      <c r="F23" s="9">
        <f>'10 Years Mixed'!G48</f>
        <v>0</v>
      </c>
      <c r="G23" s="9">
        <f>'10 Years Mixed'!H48</f>
        <v>0</v>
      </c>
      <c r="H23" s="9">
        <f>'10 Years Mixed'!I48</f>
        <v>0</v>
      </c>
      <c r="I23" s="9">
        <f>'10 Years Mixed'!J48</f>
        <v>0</v>
      </c>
      <c r="J23" s="9">
        <f>'10 Years Mixed'!K48</f>
        <v>0</v>
      </c>
      <c r="K23" s="9">
        <f>'10 Years Mixed'!L48</f>
        <v>0</v>
      </c>
      <c r="L23" s="9">
        <f>'10 Years Mixed'!M48</f>
        <v>0</v>
      </c>
      <c r="M23" s="9"/>
      <c r="N23" s="11"/>
      <c r="O23" s="215">
        <f>SUM(C23:L23)*1</f>
        <v>0</v>
      </c>
      <c r="P23" s="12">
        <f>O23/N12</f>
        <v>0</v>
      </c>
    </row>
    <row r="24" spans="1:16">
      <c r="A24" s="2" t="s">
        <v>4</v>
      </c>
      <c r="B24" s="4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>
        <f>SUM(N18:N23)</f>
        <v>12641482.263187831</v>
      </c>
      <c r="O24" s="9">
        <f>SUM(O18:O23)</f>
        <v>2324988.2119833962</v>
      </c>
      <c r="P24" s="10">
        <f>SUM(P14:P23)</f>
        <v>0.8503703355733252</v>
      </c>
    </row>
    <row r="25" spans="1:16">
      <c r="A25" s="1" t="s">
        <v>76</v>
      </c>
      <c r="B25" s="4" t="s">
        <v>43</v>
      </c>
      <c r="C25" s="9"/>
      <c r="D25" s="9"/>
      <c r="E25" s="9"/>
      <c r="F25" s="9"/>
      <c r="G25" s="9"/>
      <c r="H25" s="9"/>
      <c r="I25" s="9"/>
      <c r="J25" s="9"/>
      <c r="K25" s="9"/>
      <c r="L25" s="9">
        <f>'10 Years Mixed'!O63</f>
        <v>5090209.4063396659</v>
      </c>
      <c r="M25" s="9"/>
      <c r="N25" s="9">
        <f>L25</f>
        <v>5090209.4063396659</v>
      </c>
      <c r="O25" s="9"/>
      <c r="P25" s="10"/>
    </row>
    <row r="26" spans="1:16">
      <c r="A26" s="1" t="s">
        <v>76</v>
      </c>
      <c r="B26" s="4" t="s">
        <v>42</v>
      </c>
      <c r="C26" s="9"/>
      <c r="D26" s="9"/>
      <c r="E26" s="9"/>
      <c r="F26" s="9"/>
      <c r="G26" s="9"/>
      <c r="H26" s="9"/>
      <c r="I26" s="9"/>
      <c r="J26" s="9"/>
      <c r="K26" s="9"/>
      <c r="L26" s="216">
        <f>'10 Years Mixed'!Q64</f>
        <v>565578.82292662945</v>
      </c>
      <c r="M26" s="9"/>
      <c r="N26" s="11"/>
      <c r="O26" s="215">
        <f>L26</f>
        <v>565578.82292662945</v>
      </c>
      <c r="P26" s="10">
        <f>O26/N12</f>
        <v>6.0243028834707744E-2</v>
      </c>
    </row>
    <row r="27" spans="1:16">
      <c r="A27" s="1" t="s">
        <v>4</v>
      </c>
      <c r="B27" s="4"/>
      <c r="C27" s="9"/>
      <c r="D27" s="9"/>
      <c r="E27" s="9"/>
      <c r="F27" s="9"/>
      <c r="G27" s="9"/>
      <c r="H27" s="9"/>
      <c r="I27" s="9"/>
      <c r="J27" s="9"/>
      <c r="K27" s="9"/>
      <c r="L27" s="216"/>
      <c r="M27" s="9"/>
      <c r="N27" s="217">
        <f>SUM(N25:N26)</f>
        <v>5090209.4063396659</v>
      </c>
      <c r="O27" s="217">
        <f>SUM(O25:O26)</f>
        <v>565578.82292662945</v>
      </c>
      <c r="P27" s="10"/>
    </row>
    <row r="28" spans="1:16" ht="13.5" thickBot="1">
      <c r="A28" s="2" t="s">
        <v>88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13">
        <f>N27+N24+N14</f>
        <v>27119978.312259898</v>
      </c>
      <c r="O28" s="13">
        <f>O27+O24+O14</f>
        <v>8549099.2857655454</v>
      </c>
      <c r="P28" s="14">
        <f>P26+P24</f>
        <v>0.91061336440803298</v>
      </c>
    </row>
    <row r="29" spans="1:16" ht="14.25" thickTop="1" thickBot="1">
      <c r="N29" s="15">
        <f>N28/SUM(N28:O28)</f>
        <v>0.76032182883700916</v>
      </c>
      <c r="O29" s="15">
        <f>O28/SUM(N28:O28)</f>
        <v>0.23967817116299089</v>
      </c>
    </row>
    <row r="30" spans="1:16" ht="13.5" thickTop="1">
      <c r="O30" s="5"/>
    </row>
  </sheetData>
  <mergeCells count="7">
    <mergeCell ref="O5:P5"/>
    <mergeCell ref="O6:O7"/>
    <mergeCell ref="P6:P7"/>
    <mergeCell ref="A1:P1"/>
    <mergeCell ref="A2:P2"/>
    <mergeCell ref="A3:P3"/>
    <mergeCell ref="A4:P4"/>
  </mergeCells>
  <printOptions horizontalCentered="1"/>
  <pageMargins left="0.25" right="0.25" top="0.75" bottom="0.75" header="0.3" footer="0.3"/>
  <pageSetup scale="5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H34"/>
  <sheetViews>
    <sheetView zoomScale="90" zoomScaleNormal="90" workbookViewId="0">
      <selection activeCell="G7" sqref="G7"/>
    </sheetView>
  </sheetViews>
  <sheetFormatPr defaultColWidth="9.140625" defaultRowHeight="12.75"/>
  <cols>
    <col min="1" max="1" width="35.7109375" style="45" customWidth="1"/>
    <col min="2" max="3" width="9.140625" style="45"/>
    <col min="4" max="4" width="14" style="209" bestFit="1" customWidth="1"/>
    <col min="5" max="5" width="14" style="45" customWidth="1"/>
    <col min="6" max="6" width="1.7109375" style="45" customWidth="1"/>
    <col min="7" max="7" width="17.5703125" style="209" bestFit="1" customWidth="1"/>
    <col min="8" max="8" width="12" style="45" bestFit="1" customWidth="1"/>
    <col min="9" max="16384" width="9.140625" style="45"/>
  </cols>
  <sheetData>
    <row r="1" spans="1:8">
      <c r="A1" s="312" t="str">
        <f>'HHA Benefits Analysis'!A1:K1</f>
        <v>Baronne Lofts</v>
      </c>
      <c r="B1" s="312"/>
      <c r="C1" s="312"/>
      <c r="D1" s="312"/>
      <c r="E1" s="312"/>
      <c r="F1" s="312"/>
      <c r="G1" s="312"/>
    </row>
    <row r="2" spans="1:8">
      <c r="A2" s="312" t="str">
        <f>'HHA Benefits Analysis'!A2:K2</f>
        <v>New Orleans, Louisiana   70113</v>
      </c>
      <c r="B2" s="312"/>
      <c r="C2" s="312"/>
      <c r="D2" s="312"/>
      <c r="E2" s="312"/>
      <c r="F2" s="312"/>
      <c r="G2" s="312"/>
    </row>
    <row r="3" spans="1:8">
      <c r="A3" s="312" t="s">
        <v>89</v>
      </c>
      <c r="B3" s="312"/>
      <c r="C3" s="312"/>
      <c r="D3" s="312"/>
      <c r="E3" s="312"/>
      <c r="F3" s="312"/>
      <c r="G3" s="312"/>
    </row>
    <row r="4" spans="1:8" ht="13.5" thickBot="1">
      <c r="A4" s="313">
        <f>'HHA Benefits Analysis'!A4:K4</f>
        <v>46107</v>
      </c>
      <c r="B4" s="313"/>
      <c r="C4" s="313"/>
      <c r="D4" s="313"/>
      <c r="E4" s="313"/>
      <c r="F4" s="313"/>
      <c r="G4" s="313"/>
    </row>
    <row r="5" spans="1:8" ht="13.5" thickTop="1"/>
    <row r="6" spans="1:8">
      <c r="A6" s="239" t="s">
        <v>127</v>
      </c>
      <c r="D6" s="218" t="s">
        <v>117</v>
      </c>
      <c r="E6" s="237" t="s">
        <v>9</v>
      </c>
      <c r="F6" s="46"/>
      <c r="G6" s="211"/>
    </row>
    <row r="7" spans="1:8">
      <c r="A7" s="45" t="s">
        <v>239</v>
      </c>
      <c r="D7" s="209">
        <f>G7/$E$34</f>
        <v>217647.0588235294</v>
      </c>
      <c r="E7" s="43">
        <f>G7/$G$27</f>
        <v>0.93051329125066018</v>
      </c>
      <c r="G7" s="281">
        <v>37000000</v>
      </c>
    </row>
    <row r="8" spans="1:8">
      <c r="A8" s="45" t="s">
        <v>241</v>
      </c>
      <c r="E8" s="43"/>
    </row>
    <row r="9" spans="1:8">
      <c r="A9" s="45" t="s">
        <v>240</v>
      </c>
      <c r="C9" s="290">
        <v>1.4999999999999999E-2</v>
      </c>
      <c r="D9" s="209">
        <f>G9/$E$34</f>
        <v>3264.705882352941</v>
      </c>
      <c r="E9" s="43">
        <f t="shared" ref="E9:E23" si="0">G9/$G$27</f>
        <v>1.3957699368759902E-2</v>
      </c>
      <c r="G9" s="219">
        <f>C9*G7</f>
        <v>555000</v>
      </c>
    </row>
    <row r="10" spans="1:8">
      <c r="A10" s="45" t="s">
        <v>243</v>
      </c>
      <c r="C10" s="290">
        <v>2.5000000000000001E-3</v>
      </c>
      <c r="D10" s="209">
        <f>G10/$E$34</f>
        <v>544.11764705882354</v>
      </c>
      <c r="E10" s="43">
        <f t="shared" si="0"/>
        <v>2.3262832281266506E-3</v>
      </c>
      <c r="G10" s="219">
        <f>C10*G7</f>
        <v>92500</v>
      </c>
      <c r="H10" s="224"/>
    </row>
    <row r="11" spans="1:8">
      <c r="A11" s="45" t="s">
        <v>244</v>
      </c>
      <c r="C11" s="40"/>
      <c r="D11" s="209">
        <f t="shared" ref="D11:D23" si="1">G11/$E$34</f>
        <v>294.11764705882354</v>
      </c>
      <c r="E11" s="43">
        <f t="shared" si="0"/>
        <v>1.2574503935819732E-3</v>
      </c>
      <c r="G11" s="294">
        <v>50000</v>
      </c>
    </row>
    <row r="12" spans="1:8">
      <c r="A12" s="45" t="s">
        <v>245</v>
      </c>
      <c r="D12" s="209">
        <f t="shared" si="1"/>
        <v>294.11764705882354</v>
      </c>
      <c r="E12" s="43">
        <f t="shared" si="0"/>
        <v>1.2574503935819732E-3</v>
      </c>
      <c r="G12" s="294">
        <v>50000</v>
      </c>
    </row>
    <row r="13" spans="1:8">
      <c r="A13" s="45" t="s">
        <v>246</v>
      </c>
      <c r="D13" s="209">
        <f t="shared" si="1"/>
        <v>735.29411764705878</v>
      </c>
      <c r="E13" s="43">
        <f t="shared" si="0"/>
        <v>3.1436259839549329E-3</v>
      </c>
      <c r="G13" s="294">
        <v>125000</v>
      </c>
    </row>
    <row r="14" spans="1:8">
      <c r="A14" s="45" t="s">
        <v>247</v>
      </c>
      <c r="D14" s="209">
        <f t="shared" si="1"/>
        <v>176.47058823529412</v>
      </c>
      <c r="E14" s="43">
        <f t="shared" si="0"/>
        <v>7.544702361491839E-4</v>
      </c>
      <c r="G14" s="294">
        <v>30000</v>
      </c>
    </row>
    <row r="15" spans="1:8">
      <c r="A15" s="45" t="s">
        <v>248</v>
      </c>
      <c r="D15" s="209">
        <f t="shared" si="1"/>
        <v>411.76470588235293</v>
      </c>
      <c r="E15" s="43">
        <f t="shared" si="0"/>
        <v>1.7604305510147626E-3</v>
      </c>
      <c r="G15" s="294">
        <v>70000</v>
      </c>
    </row>
    <row r="16" spans="1:8">
      <c r="A16" s="45" t="s">
        <v>249</v>
      </c>
      <c r="C16" s="40">
        <v>0.01</v>
      </c>
      <c r="D16" s="209">
        <f t="shared" si="1"/>
        <v>1414.7058823529412</v>
      </c>
      <c r="E16" s="43">
        <f t="shared" si="0"/>
        <v>6.0483363931292909E-3</v>
      </c>
      <c r="G16" s="294">
        <f>C16*G30</f>
        <v>240500</v>
      </c>
    </row>
    <row r="17" spans="1:8">
      <c r="A17" s="45" t="s">
        <v>250</v>
      </c>
      <c r="D17" s="209">
        <f t="shared" si="1"/>
        <v>88.235294117647058</v>
      </c>
      <c r="E17" s="43">
        <f t="shared" si="0"/>
        <v>3.7723511807459195E-4</v>
      </c>
      <c r="G17" s="294">
        <v>15000</v>
      </c>
    </row>
    <row r="18" spans="1:8">
      <c r="A18" s="45" t="s">
        <v>251</v>
      </c>
      <c r="D18" s="209">
        <f t="shared" si="1"/>
        <v>176.47058823529412</v>
      </c>
      <c r="E18" s="43">
        <f t="shared" si="0"/>
        <v>7.544702361491839E-4</v>
      </c>
      <c r="G18" s="294">
        <v>30000</v>
      </c>
    </row>
    <row r="19" spans="1:8">
      <c r="A19" s="45" t="s">
        <v>252</v>
      </c>
      <c r="D19" s="209">
        <f t="shared" si="1"/>
        <v>147.05882352941177</v>
      </c>
      <c r="E19" s="43">
        <f t="shared" si="0"/>
        <v>6.2872519679098662E-4</v>
      </c>
      <c r="G19" s="294">
        <v>25000</v>
      </c>
    </row>
    <row r="20" spans="1:8">
      <c r="A20" s="45" t="s">
        <v>253</v>
      </c>
      <c r="D20" s="209">
        <f t="shared" si="1"/>
        <v>176.47058823529412</v>
      </c>
      <c r="E20" s="43">
        <f t="shared" si="0"/>
        <v>7.544702361491839E-4</v>
      </c>
      <c r="G20" s="294">
        <v>30000</v>
      </c>
    </row>
    <row r="21" spans="1:8">
      <c r="A21" s="45" t="s">
        <v>254</v>
      </c>
      <c r="D21" s="209">
        <f t="shared" si="1"/>
        <v>1176.4705882352941</v>
      </c>
      <c r="E21" s="43">
        <f t="shared" si="0"/>
        <v>5.0298015743278929E-3</v>
      </c>
      <c r="G21" s="294">
        <v>200000</v>
      </c>
    </row>
    <row r="22" spans="1:8">
      <c r="A22" s="45" t="s">
        <v>255</v>
      </c>
      <c r="D22" s="209">
        <f t="shared" si="1"/>
        <v>1470.5882352941176</v>
      </c>
      <c r="E22" s="43">
        <f t="shared" si="0"/>
        <v>6.2872519679098657E-3</v>
      </c>
      <c r="G22" s="294">
        <v>250000</v>
      </c>
    </row>
    <row r="23" spans="1:8">
      <c r="A23" s="45" t="s">
        <v>256</v>
      </c>
      <c r="D23" s="211">
        <f t="shared" si="1"/>
        <v>2941.1764705882351</v>
      </c>
      <c r="E23" s="47">
        <f t="shared" si="0"/>
        <v>1.2574503935819731E-2</v>
      </c>
      <c r="F23" s="46"/>
      <c r="G23" s="282">
        <v>500000</v>
      </c>
    </row>
    <row r="24" spans="1:8">
      <c r="A24" s="296" t="s">
        <v>142</v>
      </c>
      <c r="B24" s="297"/>
      <c r="C24" s="297"/>
      <c r="D24" s="298">
        <f>SUM(D9:D23)</f>
        <v>13311.76470588235</v>
      </c>
      <c r="E24" s="299">
        <f>SUM(E9:E23)</f>
        <v>5.6912204813520106E-2</v>
      </c>
      <c r="F24" s="300"/>
      <c r="G24" s="301">
        <f>SUM(G7:G23)</f>
        <v>39263000</v>
      </c>
    </row>
    <row r="25" spans="1:8">
      <c r="E25" s="43"/>
      <c r="G25" s="219"/>
    </row>
    <row r="26" spans="1:8">
      <c r="A26" s="45" t="s">
        <v>242</v>
      </c>
      <c r="C26" s="295">
        <v>8.7500000000000008E-3</v>
      </c>
      <c r="D26" s="209">
        <f>G26/$E$34</f>
        <v>2020.8897058823534</v>
      </c>
      <c r="E26" s="43">
        <f>G26/$G$27</f>
        <v>8.6399730905615795E-3</v>
      </c>
      <c r="G26" s="219">
        <f>G24*C26</f>
        <v>343551.25000000006</v>
      </c>
    </row>
    <row r="27" spans="1:8">
      <c r="A27" s="239" t="s">
        <v>290</v>
      </c>
      <c r="D27" s="209">
        <f>G27/E34</f>
        <v>233900</v>
      </c>
      <c r="E27" s="48">
        <f>E24+E7</f>
        <v>0.98742549606418029</v>
      </c>
      <c r="G27" s="209">
        <f>G24+G23</f>
        <v>39763000</v>
      </c>
      <c r="H27" s="208"/>
    </row>
    <row r="29" spans="1:8">
      <c r="A29" s="239" t="s">
        <v>237</v>
      </c>
      <c r="B29" s="223"/>
      <c r="E29" s="228"/>
    </row>
    <row r="30" spans="1:8">
      <c r="A30" s="45" t="s">
        <v>97</v>
      </c>
      <c r="B30" s="223" t="s">
        <v>235</v>
      </c>
      <c r="C30" s="43"/>
      <c r="D30" s="209">
        <f>G30/'Mixed Rent'!$G$15</f>
        <v>141470.58823529413</v>
      </c>
      <c r="E30" s="43">
        <f>G30/G32</f>
        <v>0.60483363931292911</v>
      </c>
      <c r="G30" s="209">
        <f>'Cash Flow + Debt'!D20</f>
        <v>24050000</v>
      </c>
    </row>
    <row r="31" spans="1:8">
      <c r="A31" s="45" t="s">
        <v>120</v>
      </c>
      <c r="D31" s="211">
        <f>G31/'Mixed Rent'!$G$15</f>
        <v>92429.411764705888</v>
      </c>
      <c r="E31" s="278">
        <f>G31/G27</f>
        <v>0.39516636068707089</v>
      </c>
      <c r="G31" s="211">
        <f>G27-G30</f>
        <v>15713000</v>
      </c>
    </row>
    <row r="32" spans="1:8" ht="13.5" thickBot="1">
      <c r="A32" s="239" t="s">
        <v>98</v>
      </c>
      <c r="D32" s="221">
        <f>G32/'Mixed Rent'!$G$15</f>
        <v>233900</v>
      </c>
      <c r="E32" s="279">
        <f>SUM(E30:E31)</f>
        <v>1</v>
      </c>
      <c r="G32" s="221">
        <f>SUM(G30:G31)</f>
        <v>39763000</v>
      </c>
      <c r="H32" s="208"/>
    </row>
    <row r="33" spans="1:5" ht="13.5" thickTop="1"/>
    <row r="34" spans="1:5">
      <c r="A34" s="239" t="s">
        <v>110</v>
      </c>
      <c r="E34" s="225">
        <f>'Mixed Rent'!G15</f>
        <v>170</v>
      </c>
    </row>
  </sheetData>
  <mergeCells count="4">
    <mergeCell ref="A1:G1"/>
    <mergeCell ref="A2:G2"/>
    <mergeCell ref="A3:G3"/>
    <mergeCell ref="A4:G4"/>
  </mergeCells>
  <printOptions horizontalCentered="1"/>
  <pageMargins left="0.25" right="0.25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H60"/>
  <sheetViews>
    <sheetView zoomScale="90" zoomScaleNormal="90" workbookViewId="0">
      <selection activeCell="D8" sqref="D8"/>
    </sheetView>
  </sheetViews>
  <sheetFormatPr defaultColWidth="9.140625" defaultRowHeight="12.75"/>
  <cols>
    <col min="1" max="1" width="48.5703125" style="1" bestFit="1" customWidth="1"/>
    <col min="2" max="2" width="1.7109375" style="1" customWidth="1"/>
    <col min="3" max="3" width="10.5703125" style="1" bestFit="1" customWidth="1"/>
    <col min="4" max="4" width="15.140625" style="1" bestFit="1" customWidth="1"/>
    <col min="5" max="5" width="11.5703125" style="1" bestFit="1" customWidth="1"/>
    <col min="6" max="6" width="9.140625" style="1"/>
    <col min="7" max="7" width="14.5703125" style="1" bestFit="1" customWidth="1"/>
    <col min="8" max="8" width="10.5703125" style="1" bestFit="1" customWidth="1"/>
    <col min="9" max="16384" width="9.140625" style="1"/>
  </cols>
  <sheetData>
    <row r="1" spans="1:5">
      <c r="A1" s="305" t="str">
        <f>'HHA Benefits Analysis'!A1:K1</f>
        <v>Baronne Lofts</v>
      </c>
      <c r="B1" s="305"/>
      <c r="C1" s="305"/>
      <c r="D1" s="305"/>
      <c r="E1" s="305"/>
    </row>
    <row r="2" spans="1:5">
      <c r="A2" s="305" t="str">
        <f>'HHA Benefits Analysis'!A2:K2</f>
        <v>New Orleans, Louisiana   70113</v>
      </c>
      <c r="B2" s="305"/>
      <c r="C2" s="305"/>
      <c r="D2" s="305"/>
      <c r="E2" s="305"/>
    </row>
    <row r="3" spans="1:5">
      <c r="A3" s="305" t="s">
        <v>94</v>
      </c>
      <c r="B3" s="305"/>
      <c r="C3" s="305"/>
      <c r="D3" s="305"/>
      <c r="E3" s="305"/>
    </row>
    <row r="4" spans="1:5" ht="15.75" customHeight="1" thickBot="1">
      <c r="A4" s="311">
        <f>'HHA Benefits Analysis'!A4:K4</f>
        <v>46107</v>
      </c>
      <c r="B4" s="311"/>
      <c r="C4" s="311"/>
      <c r="D4" s="311"/>
      <c r="E4" s="311"/>
    </row>
    <row r="5" spans="1:5" ht="13.5" thickTop="1"/>
    <row r="6" spans="1:5">
      <c r="A6" s="2" t="s">
        <v>24</v>
      </c>
    </row>
    <row r="7" spans="1:5">
      <c r="A7" s="1" t="s">
        <v>50</v>
      </c>
      <c r="D7" s="209">
        <f>'Mixed Rent'!M38</f>
        <v>2276944.7999999998</v>
      </c>
      <c r="E7" s="209"/>
    </row>
    <row r="8" spans="1:5">
      <c r="A8" s="1" t="s">
        <v>52</v>
      </c>
      <c r="D8" s="209">
        <f>'Mixed Rent'!X49</f>
        <v>0</v>
      </c>
      <c r="E8" s="209"/>
    </row>
    <row r="9" spans="1:5">
      <c r="A9" s="1" t="s">
        <v>53</v>
      </c>
      <c r="D9" s="211">
        <f>'Mixed Rent'!X61</f>
        <v>688344</v>
      </c>
      <c r="E9" s="209"/>
    </row>
    <row r="10" spans="1:5">
      <c r="A10" s="2" t="s">
        <v>55</v>
      </c>
      <c r="D10" s="209">
        <f>SUM(D7:D9)</f>
        <v>2965288.8</v>
      </c>
      <c r="E10" s="209"/>
    </row>
    <row r="11" spans="1:5">
      <c r="A11" s="1" t="s">
        <v>277</v>
      </c>
      <c r="D11" s="281">
        <v>116969</v>
      </c>
      <c r="E11" s="209"/>
    </row>
    <row r="12" spans="1:5">
      <c r="A12" s="1" t="s">
        <v>25</v>
      </c>
      <c r="D12" s="282">
        <v>443505</v>
      </c>
      <c r="E12" s="209"/>
    </row>
    <row r="13" spans="1:5">
      <c r="A13" s="2" t="s">
        <v>119</v>
      </c>
      <c r="C13" s="45"/>
      <c r="D13" s="209">
        <f>SUM(D10:D12)</f>
        <v>3525762.8</v>
      </c>
      <c r="E13" s="209"/>
    </row>
    <row r="14" spans="1:5">
      <c r="A14" s="1" t="s">
        <v>21</v>
      </c>
      <c r="C14" s="45"/>
      <c r="D14" s="209"/>
      <c r="E14" s="209"/>
    </row>
    <row r="15" spans="1:5">
      <c r="A15" s="1" t="s">
        <v>22</v>
      </c>
      <c r="C15" s="40">
        <v>0.05</v>
      </c>
      <c r="D15" s="209">
        <f>C15*-D10</f>
        <v>-148264.44</v>
      </c>
      <c r="E15" s="209"/>
    </row>
    <row r="16" spans="1:5">
      <c r="A16" s="1" t="s">
        <v>22</v>
      </c>
      <c r="C16" s="40">
        <v>5.0000000000000001E-3</v>
      </c>
      <c r="D16" s="211">
        <f>D10*-C16</f>
        <v>-14826.444</v>
      </c>
      <c r="E16" s="209"/>
    </row>
    <row r="17" spans="1:8">
      <c r="A17" s="2" t="s">
        <v>26</v>
      </c>
      <c r="C17" s="45"/>
      <c r="D17" s="209">
        <f>SUM(D13:D16)</f>
        <v>3362671.9159999997</v>
      </c>
      <c r="E17" s="209"/>
    </row>
    <row r="18" spans="1:8">
      <c r="C18" s="45"/>
      <c r="D18" s="209"/>
      <c r="E18" s="209"/>
    </row>
    <row r="19" spans="1:8">
      <c r="A19" s="2" t="s">
        <v>21</v>
      </c>
      <c r="C19" s="45"/>
      <c r="D19" s="209"/>
      <c r="E19" s="209"/>
    </row>
    <row r="20" spans="1:8">
      <c r="A20" s="2" t="s">
        <v>28</v>
      </c>
      <c r="C20" s="45"/>
      <c r="D20" s="209"/>
      <c r="E20" s="218" t="s">
        <v>38</v>
      </c>
    </row>
    <row r="21" spans="1:8">
      <c r="A21" s="2" t="s">
        <v>121</v>
      </c>
      <c r="C21" s="45"/>
      <c r="D21" s="209"/>
      <c r="E21" s="209"/>
    </row>
    <row r="22" spans="1:8">
      <c r="A22" s="1" t="s">
        <v>264</v>
      </c>
      <c r="C22" s="45"/>
      <c r="D22" s="281">
        <v>-294000</v>
      </c>
      <c r="E22" s="209">
        <f t="shared" ref="E22:E30" si="0">D22/$D$60</f>
        <v>-1729.4117647058824</v>
      </c>
      <c r="G22" s="49"/>
      <c r="H22" s="42"/>
    </row>
    <row r="23" spans="1:8">
      <c r="A23" s="1" t="s">
        <v>230</v>
      </c>
      <c r="C23" s="45"/>
      <c r="D23" s="281">
        <v>-157369</v>
      </c>
      <c r="E23" s="209">
        <f t="shared" si="0"/>
        <v>-925.7</v>
      </c>
      <c r="G23" s="41"/>
      <c r="H23" s="42"/>
    </row>
    <row r="24" spans="1:8">
      <c r="A24" s="1" t="s">
        <v>265</v>
      </c>
      <c r="C24" s="45"/>
      <c r="D24" s="281">
        <v>-51870</v>
      </c>
      <c r="E24" s="209">
        <f t="shared" si="0"/>
        <v>-305.11764705882354</v>
      </c>
      <c r="G24" s="41"/>
      <c r="H24" s="42"/>
    </row>
    <row r="25" spans="1:8">
      <c r="A25" s="1" t="s">
        <v>266</v>
      </c>
      <c r="C25" s="45"/>
      <c r="D25" s="281">
        <v>-196000</v>
      </c>
      <c r="E25" s="209">
        <f t="shared" si="0"/>
        <v>-1152.9411764705883</v>
      </c>
      <c r="G25" s="41"/>
      <c r="H25" s="42"/>
    </row>
    <row r="26" spans="1:8">
      <c r="A26" s="1" t="s">
        <v>138</v>
      </c>
      <c r="C26" s="45"/>
      <c r="D26" s="281">
        <v>-73500</v>
      </c>
      <c r="E26" s="209">
        <f t="shared" si="0"/>
        <v>-432.35294117647061</v>
      </c>
      <c r="G26" s="41"/>
      <c r="H26" s="42"/>
    </row>
    <row r="27" spans="1:8">
      <c r="A27" s="1" t="s">
        <v>229</v>
      </c>
      <c r="C27" s="45"/>
      <c r="D27" s="281">
        <v>-83300</v>
      </c>
      <c r="E27" s="209">
        <f t="shared" si="0"/>
        <v>-490</v>
      </c>
      <c r="G27" s="41"/>
      <c r="H27" s="42"/>
    </row>
    <row r="28" spans="1:8">
      <c r="A28" s="1" t="s">
        <v>267</v>
      </c>
      <c r="C28" s="45"/>
      <c r="D28" s="281">
        <v>-112700</v>
      </c>
      <c r="E28" s="209">
        <f t="shared" si="0"/>
        <v>-662.94117647058829</v>
      </c>
      <c r="G28" s="41"/>
      <c r="H28" s="42"/>
    </row>
    <row r="29" spans="1:8">
      <c r="A29" s="1" t="s">
        <v>268</v>
      </c>
      <c r="C29" s="45"/>
      <c r="D29" s="282">
        <v>-10000</v>
      </c>
      <c r="E29" s="211">
        <f t="shared" si="0"/>
        <v>-58.823529411764703</v>
      </c>
      <c r="G29" s="39"/>
      <c r="H29" s="42"/>
    </row>
    <row r="30" spans="1:8">
      <c r="A30" s="1" t="s">
        <v>111</v>
      </c>
      <c r="C30" s="45"/>
      <c r="D30" s="209">
        <f>SUM(D22:D29)</f>
        <v>-978739</v>
      </c>
      <c r="E30" s="209">
        <f t="shared" si="0"/>
        <v>-5757.2882352941178</v>
      </c>
      <c r="G30" s="3"/>
    </row>
    <row r="31" spans="1:8">
      <c r="A31" s="2" t="s">
        <v>139</v>
      </c>
      <c r="C31" s="45"/>
      <c r="D31" s="209"/>
      <c r="E31" s="209"/>
    </row>
    <row r="32" spans="1:8">
      <c r="A32" s="1" t="s">
        <v>285</v>
      </c>
      <c r="C32" s="222">
        <v>0.04</v>
      </c>
      <c r="D32" s="281">
        <v>-148015</v>
      </c>
      <c r="E32" s="209">
        <f t="shared" ref="E32:E38" si="1">D32/$D$60</f>
        <v>-870.67647058823525</v>
      </c>
    </row>
    <row r="33" spans="1:7">
      <c r="A33" s="1" t="s">
        <v>122</v>
      </c>
      <c r="C33" s="45"/>
      <c r="D33" s="281">
        <v>-382200</v>
      </c>
      <c r="E33" s="209">
        <f t="shared" si="1"/>
        <v>-2248.2352941176468</v>
      </c>
    </row>
    <row r="34" spans="1:7">
      <c r="A34" s="1" t="s">
        <v>233</v>
      </c>
      <c r="C34" s="40">
        <v>3.31E-3</v>
      </c>
      <c r="D34" s="281">
        <v>-13341</v>
      </c>
      <c r="E34" s="209">
        <f t="shared" si="1"/>
        <v>-78.476470588235287</v>
      </c>
    </row>
    <row r="35" spans="1:7">
      <c r="A35" s="1" t="s">
        <v>123</v>
      </c>
      <c r="C35" s="223" t="s">
        <v>140</v>
      </c>
      <c r="D35" s="281">
        <v>-818945</v>
      </c>
      <c r="E35" s="209">
        <f t="shared" si="1"/>
        <v>-4817.3235294117649</v>
      </c>
    </row>
    <row r="36" spans="1:7">
      <c r="A36" s="1" t="s">
        <v>136</v>
      </c>
      <c r="C36" s="224"/>
      <c r="D36" s="211">
        <v>0</v>
      </c>
      <c r="E36" s="211">
        <f t="shared" si="1"/>
        <v>0</v>
      </c>
    </row>
    <row r="37" spans="1:7">
      <c r="A37" s="1" t="s">
        <v>112</v>
      </c>
      <c r="C37" s="45"/>
      <c r="D37" s="219">
        <f>SUM(D32:D36)</f>
        <v>-1362501</v>
      </c>
      <c r="E37" s="209">
        <f t="shared" si="1"/>
        <v>-8014.7117647058822</v>
      </c>
    </row>
    <row r="38" spans="1:7">
      <c r="A38" s="2" t="s">
        <v>29</v>
      </c>
      <c r="C38" s="45"/>
      <c r="D38" s="220">
        <f>D37+D30</f>
        <v>-2341240</v>
      </c>
      <c r="E38" s="220">
        <f t="shared" si="1"/>
        <v>-13772</v>
      </c>
    </row>
    <row r="39" spans="1:7">
      <c r="C39" s="45"/>
      <c r="D39" s="209"/>
      <c r="E39" s="209"/>
    </row>
    <row r="40" spans="1:7">
      <c r="A40" s="2" t="s">
        <v>113</v>
      </c>
      <c r="C40" s="45"/>
      <c r="D40" s="209">
        <f>D17+D38</f>
        <v>1021431.9159999997</v>
      </c>
      <c r="E40" s="209">
        <f>D40/$D$60</f>
        <v>6008.4230352941158</v>
      </c>
    </row>
    <row r="41" spans="1:7">
      <c r="A41" s="1" t="s">
        <v>33</v>
      </c>
      <c r="C41" s="45"/>
      <c r="D41" s="209"/>
      <c r="E41" s="209"/>
    </row>
    <row r="42" spans="1:7">
      <c r="A42" s="1" t="s">
        <v>27</v>
      </c>
      <c r="C42" s="45"/>
      <c r="D42" s="211">
        <f>-D35</f>
        <v>818945</v>
      </c>
      <c r="E42" s="211">
        <f>D42/$D$60</f>
        <v>4817.3235294117649</v>
      </c>
      <c r="G42" s="42"/>
    </row>
    <row r="43" spans="1:7">
      <c r="A43" s="2" t="s">
        <v>114</v>
      </c>
      <c r="C43" s="45"/>
      <c r="D43" s="209">
        <f>D40+D42</f>
        <v>1840376.9159999997</v>
      </c>
      <c r="E43" s="209">
        <f>E40+E42</f>
        <v>10825.746564705882</v>
      </c>
    </row>
    <row r="44" spans="1:7">
      <c r="A44" s="2"/>
      <c r="C44" s="45"/>
      <c r="D44" s="209"/>
      <c r="E44" s="209"/>
    </row>
    <row r="45" spans="1:7">
      <c r="A45" s="2" t="s">
        <v>21</v>
      </c>
      <c r="C45" s="45"/>
      <c r="D45" s="209"/>
      <c r="E45" s="209"/>
    </row>
    <row r="46" spans="1:7">
      <c r="A46" s="2" t="s">
        <v>143</v>
      </c>
      <c r="C46" s="45"/>
      <c r="D46" s="211">
        <f>E46*D60</f>
        <v>-42500</v>
      </c>
      <c r="E46" s="282">
        <v>-250</v>
      </c>
    </row>
    <row r="47" spans="1:7">
      <c r="A47" s="2" t="s">
        <v>130</v>
      </c>
      <c r="C47" s="45"/>
      <c r="D47" s="211">
        <f>SUM(D46:D46)</f>
        <v>-42500</v>
      </c>
      <c r="E47" s="211">
        <f>D47/D60</f>
        <v>-250</v>
      </c>
    </row>
    <row r="48" spans="1:7">
      <c r="C48" s="45"/>
      <c r="D48" s="209"/>
      <c r="E48" s="209"/>
    </row>
    <row r="49" spans="1:7" ht="13.5" thickBot="1">
      <c r="A49" s="30" t="s">
        <v>115</v>
      </c>
      <c r="C49" s="45"/>
      <c r="D49" s="221">
        <f>D43+D47</f>
        <v>1797876.9159999997</v>
      </c>
      <c r="E49" s="221">
        <f>D49/$D$60</f>
        <v>10575.746564705882</v>
      </c>
      <c r="G49" s="32"/>
    </row>
    <row r="50" spans="1:7" ht="13.5" thickTop="1">
      <c r="C50" s="45"/>
      <c r="D50" s="45"/>
      <c r="E50" s="45"/>
    </row>
    <row r="51" spans="1:7">
      <c r="A51" s="2" t="s">
        <v>54</v>
      </c>
      <c r="C51" s="45"/>
      <c r="D51" s="45"/>
      <c r="E51" s="45"/>
    </row>
    <row r="52" spans="1:7">
      <c r="A52" s="1" t="s">
        <v>50</v>
      </c>
      <c r="C52" s="223" t="s">
        <v>56</v>
      </c>
      <c r="D52" s="291">
        <v>0.05</v>
      </c>
      <c r="E52" s="45"/>
    </row>
    <row r="53" spans="1:7">
      <c r="A53" s="1" t="s">
        <v>50</v>
      </c>
      <c r="C53" s="223" t="s">
        <v>57</v>
      </c>
      <c r="D53" s="291">
        <v>0.05</v>
      </c>
      <c r="E53" s="45"/>
    </row>
    <row r="54" spans="1:7">
      <c r="A54" s="1" t="s">
        <v>50</v>
      </c>
      <c r="C54" s="223" t="s">
        <v>271</v>
      </c>
      <c r="D54" s="291">
        <v>0.05</v>
      </c>
      <c r="E54" s="45"/>
    </row>
    <row r="55" spans="1:7">
      <c r="A55" s="1" t="s">
        <v>51</v>
      </c>
      <c r="C55" s="45"/>
      <c r="D55" s="291">
        <v>0.03</v>
      </c>
      <c r="E55" s="45"/>
    </row>
    <row r="56" spans="1:7">
      <c r="A56" s="1" t="s">
        <v>28</v>
      </c>
      <c r="C56" s="45"/>
      <c r="D56" s="291">
        <v>0.03</v>
      </c>
      <c r="E56" s="45"/>
    </row>
    <row r="57" spans="1:7">
      <c r="A57" s="1" t="s">
        <v>133</v>
      </c>
      <c r="C57" s="45"/>
      <c r="D57" s="291">
        <v>0.03</v>
      </c>
      <c r="E57" s="45"/>
    </row>
    <row r="58" spans="1:7">
      <c r="A58" s="1" t="s">
        <v>27</v>
      </c>
      <c r="C58" s="45"/>
      <c r="D58" s="291">
        <v>0.03</v>
      </c>
      <c r="E58" s="45"/>
    </row>
    <row r="59" spans="1:7">
      <c r="D59" s="38"/>
    </row>
    <row r="60" spans="1:7">
      <c r="A60" s="1" t="s">
        <v>110</v>
      </c>
      <c r="D60" s="8">
        <f>'Mixed Rent'!G15</f>
        <v>170</v>
      </c>
    </row>
  </sheetData>
  <mergeCells count="4">
    <mergeCell ref="A1:E1"/>
    <mergeCell ref="A2:E2"/>
    <mergeCell ref="A3:E3"/>
    <mergeCell ref="A4:E4"/>
  </mergeCells>
  <printOptions horizontalCentered="1"/>
  <pageMargins left="0.7" right="0.7" top="0.75" bottom="0.75" header="0.3" footer="0.3"/>
  <pageSetup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M44"/>
  <sheetViews>
    <sheetView tabSelected="1" zoomScale="90" zoomScaleNormal="90" workbookViewId="0">
      <selection activeCell="A31" sqref="A31"/>
    </sheetView>
  </sheetViews>
  <sheetFormatPr defaultColWidth="9.140625" defaultRowHeight="12.75"/>
  <cols>
    <col min="1" max="1" width="33.28515625" style="1" bestFit="1" customWidth="1"/>
    <col min="2" max="2" width="1.7109375" style="1" customWidth="1"/>
    <col min="3" max="3" width="10.28515625" style="1" bestFit="1" customWidth="1"/>
    <col min="4" max="4" width="15.7109375" style="1" bestFit="1" customWidth="1"/>
    <col min="5" max="5" width="1.7109375" style="1" customWidth="1"/>
    <col min="6" max="6" width="16.5703125" style="1" bestFit="1" customWidth="1"/>
    <col min="7" max="7" width="9.140625" style="1"/>
    <col min="8" max="8" width="15.7109375" style="1" customWidth="1"/>
    <col min="9" max="10" width="9.140625" style="1"/>
    <col min="11" max="11" width="21" style="1" bestFit="1" customWidth="1"/>
    <col min="12" max="12" width="6.85546875" style="1" bestFit="1" customWidth="1"/>
    <col min="13" max="13" width="15" style="1" bestFit="1" customWidth="1"/>
    <col min="14" max="16384" width="9.140625" style="1"/>
  </cols>
  <sheetData>
    <row r="1" spans="1:8">
      <c r="A1" s="305" t="str">
        <f>'HHA Benefits Analysis'!A1:K1</f>
        <v>Baronne Lofts</v>
      </c>
      <c r="B1" s="305"/>
      <c r="C1" s="305"/>
      <c r="D1" s="305"/>
      <c r="E1" s="305"/>
      <c r="F1" s="305"/>
      <c r="G1" s="305"/>
      <c r="H1" s="305"/>
    </row>
    <row r="2" spans="1:8">
      <c r="A2" s="305" t="str">
        <f>'HHA Benefits Analysis'!A2:K2</f>
        <v>New Orleans, Louisiana   70113</v>
      </c>
      <c r="B2" s="305"/>
      <c r="C2" s="305"/>
      <c r="D2" s="305"/>
      <c r="E2" s="305"/>
      <c r="F2" s="305"/>
      <c r="G2" s="305"/>
      <c r="H2" s="305"/>
    </row>
    <row r="3" spans="1:8">
      <c r="A3" s="305" t="s">
        <v>90</v>
      </c>
      <c r="B3" s="305"/>
      <c r="C3" s="305"/>
      <c r="D3" s="305"/>
      <c r="E3" s="305"/>
      <c r="F3" s="305"/>
      <c r="G3" s="305"/>
      <c r="H3" s="305"/>
    </row>
    <row r="4" spans="1:8" ht="13.5" thickBot="1">
      <c r="A4" s="311">
        <f>'HHA Benefits Analysis'!A4:K4</f>
        <v>46107</v>
      </c>
      <c r="B4" s="311"/>
      <c r="C4" s="311"/>
      <c r="D4" s="311"/>
      <c r="E4" s="311"/>
      <c r="F4" s="311"/>
      <c r="G4" s="311"/>
      <c r="H4" s="311"/>
    </row>
    <row r="5" spans="1:8" ht="13.5" thickTop="1">
      <c r="F5" s="9"/>
    </row>
    <row r="6" spans="1:8">
      <c r="A6" s="2" t="s">
        <v>30</v>
      </c>
      <c r="F6" s="9">
        <f>'P&amp;L'!D40</f>
        <v>1021431.9159999997</v>
      </c>
    </row>
    <row r="7" spans="1:8">
      <c r="A7" s="1" t="s">
        <v>33</v>
      </c>
      <c r="F7" s="9"/>
    </row>
    <row r="8" spans="1:8">
      <c r="A8" s="1" t="s">
        <v>27</v>
      </c>
      <c r="F8" s="11">
        <f>'P&amp;L'!D42</f>
        <v>818945</v>
      </c>
    </row>
    <row r="9" spans="1:8">
      <c r="A9" s="2" t="s">
        <v>32</v>
      </c>
      <c r="F9" s="9">
        <f>F6+F8</f>
        <v>1840376.9159999997</v>
      </c>
    </row>
    <row r="10" spans="1:8">
      <c r="A10" s="2"/>
      <c r="F10" s="9"/>
    </row>
    <row r="11" spans="1:8">
      <c r="A11" s="2" t="s">
        <v>21</v>
      </c>
      <c r="F11" s="9"/>
    </row>
    <row r="12" spans="1:8">
      <c r="A12" s="1" t="str">
        <f>'P&amp;L'!A47</f>
        <v>Total Other Non-Controllable Expenses</v>
      </c>
      <c r="F12" s="11">
        <f>'P&amp;L'!D47</f>
        <v>-42500</v>
      </c>
    </row>
    <row r="13" spans="1:8">
      <c r="F13" s="9"/>
    </row>
    <row r="14" spans="1:8" ht="13.5" thickBot="1">
      <c r="A14" s="30" t="s">
        <v>45</v>
      </c>
      <c r="F14" s="217">
        <f>F9+F12</f>
        <v>1797876.9159999997</v>
      </c>
    </row>
    <row r="15" spans="1:8" ht="13.5" thickTop="1"/>
    <row r="16" spans="1:8">
      <c r="A16" s="2" t="s">
        <v>236</v>
      </c>
    </row>
    <row r="17" spans="1:9">
      <c r="A17" s="1" t="s">
        <v>231</v>
      </c>
      <c r="D17" s="3">
        <f>'SOURCES and USES of FUNDS'!G27</f>
        <v>39763000</v>
      </c>
      <c r="E17" s="3"/>
    </row>
    <row r="18" spans="1:9">
      <c r="A18" s="1" t="s">
        <v>38</v>
      </c>
      <c r="D18" s="9">
        <f>D17/'Mixed Rent'!G15</f>
        <v>233900</v>
      </c>
      <c r="E18" s="9"/>
    </row>
    <row r="19" spans="1:9">
      <c r="A19" s="1" t="s">
        <v>39</v>
      </c>
      <c r="D19" s="48">
        <f>F9/D17</f>
        <v>4.6283653547267552E-2</v>
      </c>
      <c r="E19" s="31"/>
      <c r="H19" s="5"/>
    </row>
    <row r="20" spans="1:9">
      <c r="A20" s="1" t="s">
        <v>34</v>
      </c>
      <c r="C20" s="4" t="s">
        <v>235</v>
      </c>
      <c r="D20" s="208">
        <f>D22*'SOURCES and USES of FUNDS'!G7</f>
        <v>24050000</v>
      </c>
      <c r="E20" s="208"/>
      <c r="F20" s="225"/>
      <c r="G20" s="45"/>
      <c r="H20" s="208"/>
      <c r="I20" s="45"/>
    </row>
    <row r="21" spans="1:9">
      <c r="A21" s="1" t="s">
        <v>38</v>
      </c>
      <c r="C21" s="4"/>
      <c r="D21" s="208">
        <f>D20/'SOURCES and USES of FUNDS'!E34</f>
        <v>141470.58823529413</v>
      </c>
      <c r="E21" s="208"/>
      <c r="F21" s="225"/>
      <c r="G21" s="45"/>
      <c r="H21" s="208"/>
      <c r="I21" s="45"/>
    </row>
    <row r="22" spans="1:9">
      <c r="A22" s="1" t="s">
        <v>263</v>
      </c>
      <c r="D22" s="291">
        <v>0.65</v>
      </c>
      <c r="E22" s="226"/>
      <c r="F22" s="45"/>
      <c r="G22" s="45"/>
      <c r="H22" s="45"/>
      <c r="I22" s="45"/>
    </row>
    <row r="23" spans="1:9">
      <c r="A23" s="1" t="s">
        <v>35</v>
      </c>
      <c r="D23" s="291">
        <v>6.25E-2</v>
      </c>
      <c r="E23" s="43"/>
      <c r="F23" s="45"/>
      <c r="G23" s="45"/>
      <c r="H23" s="45"/>
      <c r="I23" s="45"/>
    </row>
    <row r="24" spans="1:9">
      <c r="A24" s="1" t="s">
        <v>36</v>
      </c>
      <c r="D24" s="292">
        <v>30</v>
      </c>
      <c r="E24" s="45"/>
      <c r="F24" s="45"/>
      <c r="G24" s="45"/>
      <c r="H24" s="45"/>
      <c r="I24" s="45"/>
    </row>
    <row r="25" spans="1:9">
      <c r="A25" s="1" t="s">
        <v>44</v>
      </c>
      <c r="D25" s="48">
        <f>PMT(D23/12,D24*12,-1)*12</f>
        <v>7.3886064051166989E-2</v>
      </c>
      <c r="E25" s="45"/>
      <c r="F25" s="45"/>
      <c r="G25" s="45"/>
      <c r="H25" s="45"/>
      <c r="I25" s="45"/>
    </row>
    <row r="26" spans="1:9">
      <c r="A26" s="1" t="s">
        <v>116</v>
      </c>
      <c r="D26" s="53">
        <f>F14/D27</f>
        <v>1.0117712708489603</v>
      </c>
      <c r="E26" s="45"/>
      <c r="F26" s="45"/>
      <c r="G26" s="45"/>
      <c r="H26" s="45"/>
      <c r="I26" s="45"/>
    </row>
    <row r="27" spans="1:9">
      <c r="A27" s="1" t="s">
        <v>37</v>
      </c>
      <c r="D27" s="211">
        <f>(PMT(D23/12,D24*12,D20)*12)*-1</f>
        <v>1776959.8404305661</v>
      </c>
      <c r="E27" s="45"/>
      <c r="F27" s="228"/>
      <c r="G27" s="45"/>
      <c r="H27" s="45"/>
      <c r="I27" s="45"/>
    </row>
    <row r="28" spans="1:9">
      <c r="A28" s="45" t="s">
        <v>270</v>
      </c>
      <c r="D28" s="229"/>
      <c r="E28" s="45"/>
      <c r="F28" s="211">
        <f>D23*-D20</f>
        <v>-1503125</v>
      </c>
      <c r="G28" s="45"/>
      <c r="H28" s="45"/>
      <c r="I28" s="45"/>
    </row>
    <row r="29" spans="1:9">
      <c r="D29" s="45"/>
      <c r="E29" s="45"/>
      <c r="F29" s="45"/>
      <c r="G29" s="45"/>
      <c r="H29" s="230"/>
      <c r="I29" s="45"/>
    </row>
    <row r="30" spans="1:9" ht="13.5" thickBot="1">
      <c r="A30" s="2" t="s">
        <v>40</v>
      </c>
      <c r="D30" s="45"/>
      <c r="E30" s="45"/>
      <c r="F30" s="231">
        <f>F14+F28</f>
        <v>294751.91599999974</v>
      </c>
      <c r="G30" s="45"/>
      <c r="H30" s="230"/>
      <c r="I30" s="45"/>
    </row>
    <row r="31" spans="1:9" ht="13.5" thickTop="1">
      <c r="A31" s="2"/>
      <c r="D31" s="45"/>
      <c r="E31" s="45"/>
      <c r="F31" s="208"/>
      <c r="G31" s="45"/>
      <c r="H31" s="45"/>
      <c r="I31" s="45"/>
    </row>
    <row r="32" spans="1:9">
      <c r="A32" s="2" t="s">
        <v>21</v>
      </c>
      <c r="D32" s="45"/>
      <c r="E32" s="45"/>
      <c r="F32" s="208"/>
      <c r="G32" s="208"/>
      <c r="H32" s="208"/>
      <c r="I32" s="45"/>
    </row>
    <row r="33" spans="1:13">
      <c r="A33" s="2" t="s">
        <v>46</v>
      </c>
      <c r="C33" s="4" t="s">
        <v>42</v>
      </c>
      <c r="D33" s="283">
        <v>50000</v>
      </c>
      <c r="E33" s="45"/>
      <c r="F33" s="208"/>
      <c r="G33" s="208"/>
      <c r="H33" s="232">
        <f>-D33</f>
        <v>-50000</v>
      </c>
      <c r="I33" s="45"/>
    </row>
    <row r="34" spans="1:13">
      <c r="A34" s="2" t="s">
        <v>47</v>
      </c>
      <c r="C34" s="4"/>
      <c r="D34" s="45"/>
      <c r="E34" s="45"/>
      <c r="F34" s="208"/>
      <c r="G34" s="208"/>
      <c r="H34" s="208">
        <f>F30+H33</f>
        <v>244751.91599999974</v>
      </c>
      <c r="I34" s="45"/>
    </row>
    <row r="35" spans="1:13">
      <c r="A35" s="2" t="s">
        <v>21</v>
      </c>
      <c r="C35" s="4"/>
      <c r="D35" s="45"/>
      <c r="E35" s="45"/>
      <c r="F35" s="208"/>
      <c r="G35" s="208"/>
      <c r="H35" s="208"/>
      <c r="I35" s="45"/>
    </row>
    <row r="36" spans="1:13">
      <c r="A36" s="1" t="s">
        <v>48</v>
      </c>
      <c r="C36" s="4" t="s">
        <v>43</v>
      </c>
      <c r="D36" s="45"/>
      <c r="E36" s="45"/>
      <c r="F36" s="208"/>
      <c r="G36" s="208"/>
      <c r="H36" s="208"/>
      <c r="I36" s="45"/>
    </row>
    <row r="37" spans="1:13">
      <c r="A37" s="1" t="s">
        <v>91</v>
      </c>
      <c r="C37" s="4"/>
      <c r="D37" s="208">
        <f>D17-D20</f>
        <v>15713000</v>
      </c>
      <c r="E37" s="45"/>
      <c r="F37" s="208"/>
      <c r="G37" s="208"/>
      <c r="H37" s="208"/>
      <c r="I37" s="45"/>
    </row>
    <row r="38" spans="1:13">
      <c r="A38" s="1" t="s">
        <v>92</v>
      </c>
      <c r="D38" s="293">
        <v>0.08</v>
      </c>
      <c r="E38" s="45"/>
      <c r="F38" s="208"/>
      <c r="G38" s="208"/>
      <c r="H38" s="232">
        <f>D37*-D38</f>
        <v>-1257040</v>
      </c>
      <c r="I38" s="45"/>
    </row>
    <row r="39" spans="1:13">
      <c r="C39" s="4"/>
      <c r="D39" s="43"/>
      <c r="E39" s="45"/>
      <c r="F39" s="208"/>
      <c r="G39" s="208"/>
      <c r="H39" s="234"/>
      <c r="I39" s="45"/>
    </row>
    <row r="40" spans="1:13">
      <c r="C40" s="4"/>
      <c r="D40" s="43"/>
      <c r="E40" s="45"/>
      <c r="F40" s="208"/>
      <c r="G40" s="208"/>
      <c r="H40" s="234"/>
      <c r="I40" s="45"/>
    </row>
    <row r="41" spans="1:13" ht="13.5" thickBot="1">
      <c r="A41" s="2" t="s">
        <v>49</v>
      </c>
      <c r="D41" s="45"/>
      <c r="E41" s="45"/>
      <c r="F41" s="208"/>
      <c r="G41" s="208"/>
      <c r="H41" s="235">
        <f>H34+H38</f>
        <v>-1012288.0840000003</v>
      </c>
      <c r="I41" s="45"/>
    </row>
    <row r="42" spans="1:13" ht="13.5" thickTop="1">
      <c r="D42" s="45"/>
      <c r="E42" s="45"/>
      <c r="F42" s="45"/>
      <c r="G42" s="45"/>
      <c r="H42" s="45"/>
      <c r="I42" s="45"/>
      <c r="M42" s="6"/>
    </row>
    <row r="43" spans="1:13">
      <c r="D43" s="45"/>
      <c r="E43" s="45"/>
      <c r="F43" s="45"/>
      <c r="G43" s="45"/>
      <c r="H43" s="45"/>
      <c r="I43" s="45"/>
    </row>
    <row r="44" spans="1:13">
      <c r="D44" s="45"/>
      <c r="E44" s="45"/>
      <c r="F44" s="45"/>
      <c r="G44" s="45"/>
      <c r="H44" s="45"/>
      <c r="I44" s="45"/>
    </row>
  </sheetData>
  <mergeCells count="4">
    <mergeCell ref="A1:H1"/>
    <mergeCell ref="A2:H2"/>
    <mergeCell ref="A3:H3"/>
    <mergeCell ref="A4:H4"/>
  </mergeCells>
  <printOptions horizontalCentered="1"/>
  <pageMargins left="0.7" right="0.7" top="0.75" bottom="0.75" header="0.3" footer="0.3"/>
  <pageSetup scale="8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Y67"/>
  <sheetViews>
    <sheetView topLeftCell="A10" zoomScale="90" zoomScaleNormal="90" workbookViewId="0">
      <selection activeCell="G11" sqref="G11"/>
    </sheetView>
  </sheetViews>
  <sheetFormatPr defaultColWidth="9.140625" defaultRowHeight="12.75"/>
  <cols>
    <col min="1" max="1" width="23.28515625" style="45" bestFit="1" customWidth="1"/>
    <col min="2" max="2" width="9.140625" style="45"/>
    <col min="3" max="3" width="1.7109375" style="45" customWidth="1"/>
    <col min="4" max="4" width="11.5703125" style="45" bestFit="1" customWidth="1"/>
    <col min="5" max="5" width="10.5703125" style="45" bestFit="1" customWidth="1"/>
    <col min="6" max="6" width="1.7109375" style="45" customWidth="1"/>
    <col min="7" max="7" width="11.7109375" style="45" customWidth="1"/>
    <col min="8" max="8" width="1.7109375" style="45" customWidth="1"/>
    <col min="9" max="9" width="9.5703125" style="45" bestFit="1" customWidth="1"/>
    <col min="10" max="10" width="1.7109375" style="45" customWidth="1"/>
    <col min="11" max="11" width="15.7109375" style="45" customWidth="1"/>
    <col min="12" max="12" width="1.7109375" style="45" customWidth="1"/>
    <col min="13" max="13" width="15.85546875" style="45" bestFit="1" customWidth="1"/>
    <col min="14" max="14" width="1.7109375" style="45" customWidth="1"/>
    <col min="15" max="15" width="16.7109375" style="45" customWidth="1"/>
    <col min="16" max="16" width="1.7109375" style="45" customWidth="1"/>
    <col min="17" max="17" width="16.7109375" style="45" customWidth="1"/>
    <col min="18" max="18" width="1.7109375" style="45" customWidth="1"/>
    <col min="19" max="20" width="15.7109375" style="45" customWidth="1"/>
    <col min="21" max="21" width="1.7109375" style="45" customWidth="1"/>
    <col min="22" max="22" width="15.7109375" style="45" customWidth="1"/>
    <col min="23" max="23" width="1.7109375" style="45" customWidth="1"/>
    <col min="24" max="24" width="16.42578125" style="45" bestFit="1" customWidth="1"/>
    <col min="25" max="25" width="9.5703125" style="45" bestFit="1" customWidth="1"/>
    <col min="26" max="16384" width="9.140625" style="45"/>
  </cols>
  <sheetData>
    <row r="1" spans="1:24">
      <c r="A1" s="312" t="str">
        <f>'HHA Benefits Analysis'!A1:K1</f>
        <v>Baronne Lofts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</row>
    <row r="2" spans="1:24">
      <c r="A2" s="312" t="str">
        <f>'HHA Benefits Analysis'!A2:K2</f>
        <v>New Orleans, Louisiana   70113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</row>
    <row r="3" spans="1:24">
      <c r="A3" s="312" t="s">
        <v>118</v>
      </c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  <c r="T3" s="312"/>
      <c r="U3" s="312"/>
      <c r="V3" s="312"/>
      <c r="W3" s="312"/>
      <c r="X3" s="312"/>
    </row>
    <row r="4" spans="1:24" ht="13.5" thickBot="1">
      <c r="A4" s="313">
        <f>'HHA Benefits Analysis'!A4:K4</f>
        <v>46107</v>
      </c>
      <c r="B4" s="313"/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</row>
    <row r="5" spans="1:24" ht="13.5" thickTop="1"/>
    <row r="6" spans="1:24">
      <c r="B6" s="237" t="s">
        <v>17</v>
      </c>
      <c r="C6" s="237"/>
      <c r="D6" s="237" t="s">
        <v>17</v>
      </c>
      <c r="E6" s="237" t="s">
        <v>2</v>
      </c>
      <c r="F6" s="46"/>
      <c r="G6" s="238" t="s">
        <v>18</v>
      </c>
      <c r="K6" s="237" t="s">
        <v>99</v>
      </c>
    </row>
    <row r="7" spans="1:24">
      <c r="A7" s="239" t="s">
        <v>3</v>
      </c>
      <c r="B7" s="17" t="s">
        <v>257</v>
      </c>
      <c r="C7" s="223"/>
      <c r="D7" s="240" t="s">
        <v>135</v>
      </c>
      <c r="E7" s="285">
        <v>778.55</v>
      </c>
      <c r="G7" s="286">
        <v>50</v>
      </c>
      <c r="I7" s="45">
        <f>D30+D42+D53</f>
        <v>68</v>
      </c>
      <c r="K7" s="18">
        <f t="shared" ref="K7" si="0">G7*E7</f>
        <v>38927.5</v>
      </c>
    </row>
    <row r="8" spans="1:24">
      <c r="A8" s="239" t="s">
        <v>128</v>
      </c>
      <c r="B8" s="17"/>
      <c r="C8" s="223"/>
      <c r="D8" s="223"/>
      <c r="E8" s="18"/>
      <c r="G8" s="45">
        <f>SUM(G7:G7)</f>
        <v>50</v>
      </c>
      <c r="K8" s="18">
        <f>SUM(K7:K7)</f>
        <v>38927.5</v>
      </c>
    </row>
    <row r="9" spans="1:24">
      <c r="A9" s="239"/>
      <c r="B9" s="17"/>
      <c r="C9" s="223"/>
      <c r="D9" s="223"/>
      <c r="E9" s="18"/>
      <c r="K9" s="18"/>
    </row>
    <row r="10" spans="1:24">
      <c r="A10" s="239" t="s">
        <v>3</v>
      </c>
      <c r="B10" s="17" t="s">
        <v>258</v>
      </c>
      <c r="C10" s="223"/>
      <c r="D10" s="240" t="s">
        <v>134</v>
      </c>
      <c r="E10" s="285">
        <v>1419.69</v>
      </c>
      <c r="G10" s="286">
        <v>120</v>
      </c>
      <c r="I10" s="45">
        <f>+D33+D45+D57</f>
        <v>66</v>
      </c>
      <c r="K10" s="18">
        <f>G10*E10</f>
        <v>170362.80000000002</v>
      </c>
    </row>
    <row r="11" spans="1:24">
      <c r="A11" s="239" t="s">
        <v>129</v>
      </c>
      <c r="B11" s="17"/>
      <c r="C11" s="223"/>
      <c r="D11" s="223"/>
      <c r="E11" s="18"/>
      <c r="G11" s="18">
        <f>SUM(G10:G10)</f>
        <v>120</v>
      </c>
      <c r="I11" s="18"/>
      <c r="K11" s="18">
        <f>SUM(K10:K10)</f>
        <v>170362.80000000002</v>
      </c>
    </row>
    <row r="12" spans="1:24">
      <c r="A12" s="239"/>
      <c r="B12" s="17"/>
      <c r="C12" s="223"/>
      <c r="D12" s="240"/>
      <c r="E12" s="18"/>
      <c r="G12" s="207"/>
      <c r="K12" s="18"/>
    </row>
    <row r="13" spans="1:24">
      <c r="A13" s="239" t="s">
        <v>3</v>
      </c>
      <c r="B13" s="17" t="s">
        <v>259</v>
      </c>
      <c r="C13" s="223"/>
      <c r="D13" s="240" t="s">
        <v>260</v>
      </c>
      <c r="E13" s="285">
        <v>0</v>
      </c>
      <c r="G13" s="286">
        <v>0</v>
      </c>
      <c r="K13" s="18">
        <f t="shared" ref="K13" si="1">G13*E13</f>
        <v>0</v>
      </c>
    </row>
    <row r="14" spans="1:24">
      <c r="A14" s="239" t="s">
        <v>129</v>
      </c>
      <c r="B14" s="17"/>
      <c r="C14" s="223"/>
      <c r="D14" s="223"/>
      <c r="E14" s="18"/>
      <c r="G14" s="45">
        <f>SUM(G13:G13)</f>
        <v>0</v>
      </c>
      <c r="K14" s="18">
        <f>SUM(K13:K13)</f>
        <v>0</v>
      </c>
    </row>
    <row r="15" spans="1:24" ht="13.5" thickBot="1">
      <c r="A15" s="316" t="s">
        <v>105</v>
      </c>
      <c r="B15" s="316"/>
      <c r="C15" s="241"/>
      <c r="E15" s="242">
        <f>K15/G15</f>
        <v>1231.119411764706</v>
      </c>
      <c r="F15" s="239"/>
      <c r="G15" s="243">
        <f>G8+G11+G14</f>
        <v>170</v>
      </c>
      <c r="K15" s="244">
        <f>K11+K8+K14</f>
        <v>209290.30000000002</v>
      </c>
      <c r="M15" s="242"/>
    </row>
    <row r="16" spans="1:24" ht="13.5" thickTop="1">
      <c r="A16" s="241"/>
      <c r="B16" s="241"/>
      <c r="C16" s="241"/>
      <c r="E16" s="52"/>
      <c r="F16" s="239"/>
      <c r="G16" s="239"/>
      <c r="S16" s="238"/>
      <c r="T16" s="238"/>
      <c r="U16" s="238"/>
      <c r="V16" s="238"/>
    </row>
    <row r="17" spans="1:20">
      <c r="A17" s="241"/>
      <c r="B17" s="241"/>
      <c r="C17" s="241"/>
      <c r="E17" s="52"/>
      <c r="F17" s="239"/>
      <c r="G17" s="239"/>
      <c r="Q17" s="314" t="s">
        <v>295</v>
      </c>
      <c r="R17" s="314"/>
      <c r="S17" s="314"/>
      <c r="T17" s="314"/>
    </row>
    <row r="18" spans="1:20">
      <c r="K18" s="314" t="s">
        <v>291</v>
      </c>
      <c r="L18" s="314"/>
      <c r="M18" s="314"/>
      <c r="N18" s="239"/>
      <c r="Q18" s="237"/>
      <c r="R18" s="245"/>
      <c r="S18" s="318"/>
      <c r="T18" s="318"/>
    </row>
    <row r="19" spans="1:20">
      <c r="K19" s="246" t="s">
        <v>19</v>
      </c>
      <c r="L19" s="246"/>
      <c r="M19" s="246" t="s">
        <v>20</v>
      </c>
      <c r="O19" s="246" t="s">
        <v>131</v>
      </c>
      <c r="Q19" s="246" t="s">
        <v>19</v>
      </c>
      <c r="R19" s="246"/>
      <c r="S19" s="246" t="s">
        <v>20</v>
      </c>
      <c r="T19" s="246" t="s">
        <v>131</v>
      </c>
    </row>
    <row r="20" spans="1:20">
      <c r="A20" s="319" t="s">
        <v>13</v>
      </c>
      <c r="B20" s="319"/>
      <c r="G20" s="247">
        <f>100%-(G21+G22)</f>
        <v>0.5</v>
      </c>
    </row>
    <row r="21" spans="1:20">
      <c r="A21" s="319" t="s">
        <v>0</v>
      </c>
      <c r="B21" s="319"/>
      <c r="G21" s="284">
        <v>0</v>
      </c>
      <c r="K21" s="283">
        <v>1514</v>
      </c>
      <c r="L21" s="288"/>
      <c r="M21" s="283">
        <v>1892</v>
      </c>
      <c r="O21" s="213">
        <v>0</v>
      </c>
    </row>
    <row r="22" spans="1:20">
      <c r="A22" s="319" t="s">
        <v>1</v>
      </c>
      <c r="B22" s="319"/>
      <c r="G22" s="284">
        <v>0.5</v>
      </c>
      <c r="K22" s="283">
        <v>1136</v>
      </c>
      <c r="L22" s="288"/>
      <c r="M22" s="283">
        <v>1419</v>
      </c>
      <c r="O22" s="213">
        <v>0</v>
      </c>
      <c r="Q22" s="213"/>
      <c r="S22" s="213"/>
    </row>
    <row r="23" spans="1:20">
      <c r="A23" s="239" t="s">
        <v>106</v>
      </c>
      <c r="G23" s="247"/>
      <c r="Q23" s="213">
        <v>0</v>
      </c>
      <c r="S23" s="213">
        <v>0</v>
      </c>
      <c r="T23" s="213">
        <v>0</v>
      </c>
    </row>
    <row r="24" spans="1:20">
      <c r="A24" s="239" t="s">
        <v>107</v>
      </c>
      <c r="Q24" s="230">
        <v>0</v>
      </c>
      <c r="S24" s="230">
        <v>0</v>
      </c>
      <c r="T24" s="230">
        <f>T23-O22</f>
        <v>0</v>
      </c>
    </row>
    <row r="25" spans="1:20">
      <c r="A25" s="239"/>
    </row>
    <row r="26" spans="1:20">
      <c r="I26" s="312" t="s">
        <v>103</v>
      </c>
      <c r="J26" s="312"/>
      <c r="K26" s="312"/>
    </row>
    <row r="27" spans="1:20">
      <c r="A27" s="239" t="s">
        <v>103</v>
      </c>
      <c r="D27" s="238" t="s">
        <v>7</v>
      </c>
      <c r="E27" s="238"/>
      <c r="F27" s="238"/>
      <c r="G27" s="238" t="s">
        <v>10</v>
      </c>
      <c r="H27" s="239"/>
      <c r="I27" s="314" t="s">
        <v>11</v>
      </c>
      <c r="J27" s="314"/>
      <c r="K27" s="314"/>
      <c r="L27" s="238"/>
      <c r="M27" s="238" t="s">
        <v>5</v>
      </c>
      <c r="N27" s="223"/>
    </row>
    <row r="28" spans="1:20">
      <c r="A28" s="317" t="s">
        <v>104</v>
      </c>
      <c r="B28" s="317"/>
      <c r="D28" s="237" t="s">
        <v>8</v>
      </c>
      <c r="E28" s="237" t="s">
        <v>9</v>
      </c>
      <c r="F28" s="238"/>
      <c r="G28" s="237" t="s">
        <v>2</v>
      </c>
      <c r="H28" s="239"/>
      <c r="I28" s="246" t="s">
        <v>12</v>
      </c>
      <c r="J28" s="246"/>
      <c r="K28" s="246" t="s">
        <v>5</v>
      </c>
      <c r="L28" s="238"/>
      <c r="M28" s="20" t="s">
        <v>6</v>
      </c>
      <c r="N28" s="223"/>
    </row>
    <row r="29" spans="1:20">
      <c r="A29" s="45" t="s">
        <v>3</v>
      </c>
      <c r="B29" s="17" t="s">
        <v>257</v>
      </c>
      <c r="C29" s="21"/>
      <c r="D29" s="287">
        <f>ROUND($E$29*G7,-0.1)</f>
        <v>25</v>
      </c>
      <c r="E29" s="47">
        <f>G20</f>
        <v>0.5</v>
      </c>
      <c r="F29" s="248"/>
      <c r="G29" s="18">
        <f>E7</f>
        <v>778.55</v>
      </c>
      <c r="I29" s="24">
        <f t="shared" ref="I29" si="2">K29/G29</f>
        <v>2.1097167811958126</v>
      </c>
      <c r="J29" s="24"/>
      <c r="K29" s="303">
        <v>1642.52</v>
      </c>
      <c r="M29" s="211">
        <f>(K29*D29)*12</f>
        <v>492756</v>
      </c>
      <c r="N29" s="21"/>
      <c r="P29" s="21"/>
    </row>
    <row r="30" spans="1:20">
      <c r="A30" s="45" t="s">
        <v>4</v>
      </c>
      <c r="B30" s="17"/>
      <c r="C30" s="21"/>
      <c r="D30" s="45">
        <f>SUM(D29:D29)</f>
        <v>25</v>
      </c>
      <c r="E30" s="43">
        <f>D30/G8</f>
        <v>0.5</v>
      </c>
      <c r="F30" s="248"/>
      <c r="G30" s="18"/>
      <c r="I30" s="24"/>
      <c r="J30" s="24"/>
      <c r="K30" s="24"/>
      <c r="M30" s="209">
        <f>SUM(M29:M29)</f>
        <v>492756</v>
      </c>
      <c r="N30" s="21"/>
    </row>
    <row r="31" spans="1:20">
      <c r="B31" s="17"/>
      <c r="C31" s="21"/>
      <c r="E31" s="43"/>
      <c r="F31" s="248"/>
      <c r="G31" s="18"/>
      <c r="I31" s="24"/>
      <c r="J31" s="24"/>
      <c r="K31" s="24"/>
      <c r="M31" s="209"/>
      <c r="N31" s="21"/>
    </row>
    <row r="32" spans="1:20">
      <c r="A32" s="45" t="s">
        <v>3</v>
      </c>
      <c r="B32" s="17" t="s">
        <v>258</v>
      </c>
      <c r="D32" s="287">
        <f>ROUND($E$32*G10,-0.1)</f>
        <v>60</v>
      </c>
      <c r="E32" s="47">
        <f>G20</f>
        <v>0.5</v>
      </c>
      <c r="F32" s="249"/>
      <c r="G32" s="19">
        <f>E10</f>
        <v>1419.69</v>
      </c>
      <c r="H32" s="46"/>
      <c r="I32" s="236">
        <f>K32/G32</f>
        <v>1.7454796469651825</v>
      </c>
      <c r="J32" s="236"/>
      <c r="K32" s="302">
        <v>2478.04</v>
      </c>
      <c r="L32" s="25"/>
      <c r="M32" s="211">
        <f>(K32*D32)*12</f>
        <v>1784188.7999999998</v>
      </c>
      <c r="N32" s="21"/>
    </row>
    <row r="33" spans="1:24">
      <c r="A33" s="45" t="s">
        <v>4</v>
      </c>
      <c r="B33" s="17"/>
      <c r="D33" s="51">
        <f>SUM(D32:D32)</f>
        <v>60</v>
      </c>
      <c r="E33" s="250">
        <f>D33/G11</f>
        <v>0.5</v>
      </c>
      <c r="F33" s="251"/>
      <c r="G33" s="18"/>
      <c r="I33" s="260"/>
      <c r="J33" s="260"/>
      <c r="K33" s="261"/>
      <c r="L33" s="23"/>
      <c r="M33" s="220">
        <f>SUM(M32:M32)</f>
        <v>1784188.7999999998</v>
      </c>
      <c r="N33" s="21"/>
    </row>
    <row r="34" spans="1:24">
      <c r="I34" s="213"/>
      <c r="J34" s="213"/>
      <c r="K34" s="213"/>
      <c r="M34" s="209"/>
      <c r="N34" s="21"/>
    </row>
    <row r="35" spans="1:24">
      <c r="A35" s="45" t="s">
        <v>3</v>
      </c>
      <c r="B35" s="17" t="s">
        <v>259</v>
      </c>
      <c r="D35" s="287">
        <f>ROUND($E$35*G13,-0.1)</f>
        <v>0</v>
      </c>
      <c r="E35" s="47">
        <f>G20</f>
        <v>0.5</v>
      </c>
      <c r="F35" s="249"/>
      <c r="G35" s="19">
        <f>E13</f>
        <v>0</v>
      </c>
      <c r="H35" s="46"/>
      <c r="I35" s="236">
        <v>0</v>
      </c>
      <c r="J35" s="236"/>
      <c r="K35" s="302">
        <v>0</v>
      </c>
      <c r="L35" s="25"/>
      <c r="M35" s="211">
        <f>(K35*D35)*12</f>
        <v>0</v>
      </c>
      <c r="N35" s="21"/>
    </row>
    <row r="36" spans="1:24">
      <c r="A36" s="45" t="s">
        <v>4</v>
      </c>
      <c r="B36" s="17"/>
      <c r="D36" s="51">
        <f>SUM(D35:D35)</f>
        <v>0</v>
      </c>
      <c r="E36" s="250">
        <v>0</v>
      </c>
      <c r="F36" s="251"/>
      <c r="G36" s="18"/>
      <c r="I36" s="260"/>
      <c r="J36" s="260"/>
      <c r="K36" s="261"/>
      <c r="L36" s="23"/>
      <c r="M36" s="220">
        <f>SUM(M35:M35)</f>
        <v>0</v>
      </c>
      <c r="N36" s="21"/>
      <c r="O36" s="314" t="s">
        <v>100</v>
      </c>
      <c r="P36" s="314"/>
      <c r="Q36" s="314"/>
      <c r="S36" s="312" t="s">
        <v>11</v>
      </c>
      <c r="T36" s="312"/>
      <c r="V36" s="238" t="s">
        <v>16</v>
      </c>
    </row>
    <row r="37" spans="1:24">
      <c r="E37" s="43"/>
      <c r="F37" s="248"/>
      <c r="G37" s="18"/>
      <c r="I37" s="213"/>
      <c r="J37" s="213"/>
      <c r="K37" s="24"/>
      <c r="L37" s="23"/>
      <c r="M37" s="26"/>
      <c r="N37" s="21"/>
      <c r="O37" s="314" t="s">
        <v>11</v>
      </c>
      <c r="P37" s="314"/>
      <c r="Q37" s="314"/>
      <c r="S37" s="314" t="s">
        <v>109</v>
      </c>
      <c r="T37" s="314"/>
      <c r="V37" s="238" t="s">
        <v>101</v>
      </c>
      <c r="X37" s="238" t="s">
        <v>5</v>
      </c>
    </row>
    <row r="38" spans="1:24">
      <c r="A38" s="45" t="s">
        <v>262</v>
      </c>
      <c r="D38" s="45">
        <f>D33+D30+D36</f>
        <v>85</v>
      </c>
      <c r="E38" s="43">
        <f>D38/G15</f>
        <v>0.5</v>
      </c>
      <c r="F38" s="248"/>
      <c r="G38" s="18"/>
      <c r="I38" s="213"/>
      <c r="J38" s="213"/>
      <c r="K38" s="24">
        <f>(M38/12)/D38</f>
        <v>2232.2988235294115</v>
      </c>
      <c r="L38" s="23"/>
      <c r="M38" s="209">
        <f>M33+M30+M36</f>
        <v>2276944.7999999998</v>
      </c>
      <c r="N38" s="21"/>
      <c r="O38" s="246" t="s">
        <v>12</v>
      </c>
      <c r="P38" s="246"/>
      <c r="Q38" s="246" t="s">
        <v>5</v>
      </c>
      <c r="R38" s="46"/>
      <c r="S38" s="237" t="s">
        <v>5</v>
      </c>
      <c r="T38" s="237" t="s">
        <v>9</v>
      </c>
      <c r="U38" s="46"/>
      <c r="V38" s="237" t="s">
        <v>15</v>
      </c>
      <c r="W38" s="46"/>
      <c r="X38" s="20" t="s">
        <v>6</v>
      </c>
    </row>
    <row r="39" spans="1:24">
      <c r="D39" s="52"/>
      <c r="E39" s="233"/>
      <c r="F39" s="248"/>
      <c r="G39" s="18"/>
      <c r="I39" s="213"/>
      <c r="J39" s="213"/>
      <c r="K39" s="24"/>
      <c r="L39" s="23"/>
      <c r="M39" s="266"/>
      <c r="N39" s="21"/>
      <c r="O39" s="21"/>
      <c r="P39" s="21"/>
    </row>
    <row r="40" spans="1:24">
      <c r="A40" s="317" t="s">
        <v>0</v>
      </c>
      <c r="B40" s="317"/>
      <c r="E40" s="43"/>
      <c r="F40" s="248"/>
      <c r="G40" s="18"/>
      <c r="I40" s="213"/>
      <c r="J40" s="213"/>
      <c r="K40" s="24"/>
      <c r="L40" s="23"/>
      <c r="M40" s="266"/>
      <c r="N40" s="21"/>
      <c r="O40" s="21"/>
      <c r="P40" s="21"/>
    </row>
    <row r="41" spans="1:24">
      <c r="A41" s="45" t="s">
        <v>3</v>
      </c>
      <c r="B41" s="17" t="s">
        <v>257</v>
      </c>
      <c r="C41" s="21"/>
      <c r="D41" s="287">
        <f>ROUND(G7*E41,-0.1)</f>
        <v>0</v>
      </c>
      <c r="E41" s="47">
        <f>$G$21</f>
        <v>0</v>
      </c>
      <c r="F41" s="248"/>
      <c r="G41" s="18">
        <f>E7</f>
        <v>778.55</v>
      </c>
      <c r="I41" s="24">
        <f>K41/G41</f>
        <v>2.1097167811958126</v>
      </c>
      <c r="J41" s="213"/>
      <c r="K41" s="259">
        <f>K29</f>
        <v>1642.52</v>
      </c>
      <c r="L41" s="23"/>
      <c r="M41" s="211">
        <f>(K41*D41)*12</f>
        <v>0</v>
      </c>
      <c r="N41" s="21"/>
      <c r="O41" s="24">
        <f>Q41/G41</f>
        <v>1.9446406781838033</v>
      </c>
      <c r="P41" s="213"/>
      <c r="Q41" s="24">
        <f>K21</f>
        <v>1514</v>
      </c>
      <c r="R41" s="23"/>
      <c r="S41" s="24">
        <f>K41-Q41</f>
        <v>128.51999999999998</v>
      </c>
      <c r="T41" s="37">
        <f>(K41-Q41)/K41</f>
        <v>7.824562257993814E-2</v>
      </c>
      <c r="V41" s="236">
        <f>MIN(Q41,K41)</f>
        <v>1514</v>
      </c>
      <c r="W41" s="213"/>
      <c r="X41" s="211">
        <f>(V41*D41)*12</f>
        <v>0</v>
      </c>
    </row>
    <row r="42" spans="1:24">
      <c r="A42" s="45" t="s">
        <v>4</v>
      </c>
      <c r="B42" s="17"/>
      <c r="C42" s="21"/>
      <c r="D42" s="45">
        <f>SUM(D41:D41)</f>
        <v>0</v>
      </c>
      <c r="E42" s="43">
        <f>D42/G8</f>
        <v>0</v>
      </c>
      <c r="F42" s="248"/>
      <c r="G42" s="18"/>
      <c r="I42" s="24"/>
      <c r="J42" s="213"/>
      <c r="K42" s="261" t="e">
        <f>(M42/D42)/12</f>
        <v>#DIV/0!</v>
      </c>
      <c r="L42" s="23"/>
      <c r="M42" s="209">
        <f>SUM(M41:M41)</f>
        <v>0</v>
      </c>
      <c r="N42" s="21"/>
      <c r="O42" s="24"/>
      <c r="P42" s="213"/>
      <c r="Q42" s="24"/>
      <c r="R42" s="23"/>
      <c r="S42" s="24"/>
      <c r="T42" s="22"/>
      <c r="V42" s="213" t="e">
        <f>(X42/D42)/12</f>
        <v>#DIV/0!</v>
      </c>
      <c r="W42" s="213"/>
      <c r="X42" s="209">
        <f>SUM(X41:X41)</f>
        <v>0</v>
      </c>
    </row>
    <row r="43" spans="1:24">
      <c r="B43" s="17"/>
      <c r="C43" s="21"/>
      <c r="E43" s="43"/>
      <c r="F43" s="248"/>
      <c r="G43" s="18"/>
      <c r="I43" s="24"/>
      <c r="J43" s="213"/>
      <c r="K43" s="24"/>
      <c r="L43" s="23"/>
      <c r="M43" s="209"/>
      <c r="N43" s="21"/>
      <c r="O43" s="24"/>
      <c r="P43" s="213"/>
      <c r="Q43" s="24"/>
      <c r="R43" s="23"/>
      <c r="S43" s="24"/>
      <c r="T43" s="22"/>
      <c r="V43" s="213"/>
      <c r="W43" s="213"/>
      <c r="X43" s="209"/>
    </row>
    <row r="44" spans="1:24">
      <c r="A44" s="45" t="s">
        <v>3</v>
      </c>
      <c r="B44" s="17" t="s">
        <v>258</v>
      </c>
      <c r="D44" s="287">
        <f>ROUND(G10*E44,-0.1)</f>
        <v>0</v>
      </c>
      <c r="E44" s="47">
        <f>$G$21</f>
        <v>0</v>
      </c>
      <c r="F44" s="248"/>
      <c r="G44" s="18">
        <f t="shared" ref="G44" si="3">G32</f>
        <v>1419.69</v>
      </c>
      <c r="I44" s="24">
        <f>K44/G44</f>
        <v>1.7454796469651825</v>
      </c>
      <c r="J44" s="260"/>
      <c r="K44" s="259">
        <f t="shared" ref="K44" si="4">K32</f>
        <v>2478.04</v>
      </c>
      <c r="L44" s="25"/>
      <c r="M44" s="211">
        <f>(K44*D44)*12</f>
        <v>0</v>
      </c>
      <c r="N44" s="21"/>
      <c r="O44" s="24">
        <f>Q44/G44</f>
        <v>1.3326853045383147</v>
      </c>
      <c r="P44" s="213"/>
      <c r="Q44" s="24">
        <f>M21</f>
        <v>1892</v>
      </c>
      <c r="R44" s="23"/>
      <c r="S44" s="24">
        <f>K44-Q44</f>
        <v>586.04</v>
      </c>
      <c r="T44" s="37">
        <f>(K44-Q44)/K44</f>
        <v>0.23649335765362947</v>
      </c>
      <c r="V44" s="236">
        <f>MIN(Q44,K44)</f>
        <v>1892</v>
      </c>
      <c r="W44" s="213"/>
      <c r="X44" s="211">
        <f>(V44*D44)*12</f>
        <v>0</v>
      </c>
    </row>
    <row r="45" spans="1:24">
      <c r="A45" s="45" t="s">
        <v>4</v>
      </c>
      <c r="D45" s="51">
        <f>SUM(D44:D44)</f>
        <v>0</v>
      </c>
      <c r="E45" s="47">
        <f>D45/G11</f>
        <v>0</v>
      </c>
      <c r="F45" s="248"/>
      <c r="G45" s="18"/>
      <c r="I45" s="260"/>
      <c r="J45" s="260"/>
      <c r="K45" s="259" t="e">
        <f>(M45/D45)/12</f>
        <v>#DIV/0!</v>
      </c>
      <c r="L45" s="23"/>
      <c r="M45" s="220">
        <f>SUM(M44:M44)</f>
        <v>0</v>
      </c>
      <c r="N45" s="21"/>
      <c r="O45" s="24"/>
      <c r="P45" s="213"/>
      <c r="Q45" s="24"/>
      <c r="R45" s="23"/>
      <c r="S45" s="24"/>
      <c r="T45" s="22"/>
      <c r="V45" s="213"/>
      <c r="W45" s="213"/>
      <c r="X45" s="209">
        <f>SUM(X44)</f>
        <v>0</v>
      </c>
    </row>
    <row r="46" spans="1:24">
      <c r="E46" s="43"/>
      <c r="F46" s="248"/>
      <c r="G46" s="18"/>
      <c r="I46" s="260"/>
      <c r="J46" s="260"/>
      <c r="K46" s="261"/>
      <c r="L46" s="23"/>
      <c r="M46" s="219"/>
      <c r="N46" s="21"/>
      <c r="O46" s="24"/>
      <c r="P46" s="213"/>
      <c r="Q46" s="24"/>
      <c r="R46" s="23"/>
      <c r="S46" s="24"/>
      <c r="T46" s="22"/>
      <c r="V46" s="213"/>
      <c r="W46" s="213"/>
      <c r="X46" s="209"/>
    </row>
    <row r="47" spans="1:24">
      <c r="A47" s="45" t="s">
        <v>3</v>
      </c>
      <c r="B47" s="17" t="s">
        <v>259</v>
      </c>
      <c r="D47" s="287">
        <f>ROUND(G13*E47,-0.1)</f>
        <v>0</v>
      </c>
      <c r="E47" s="47">
        <f>$G$21</f>
        <v>0</v>
      </c>
      <c r="F47" s="248"/>
      <c r="G47" s="18">
        <f t="shared" ref="G47" si="5">G35</f>
        <v>0</v>
      </c>
      <c r="I47" s="24">
        <v>0</v>
      </c>
      <c r="J47" s="260"/>
      <c r="K47" s="259">
        <f t="shared" ref="K47" si="6">K35</f>
        <v>0</v>
      </c>
      <c r="L47" s="25"/>
      <c r="M47" s="211">
        <f>(K47*D47)*12</f>
        <v>0</v>
      </c>
      <c r="N47" s="21"/>
      <c r="O47" s="259">
        <v>0</v>
      </c>
      <c r="P47" s="236"/>
      <c r="Q47" s="259">
        <f>O21</f>
        <v>0</v>
      </c>
      <c r="R47" s="25"/>
      <c r="S47" s="259">
        <f>K47-Q47</f>
        <v>0</v>
      </c>
      <c r="T47" s="210">
        <v>0</v>
      </c>
      <c r="V47" s="236">
        <f>MIN(Q47,K47)</f>
        <v>0</v>
      </c>
      <c r="W47" s="213"/>
      <c r="X47" s="211">
        <f>(V47*D47)*12</f>
        <v>0</v>
      </c>
    </row>
    <row r="48" spans="1:24">
      <c r="A48" s="45" t="s">
        <v>4</v>
      </c>
      <c r="D48" s="51">
        <f>SUM(D47:D47)</f>
        <v>0</v>
      </c>
      <c r="E48" s="47">
        <v>0</v>
      </c>
      <c r="F48" s="248"/>
      <c r="G48" s="18"/>
      <c r="I48" s="260"/>
      <c r="J48" s="260"/>
      <c r="K48" s="259">
        <v>0</v>
      </c>
      <c r="L48" s="23"/>
      <c r="M48" s="220">
        <f>SUM(M47:M47)</f>
        <v>0</v>
      </c>
      <c r="N48" s="21"/>
      <c r="O48" s="213"/>
      <c r="P48" s="213"/>
      <c r="Q48" s="213"/>
      <c r="S48" s="213"/>
      <c r="V48" s="236">
        <f>MIN(Q48,K48)</f>
        <v>0</v>
      </c>
      <c r="W48" s="236"/>
      <c r="X48" s="211">
        <f>SUM(X47)</f>
        <v>0</v>
      </c>
    </row>
    <row r="49" spans="1:25">
      <c r="A49" s="45" t="s">
        <v>102</v>
      </c>
      <c r="D49" s="45">
        <f>D45+D42+D48</f>
        <v>0</v>
      </c>
      <c r="E49" s="43">
        <f>D49/G15</f>
        <v>0</v>
      </c>
      <c r="F49" s="248"/>
      <c r="G49" s="18"/>
      <c r="I49" s="213"/>
      <c r="J49" s="213"/>
      <c r="K49" s="24" t="e">
        <f>(M49/12)/D49</f>
        <v>#DIV/0!</v>
      </c>
      <c r="L49" s="23"/>
      <c r="M49" s="209">
        <f>M45+M42+M48</f>
        <v>0</v>
      </c>
      <c r="N49" s="21"/>
      <c r="O49" s="261"/>
      <c r="P49" s="260"/>
      <c r="Q49" s="261"/>
      <c r="R49" s="23"/>
      <c r="S49" s="261"/>
      <c r="T49" s="54"/>
      <c r="V49" s="213" t="e">
        <f>(X49/12)/D49</f>
        <v>#DIV/0!</v>
      </c>
      <c r="W49" s="213"/>
      <c r="X49" s="209">
        <f>X45+X42+X48</f>
        <v>0</v>
      </c>
    </row>
    <row r="50" spans="1:25">
      <c r="D50" s="52"/>
      <c r="E50" s="233"/>
      <c r="F50" s="248"/>
      <c r="G50" s="18"/>
      <c r="I50" s="213"/>
      <c r="J50" s="213"/>
      <c r="K50" s="24"/>
      <c r="L50" s="23"/>
      <c r="M50" s="266"/>
      <c r="N50" s="21"/>
      <c r="O50" s="213"/>
      <c r="P50" s="213"/>
      <c r="Q50" s="24"/>
      <c r="R50" s="23"/>
      <c r="S50" s="265"/>
      <c r="T50" s="21"/>
      <c r="V50" s="213"/>
      <c r="W50" s="213"/>
      <c r="X50" s="209"/>
    </row>
    <row r="51" spans="1:25">
      <c r="A51" s="317" t="s">
        <v>1</v>
      </c>
      <c r="B51" s="317"/>
      <c r="E51" s="43"/>
      <c r="F51" s="248"/>
      <c r="G51" s="18"/>
      <c r="I51" s="213"/>
      <c r="J51" s="213"/>
      <c r="K51" s="24"/>
      <c r="L51" s="23"/>
      <c r="M51" s="266"/>
      <c r="N51" s="21"/>
      <c r="O51" s="213"/>
      <c r="P51" s="213"/>
      <c r="Q51" s="24"/>
      <c r="R51" s="23"/>
      <c r="S51" s="265"/>
      <c r="T51" s="21"/>
      <c r="V51" s="213"/>
      <c r="W51" s="213"/>
      <c r="X51" s="209"/>
    </row>
    <row r="52" spans="1:25">
      <c r="A52" s="45" t="s">
        <v>3</v>
      </c>
      <c r="B52" s="17" t="s">
        <v>257</v>
      </c>
      <c r="C52" s="21"/>
      <c r="D52" s="287">
        <v>43</v>
      </c>
      <c r="E52" s="47">
        <f>$G$22</f>
        <v>0.5</v>
      </c>
      <c r="F52" s="248"/>
      <c r="G52" s="18">
        <f>E7</f>
        <v>778.55</v>
      </c>
      <c r="I52" s="24">
        <f>K52/G52</f>
        <v>2.1097167811958126</v>
      </c>
      <c r="J52" s="260"/>
      <c r="K52" s="259">
        <f>K29</f>
        <v>1642.52</v>
      </c>
      <c r="L52" s="25"/>
      <c r="M52" s="211">
        <f>(K52*D52)*12</f>
        <v>847540.32000000007</v>
      </c>
      <c r="N52" s="21"/>
      <c r="O52" s="261">
        <f>Q52/G52</f>
        <v>1.4591227281484813</v>
      </c>
      <c r="P52" s="260"/>
      <c r="Q52" s="261">
        <f>K22</f>
        <v>1136</v>
      </c>
      <c r="R52" s="23"/>
      <c r="S52" s="261">
        <f>K52-Q52</f>
        <v>506.52</v>
      </c>
      <c r="T52" s="54">
        <f>(K52-Q52)/K52</f>
        <v>0.30837980663857972</v>
      </c>
      <c r="V52" s="236">
        <f>MIN(Q52,K52)</f>
        <v>1136</v>
      </c>
      <c r="W52" s="236"/>
      <c r="X52" s="211">
        <f>(V52*D52)*12</f>
        <v>586176</v>
      </c>
    </row>
    <row r="53" spans="1:25">
      <c r="A53" s="45" t="s">
        <v>4</v>
      </c>
      <c r="B53" s="17"/>
      <c r="C53" s="21"/>
      <c r="D53" s="45">
        <f>SUM(D52:D52)</f>
        <v>43</v>
      </c>
      <c r="E53" s="43">
        <f>D53/G8</f>
        <v>0.86</v>
      </c>
      <c r="F53" s="248"/>
      <c r="G53" s="18"/>
      <c r="I53" s="24"/>
      <c r="J53" s="213"/>
      <c r="K53" s="261">
        <f>(M53/D53)/12</f>
        <v>1642.5200000000002</v>
      </c>
      <c r="L53" s="23"/>
      <c r="M53" s="209">
        <f>SUM(M52:M52)</f>
        <v>847540.32000000007</v>
      </c>
      <c r="N53" s="21"/>
      <c r="O53" s="261"/>
      <c r="P53" s="260"/>
      <c r="Q53" s="261"/>
      <c r="R53" s="23"/>
      <c r="S53" s="261"/>
      <c r="T53" s="34"/>
      <c r="V53" s="213">
        <f>(X53/D53)/12</f>
        <v>1136</v>
      </c>
      <c r="W53" s="213"/>
      <c r="X53" s="209">
        <f>SUM(X52:X52)</f>
        <v>586176</v>
      </c>
    </row>
    <row r="54" spans="1:25">
      <c r="B54" s="17"/>
      <c r="C54" s="21"/>
      <c r="E54" s="43"/>
      <c r="F54" s="248"/>
      <c r="G54" s="18"/>
      <c r="I54" s="24"/>
      <c r="J54" s="213"/>
      <c r="K54" s="261"/>
      <c r="L54" s="23"/>
      <c r="M54" s="209"/>
      <c r="N54" s="21"/>
      <c r="O54" s="261"/>
      <c r="P54" s="260"/>
      <c r="Q54" s="261"/>
      <c r="R54" s="23"/>
      <c r="S54" s="261"/>
      <c r="T54" s="34"/>
      <c r="V54" s="213"/>
      <c r="W54" s="213"/>
      <c r="X54" s="209"/>
    </row>
    <row r="55" spans="1:25">
      <c r="B55" s="17"/>
      <c r="C55" s="21"/>
      <c r="E55" s="43"/>
      <c r="F55" s="248"/>
      <c r="G55" s="18"/>
      <c r="I55" s="24"/>
      <c r="J55" s="213"/>
      <c r="K55" s="24"/>
      <c r="L55" s="23"/>
      <c r="M55" s="209"/>
      <c r="N55" s="21"/>
      <c r="O55" s="261"/>
      <c r="P55" s="260"/>
      <c r="Q55" s="261"/>
      <c r="R55" s="23"/>
      <c r="S55" s="261"/>
      <c r="T55" s="34"/>
      <c r="V55" s="213"/>
      <c r="W55" s="213"/>
      <c r="X55" s="209"/>
    </row>
    <row r="56" spans="1:25">
      <c r="A56" s="45" t="s">
        <v>3</v>
      </c>
      <c r="B56" s="17" t="s">
        <v>258</v>
      </c>
      <c r="D56" s="287">
        <v>6</v>
      </c>
      <c r="E56" s="47">
        <f>$G$22</f>
        <v>0.5</v>
      </c>
      <c r="F56" s="251"/>
      <c r="G56" s="252">
        <f t="shared" ref="G56" si="7">G32</f>
        <v>1419.69</v>
      </c>
      <c r="I56" s="261">
        <f>K56/G56</f>
        <v>1.7454796469651825</v>
      </c>
      <c r="J56" s="260"/>
      <c r="K56" s="259">
        <f>K32</f>
        <v>2478.04</v>
      </c>
      <c r="L56" s="25"/>
      <c r="M56" s="211">
        <f>(K56*D56)*12</f>
        <v>178418.88</v>
      </c>
      <c r="N56" s="21"/>
      <c r="O56" s="261">
        <f>Q56/G56</f>
        <v>0.99951397840373601</v>
      </c>
      <c r="P56" s="260"/>
      <c r="Q56" s="261">
        <f>M22</f>
        <v>1419</v>
      </c>
      <c r="R56" s="23"/>
      <c r="S56" s="261">
        <f>K56-Q56</f>
        <v>1059.04</v>
      </c>
      <c r="T56" s="54">
        <f>(K56-Q56)/K56</f>
        <v>0.42737001824022208</v>
      </c>
      <c r="V56" s="236">
        <f>MIN(Q56,K56)</f>
        <v>1419</v>
      </c>
      <c r="W56" s="236"/>
      <c r="X56" s="211">
        <f>(V56*D56)*12</f>
        <v>102168</v>
      </c>
      <c r="Y56" s="208"/>
    </row>
    <row r="57" spans="1:25">
      <c r="A57" s="45" t="s">
        <v>4</v>
      </c>
      <c r="D57" s="51">
        <f>SUM(D56:D56)</f>
        <v>6</v>
      </c>
      <c r="E57" s="47">
        <f>D57/G11</f>
        <v>0.05</v>
      </c>
      <c r="F57" s="251"/>
      <c r="G57" s="18"/>
      <c r="I57" s="260"/>
      <c r="J57" s="260"/>
      <c r="K57" s="259">
        <f>(M57/12)/D57</f>
        <v>2478.04</v>
      </c>
      <c r="L57" s="23"/>
      <c r="M57" s="220">
        <f>SUM(M56:M56)</f>
        <v>178418.88</v>
      </c>
      <c r="N57" s="21"/>
      <c r="O57" s="261"/>
      <c r="P57" s="260"/>
      <c r="Q57" s="261"/>
      <c r="R57" s="23"/>
      <c r="S57" s="261"/>
      <c r="T57" s="34"/>
      <c r="V57" s="264">
        <f>(X57/D57)/12</f>
        <v>1419</v>
      </c>
      <c r="W57" s="264"/>
      <c r="X57" s="220">
        <f>SUM(X56:X56)</f>
        <v>102168</v>
      </c>
    </row>
    <row r="58" spans="1:25">
      <c r="D58" s="46"/>
      <c r="E58" s="47"/>
      <c r="F58" s="251"/>
      <c r="G58" s="18"/>
      <c r="I58" s="260"/>
      <c r="J58" s="260"/>
      <c r="K58" s="259"/>
      <c r="L58" s="23"/>
      <c r="M58" s="220"/>
      <c r="N58" s="21"/>
      <c r="O58" s="261"/>
      <c r="P58" s="260"/>
      <c r="Q58" s="261"/>
      <c r="R58" s="23"/>
      <c r="S58" s="261"/>
      <c r="T58" s="34"/>
      <c r="V58" s="260"/>
      <c r="W58" s="260"/>
      <c r="X58" s="219"/>
    </row>
    <row r="59" spans="1:25">
      <c r="A59" s="45" t="s">
        <v>3</v>
      </c>
      <c r="B59" s="17" t="s">
        <v>259</v>
      </c>
      <c r="D59" s="287">
        <f>ROUND(E59*G14,-0.1)</f>
        <v>0</v>
      </c>
      <c r="E59" s="47">
        <f>$G$22</f>
        <v>0.5</v>
      </c>
      <c r="F59" s="251"/>
      <c r="G59" s="252">
        <f t="shared" ref="G59" si="8">G35</f>
        <v>0</v>
      </c>
      <c r="I59" s="261">
        <v>0</v>
      </c>
      <c r="J59" s="260"/>
      <c r="K59" s="259">
        <f t="shared" ref="K59" si="9">K35</f>
        <v>0</v>
      </c>
      <c r="L59" s="25"/>
      <c r="M59" s="211">
        <f>(K59*D59)*12</f>
        <v>0</v>
      </c>
      <c r="N59" s="21"/>
      <c r="O59" s="259">
        <v>0</v>
      </c>
      <c r="P59" s="236"/>
      <c r="Q59" s="259">
        <f>O22</f>
        <v>0</v>
      </c>
      <c r="R59" s="25"/>
      <c r="S59" s="259">
        <f>K59-Q59</f>
        <v>0</v>
      </c>
      <c r="T59" s="37">
        <v>0</v>
      </c>
      <c r="V59" s="236">
        <f>MIN(Q59,K59)</f>
        <v>0</v>
      </c>
      <c r="W59" s="236"/>
      <c r="X59" s="211">
        <f>(V59*D59)*12</f>
        <v>0</v>
      </c>
    </row>
    <row r="60" spans="1:25">
      <c r="A60" s="45" t="s">
        <v>4</v>
      </c>
      <c r="D60" s="51">
        <f>SUM(D59:D59)</f>
        <v>0</v>
      </c>
      <c r="E60" s="47">
        <v>0</v>
      </c>
      <c r="F60" s="251"/>
      <c r="G60" s="18"/>
      <c r="I60" s="260"/>
      <c r="J60" s="260"/>
      <c r="K60" s="259">
        <v>0</v>
      </c>
      <c r="L60" s="23"/>
      <c r="M60" s="220">
        <f>SUM(M59:M59)</f>
        <v>0</v>
      </c>
      <c r="N60" s="21"/>
      <c r="O60" s="34"/>
      <c r="Q60" s="23"/>
      <c r="R60" s="23"/>
      <c r="S60" s="34"/>
      <c r="T60" s="34"/>
      <c r="V60" s="264">
        <v>0</v>
      </c>
      <c r="W60" s="264"/>
      <c r="X60" s="220">
        <f>SUM(X59:X59)</f>
        <v>0</v>
      </c>
    </row>
    <row r="61" spans="1:25">
      <c r="A61" s="45" t="s">
        <v>261</v>
      </c>
      <c r="D61" s="46">
        <f>D57+D53+D60</f>
        <v>49</v>
      </c>
      <c r="E61" s="47">
        <f>D61/G15</f>
        <v>0.28823529411764703</v>
      </c>
      <c r="F61" s="248"/>
      <c r="G61" s="18"/>
      <c r="I61" s="213"/>
      <c r="J61" s="213"/>
      <c r="K61" s="33">
        <f>(M61/12)/D61</f>
        <v>1744.8285714285716</v>
      </c>
      <c r="L61" s="23"/>
      <c r="M61" s="211">
        <f>M57+M53+M60</f>
        <v>1025959.2000000001</v>
      </c>
      <c r="N61" s="21"/>
      <c r="Q61" s="23"/>
      <c r="R61" s="23"/>
      <c r="S61" s="24"/>
      <c r="T61" s="24"/>
      <c r="V61" s="213"/>
      <c r="W61" s="213"/>
      <c r="X61" s="26">
        <f>X57+X53+X60</f>
        <v>688344</v>
      </c>
    </row>
    <row r="62" spans="1:25">
      <c r="D62" s="52"/>
      <c r="E62" s="233"/>
      <c r="F62" s="248"/>
      <c r="G62" s="18"/>
      <c r="I62" s="213"/>
      <c r="J62" s="213"/>
      <c r="K62" s="24"/>
      <c r="L62" s="23"/>
      <c r="M62" s="266"/>
      <c r="Q62" s="23"/>
      <c r="R62" s="23"/>
      <c r="S62" s="21"/>
      <c r="T62" s="21"/>
      <c r="V62" s="213"/>
      <c r="W62" s="213"/>
      <c r="X62" s="209"/>
    </row>
    <row r="63" spans="1:25" ht="13.5" thickBot="1">
      <c r="A63" s="315" t="s">
        <v>5</v>
      </c>
      <c r="B63" s="315"/>
      <c r="D63" s="35">
        <f>D61+D49+D38</f>
        <v>134</v>
      </c>
      <c r="E63" s="36">
        <f>D63/G15</f>
        <v>0.78823529411764703</v>
      </c>
      <c r="F63" s="253"/>
      <c r="G63" s="27"/>
      <c r="H63" s="254"/>
      <c r="I63" s="262"/>
      <c r="J63" s="262"/>
      <c r="K63" s="263"/>
      <c r="L63" s="28"/>
      <c r="M63" s="255">
        <f>M38+M49+M61</f>
        <v>3302904</v>
      </c>
      <c r="O63" s="28"/>
      <c r="P63" s="254"/>
      <c r="Q63" s="28"/>
      <c r="R63" s="28"/>
      <c r="S63" s="221"/>
      <c r="T63" s="219"/>
      <c r="V63" s="213"/>
      <c r="W63" s="213"/>
      <c r="X63" s="255">
        <f>X61+X49+M38</f>
        <v>2965288.8</v>
      </c>
    </row>
    <row r="64" spans="1:25" ht="13.5" thickTop="1">
      <c r="D64" s="52"/>
      <c r="E64" s="256"/>
      <c r="F64" s="248"/>
      <c r="G64" s="18"/>
      <c r="I64" s="213"/>
      <c r="J64" s="213"/>
      <c r="K64" s="24"/>
      <c r="L64" s="23"/>
      <c r="M64" s="21"/>
      <c r="O64" s="21"/>
      <c r="P64" s="21"/>
      <c r="V64" s="213"/>
      <c r="W64" s="213"/>
      <c r="X64" s="209"/>
    </row>
    <row r="65" spans="1:24" ht="13.5" thickBot="1">
      <c r="A65" s="315" t="s">
        <v>14</v>
      </c>
      <c r="B65" s="315"/>
      <c r="E65" s="43"/>
      <c r="F65" s="248"/>
      <c r="G65" s="18"/>
      <c r="K65" s="23"/>
      <c r="L65" s="23"/>
      <c r="M65" s="21"/>
      <c r="O65" s="21"/>
      <c r="P65" s="21"/>
      <c r="V65" s="267" t="s">
        <v>108</v>
      </c>
      <c r="W65" s="213"/>
      <c r="X65" s="255">
        <f>M63-X63</f>
        <v>337615.20000000019</v>
      </c>
    </row>
    <row r="66" spans="1:24" ht="14.25" thickTop="1" thickBot="1">
      <c r="V66" s="257" t="s">
        <v>9</v>
      </c>
      <c r="X66" s="258">
        <f>X65/M63</f>
        <v>0.10221768480101152</v>
      </c>
    </row>
    <row r="67" spans="1:24" ht="13.5" thickTop="1"/>
  </sheetData>
  <mergeCells count="22">
    <mergeCell ref="A1:X1"/>
    <mergeCell ref="A2:X2"/>
    <mergeCell ref="A4:X4"/>
    <mergeCell ref="A3:X3"/>
    <mergeCell ref="I27:K27"/>
    <mergeCell ref="A20:B20"/>
    <mergeCell ref="A21:B21"/>
    <mergeCell ref="A22:B22"/>
    <mergeCell ref="I26:K26"/>
    <mergeCell ref="S36:T36"/>
    <mergeCell ref="S37:T37"/>
    <mergeCell ref="A65:B65"/>
    <mergeCell ref="A63:B63"/>
    <mergeCell ref="A15:B15"/>
    <mergeCell ref="K18:M18"/>
    <mergeCell ref="O37:Q37"/>
    <mergeCell ref="O36:Q36"/>
    <mergeCell ref="A40:B40"/>
    <mergeCell ref="A28:B28"/>
    <mergeCell ref="A51:B51"/>
    <mergeCell ref="Q17:T17"/>
    <mergeCell ref="S18:T18"/>
  </mergeCells>
  <printOptions horizontalCentered="1"/>
  <pageMargins left="0.25" right="0.25" top="0.75" bottom="0.75" header="0.3" footer="0.3"/>
  <pageSetup scale="6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Q76"/>
  <sheetViews>
    <sheetView zoomScale="90" zoomScaleNormal="90" workbookViewId="0">
      <selection activeCell="B66" sqref="B66"/>
    </sheetView>
  </sheetViews>
  <sheetFormatPr defaultColWidth="9.140625" defaultRowHeight="12.75"/>
  <cols>
    <col min="1" max="1" width="27.140625" style="45" customWidth="1"/>
    <col min="2" max="2" width="21.42578125" style="45" bestFit="1" customWidth="1"/>
    <col min="3" max="3" width="11" style="45" bestFit="1" customWidth="1"/>
    <col min="4" max="4" width="16.42578125" style="45" bestFit="1" customWidth="1"/>
    <col min="5" max="13" width="15.7109375" style="45" customWidth="1"/>
    <col min="14" max="14" width="1.7109375" style="45" customWidth="1"/>
    <col min="15" max="15" width="15.7109375" style="45" customWidth="1"/>
    <col min="16" max="16" width="1.7109375" style="45" customWidth="1"/>
    <col min="17" max="17" width="14.7109375" style="45" bestFit="1" customWidth="1"/>
    <col min="18" max="16384" width="9.140625" style="45"/>
  </cols>
  <sheetData>
    <row r="1" spans="1:17">
      <c r="A1" s="312" t="str">
        <f>'HHA Benefits Analysis'!A1:K1</f>
        <v>Baronne Lofts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</row>
    <row r="2" spans="1:17">
      <c r="A2" s="312" t="str">
        <f>'HHA Benefits Analysis'!A2:K2</f>
        <v>New Orleans, Louisiana   70113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</row>
    <row r="3" spans="1:17">
      <c r="A3" s="312" t="s">
        <v>93</v>
      </c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</row>
    <row r="4" spans="1:17" ht="13.5" thickBot="1">
      <c r="A4" s="313">
        <f>'HHA Benefits Analysis'!A4:K4</f>
        <v>46107</v>
      </c>
      <c r="B4" s="313"/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</row>
    <row r="5" spans="1:17" ht="13.5" thickTop="1">
      <c r="Q5" s="238" t="s">
        <v>42</v>
      </c>
    </row>
    <row r="6" spans="1:17">
      <c r="D6" s="237" t="s">
        <v>56</v>
      </c>
      <c r="E6" s="237" t="s">
        <v>57</v>
      </c>
      <c r="F6" s="237" t="s">
        <v>58</v>
      </c>
      <c r="G6" s="237" t="s">
        <v>59</v>
      </c>
      <c r="H6" s="237" t="s">
        <v>60</v>
      </c>
      <c r="I6" s="237" t="s">
        <v>61</v>
      </c>
      <c r="J6" s="237" t="s">
        <v>62</v>
      </c>
      <c r="K6" s="237" t="s">
        <v>63</v>
      </c>
      <c r="L6" s="237" t="s">
        <v>64</v>
      </c>
      <c r="M6" s="237" t="s">
        <v>65</v>
      </c>
      <c r="O6" s="237" t="s">
        <v>69</v>
      </c>
      <c r="Q6" s="237" t="s">
        <v>81</v>
      </c>
    </row>
    <row r="7" spans="1:17">
      <c r="A7" s="239" t="s">
        <v>24</v>
      </c>
    </row>
    <row r="8" spans="1:17">
      <c r="A8" s="45" t="s">
        <v>50</v>
      </c>
      <c r="C8" s="247">
        <f>'Mixed Rent'!G20</f>
        <v>0.5</v>
      </c>
      <c r="D8" s="209">
        <f>'Mixed Rent'!M38*(100%+C70)</f>
        <v>2390792.04</v>
      </c>
      <c r="E8" s="209">
        <f>D8*(100%+$C$71)</f>
        <v>2510331.642</v>
      </c>
      <c r="F8" s="209">
        <f t="shared" ref="F8:M8" si="0">E8*(100%+$C$72)</f>
        <v>2635848.2241000002</v>
      </c>
      <c r="G8" s="209">
        <f t="shared" si="0"/>
        <v>2767640.6353050005</v>
      </c>
      <c r="H8" s="209">
        <f t="shared" si="0"/>
        <v>2906022.6670702505</v>
      </c>
      <c r="I8" s="209">
        <f t="shared" si="0"/>
        <v>3051323.8004237632</v>
      </c>
      <c r="J8" s="209">
        <f t="shared" si="0"/>
        <v>3203889.9904449517</v>
      </c>
      <c r="K8" s="209">
        <f t="shared" si="0"/>
        <v>3364084.4899671995</v>
      </c>
      <c r="L8" s="209">
        <f t="shared" si="0"/>
        <v>3532288.7144655595</v>
      </c>
      <c r="M8" s="209">
        <f t="shared" si="0"/>
        <v>3708903.1501888377</v>
      </c>
    </row>
    <row r="9" spans="1:17">
      <c r="A9" s="45" t="s">
        <v>52</v>
      </c>
      <c r="C9" s="247">
        <f>'Mixed Rent'!G21</f>
        <v>0</v>
      </c>
      <c r="D9" s="209">
        <f>'Mixed Rent'!X49</f>
        <v>0</v>
      </c>
      <c r="E9" s="209">
        <f t="shared" ref="E9:M9" si="1">D9*(100%+$C$73)</f>
        <v>0</v>
      </c>
      <c r="F9" s="209">
        <f t="shared" si="1"/>
        <v>0</v>
      </c>
      <c r="G9" s="209">
        <f t="shared" si="1"/>
        <v>0</v>
      </c>
      <c r="H9" s="209">
        <f t="shared" si="1"/>
        <v>0</v>
      </c>
      <c r="I9" s="209">
        <f t="shared" si="1"/>
        <v>0</v>
      </c>
      <c r="J9" s="209">
        <f t="shared" si="1"/>
        <v>0</v>
      </c>
      <c r="K9" s="209">
        <f t="shared" si="1"/>
        <v>0</v>
      </c>
      <c r="L9" s="209">
        <f t="shared" si="1"/>
        <v>0</v>
      </c>
      <c r="M9" s="209">
        <f t="shared" si="1"/>
        <v>0</v>
      </c>
    </row>
    <row r="10" spans="1:17">
      <c r="A10" s="45" t="s">
        <v>53</v>
      </c>
      <c r="C10" s="247">
        <f>'Mixed Rent'!G22</f>
        <v>0.5</v>
      </c>
      <c r="D10" s="211">
        <f>'Mixed Rent'!X61</f>
        <v>688344</v>
      </c>
      <c r="E10" s="211">
        <f t="shared" ref="E10:M10" si="2">D10*(100%+$C$73)</f>
        <v>708994.32000000007</v>
      </c>
      <c r="F10" s="211">
        <f t="shared" si="2"/>
        <v>730264.14960000012</v>
      </c>
      <c r="G10" s="211">
        <f t="shared" si="2"/>
        <v>752172.07408800011</v>
      </c>
      <c r="H10" s="211">
        <f t="shared" si="2"/>
        <v>774737.23631064012</v>
      </c>
      <c r="I10" s="211">
        <f t="shared" si="2"/>
        <v>797979.35339995939</v>
      </c>
      <c r="J10" s="211">
        <f t="shared" si="2"/>
        <v>821918.73400195816</v>
      </c>
      <c r="K10" s="211">
        <f t="shared" si="2"/>
        <v>846576.2960220169</v>
      </c>
      <c r="L10" s="211">
        <f t="shared" si="2"/>
        <v>871973.58490267745</v>
      </c>
      <c r="M10" s="211">
        <f t="shared" si="2"/>
        <v>898132.79244975781</v>
      </c>
    </row>
    <row r="11" spans="1:17">
      <c r="A11" s="239" t="s">
        <v>55</v>
      </c>
      <c r="D11" s="209">
        <f>SUM(D8:D10)</f>
        <v>3079136.04</v>
      </c>
      <c r="E11" s="209">
        <f t="shared" ref="E11:M11" si="3">SUM(E8:E10)</f>
        <v>3219325.9620000003</v>
      </c>
      <c r="F11" s="209">
        <f t="shared" si="3"/>
        <v>3366112.3737000003</v>
      </c>
      <c r="G11" s="209">
        <f t="shared" si="3"/>
        <v>3519812.7093930007</v>
      </c>
      <c r="H11" s="209">
        <f t="shared" si="3"/>
        <v>3680759.9033808904</v>
      </c>
      <c r="I11" s="209">
        <f t="shared" si="3"/>
        <v>3849303.1538237226</v>
      </c>
      <c r="J11" s="209">
        <f t="shared" si="3"/>
        <v>4025808.72444691</v>
      </c>
      <c r="K11" s="209">
        <f t="shared" si="3"/>
        <v>4210660.7859892165</v>
      </c>
      <c r="L11" s="209">
        <f t="shared" si="3"/>
        <v>4404262.2993682371</v>
      </c>
      <c r="M11" s="209">
        <f t="shared" si="3"/>
        <v>4607035.9426385956</v>
      </c>
    </row>
    <row r="12" spans="1:17">
      <c r="A12" s="45" t="s">
        <v>25</v>
      </c>
      <c r="D12" s="219">
        <f>'P&amp;L'!D11</f>
        <v>116969</v>
      </c>
      <c r="E12" s="219">
        <f>D12*(100%+$C$75)</f>
        <v>120478.07</v>
      </c>
      <c r="F12" s="219">
        <f t="shared" ref="F12:M12" si="4">E12*(100%+$C$75)</f>
        <v>124092.41210000002</v>
      </c>
      <c r="G12" s="219">
        <f t="shared" si="4"/>
        <v>127815.18446300003</v>
      </c>
      <c r="H12" s="219">
        <f t="shared" si="4"/>
        <v>131649.63999689004</v>
      </c>
      <c r="I12" s="219">
        <f t="shared" si="4"/>
        <v>135599.12919679674</v>
      </c>
      <c r="J12" s="219">
        <f t="shared" si="4"/>
        <v>139667.10307270064</v>
      </c>
      <c r="K12" s="219">
        <f t="shared" si="4"/>
        <v>143857.11616488168</v>
      </c>
      <c r="L12" s="219">
        <f t="shared" si="4"/>
        <v>148172.82964982814</v>
      </c>
      <c r="M12" s="219">
        <f t="shared" si="4"/>
        <v>152618.01453932299</v>
      </c>
    </row>
    <row r="13" spans="1:17">
      <c r="A13" s="45" t="s">
        <v>132</v>
      </c>
      <c r="C13" s="40"/>
      <c r="D13" s="211">
        <f>'P&amp;L'!D12</f>
        <v>443505</v>
      </c>
      <c r="E13" s="269">
        <f>D13*(100%+$C$75)</f>
        <v>456810.15</v>
      </c>
      <c r="F13" s="269">
        <f t="shared" ref="F13:M13" si="5">E13*(100%+$C$73)</f>
        <v>470514.45450000005</v>
      </c>
      <c r="G13" s="269">
        <f t="shared" si="5"/>
        <v>484629.88813500007</v>
      </c>
      <c r="H13" s="269">
        <f t="shared" si="5"/>
        <v>499168.7847790501</v>
      </c>
      <c r="I13" s="269">
        <f t="shared" si="5"/>
        <v>514143.8483224216</v>
      </c>
      <c r="J13" s="269">
        <f t="shared" si="5"/>
        <v>529568.1637720943</v>
      </c>
      <c r="K13" s="269">
        <f t="shared" si="5"/>
        <v>545455.20868525712</v>
      </c>
      <c r="L13" s="269">
        <f t="shared" si="5"/>
        <v>561818.86494581483</v>
      </c>
      <c r="M13" s="269">
        <f t="shared" si="5"/>
        <v>578673.43089418928</v>
      </c>
    </row>
    <row r="14" spans="1:17">
      <c r="A14" s="239" t="s">
        <v>23</v>
      </c>
      <c r="D14" s="209">
        <f t="shared" ref="D14:M14" si="6">SUM(D11:D13)</f>
        <v>3639610.04</v>
      </c>
      <c r="E14" s="209">
        <f t="shared" si="6"/>
        <v>3796614.182</v>
      </c>
      <c r="F14" s="209">
        <f t="shared" si="6"/>
        <v>3960719.2403000002</v>
      </c>
      <c r="G14" s="209">
        <f t="shared" si="6"/>
        <v>4132257.7819910008</v>
      </c>
      <c r="H14" s="209">
        <f t="shared" si="6"/>
        <v>4311578.3281568307</v>
      </c>
      <c r="I14" s="209">
        <f t="shared" si="6"/>
        <v>4499046.131342941</v>
      </c>
      <c r="J14" s="209">
        <f t="shared" si="6"/>
        <v>4695043.9912917046</v>
      </c>
      <c r="K14" s="209">
        <f t="shared" si="6"/>
        <v>4899973.1108393557</v>
      </c>
      <c r="L14" s="209">
        <f t="shared" si="6"/>
        <v>5114253.9939638805</v>
      </c>
      <c r="M14" s="209">
        <f t="shared" si="6"/>
        <v>5338327.3880721079</v>
      </c>
    </row>
    <row r="15" spans="1:17">
      <c r="A15" s="45" t="s">
        <v>124</v>
      </c>
      <c r="C15" s="40">
        <f>'P&amp;L'!C15</f>
        <v>0.05</v>
      </c>
      <c r="D15" s="219">
        <f>D11*$C$15*-1</f>
        <v>-153956.802</v>
      </c>
      <c r="E15" s="219">
        <f t="shared" ref="E15:M15" si="7">E11*$C$15*-1</f>
        <v>-160966.29810000001</v>
      </c>
      <c r="F15" s="219">
        <f t="shared" si="7"/>
        <v>-168305.61868500002</v>
      </c>
      <c r="G15" s="219">
        <f t="shared" si="7"/>
        <v>-175990.63546965003</v>
      </c>
      <c r="H15" s="219">
        <f t="shared" si="7"/>
        <v>-184037.99516904453</v>
      </c>
      <c r="I15" s="219">
        <f t="shared" si="7"/>
        <v>-192465.15769118615</v>
      </c>
      <c r="J15" s="219">
        <f t="shared" si="7"/>
        <v>-201290.43622234551</v>
      </c>
      <c r="K15" s="219">
        <f t="shared" si="7"/>
        <v>-210533.03929946083</v>
      </c>
      <c r="L15" s="219">
        <f t="shared" si="7"/>
        <v>-220213.11496841186</v>
      </c>
      <c r="M15" s="219">
        <f t="shared" si="7"/>
        <v>-230351.79713192978</v>
      </c>
    </row>
    <row r="16" spans="1:17">
      <c r="A16" s="45" t="s">
        <v>269</v>
      </c>
      <c r="C16" s="40">
        <f>'P&amp;L'!C16</f>
        <v>5.0000000000000001E-3</v>
      </c>
      <c r="D16" s="211">
        <f>D11*$C$16*-1</f>
        <v>-15395.680200000001</v>
      </c>
      <c r="E16" s="211">
        <f>E11*$C$16*-1</f>
        <v>-16096.629810000002</v>
      </c>
      <c r="F16" s="211">
        <f t="shared" ref="F16:M16" si="8">F11*$C$16*-1</f>
        <v>-16830.561868500001</v>
      </c>
      <c r="G16" s="211">
        <f t="shared" si="8"/>
        <v>-17599.063546965004</v>
      </c>
      <c r="H16" s="211">
        <f t="shared" si="8"/>
        <v>-18403.799516904452</v>
      </c>
      <c r="I16" s="211">
        <f t="shared" si="8"/>
        <v>-19246.515769118614</v>
      </c>
      <c r="J16" s="211">
        <f t="shared" si="8"/>
        <v>-20129.043622234549</v>
      </c>
      <c r="K16" s="211">
        <f t="shared" si="8"/>
        <v>-21053.303929946083</v>
      </c>
      <c r="L16" s="211">
        <f t="shared" si="8"/>
        <v>-22021.311496841186</v>
      </c>
      <c r="M16" s="211">
        <f t="shared" si="8"/>
        <v>-23035.179713192978</v>
      </c>
    </row>
    <row r="17" spans="1:17">
      <c r="A17" s="239" t="s">
        <v>26</v>
      </c>
      <c r="D17" s="209">
        <f>SUM(D14:D16)</f>
        <v>3470257.5578000001</v>
      </c>
      <c r="E17" s="209">
        <f t="shared" ref="E17:M17" si="9">SUM(E14:E16)</f>
        <v>3619551.2540899999</v>
      </c>
      <c r="F17" s="209">
        <f t="shared" si="9"/>
        <v>3775583.0597465001</v>
      </c>
      <c r="G17" s="209">
        <f t="shared" si="9"/>
        <v>3938668.0829743859</v>
      </c>
      <c r="H17" s="209">
        <f t="shared" si="9"/>
        <v>4109136.5334708816</v>
      </c>
      <c r="I17" s="209">
        <f t="shared" si="9"/>
        <v>4287334.4578826362</v>
      </c>
      <c r="J17" s="209">
        <f t="shared" si="9"/>
        <v>4473624.5114471242</v>
      </c>
      <c r="K17" s="209">
        <f t="shared" si="9"/>
        <v>4668386.7676099483</v>
      </c>
      <c r="L17" s="209">
        <f t="shared" si="9"/>
        <v>4872019.5674986281</v>
      </c>
      <c r="M17" s="209">
        <f t="shared" si="9"/>
        <v>5084940.411226985</v>
      </c>
    </row>
    <row r="18" spans="1:17">
      <c r="D18" s="209"/>
      <c r="E18" s="209"/>
      <c r="F18" s="209"/>
      <c r="G18" s="209"/>
      <c r="H18" s="209"/>
      <c r="I18" s="209"/>
      <c r="J18" s="209"/>
      <c r="K18" s="209"/>
      <c r="L18" s="209"/>
      <c r="M18" s="209"/>
    </row>
    <row r="19" spans="1:17">
      <c r="A19" s="239" t="s">
        <v>21</v>
      </c>
      <c r="D19" s="209"/>
      <c r="E19" s="209"/>
      <c r="F19" s="209"/>
      <c r="G19" s="209"/>
      <c r="H19" s="209"/>
      <c r="I19" s="209"/>
      <c r="J19" s="209"/>
      <c r="K19" s="209"/>
      <c r="L19" s="209"/>
      <c r="M19" s="209"/>
    </row>
    <row r="20" spans="1:17">
      <c r="A20" s="239" t="s">
        <v>28</v>
      </c>
      <c r="D20" s="209"/>
      <c r="E20" s="209"/>
      <c r="F20" s="209"/>
      <c r="G20" s="209"/>
      <c r="H20" s="209"/>
      <c r="I20" s="209"/>
      <c r="J20" s="209"/>
      <c r="K20" s="209"/>
      <c r="L20" s="209"/>
      <c r="M20" s="209"/>
    </row>
    <row r="21" spans="1:17">
      <c r="A21" s="45" t="s">
        <v>111</v>
      </c>
      <c r="D21" s="270">
        <f>'P&amp;L'!D30</f>
        <v>-978739</v>
      </c>
      <c r="E21" s="270">
        <f t="shared" ref="E21:M21" si="10">D21*(100%+$C$74)</f>
        <v>-1008101.17</v>
      </c>
      <c r="F21" s="270">
        <f t="shared" si="10"/>
        <v>-1038344.2051</v>
      </c>
      <c r="G21" s="270">
        <f t="shared" si="10"/>
        <v>-1069494.531253</v>
      </c>
      <c r="H21" s="270">
        <f t="shared" si="10"/>
        <v>-1101579.3671905901</v>
      </c>
      <c r="I21" s="270">
        <f t="shared" si="10"/>
        <v>-1134626.7482063079</v>
      </c>
      <c r="J21" s="270">
        <f t="shared" si="10"/>
        <v>-1168665.5506524972</v>
      </c>
      <c r="K21" s="270">
        <f t="shared" si="10"/>
        <v>-1203725.5171720721</v>
      </c>
      <c r="L21" s="270">
        <f t="shared" si="10"/>
        <v>-1239837.2826872342</v>
      </c>
      <c r="M21" s="270">
        <f t="shared" si="10"/>
        <v>-1277032.4011678512</v>
      </c>
      <c r="Q21" s="208"/>
    </row>
    <row r="22" spans="1:17">
      <c r="A22" s="45" t="s">
        <v>126</v>
      </c>
      <c r="B22" s="45" t="s">
        <v>125</v>
      </c>
      <c r="D22" s="209">
        <f>SUM('P&amp;L'!D32:D33)</f>
        <v>-530215</v>
      </c>
      <c r="E22" s="209">
        <f t="shared" ref="E22:M22" si="11">D22*(100%+$C$74)</f>
        <v>-546121.45000000007</v>
      </c>
      <c r="F22" s="209">
        <f t="shared" si="11"/>
        <v>-562505.09350000008</v>
      </c>
      <c r="G22" s="209">
        <f t="shared" si="11"/>
        <v>-579380.24630500004</v>
      </c>
      <c r="H22" s="209">
        <f t="shared" si="11"/>
        <v>-596761.65369415004</v>
      </c>
      <c r="I22" s="209">
        <f t="shared" si="11"/>
        <v>-614664.50330497453</v>
      </c>
      <c r="J22" s="209">
        <f t="shared" si="11"/>
        <v>-633104.43840412376</v>
      </c>
      <c r="K22" s="209">
        <f t="shared" si="11"/>
        <v>-652097.57155624754</v>
      </c>
      <c r="L22" s="209">
        <f t="shared" si="11"/>
        <v>-671660.49870293494</v>
      </c>
      <c r="M22" s="209">
        <f t="shared" si="11"/>
        <v>-691810.31366402307</v>
      </c>
    </row>
    <row r="23" spans="1:17">
      <c r="A23" s="45" t="s">
        <v>232</v>
      </c>
      <c r="C23" s="43">
        <f>'P&amp;L'!C34</f>
        <v>3.31E-3</v>
      </c>
      <c r="D23" s="209">
        <f>$C$23*-D17</f>
        <v>-11486.552516318001</v>
      </c>
      <c r="E23" s="209">
        <f t="shared" ref="E23:M23" si="12">$C$23*-E17</f>
        <v>-11980.714651037901</v>
      </c>
      <c r="F23" s="209">
        <f t="shared" si="12"/>
        <v>-12497.179927760915</v>
      </c>
      <c r="G23" s="209">
        <f t="shared" si="12"/>
        <v>-13036.991354645217</v>
      </c>
      <c r="H23" s="209">
        <f t="shared" si="12"/>
        <v>-13601.241925788618</v>
      </c>
      <c r="I23" s="209">
        <f t="shared" si="12"/>
        <v>-14191.077055591526</v>
      </c>
      <c r="J23" s="209">
        <f t="shared" si="12"/>
        <v>-14807.697132889982</v>
      </c>
      <c r="K23" s="209">
        <f t="shared" si="12"/>
        <v>-15452.360200788929</v>
      </c>
      <c r="L23" s="209">
        <f t="shared" si="12"/>
        <v>-16126.384768420459</v>
      </c>
      <c r="M23" s="209">
        <f t="shared" si="12"/>
        <v>-16831.15276116132</v>
      </c>
    </row>
    <row r="24" spans="1:17">
      <c r="A24" s="45" t="s">
        <v>27</v>
      </c>
      <c r="D24" s="211">
        <f>'P&amp;L'!D35</f>
        <v>-818945</v>
      </c>
      <c r="E24" s="211">
        <f>D24*(100%+$C$76)</f>
        <v>-843513.35</v>
      </c>
      <c r="F24" s="211">
        <f t="shared" ref="F24:M24" si="13">E24*(100%+$C$76)</f>
        <v>-868818.75049999997</v>
      </c>
      <c r="G24" s="211">
        <f t="shared" si="13"/>
        <v>-894883.31301499996</v>
      </c>
      <c r="H24" s="211">
        <f t="shared" si="13"/>
        <v>-921729.81240545004</v>
      </c>
      <c r="I24" s="211">
        <f t="shared" si="13"/>
        <v>-949381.70677761361</v>
      </c>
      <c r="J24" s="211">
        <f t="shared" si="13"/>
        <v>-977863.15798094205</v>
      </c>
      <c r="K24" s="211">
        <f t="shared" si="13"/>
        <v>-1007199.0527203704</v>
      </c>
      <c r="L24" s="211">
        <f t="shared" si="13"/>
        <v>-1037415.0243019814</v>
      </c>
      <c r="M24" s="211">
        <f t="shared" si="13"/>
        <v>-1068537.4750310408</v>
      </c>
    </row>
    <row r="25" spans="1:17">
      <c r="A25" s="239" t="s">
        <v>29</v>
      </c>
      <c r="D25" s="211">
        <f t="shared" ref="D25:M25" si="14">SUM(D21:D24)</f>
        <v>-2339385.5525163179</v>
      </c>
      <c r="E25" s="211">
        <f t="shared" si="14"/>
        <v>-2409716.6846510381</v>
      </c>
      <c r="F25" s="211">
        <f t="shared" si="14"/>
        <v>-2482165.2290277611</v>
      </c>
      <c r="G25" s="211">
        <f t="shared" si="14"/>
        <v>-2556795.081927645</v>
      </c>
      <c r="H25" s="211">
        <f t="shared" si="14"/>
        <v>-2633672.0752159785</v>
      </c>
      <c r="I25" s="211">
        <f t="shared" si="14"/>
        <v>-2712864.0353444875</v>
      </c>
      <c r="J25" s="211">
        <f t="shared" si="14"/>
        <v>-2794440.844170453</v>
      </c>
      <c r="K25" s="211">
        <f t="shared" si="14"/>
        <v>-2878474.5016494789</v>
      </c>
      <c r="L25" s="211">
        <f t="shared" si="14"/>
        <v>-2965039.1904605711</v>
      </c>
      <c r="M25" s="211">
        <f t="shared" si="14"/>
        <v>-3054211.3426240766</v>
      </c>
    </row>
    <row r="26" spans="1:17">
      <c r="D26" s="209"/>
      <c r="E26" s="209"/>
      <c r="F26" s="209"/>
      <c r="G26" s="209"/>
      <c r="H26" s="209"/>
      <c r="I26" s="209"/>
      <c r="J26" s="209"/>
      <c r="K26" s="209"/>
      <c r="L26" s="209"/>
      <c r="M26" s="209"/>
    </row>
    <row r="27" spans="1:17">
      <c r="A27" s="239" t="s">
        <v>30</v>
      </c>
      <c r="D27" s="209">
        <f t="shared" ref="D27:M27" si="15">D17+D25</f>
        <v>1130872.0052836821</v>
      </c>
      <c r="E27" s="209">
        <f t="shared" si="15"/>
        <v>1209834.5694389618</v>
      </c>
      <c r="F27" s="209">
        <f t="shared" si="15"/>
        <v>1293417.830718739</v>
      </c>
      <c r="G27" s="209">
        <f t="shared" si="15"/>
        <v>1381873.0010467409</v>
      </c>
      <c r="H27" s="209">
        <f t="shared" si="15"/>
        <v>1475464.4582549031</v>
      </c>
      <c r="I27" s="209">
        <f t="shared" si="15"/>
        <v>1574470.4225381487</v>
      </c>
      <c r="J27" s="209">
        <f t="shared" si="15"/>
        <v>1679183.6672766712</v>
      </c>
      <c r="K27" s="209">
        <f t="shared" si="15"/>
        <v>1789912.2659604694</v>
      </c>
      <c r="L27" s="209">
        <f t="shared" si="15"/>
        <v>1906980.377038057</v>
      </c>
      <c r="M27" s="209">
        <f t="shared" si="15"/>
        <v>2030729.0686029084</v>
      </c>
    </row>
    <row r="28" spans="1:17">
      <c r="A28" s="45" t="s">
        <v>33</v>
      </c>
      <c r="D28" s="209"/>
      <c r="E28" s="209"/>
      <c r="F28" s="209"/>
      <c r="G28" s="209"/>
      <c r="H28" s="209"/>
      <c r="I28" s="209"/>
      <c r="J28" s="209"/>
      <c r="K28" s="209"/>
      <c r="L28" s="209"/>
      <c r="M28" s="209"/>
    </row>
    <row r="29" spans="1:17">
      <c r="A29" s="45" t="s">
        <v>27</v>
      </c>
      <c r="D29" s="211">
        <f>-D24</f>
        <v>818945</v>
      </c>
      <c r="E29" s="211">
        <f>D29*(100%+$C$76)</f>
        <v>843513.35</v>
      </c>
      <c r="F29" s="211">
        <f t="shared" ref="F29:M29" si="16">E29*(100%+$C$76)</f>
        <v>868818.75049999997</v>
      </c>
      <c r="G29" s="211">
        <f t="shared" si="16"/>
        <v>894883.31301499996</v>
      </c>
      <c r="H29" s="211">
        <f t="shared" si="16"/>
        <v>921729.81240545004</v>
      </c>
      <c r="I29" s="211">
        <f t="shared" si="16"/>
        <v>949381.70677761361</v>
      </c>
      <c r="J29" s="211">
        <f t="shared" si="16"/>
        <v>977863.15798094205</v>
      </c>
      <c r="K29" s="211">
        <f t="shared" si="16"/>
        <v>1007199.0527203704</v>
      </c>
      <c r="L29" s="211">
        <f t="shared" si="16"/>
        <v>1037415.0243019814</v>
      </c>
      <c r="M29" s="211">
        <f t="shared" si="16"/>
        <v>1068537.4750310408</v>
      </c>
      <c r="O29" s="209">
        <f>SUM(D29:M29)</f>
        <v>9388286.6427323986</v>
      </c>
      <c r="Q29" s="208"/>
    </row>
    <row r="30" spans="1:17">
      <c r="A30" s="239" t="s">
        <v>32</v>
      </c>
      <c r="D30" s="209">
        <f>D27+D29</f>
        <v>1949817.0052836821</v>
      </c>
      <c r="E30" s="209">
        <f t="shared" ref="E30:M30" si="17">E27+E29</f>
        <v>2053347.9194389619</v>
      </c>
      <c r="F30" s="209">
        <f t="shared" si="17"/>
        <v>2162236.581218739</v>
      </c>
      <c r="G30" s="209">
        <f t="shared" si="17"/>
        <v>2276756.3140617409</v>
      </c>
      <c r="H30" s="209">
        <f t="shared" si="17"/>
        <v>2397194.2706603529</v>
      </c>
      <c r="I30" s="209">
        <f t="shared" si="17"/>
        <v>2523852.1293157623</v>
      </c>
      <c r="J30" s="209">
        <f t="shared" si="17"/>
        <v>2657046.8252576133</v>
      </c>
      <c r="K30" s="209">
        <f t="shared" si="17"/>
        <v>2797111.3186808396</v>
      </c>
      <c r="L30" s="209">
        <f t="shared" si="17"/>
        <v>2944395.4013400385</v>
      </c>
      <c r="M30" s="209">
        <f t="shared" si="17"/>
        <v>3099266.543633949</v>
      </c>
    </row>
    <row r="31" spans="1:17">
      <c r="A31" s="239"/>
      <c r="D31" s="209"/>
      <c r="E31" s="209"/>
      <c r="F31" s="209"/>
      <c r="G31" s="209"/>
      <c r="H31" s="209"/>
      <c r="I31" s="209"/>
      <c r="J31" s="209"/>
      <c r="K31" s="209"/>
      <c r="L31" s="209"/>
      <c r="M31" s="209"/>
    </row>
    <row r="32" spans="1:17">
      <c r="A32" s="239" t="s">
        <v>21</v>
      </c>
      <c r="D32" s="209"/>
      <c r="E32" s="209"/>
      <c r="F32" s="209"/>
      <c r="G32" s="209"/>
      <c r="H32" s="209"/>
      <c r="I32" s="209"/>
      <c r="J32" s="209"/>
      <c r="K32" s="209"/>
      <c r="L32" s="209"/>
      <c r="M32" s="209"/>
    </row>
    <row r="33" spans="1:17">
      <c r="A33" s="45" t="s">
        <v>143</v>
      </c>
      <c r="B33" s="223" t="s">
        <v>38</v>
      </c>
      <c r="C33" s="271">
        <f>'P&amp;L'!E46*-1</f>
        <v>250</v>
      </c>
      <c r="D33" s="211">
        <f>'P&amp;L'!D47</f>
        <v>-42500</v>
      </c>
      <c r="E33" s="211">
        <f>D33</f>
        <v>-42500</v>
      </c>
      <c r="F33" s="211">
        <f t="shared" ref="F33:M33" si="18">E33</f>
        <v>-42500</v>
      </c>
      <c r="G33" s="211">
        <f t="shared" si="18"/>
        <v>-42500</v>
      </c>
      <c r="H33" s="211">
        <f t="shared" si="18"/>
        <v>-42500</v>
      </c>
      <c r="I33" s="211">
        <f t="shared" si="18"/>
        <v>-42500</v>
      </c>
      <c r="J33" s="211">
        <f t="shared" si="18"/>
        <v>-42500</v>
      </c>
      <c r="K33" s="211">
        <f t="shared" si="18"/>
        <v>-42500</v>
      </c>
      <c r="L33" s="211">
        <f t="shared" si="18"/>
        <v>-42500</v>
      </c>
      <c r="M33" s="211">
        <f t="shared" si="18"/>
        <v>-42500</v>
      </c>
    </row>
    <row r="34" spans="1:17">
      <c r="D34" s="209"/>
      <c r="E34" s="209"/>
      <c r="F34" s="209"/>
      <c r="G34" s="209"/>
      <c r="H34" s="209"/>
      <c r="I34" s="209"/>
      <c r="J34" s="209"/>
      <c r="K34" s="209"/>
      <c r="L34" s="209"/>
      <c r="M34" s="209"/>
    </row>
    <row r="35" spans="1:17" ht="13.5" thickBot="1">
      <c r="A35" s="35" t="s">
        <v>32</v>
      </c>
      <c r="D35" s="219">
        <f>D30+D33</f>
        <v>1907317.0052836821</v>
      </c>
      <c r="E35" s="219">
        <f t="shared" ref="E35:M35" si="19">E30+E33</f>
        <v>2010847.9194389619</v>
      </c>
      <c r="F35" s="219">
        <f t="shared" si="19"/>
        <v>2119736.581218739</v>
      </c>
      <c r="G35" s="219">
        <f t="shared" si="19"/>
        <v>2234256.3140617409</v>
      </c>
      <c r="H35" s="219">
        <f t="shared" si="19"/>
        <v>2354694.2706603529</v>
      </c>
      <c r="I35" s="219">
        <f t="shared" si="19"/>
        <v>2481352.1293157623</v>
      </c>
      <c r="J35" s="219">
        <f t="shared" si="19"/>
        <v>2614546.8252576133</v>
      </c>
      <c r="K35" s="219">
        <f t="shared" si="19"/>
        <v>2754611.3186808396</v>
      </c>
      <c r="L35" s="219">
        <f t="shared" si="19"/>
        <v>2901895.4013400385</v>
      </c>
      <c r="M35" s="219">
        <f t="shared" si="19"/>
        <v>3056766.543633949</v>
      </c>
    </row>
    <row r="36" spans="1:17" ht="13.5" thickTop="1">
      <c r="A36" s="239"/>
      <c r="D36" s="219"/>
      <c r="E36" s="219"/>
      <c r="F36" s="219"/>
      <c r="G36" s="219"/>
      <c r="H36" s="219"/>
      <c r="I36" s="219"/>
      <c r="J36" s="219"/>
      <c r="K36" s="219"/>
      <c r="L36" s="219"/>
      <c r="M36" s="219"/>
    </row>
    <row r="37" spans="1:17">
      <c r="A37" s="239" t="s">
        <v>66</v>
      </c>
      <c r="B37" s="223"/>
      <c r="D37" s="211">
        <f>'Cash Flow + Debt'!F28</f>
        <v>-1503125</v>
      </c>
      <c r="E37" s="211">
        <f>D37</f>
        <v>-1503125</v>
      </c>
      <c r="F37" s="211">
        <f t="shared" ref="F37" si="20">E37</f>
        <v>-1503125</v>
      </c>
      <c r="G37" s="211">
        <f t="shared" ref="G37" si="21">F37</f>
        <v>-1503125</v>
      </c>
      <c r="H37" s="211">
        <f t="shared" ref="H37" si="22">G37</f>
        <v>-1503125</v>
      </c>
      <c r="I37" s="211">
        <f t="shared" ref="I37" si="23">H37</f>
        <v>-1503125</v>
      </c>
      <c r="J37" s="211">
        <f t="shared" ref="J37" si="24">I37</f>
        <v>-1503125</v>
      </c>
      <c r="K37" s="211">
        <f t="shared" ref="K37" si="25">J37</f>
        <v>-1503125</v>
      </c>
      <c r="L37" s="211">
        <f t="shared" ref="L37" si="26">K37</f>
        <v>-1503125</v>
      </c>
      <c r="M37" s="211">
        <f t="shared" ref="M37" si="27">L37</f>
        <v>-1503125</v>
      </c>
    </row>
    <row r="38" spans="1:17">
      <c r="A38" s="239"/>
      <c r="D38" s="219"/>
      <c r="E38" s="219"/>
      <c r="F38" s="219"/>
      <c r="G38" s="219"/>
      <c r="H38" s="219"/>
      <c r="I38" s="219"/>
      <c r="J38" s="219"/>
      <c r="K38" s="219"/>
      <c r="L38" s="219"/>
      <c r="M38" s="219"/>
    </row>
    <row r="39" spans="1:17">
      <c r="A39" s="239" t="s">
        <v>40</v>
      </c>
      <c r="C39" s="230"/>
      <c r="D39" s="219">
        <f>D37+D35</f>
        <v>404192.00528368214</v>
      </c>
      <c r="E39" s="219">
        <f t="shared" ref="E39:M39" si="28">E37+E35</f>
        <v>507722.91943896189</v>
      </c>
      <c r="F39" s="219">
        <f t="shared" si="28"/>
        <v>616611.58121873904</v>
      </c>
      <c r="G39" s="219">
        <f t="shared" si="28"/>
        <v>731131.31406174088</v>
      </c>
      <c r="H39" s="219">
        <f t="shared" si="28"/>
        <v>851569.27066035289</v>
      </c>
      <c r="I39" s="219">
        <f t="shared" si="28"/>
        <v>978227.12931576231</v>
      </c>
      <c r="J39" s="219">
        <f t="shared" si="28"/>
        <v>1111421.8252576133</v>
      </c>
      <c r="K39" s="219">
        <f t="shared" si="28"/>
        <v>1251486.3186808396</v>
      </c>
      <c r="L39" s="219">
        <f t="shared" si="28"/>
        <v>1398770.4013400385</v>
      </c>
      <c r="M39" s="219">
        <f t="shared" si="28"/>
        <v>1553641.543633949</v>
      </c>
    </row>
    <row r="40" spans="1:17">
      <c r="A40" s="239" t="s">
        <v>287</v>
      </c>
      <c r="B40" s="45" t="s">
        <v>288</v>
      </c>
      <c r="C40" s="290">
        <v>0.15</v>
      </c>
      <c r="D40" s="219">
        <f>-D29*$C$40</f>
        <v>-122841.75</v>
      </c>
      <c r="E40" s="219">
        <f t="shared" ref="E40:M40" si="29">-E29*$C$40</f>
        <v>-126527.00249999999</v>
      </c>
      <c r="F40" s="219">
        <f t="shared" si="29"/>
        <v>-130322.81257499999</v>
      </c>
      <c r="G40" s="219">
        <f t="shared" si="29"/>
        <v>-134232.49695224999</v>
      </c>
      <c r="H40" s="219">
        <f t="shared" si="29"/>
        <v>-138259.47186081749</v>
      </c>
      <c r="I40" s="219">
        <f t="shared" si="29"/>
        <v>-142407.25601664203</v>
      </c>
      <c r="J40" s="219">
        <f t="shared" si="29"/>
        <v>-146679.47369714131</v>
      </c>
      <c r="K40" s="219">
        <f t="shared" si="29"/>
        <v>-151079.85790805554</v>
      </c>
      <c r="L40" s="219">
        <f t="shared" si="29"/>
        <v>-155612.2536452972</v>
      </c>
      <c r="M40" s="219">
        <f t="shared" si="29"/>
        <v>-160280.62125465611</v>
      </c>
    </row>
    <row r="41" spans="1:17">
      <c r="A41" s="239" t="s">
        <v>46</v>
      </c>
      <c r="B41" s="223" t="s">
        <v>278</v>
      </c>
      <c r="C41" s="290">
        <v>0.03</v>
      </c>
      <c r="D41" s="282">
        <f>IF(0.005*D17&gt;50000,-0.005*D17,-50000)</f>
        <v>-50000</v>
      </c>
      <c r="E41" s="211">
        <f>IF(-0.005*E17&lt;D41*1.03,-0.005*E17,D41*(1+$C$41))</f>
        <v>-51500</v>
      </c>
      <c r="F41" s="211">
        <f t="shared" ref="F41:M41" si="30">IF(-0.005*F17&lt;E41*1.03,-0.005*F17,E41*(1+$C$41))</f>
        <v>-53045</v>
      </c>
      <c r="G41" s="211">
        <f t="shared" si="30"/>
        <v>-54636.35</v>
      </c>
      <c r="H41" s="211">
        <f t="shared" si="30"/>
        <v>-56275.440499999997</v>
      </c>
      <c r="I41" s="211">
        <f t="shared" si="30"/>
        <v>-57963.703714999996</v>
      </c>
      <c r="J41" s="211">
        <f t="shared" si="30"/>
        <v>-59702.614826450001</v>
      </c>
      <c r="K41" s="211">
        <f t="shared" si="30"/>
        <v>-61493.693271243501</v>
      </c>
      <c r="L41" s="211">
        <f t="shared" si="30"/>
        <v>-63338.504069380804</v>
      </c>
      <c r="M41" s="211">
        <f t="shared" si="30"/>
        <v>-65238.659191462233</v>
      </c>
      <c r="N41" s="227"/>
      <c r="Q41" s="209"/>
    </row>
    <row r="42" spans="1:17">
      <c r="A42" s="239" t="s">
        <v>47</v>
      </c>
      <c r="B42" s="223"/>
      <c r="C42" s="223"/>
      <c r="D42" s="219">
        <f>D39+D41+D40</f>
        <v>231350.25528368214</v>
      </c>
      <c r="E42" s="219">
        <f t="shared" ref="E42:M42" si="31">E39+E41+E40</f>
        <v>329695.91693896189</v>
      </c>
      <c r="F42" s="219">
        <f t="shared" si="31"/>
        <v>433243.76864373905</v>
      </c>
      <c r="G42" s="219">
        <f t="shared" si="31"/>
        <v>542262.46710949088</v>
      </c>
      <c r="H42" s="219">
        <f t="shared" si="31"/>
        <v>657034.35829953535</v>
      </c>
      <c r="I42" s="219">
        <f t="shared" si="31"/>
        <v>777856.16958412039</v>
      </c>
      <c r="J42" s="219">
        <f t="shared" si="31"/>
        <v>905039.73673402215</v>
      </c>
      <c r="K42" s="219">
        <f t="shared" si="31"/>
        <v>1038912.7675015406</v>
      </c>
      <c r="L42" s="219">
        <f t="shared" si="31"/>
        <v>1179819.6436253607</v>
      </c>
      <c r="M42" s="219">
        <f t="shared" si="31"/>
        <v>1328122.2631878308</v>
      </c>
    </row>
    <row r="43" spans="1:17">
      <c r="A43" s="239" t="s">
        <v>48</v>
      </c>
      <c r="B43" s="223" t="s">
        <v>43</v>
      </c>
      <c r="C43" s="40">
        <f>'Cash Flow + Debt'!D38</f>
        <v>0.08</v>
      </c>
      <c r="D43" s="211">
        <f>'Cash Flow + Debt'!$H$38</f>
        <v>-1257040</v>
      </c>
      <c r="E43" s="211">
        <f>'Cash Flow + Debt'!$H$38</f>
        <v>-1257040</v>
      </c>
      <c r="F43" s="211">
        <f>'Cash Flow + Debt'!$H$38</f>
        <v>-1257040</v>
      </c>
      <c r="G43" s="211">
        <f>'Cash Flow + Debt'!$H$38</f>
        <v>-1257040</v>
      </c>
      <c r="H43" s="211">
        <f>'Cash Flow + Debt'!$H$38</f>
        <v>-1257040</v>
      </c>
      <c r="I43" s="211">
        <f>'Cash Flow + Debt'!$H$38</f>
        <v>-1257040</v>
      </c>
      <c r="J43" s="211">
        <f>'Cash Flow + Debt'!$H$38</f>
        <v>-1257040</v>
      </c>
      <c r="K43" s="211">
        <f>'Cash Flow + Debt'!$H$38</f>
        <v>-1257040</v>
      </c>
      <c r="L43" s="211">
        <f>'Cash Flow + Debt'!$H$38</f>
        <v>-1257040</v>
      </c>
      <c r="M43" s="211">
        <f>'Cash Flow + Debt'!$H$38</f>
        <v>-1257040</v>
      </c>
      <c r="O43" s="224"/>
    </row>
    <row r="44" spans="1:17">
      <c r="A44" s="239" t="s">
        <v>49</v>
      </c>
      <c r="B44" s="223"/>
      <c r="C44" s="223"/>
      <c r="D44" s="219">
        <f>SUM(D42:D43)</f>
        <v>-1025689.7447163179</v>
      </c>
      <c r="E44" s="219">
        <f t="shared" ref="E44:M44" si="32">SUM(E42:E43)</f>
        <v>-927344.08306103805</v>
      </c>
      <c r="F44" s="219">
        <f t="shared" si="32"/>
        <v>-823796.23135626095</v>
      </c>
      <c r="G44" s="219">
        <f t="shared" si="32"/>
        <v>-714777.53289050912</v>
      </c>
      <c r="H44" s="219">
        <f t="shared" si="32"/>
        <v>-600005.64170046465</v>
      </c>
      <c r="I44" s="219">
        <f t="shared" si="32"/>
        <v>-479183.83041587961</v>
      </c>
      <c r="J44" s="219">
        <f t="shared" si="32"/>
        <v>-352000.26326597785</v>
      </c>
      <c r="K44" s="219">
        <f t="shared" si="32"/>
        <v>-218127.2324984594</v>
      </c>
      <c r="L44" s="219">
        <f t="shared" si="32"/>
        <v>-77220.356374639319</v>
      </c>
      <c r="M44" s="219">
        <f t="shared" si="32"/>
        <v>71082.263187830802</v>
      </c>
      <c r="Q44" s="208"/>
    </row>
    <row r="45" spans="1:17">
      <c r="A45" s="239" t="s">
        <v>68</v>
      </c>
      <c r="B45" s="223"/>
      <c r="C45" s="223"/>
      <c r="D45" s="219">
        <f>IF(D42+D43&lt;0,D42+D43,0)</f>
        <v>-1025689.7447163179</v>
      </c>
      <c r="E45" s="219">
        <f t="shared" ref="E45:M45" si="33">IF(E42+E43&lt;0,E42+E43,0)</f>
        <v>-927344.08306103805</v>
      </c>
      <c r="F45" s="219">
        <f t="shared" si="33"/>
        <v>-823796.23135626095</v>
      </c>
      <c r="G45" s="219">
        <f t="shared" si="33"/>
        <v>-714777.53289050912</v>
      </c>
      <c r="H45" s="219">
        <f t="shared" si="33"/>
        <v>-600005.64170046465</v>
      </c>
      <c r="I45" s="219">
        <f t="shared" si="33"/>
        <v>-479183.83041587961</v>
      </c>
      <c r="J45" s="219">
        <f t="shared" si="33"/>
        <v>-352000.26326597785</v>
      </c>
      <c r="K45" s="219">
        <f t="shared" si="33"/>
        <v>-218127.2324984594</v>
      </c>
      <c r="L45" s="219">
        <f t="shared" si="33"/>
        <v>-77220.356374639319</v>
      </c>
      <c r="M45" s="219">
        <f t="shared" si="33"/>
        <v>0</v>
      </c>
    </row>
    <row r="46" spans="1:17">
      <c r="A46" s="239"/>
      <c r="B46" s="223"/>
      <c r="C46" s="223"/>
      <c r="D46" s="219"/>
      <c r="E46" s="219"/>
      <c r="F46" s="219"/>
      <c r="G46" s="219"/>
      <c r="H46" s="219"/>
      <c r="I46" s="219"/>
      <c r="J46" s="219"/>
      <c r="K46" s="219"/>
      <c r="L46" s="219"/>
      <c r="M46" s="219"/>
    </row>
    <row r="47" spans="1:17">
      <c r="A47" s="239" t="s">
        <v>67</v>
      </c>
      <c r="B47" s="223" t="s">
        <v>43</v>
      </c>
      <c r="C47" s="284">
        <v>1</v>
      </c>
      <c r="D47" s="219">
        <f>IF(D44&lt;0,0,D44*$C$47)</f>
        <v>0</v>
      </c>
      <c r="E47" s="219">
        <f t="shared" ref="E47:M47" si="34">IF(E44&lt;0,0,E44*$C$47)</f>
        <v>0</v>
      </c>
      <c r="F47" s="219">
        <f t="shared" si="34"/>
        <v>0</v>
      </c>
      <c r="G47" s="219">
        <f t="shared" si="34"/>
        <v>0</v>
      </c>
      <c r="H47" s="219">
        <f t="shared" si="34"/>
        <v>0</v>
      </c>
      <c r="I47" s="219">
        <f t="shared" si="34"/>
        <v>0</v>
      </c>
      <c r="J47" s="219">
        <f t="shared" si="34"/>
        <v>0</v>
      </c>
      <c r="K47" s="219">
        <f t="shared" si="34"/>
        <v>0</v>
      </c>
      <c r="L47" s="219">
        <f t="shared" si="34"/>
        <v>0</v>
      </c>
      <c r="M47" s="219">
        <f t="shared" si="34"/>
        <v>71082.263187830802</v>
      </c>
      <c r="O47" s="224"/>
    </row>
    <row r="48" spans="1:17">
      <c r="A48" s="239"/>
      <c r="B48" s="223" t="s">
        <v>42</v>
      </c>
      <c r="C48" s="284">
        <v>0</v>
      </c>
      <c r="D48" s="219">
        <f>IF(D44&lt;0,0,D44*$C$48)</f>
        <v>0</v>
      </c>
      <c r="E48" s="219">
        <f t="shared" ref="E48:M48" si="35">IF(E44&lt;0,0,E44*$C$48)</f>
        <v>0</v>
      </c>
      <c r="F48" s="219">
        <f t="shared" si="35"/>
        <v>0</v>
      </c>
      <c r="G48" s="219">
        <f t="shared" si="35"/>
        <v>0</v>
      </c>
      <c r="H48" s="219">
        <f t="shared" si="35"/>
        <v>0</v>
      </c>
      <c r="I48" s="219">
        <f t="shared" si="35"/>
        <v>0</v>
      </c>
      <c r="J48" s="219">
        <f t="shared" si="35"/>
        <v>0</v>
      </c>
      <c r="K48" s="219">
        <f t="shared" si="35"/>
        <v>0</v>
      </c>
      <c r="L48" s="219">
        <f t="shared" si="35"/>
        <v>0</v>
      </c>
      <c r="M48" s="219">
        <f t="shared" si="35"/>
        <v>0</v>
      </c>
      <c r="O48" s="208"/>
      <c r="Q48" s="209"/>
    </row>
    <row r="49" spans="1:17">
      <c r="B49" s="223"/>
      <c r="C49" s="223"/>
    </row>
    <row r="50" spans="1:17">
      <c r="A50" s="239" t="s">
        <v>74</v>
      </c>
      <c r="B50" s="223"/>
      <c r="C50" s="223"/>
    </row>
    <row r="51" spans="1:17" s="272" customFormat="1">
      <c r="A51" s="272" t="s">
        <v>71</v>
      </c>
      <c r="B51" s="273"/>
      <c r="C51" s="289">
        <v>0.05</v>
      </c>
      <c r="D51" s="320" t="s">
        <v>79</v>
      </c>
      <c r="E51" s="320"/>
    </row>
    <row r="52" spans="1:17" s="272" customFormat="1">
      <c r="A52" s="272" t="s">
        <v>70</v>
      </c>
      <c r="B52" s="273"/>
      <c r="C52" s="289">
        <v>0.15</v>
      </c>
      <c r="D52" s="274" t="s">
        <v>137</v>
      </c>
      <c r="O52" s="275">
        <f>(M35-((-M24*C52)))/C51</f>
        <v>57929718.447585858</v>
      </c>
      <c r="P52" s="275"/>
      <c r="Q52" s="275"/>
    </row>
    <row r="53" spans="1:17" s="272" customFormat="1">
      <c r="A53" s="272" t="s">
        <v>72</v>
      </c>
      <c r="B53" s="273"/>
      <c r="C53" s="289">
        <v>1.2500000000000001E-2</v>
      </c>
      <c r="D53" s="320" t="s">
        <v>80</v>
      </c>
      <c r="E53" s="320"/>
      <c r="O53" s="276">
        <f>O52*-C53</f>
        <v>-724121.48059482325</v>
      </c>
      <c r="P53" s="275"/>
      <c r="Q53" s="275"/>
    </row>
    <row r="54" spans="1:17" s="272" customFormat="1">
      <c r="A54" s="272" t="s">
        <v>73</v>
      </c>
      <c r="B54" s="273"/>
      <c r="C54" s="273"/>
      <c r="O54" s="275">
        <f>SUM(O52:O53)</f>
        <v>57205596.966991037</v>
      </c>
      <c r="P54" s="275"/>
      <c r="Q54" s="275"/>
    </row>
    <row r="55" spans="1:17" s="272" customFormat="1">
      <c r="A55" s="272" t="s">
        <v>21</v>
      </c>
      <c r="B55" s="273"/>
      <c r="C55" s="273"/>
      <c r="O55" s="275"/>
      <c r="P55" s="275"/>
      <c r="Q55" s="275"/>
    </row>
    <row r="56" spans="1:17" s="272" customFormat="1">
      <c r="A56" s="272" t="s">
        <v>75</v>
      </c>
      <c r="B56" s="273"/>
      <c r="C56" s="273"/>
      <c r="O56" s="276">
        <f>-'Amort Schedule '!C8</f>
        <v>-24050000</v>
      </c>
      <c r="P56" s="275"/>
      <c r="Q56" s="275"/>
    </row>
    <row r="57" spans="1:17" s="272" customFormat="1">
      <c r="A57" s="272" t="s">
        <v>76</v>
      </c>
      <c r="B57" s="273"/>
      <c r="C57" s="273"/>
      <c r="O57" s="275">
        <f>SUM(O54+O56)</f>
        <v>33155596.966991037</v>
      </c>
      <c r="P57" s="275"/>
      <c r="Q57" s="275"/>
    </row>
    <row r="58" spans="1:17" s="272" customFormat="1">
      <c r="A58" s="272" t="s">
        <v>77</v>
      </c>
      <c r="B58" s="273" t="s">
        <v>43</v>
      </c>
      <c r="C58" s="273"/>
      <c r="O58" s="277">
        <f>('Cash Flow + Debt'!D17-'Cash Flow + Debt'!D20)*-1</f>
        <v>-15713000</v>
      </c>
      <c r="P58" s="275"/>
      <c r="Q58" s="275"/>
    </row>
    <row r="59" spans="1:17" s="272" customFormat="1">
      <c r="A59" s="272" t="s">
        <v>234</v>
      </c>
      <c r="B59" s="273"/>
      <c r="C59" s="273"/>
      <c r="O59" s="277">
        <f>SUM(D45:M45)</f>
        <v>-5218144.9162795469</v>
      </c>
      <c r="P59" s="275"/>
      <c r="Q59" s="275"/>
    </row>
    <row r="60" spans="1:17" s="272" customFormat="1">
      <c r="A60" s="272" t="s">
        <v>48</v>
      </c>
      <c r="B60" s="273" t="s">
        <v>43</v>
      </c>
      <c r="C60" s="273"/>
      <c r="O60" s="276">
        <f>Project!L54</f>
        <v>-6568663.821445195</v>
      </c>
      <c r="P60" s="275"/>
      <c r="Q60" s="275"/>
    </row>
    <row r="61" spans="1:17" s="272" customFormat="1">
      <c r="A61" s="272" t="s">
        <v>78</v>
      </c>
      <c r="B61" s="273"/>
      <c r="C61" s="273"/>
      <c r="O61" s="275">
        <f>SUM(O57:O60)</f>
        <v>5655788.2292662952</v>
      </c>
      <c r="P61" s="275"/>
      <c r="Q61" s="275"/>
    </row>
    <row r="62" spans="1:17">
      <c r="B62" s="223"/>
      <c r="C62" s="223"/>
      <c r="O62" s="209"/>
      <c r="P62" s="209"/>
      <c r="Q62" s="209"/>
    </row>
    <row r="63" spans="1:17">
      <c r="A63" s="239" t="s">
        <v>96</v>
      </c>
      <c r="B63" s="223" t="s">
        <v>43</v>
      </c>
      <c r="C63" s="284">
        <v>0.9</v>
      </c>
      <c r="O63" s="209">
        <f>O61*C63</f>
        <v>5090209.4063396659</v>
      </c>
      <c r="P63" s="209"/>
      <c r="Q63" s="209"/>
    </row>
    <row r="64" spans="1:17">
      <c r="A64" s="239"/>
      <c r="B64" s="223" t="s">
        <v>296</v>
      </c>
      <c r="C64" s="247">
        <f>100%-C63</f>
        <v>9.9999999999999978E-2</v>
      </c>
      <c r="O64" s="219">
        <f>O61*C64</f>
        <v>565578.82292662945</v>
      </c>
      <c r="P64" s="209"/>
      <c r="Q64" s="209">
        <f>O64</f>
        <v>565578.82292662945</v>
      </c>
    </row>
    <row r="65" spans="1:17">
      <c r="A65" s="239"/>
      <c r="B65" s="223"/>
      <c r="C65" s="247"/>
      <c r="O65" s="209"/>
      <c r="P65" s="209"/>
      <c r="Q65" s="209"/>
    </row>
    <row r="66" spans="1:17">
      <c r="A66" s="239" t="s">
        <v>41</v>
      </c>
      <c r="B66" s="223" t="s">
        <v>42</v>
      </c>
      <c r="C66" s="40">
        <f>'SOURCES and USES of FUNDS'!E26</f>
        <v>8.6399730905615795E-3</v>
      </c>
      <c r="O66" s="209"/>
      <c r="P66" s="209"/>
      <c r="Q66" s="211">
        <f>'SOURCES and USES of FUNDS'!G26</f>
        <v>343551.25000000006</v>
      </c>
    </row>
    <row r="67" spans="1:17">
      <c r="C67" s="223"/>
      <c r="O67" s="209"/>
      <c r="P67" s="209"/>
      <c r="Q67" s="209"/>
    </row>
    <row r="68" spans="1:17" ht="13.5" thickBot="1">
      <c r="C68" s="223"/>
      <c r="O68" s="209"/>
      <c r="P68" s="209"/>
      <c r="Q68" s="268">
        <f>SUM(Q41:Q66)</f>
        <v>909130.07292662957</v>
      </c>
    </row>
    <row r="69" spans="1:17">
      <c r="A69" s="239" t="s">
        <v>54</v>
      </c>
    </row>
    <row r="70" spans="1:17">
      <c r="A70" s="45" t="s">
        <v>50</v>
      </c>
      <c r="B70" s="223" t="s">
        <v>56</v>
      </c>
      <c r="C70" s="40">
        <f>'P&amp;L'!D52</f>
        <v>0.05</v>
      </c>
    </row>
    <row r="71" spans="1:17">
      <c r="A71" s="45" t="s">
        <v>50</v>
      </c>
      <c r="B71" s="223" t="s">
        <v>57</v>
      </c>
      <c r="C71" s="40">
        <f>'P&amp;L'!D53</f>
        <v>0.05</v>
      </c>
    </row>
    <row r="72" spans="1:17">
      <c r="A72" s="45" t="s">
        <v>50</v>
      </c>
      <c r="B72" s="223" t="s">
        <v>271</v>
      </c>
      <c r="C72" s="40">
        <f>'P&amp;L'!D54</f>
        <v>0.05</v>
      </c>
    </row>
    <row r="73" spans="1:17">
      <c r="A73" s="45" t="s">
        <v>51</v>
      </c>
      <c r="C73" s="40">
        <f>'P&amp;L'!D55</f>
        <v>0.03</v>
      </c>
    </row>
    <row r="74" spans="1:17">
      <c r="A74" s="45" t="s">
        <v>28</v>
      </c>
      <c r="C74" s="40">
        <f>'P&amp;L'!D56</f>
        <v>0.03</v>
      </c>
    </row>
    <row r="75" spans="1:17">
      <c r="A75" s="45" t="s">
        <v>133</v>
      </c>
      <c r="C75" s="40">
        <f>'P&amp;L'!D57</f>
        <v>0.03</v>
      </c>
    </row>
    <row r="76" spans="1:17">
      <c r="A76" s="45" t="s">
        <v>27</v>
      </c>
      <c r="C76" s="40">
        <f>'P&amp;L'!D58</f>
        <v>0.03</v>
      </c>
    </row>
  </sheetData>
  <mergeCells count="6">
    <mergeCell ref="D51:E51"/>
    <mergeCell ref="D53:E53"/>
    <mergeCell ref="A1:Q1"/>
    <mergeCell ref="A2:Q2"/>
    <mergeCell ref="A3:Q3"/>
    <mergeCell ref="A4:Q4"/>
  </mergeCells>
  <printOptions horizontalCentered="1"/>
  <pageMargins left="0.25" right="0.25" top="0.75" bottom="0.75" header="0.3" footer="0.3"/>
  <pageSetup scale="5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  <pageSetUpPr fitToPage="1"/>
  </sheetPr>
  <dimension ref="A1:S119"/>
  <sheetViews>
    <sheetView topLeftCell="A19" workbookViewId="0">
      <selection activeCell="K102" sqref="K102"/>
    </sheetView>
  </sheetViews>
  <sheetFormatPr defaultRowHeight="15"/>
  <cols>
    <col min="1" max="1" width="28.5703125" bestFit="1" customWidth="1"/>
    <col min="2" max="2" width="12.5703125" bestFit="1" customWidth="1"/>
    <col min="3" max="5" width="12" bestFit="1" customWidth="1"/>
    <col min="6" max="6" width="11.85546875" bestFit="1" customWidth="1"/>
    <col min="7" max="7" width="12.42578125" customWidth="1"/>
    <col min="8" max="8" width="13.5703125" customWidth="1"/>
    <col min="9" max="9" width="11.85546875" bestFit="1" customWidth="1"/>
    <col min="10" max="11" width="12" bestFit="1" customWidth="1"/>
    <col min="12" max="12" width="12.85546875" bestFit="1" customWidth="1"/>
    <col min="13" max="13" width="11.85546875" bestFit="1" customWidth="1"/>
    <col min="14" max="14" width="10.85546875" bestFit="1" customWidth="1"/>
    <col min="16" max="16" width="0.85546875" customWidth="1"/>
    <col min="17" max="17" width="25.5703125" customWidth="1"/>
    <col min="18" max="18" width="62.42578125" customWidth="1"/>
    <col min="19" max="19" width="1.42578125" customWidth="1"/>
  </cols>
  <sheetData>
    <row r="1" spans="1:13" ht="21">
      <c r="A1" s="324" t="str">
        <f>'HHA Benefits Analysis'!A1:K1</f>
        <v>Baronne Lofts</v>
      </c>
      <c r="B1" s="324"/>
      <c r="C1" s="324"/>
      <c r="D1" s="324"/>
      <c r="E1" s="324"/>
      <c r="F1" s="324"/>
      <c r="G1" s="324"/>
      <c r="H1" s="324"/>
      <c r="I1" s="324"/>
      <c r="J1" s="324"/>
      <c r="K1" s="324"/>
      <c r="L1" s="324"/>
      <c r="M1" s="56"/>
    </row>
    <row r="2" spans="1:13" ht="17.25">
      <c r="A2" s="325" t="str">
        <f>'HHA Benefits Analysis'!A2:K2</f>
        <v>New Orleans, Louisiana   70113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56"/>
    </row>
    <row r="3" spans="1:13" ht="23.25">
      <c r="A3" s="321" t="s">
        <v>153</v>
      </c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3"/>
      <c r="M3" s="56"/>
    </row>
    <row r="4" spans="1:13">
      <c r="A4" s="58"/>
      <c r="B4" s="56"/>
      <c r="C4" s="56"/>
      <c r="D4" s="56"/>
      <c r="E4" s="56"/>
      <c r="F4" s="56"/>
      <c r="G4" s="56"/>
      <c r="H4" s="56"/>
      <c r="I4" s="56"/>
      <c r="J4" s="56"/>
      <c r="K4" s="56"/>
      <c r="L4" s="59"/>
      <c r="M4" s="56"/>
    </row>
    <row r="5" spans="1:13">
      <c r="A5" s="60" t="s">
        <v>154</v>
      </c>
      <c r="B5" s="61">
        <v>44743</v>
      </c>
      <c r="C5" s="62">
        <f>B5+360</f>
        <v>45103</v>
      </c>
      <c r="D5" s="62">
        <f t="shared" ref="D5:L5" si="0">C5+365</f>
        <v>45468</v>
      </c>
      <c r="E5" s="62">
        <f t="shared" si="0"/>
        <v>45833</v>
      </c>
      <c r="F5" s="62">
        <f t="shared" si="0"/>
        <v>46198</v>
      </c>
      <c r="G5" s="62">
        <f t="shared" si="0"/>
        <v>46563</v>
      </c>
      <c r="H5" s="62">
        <f t="shared" si="0"/>
        <v>46928</v>
      </c>
      <c r="I5" s="62">
        <f t="shared" si="0"/>
        <v>47293</v>
      </c>
      <c r="J5" s="62">
        <f t="shared" si="0"/>
        <v>47658</v>
      </c>
      <c r="K5" s="62">
        <f t="shared" si="0"/>
        <v>48023</v>
      </c>
      <c r="L5" s="63">
        <f t="shared" si="0"/>
        <v>48388</v>
      </c>
      <c r="M5" s="64"/>
    </row>
    <row r="6" spans="1:13">
      <c r="A6" s="58" t="s">
        <v>155</v>
      </c>
      <c r="B6" s="56"/>
      <c r="C6" s="65"/>
      <c r="D6" s="66"/>
      <c r="E6" s="65"/>
      <c r="F6" s="65"/>
      <c r="G6" s="65"/>
      <c r="H6" s="65"/>
      <c r="I6" s="65"/>
      <c r="J6" s="65"/>
      <c r="K6" s="65"/>
      <c r="L6" s="67"/>
      <c r="M6" s="56"/>
    </row>
    <row r="7" spans="1:13">
      <c r="A7" s="58" t="s">
        <v>50</v>
      </c>
      <c r="B7" s="56"/>
      <c r="C7" s="65">
        <f>'10 Years Mixed'!D8</f>
        <v>2390792.04</v>
      </c>
      <c r="D7" s="65">
        <f>'10 Years Mixed'!E8</f>
        <v>2510331.642</v>
      </c>
      <c r="E7" s="65">
        <f>'10 Years Mixed'!F8</f>
        <v>2635848.2241000002</v>
      </c>
      <c r="F7" s="65">
        <f>'10 Years Mixed'!G8</f>
        <v>2767640.6353050005</v>
      </c>
      <c r="G7" s="65">
        <f>'10 Years Mixed'!H8</f>
        <v>2906022.6670702505</v>
      </c>
      <c r="H7" s="65">
        <f>'10 Years Mixed'!I8</f>
        <v>3051323.8004237632</v>
      </c>
      <c r="I7" s="65">
        <f>'10 Years Mixed'!J8</f>
        <v>3203889.9904449517</v>
      </c>
      <c r="J7" s="65">
        <f>'10 Years Mixed'!K8</f>
        <v>3364084.4899671995</v>
      </c>
      <c r="K7" s="65">
        <f>'10 Years Mixed'!L8</f>
        <v>3532288.7144655595</v>
      </c>
      <c r="L7" s="67">
        <f>'10 Years Mixed'!M8</f>
        <v>3708903.1501888377</v>
      </c>
      <c r="M7" s="56"/>
    </row>
    <row r="8" spans="1:13">
      <c r="A8" s="58" t="s">
        <v>52</v>
      </c>
      <c r="B8" s="56"/>
      <c r="C8" s="65">
        <f>'10 Years Mixed'!D9</f>
        <v>0</v>
      </c>
      <c r="D8" s="65">
        <f>'10 Years Mixed'!E9</f>
        <v>0</v>
      </c>
      <c r="E8" s="65">
        <f>'10 Years Mixed'!F9</f>
        <v>0</v>
      </c>
      <c r="F8" s="65">
        <f>'10 Years Mixed'!G9</f>
        <v>0</v>
      </c>
      <c r="G8" s="65">
        <f>'10 Years Mixed'!H9</f>
        <v>0</v>
      </c>
      <c r="H8" s="65">
        <f>'10 Years Mixed'!I9</f>
        <v>0</v>
      </c>
      <c r="I8" s="65">
        <f>'10 Years Mixed'!J9</f>
        <v>0</v>
      </c>
      <c r="J8" s="65">
        <f>'10 Years Mixed'!K9</f>
        <v>0</v>
      </c>
      <c r="K8" s="65">
        <f>'10 Years Mixed'!L9</f>
        <v>0</v>
      </c>
      <c r="L8" s="67">
        <f>'10 Years Mixed'!M9</f>
        <v>0</v>
      </c>
      <c r="M8" s="56"/>
    </row>
    <row r="9" spans="1:13">
      <c r="A9" s="58" t="s">
        <v>53</v>
      </c>
      <c r="B9" s="56"/>
      <c r="C9" s="65">
        <f>'10 Years Mixed'!D10</f>
        <v>688344</v>
      </c>
      <c r="D9" s="65">
        <f>'10 Years Mixed'!E10</f>
        <v>708994.32000000007</v>
      </c>
      <c r="E9" s="65">
        <f>'10 Years Mixed'!F10</f>
        <v>730264.14960000012</v>
      </c>
      <c r="F9" s="65">
        <f>'10 Years Mixed'!G10</f>
        <v>752172.07408800011</v>
      </c>
      <c r="G9" s="65">
        <f>'10 Years Mixed'!H10</f>
        <v>774737.23631064012</v>
      </c>
      <c r="H9" s="65">
        <f>'10 Years Mixed'!I10</f>
        <v>797979.35339995939</v>
      </c>
      <c r="I9" s="65">
        <f>'10 Years Mixed'!J10</f>
        <v>821918.73400195816</v>
      </c>
      <c r="J9" s="65">
        <f>'10 Years Mixed'!K10</f>
        <v>846576.2960220169</v>
      </c>
      <c r="K9" s="65">
        <f>'10 Years Mixed'!L10</f>
        <v>871973.58490267745</v>
      </c>
      <c r="L9" s="67">
        <f>'10 Years Mixed'!M10</f>
        <v>898132.79244975781</v>
      </c>
      <c r="M9" s="56"/>
    </row>
    <row r="10" spans="1:13">
      <c r="A10" s="58" t="s">
        <v>25</v>
      </c>
      <c r="B10" s="56"/>
      <c r="C10" s="65">
        <f>'10 Years Mixed'!D12</f>
        <v>116969</v>
      </c>
      <c r="D10" s="65">
        <f>'10 Years Mixed'!E12</f>
        <v>120478.07</v>
      </c>
      <c r="E10" s="65">
        <f>'10 Years Mixed'!F12</f>
        <v>124092.41210000002</v>
      </c>
      <c r="F10" s="65">
        <f>'10 Years Mixed'!G12</f>
        <v>127815.18446300003</v>
      </c>
      <c r="G10" s="65">
        <f>'10 Years Mixed'!H12</f>
        <v>131649.63999689004</v>
      </c>
      <c r="H10" s="65">
        <f>'10 Years Mixed'!I12</f>
        <v>135599.12919679674</v>
      </c>
      <c r="I10" s="65">
        <f>'10 Years Mixed'!J12</f>
        <v>139667.10307270064</v>
      </c>
      <c r="J10" s="65">
        <f>'10 Years Mixed'!K12</f>
        <v>143857.11616488168</v>
      </c>
      <c r="K10" s="65">
        <f>'10 Years Mixed'!L12</f>
        <v>148172.82964982814</v>
      </c>
      <c r="L10" s="67">
        <f>'10 Years Mixed'!M12</f>
        <v>152618.01453932299</v>
      </c>
      <c r="M10" s="56"/>
    </row>
    <row r="11" spans="1:13">
      <c r="A11" s="58" t="s">
        <v>132</v>
      </c>
      <c r="B11" s="56"/>
      <c r="C11" s="65">
        <f>'10 Years Mixed'!D13</f>
        <v>443505</v>
      </c>
      <c r="D11" s="65">
        <f>'10 Years Mixed'!E13</f>
        <v>456810.15</v>
      </c>
      <c r="E11" s="65">
        <f>'10 Years Mixed'!F13</f>
        <v>470514.45450000005</v>
      </c>
      <c r="F11" s="65">
        <f>'10 Years Mixed'!G13</f>
        <v>484629.88813500007</v>
      </c>
      <c r="G11" s="65">
        <f>'10 Years Mixed'!H13</f>
        <v>499168.7847790501</v>
      </c>
      <c r="H11" s="65">
        <f>'10 Years Mixed'!I13</f>
        <v>514143.8483224216</v>
      </c>
      <c r="I11" s="65">
        <f>'10 Years Mixed'!J13</f>
        <v>529568.1637720943</v>
      </c>
      <c r="J11" s="65">
        <f>'10 Years Mixed'!K13</f>
        <v>545455.20868525712</v>
      </c>
      <c r="K11" s="65">
        <f>'10 Years Mixed'!L13</f>
        <v>561818.86494581483</v>
      </c>
      <c r="L11" s="67">
        <f>'10 Years Mixed'!M13</f>
        <v>578673.43089418928</v>
      </c>
      <c r="M11" s="56"/>
    </row>
    <row r="12" spans="1:13" hidden="1">
      <c r="A12" s="58" t="s">
        <v>156</v>
      </c>
      <c r="B12" s="56"/>
      <c r="C12" s="65"/>
      <c r="D12" s="65"/>
      <c r="E12" s="65"/>
      <c r="F12" s="65"/>
      <c r="G12" s="65"/>
      <c r="H12" s="65"/>
      <c r="I12" s="65"/>
      <c r="J12" s="65"/>
      <c r="K12" s="65"/>
      <c r="L12" s="67"/>
      <c r="M12" s="56"/>
    </row>
    <row r="13" spans="1:13" hidden="1">
      <c r="A13" s="58" t="s">
        <v>157</v>
      </c>
      <c r="B13" s="56"/>
      <c r="C13" s="65"/>
      <c r="D13" s="65"/>
      <c r="E13" s="65"/>
      <c r="F13" s="65"/>
      <c r="G13" s="65"/>
      <c r="H13" s="65"/>
      <c r="I13" s="65"/>
      <c r="J13" s="65"/>
      <c r="K13" s="65"/>
      <c r="L13" s="67"/>
      <c r="M13" s="56"/>
    </row>
    <row r="14" spans="1:13" hidden="1">
      <c r="A14" s="58" t="s">
        <v>158</v>
      </c>
      <c r="B14" s="56"/>
      <c r="C14" s="65"/>
      <c r="D14" s="65"/>
      <c r="E14" s="65"/>
      <c r="F14" s="65"/>
      <c r="G14" s="65"/>
      <c r="H14" s="65"/>
      <c r="I14" s="65"/>
      <c r="J14" s="65"/>
      <c r="K14" s="65"/>
      <c r="L14" s="67"/>
      <c r="M14" s="56"/>
    </row>
    <row r="15" spans="1:13" hidden="1">
      <c r="A15" s="58" t="s">
        <v>159</v>
      </c>
      <c r="B15" s="56"/>
      <c r="C15" s="65"/>
      <c r="D15" s="65"/>
      <c r="E15" s="65"/>
      <c r="F15" s="65"/>
      <c r="G15" s="65"/>
      <c r="H15" s="65"/>
      <c r="I15" s="65"/>
      <c r="J15" s="65"/>
      <c r="K15" s="65"/>
      <c r="L15" s="67"/>
      <c r="M15" s="56"/>
    </row>
    <row r="16" spans="1:13">
      <c r="A16" s="58" t="s">
        <v>160</v>
      </c>
      <c r="B16" s="56"/>
      <c r="C16" s="65">
        <f>SUM('10 Years Mixed'!D15:D16)</f>
        <v>-169352.4822</v>
      </c>
      <c r="D16" s="65">
        <f>SUM('10 Years Mixed'!E15:E16)</f>
        <v>-177062.92791000003</v>
      </c>
      <c r="E16" s="65">
        <f>SUM('10 Years Mixed'!F15:F16)</f>
        <v>-185136.18055350002</v>
      </c>
      <c r="F16" s="65">
        <f>SUM('10 Years Mixed'!G15:G16)</f>
        <v>-193589.69901661505</v>
      </c>
      <c r="G16" s="65">
        <f>SUM('10 Years Mixed'!H15:H16)</f>
        <v>-202441.79468594899</v>
      </c>
      <c r="H16" s="65">
        <f>SUM('10 Years Mixed'!I15:I16)</f>
        <v>-211711.67346030477</v>
      </c>
      <c r="I16" s="65">
        <f>SUM('10 Years Mixed'!J15:J16)</f>
        <v>-221419.47984458006</v>
      </c>
      <c r="J16" s="65">
        <f>SUM('10 Years Mixed'!K15:K16)</f>
        <v>-231586.34322940692</v>
      </c>
      <c r="K16" s="65">
        <f>SUM('10 Years Mixed'!L15:L16)</f>
        <v>-242234.42646525305</v>
      </c>
      <c r="L16" s="67">
        <f>SUM('10 Years Mixed'!M15:M16)</f>
        <v>-253386.97684512276</v>
      </c>
      <c r="M16" s="56"/>
    </row>
    <row r="17" spans="1:13">
      <c r="A17" s="58"/>
      <c r="B17" s="56"/>
      <c r="C17" s="65"/>
      <c r="D17" s="65"/>
      <c r="E17" s="65"/>
      <c r="F17" s="65"/>
      <c r="G17" s="65"/>
      <c r="H17" s="65"/>
      <c r="I17" s="65"/>
      <c r="J17" s="65"/>
      <c r="K17" s="65"/>
      <c r="L17" s="67"/>
      <c r="M17" s="56"/>
    </row>
    <row r="18" spans="1:13">
      <c r="A18" s="68" t="s">
        <v>161</v>
      </c>
      <c r="B18" s="69"/>
      <c r="C18" s="69">
        <f t="shared" ref="C18:L18" si="1">SUM(C6:C17)</f>
        <v>3470257.5578000001</v>
      </c>
      <c r="D18" s="69">
        <f t="shared" si="1"/>
        <v>3619551.2540899999</v>
      </c>
      <c r="E18" s="69">
        <f t="shared" si="1"/>
        <v>3775583.0597465001</v>
      </c>
      <c r="F18" s="69">
        <f t="shared" si="1"/>
        <v>3938668.0829743855</v>
      </c>
      <c r="G18" s="69">
        <f t="shared" si="1"/>
        <v>4109136.5334708816</v>
      </c>
      <c r="H18" s="69">
        <f t="shared" si="1"/>
        <v>4287334.4578826362</v>
      </c>
      <c r="I18" s="69">
        <f t="shared" si="1"/>
        <v>4473624.5114471242</v>
      </c>
      <c r="J18" s="69">
        <f t="shared" si="1"/>
        <v>4668386.7676099492</v>
      </c>
      <c r="K18" s="69">
        <f t="shared" si="1"/>
        <v>4872019.5674986271</v>
      </c>
      <c r="L18" s="70">
        <f t="shared" si="1"/>
        <v>5084940.411226985</v>
      </c>
      <c r="M18" s="56"/>
    </row>
    <row r="19" spans="1:13">
      <c r="A19" s="71"/>
      <c r="B19" s="72"/>
      <c r="C19" s="73"/>
      <c r="D19" s="73"/>
      <c r="E19" s="73"/>
      <c r="F19" s="73"/>
      <c r="G19" s="73"/>
      <c r="H19" s="73"/>
      <c r="I19" s="73"/>
      <c r="J19" s="73"/>
      <c r="K19" s="73"/>
      <c r="L19" s="74"/>
      <c r="M19" s="56"/>
    </row>
    <row r="20" spans="1:13">
      <c r="A20" s="58" t="s">
        <v>111</v>
      </c>
      <c r="B20" s="56"/>
      <c r="C20" s="65">
        <f>'10 Years Mixed'!D21</f>
        <v>-978739</v>
      </c>
      <c r="D20" s="65">
        <f>'10 Years Mixed'!E21</f>
        <v>-1008101.17</v>
      </c>
      <c r="E20" s="65">
        <f>'10 Years Mixed'!F21</f>
        <v>-1038344.2051</v>
      </c>
      <c r="F20" s="65">
        <f>'10 Years Mixed'!G21</f>
        <v>-1069494.531253</v>
      </c>
      <c r="G20" s="65">
        <f>'10 Years Mixed'!H21</f>
        <v>-1101579.3671905901</v>
      </c>
      <c r="H20" s="65">
        <f>'10 Years Mixed'!I21</f>
        <v>-1134626.7482063079</v>
      </c>
      <c r="I20" s="65">
        <f>'10 Years Mixed'!J21</f>
        <v>-1168665.5506524972</v>
      </c>
      <c r="J20" s="65">
        <f>'10 Years Mixed'!K21</f>
        <v>-1203725.5171720721</v>
      </c>
      <c r="K20" s="65">
        <f>'10 Years Mixed'!L21</f>
        <v>-1239837.2826872342</v>
      </c>
      <c r="L20" s="67">
        <f>'10 Years Mixed'!M21</f>
        <v>-1277032.4011678512</v>
      </c>
      <c r="M20" s="56"/>
    </row>
    <row r="21" spans="1:13">
      <c r="A21" s="58" t="s">
        <v>126</v>
      </c>
      <c r="B21" s="56"/>
      <c r="C21" s="65">
        <f>'10 Years Mixed'!D22</f>
        <v>-530215</v>
      </c>
      <c r="D21" s="65">
        <f>'10 Years Mixed'!E22</f>
        <v>-546121.45000000007</v>
      </c>
      <c r="E21" s="65">
        <f>'10 Years Mixed'!F22</f>
        <v>-562505.09350000008</v>
      </c>
      <c r="F21" s="65">
        <f>'10 Years Mixed'!G22</f>
        <v>-579380.24630500004</v>
      </c>
      <c r="G21" s="65">
        <f>'10 Years Mixed'!H22</f>
        <v>-596761.65369415004</v>
      </c>
      <c r="H21" s="65">
        <f>'10 Years Mixed'!I22</f>
        <v>-614664.50330497453</v>
      </c>
      <c r="I21" s="65">
        <f>'10 Years Mixed'!J22</f>
        <v>-633104.43840412376</v>
      </c>
      <c r="J21" s="65">
        <f>'10 Years Mixed'!K22</f>
        <v>-652097.57155624754</v>
      </c>
      <c r="K21" s="65">
        <f>'10 Years Mixed'!L22</f>
        <v>-671660.49870293494</v>
      </c>
      <c r="L21" s="67">
        <f>'10 Years Mixed'!M22</f>
        <v>-691810.31366402307</v>
      </c>
      <c r="M21" s="56"/>
    </row>
    <row r="22" spans="1:13" hidden="1">
      <c r="A22" s="58" t="s">
        <v>141</v>
      </c>
      <c r="B22" s="56"/>
      <c r="C22" s="65"/>
      <c r="D22" s="65"/>
      <c r="E22" s="65"/>
      <c r="F22" s="65"/>
      <c r="G22" s="65"/>
      <c r="H22" s="65"/>
      <c r="I22" s="65"/>
      <c r="J22" s="65"/>
      <c r="K22" s="65"/>
      <c r="L22" s="67"/>
      <c r="M22" s="56"/>
    </row>
    <row r="23" spans="1:13" hidden="1">
      <c r="A23" s="58" t="s">
        <v>162</v>
      </c>
      <c r="B23" s="56"/>
      <c r="C23" s="65"/>
      <c r="D23" s="65"/>
      <c r="E23" s="65"/>
      <c r="F23" s="65"/>
      <c r="G23" s="65"/>
      <c r="H23" s="65"/>
      <c r="I23" s="65"/>
      <c r="J23" s="65"/>
      <c r="K23" s="65"/>
      <c r="L23" s="67"/>
      <c r="M23" s="56"/>
    </row>
    <row r="24" spans="1:13" hidden="1">
      <c r="A24" s="58" t="s">
        <v>163</v>
      </c>
      <c r="B24" s="56"/>
      <c r="C24" s="65"/>
      <c r="D24" s="65"/>
      <c r="E24" s="65"/>
      <c r="F24" s="65"/>
      <c r="G24" s="65"/>
      <c r="H24" s="65"/>
      <c r="I24" s="65"/>
      <c r="J24" s="65"/>
      <c r="K24" s="65"/>
      <c r="L24" s="67"/>
      <c r="M24" s="56"/>
    </row>
    <row r="25" spans="1:13">
      <c r="A25" s="58" t="s">
        <v>164</v>
      </c>
      <c r="B25" s="56"/>
      <c r="C25" s="65">
        <f t="shared" ref="C25:L25" si="2">-0.331%*C18</f>
        <v>-11486.552516318001</v>
      </c>
      <c r="D25" s="65">
        <f t="shared" si="2"/>
        <v>-11980.714651037901</v>
      </c>
      <c r="E25" s="65">
        <f t="shared" si="2"/>
        <v>-12497.179927760915</v>
      </c>
      <c r="F25" s="65">
        <f t="shared" si="2"/>
        <v>-13036.991354645215</v>
      </c>
      <c r="G25" s="65">
        <f t="shared" si="2"/>
        <v>-13601.241925788618</v>
      </c>
      <c r="H25" s="65">
        <f t="shared" si="2"/>
        <v>-14191.077055591526</v>
      </c>
      <c r="I25" s="65">
        <f t="shared" si="2"/>
        <v>-14807.697132889982</v>
      </c>
      <c r="J25" s="65">
        <f t="shared" si="2"/>
        <v>-15452.360200788931</v>
      </c>
      <c r="K25" s="65">
        <f t="shared" si="2"/>
        <v>-16126.384768420456</v>
      </c>
      <c r="L25" s="67">
        <f t="shared" si="2"/>
        <v>-16831.15276116132</v>
      </c>
      <c r="M25" s="56"/>
    </row>
    <row r="26" spans="1:13" hidden="1">
      <c r="A26" s="58" t="s">
        <v>165</v>
      </c>
      <c r="B26" s="56"/>
      <c r="C26" s="65"/>
      <c r="D26" s="65"/>
      <c r="E26" s="65"/>
      <c r="F26" s="65"/>
      <c r="G26" s="65"/>
      <c r="H26" s="65"/>
      <c r="I26" s="65"/>
      <c r="J26" s="65"/>
      <c r="K26" s="65"/>
      <c r="L26" s="67"/>
      <c r="M26" s="56"/>
    </row>
    <row r="27" spans="1:13" hidden="1">
      <c r="A27" s="58" t="s">
        <v>166</v>
      </c>
      <c r="B27" s="56"/>
      <c r="C27" s="65"/>
      <c r="D27" s="65"/>
      <c r="E27" s="65"/>
      <c r="F27" s="65"/>
      <c r="G27" s="65"/>
      <c r="H27" s="65"/>
      <c r="I27" s="65"/>
      <c r="J27" s="65"/>
      <c r="K27" s="65"/>
      <c r="L27" s="67"/>
      <c r="M27" s="56"/>
    </row>
    <row r="28" spans="1:13">
      <c r="A28" s="75" t="s">
        <v>167</v>
      </c>
      <c r="B28" s="76"/>
      <c r="C28" s="77">
        <f>'10 Years Mixed'!D33</f>
        <v>-42500</v>
      </c>
      <c r="D28" s="77">
        <f>'10 Years Mixed'!E33</f>
        <v>-42500</v>
      </c>
      <c r="E28" s="77">
        <f>'10 Years Mixed'!F33</f>
        <v>-42500</v>
      </c>
      <c r="F28" s="77">
        <f>'10 Years Mixed'!G33</f>
        <v>-42500</v>
      </c>
      <c r="G28" s="77">
        <f>'10 Years Mixed'!H33</f>
        <v>-42500</v>
      </c>
      <c r="H28" s="77">
        <f>'10 Years Mixed'!I33</f>
        <v>-42500</v>
      </c>
      <c r="I28" s="77">
        <f>'10 Years Mixed'!J33</f>
        <v>-42500</v>
      </c>
      <c r="J28" s="77">
        <f>'10 Years Mixed'!K33</f>
        <v>-42500</v>
      </c>
      <c r="K28" s="77">
        <f>'10 Years Mixed'!L33</f>
        <v>-42500</v>
      </c>
      <c r="L28" s="78">
        <f>'10 Years Mixed'!M33</f>
        <v>-42500</v>
      </c>
      <c r="M28" s="56"/>
    </row>
    <row r="29" spans="1:13">
      <c r="A29" s="79" t="s">
        <v>29</v>
      </c>
      <c r="B29" s="80"/>
      <c r="C29" s="81">
        <f t="shared" ref="C29:L29" si="3">SUM(C20:C28)</f>
        <v>-1562940.5525163179</v>
      </c>
      <c r="D29" s="81">
        <f t="shared" si="3"/>
        <v>-1608703.3346510381</v>
      </c>
      <c r="E29" s="81">
        <f t="shared" si="3"/>
        <v>-1655846.4785277611</v>
      </c>
      <c r="F29" s="81">
        <f t="shared" si="3"/>
        <v>-1704411.7689126453</v>
      </c>
      <c r="G29" s="81">
        <f t="shared" si="3"/>
        <v>-1754442.2628105287</v>
      </c>
      <c r="H29" s="81">
        <f t="shared" si="3"/>
        <v>-1805982.3285668739</v>
      </c>
      <c r="I29" s="81">
        <f t="shared" si="3"/>
        <v>-1859077.6861895109</v>
      </c>
      <c r="J29" s="81">
        <f t="shared" si="3"/>
        <v>-1913775.4489291084</v>
      </c>
      <c r="K29" s="81">
        <f t="shared" si="3"/>
        <v>-1970124.1661585895</v>
      </c>
      <c r="L29" s="82">
        <f t="shared" si="3"/>
        <v>-2028173.8675930356</v>
      </c>
      <c r="M29" s="56"/>
    </row>
    <row r="30" spans="1:13" ht="7.7" customHeight="1">
      <c r="A30" s="56"/>
      <c r="B30" s="56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56"/>
    </row>
    <row r="31" spans="1:13">
      <c r="A31" s="83" t="s">
        <v>168</v>
      </c>
      <c r="B31" s="84"/>
      <c r="C31" s="85">
        <f t="shared" ref="C31:L31" si="4">C18+C29</f>
        <v>1907317.0052836821</v>
      </c>
      <c r="D31" s="85">
        <f t="shared" si="4"/>
        <v>2010847.9194389619</v>
      </c>
      <c r="E31" s="85">
        <f t="shared" si="4"/>
        <v>2119736.581218739</v>
      </c>
      <c r="F31" s="85">
        <f t="shared" si="4"/>
        <v>2234256.3140617404</v>
      </c>
      <c r="G31" s="85">
        <f t="shared" si="4"/>
        <v>2354694.2706603529</v>
      </c>
      <c r="H31" s="85">
        <f t="shared" si="4"/>
        <v>2481352.1293157623</v>
      </c>
      <c r="I31" s="85">
        <f t="shared" si="4"/>
        <v>2614546.8252576133</v>
      </c>
      <c r="J31" s="85">
        <f t="shared" si="4"/>
        <v>2754611.3186808405</v>
      </c>
      <c r="K31" s="85">
        <f t="shared" si="4"/>
        <v>2901895.4013400376</v>
      </c>
      <c r="L31" s="86">
        <f t="shared" si="4"/>
        <v>3056766.5436339495</v>
      </c>
      <c r="M31" s="56"/>
    </row>
    <row r="32" spans="1:13">
      <c r="A32" s="58"/>
      <c r="B32" s="56"/>
      <c r="C32" s="65"/>
      <c r="D32" s="65"/>
      <c r="E32" s="65"/>
      <c r="F32" s="65"/>
      <c r="G32" s="65"/>
      <c r="H32" s="65"/>
      <c r="I32" s="65"/>
      <c r="J32" s="65"/>
      <c r="K32" s="65"/>
      <c r="L32" s="67"/>
      <c r="M32" s="56"/>
    </row>
    <row r="33" spans="1:15">
      <c r="A33" s="58" t="s">
        <v>169</v>
      </c>
      <c r="B33" s="87"/>
      <c r="C33" s="65">
        <f>'10 Years Mixed'!D41</f>
        <v>-50000</v>
      </c>
      <c r="D33" s="65">
        <f>'10 Years Mixed'!E41</f>
        <v>-51500</v>
      </c>
      <c r="E33" s="65">
        <f>'10 Years Mixed'!F41</f>
        <v>-53045</v>
      </c>
      <c r="F33" s="65">
        <f>'10 Years Mixed'!G41</f>
        <v>-54636.35</v>
      </c>
      <c r="G33" s="65">
        <f>'10 Years Mixed'!H41</f>
        <v>-56275.440499999997</v>
      </c>
      <c r="H33" s="65">
        <f>'10 Years Mixed'!I41</f>
        <v>-57963.703714999996</v>
      </c>
      <c r="I33" s="65">
        <f>'10 Years Mixed'!J41</f>
        <v>-59702.614826450001</v>
      </c>
      <c r="J33" s="65">
        <f>'10 Years Mixed'!K41</f>
        <v>-61493.693271243501</v>
      </c>
      <c r="K33" s="65">
        <f>'10 Years Mixed'!L41</f>
        <v>-63338.504069380804</v>
      </c>
      <c r="L33" s="67">
        <f>'10 Years Mixed'!M41</f>
        <v>-65238.659191462233</v>
      </c>
      <c r="M33" s="56"/>
    </row>
    <row r="34" spans="1:15">
      <c r="A34" s="58" t="s">
        <v>288</v>
      </c>
      <c r="B34" s="87"/>
      <c r="C34" s="65">
        <f>'10 Years Mixed'!D40</f>
        <v>-122841.75</v>
      </c>
      <c r="D34" s="65">
        <f>'10 Years Mixed'!E40</f>
        <v>-126527.00249999999</v>
      </c>
      <c r="E34" s="65">
        <f>'10 Years Mixed'!F40</f>
        <v>-130322.81257499999</v>
      </c>
      <c r="F34" s="65">
        <f>'10 Years Mixed'!G40</f>
        <v>-134232.49695224999</v>
      </c>
      <c r="G34" s="65">
        <f>'10 Years Mixed'!H40</f>
        <v>-138259.47186081749</v>
      </c>
      <c r="H34" s="65">
        <f>'10 Years Mixed'!I40</f>
        <v>-142407.25601664203</v>
      </c>
      <c r="I34" s="65">
        <f>'10 Years Mixed'!J40</f>
        <v>-146679.47369714131</v>
      </c>
      <c r="J34" s="65">
        <f>'10 Years Mixed'!K40</f>
        <v>-151079.85790805554</v>
      </c>
      <c r="K34" s="65">
        <f>'10 Years Mixed'!L40</f>
        <v>-155612.2536452972</v>
      </c>
      <c r="L34" s="65">
        <f>'10 Years Mixed'!M40</f>
        <v>-160280.62125465611</v>
      </c>
      <c r="M34" s="56"/>
    </row>
    <row r="35" spans="1:15">
      <c r="A35" s="58" t="s">
        <v>48</v>
      </c>
      <c r="B35" s="88">
        <v>0.08</v>
      </c>
      <c r="C35" s="65">
        <f>'10 Years Mixed'!D43</f>
        <v>-1257040</v>
      </c>
      <c r="D35" s="65">
        <f>'10 Years Mixed'!E43</f>
        <v>-1257040</v>
      </c>
      <c r="E35" s="65">
        <f>'10 Years Mixed'!F43</f>
        <v>-1257040</v>
      </c>
      <c r="F35" s="65">
        <f>'10 Years Mixed'!G43</f>
        <v>-1257040</v>
      </c>
      <c r="G35" s="65">
        <f>'10 Years Mixed'!H43</f>
        <v>-1257040</v>
      </c>
      <c r="H35" s="65">
        <f>'10 Years Mixed'!I43</f>
        <v>-1257040</v>
      </c>
      <c r="I35" s="65">
        <f>'10 Years Mixed'!J43</f>
        <v>-1257040</v>
      </c>
      <c r="J35" s="65">
        <f>'10 Years Mixed'!K43</f>
        <v>-1257040</v>
      </c>
      <c r="K35" s="65">
        <f>'10 Years Mixed'!L43</f>
        <v>-1257040</v>
      </c>
      <c r="L35" s="67">
        <f>'10 Years Mixed'!M43</f>
        <v>-1257040</v>
      </c>
      <c r="M35" s="56"/>
    </row>
    <row r="36" spans="1:15">
      <c r="A36" s="58" t="s">
        <v>66</v>
      </c>
      <c r="B36" s="56"/>
      <c r="C36" s="65">
        <f>'10 Years Mixed'!D37</f>
        <v>-1503125</v>
      </c>
      <c r="D36" s="65">
        <f>'10 Years Mixed'!E37</f>
        <v>-1503125</v>
      </c>
      <c r="E36" s="65">
        <f>'10 Years Mixed'!F37</f>
        <v>-1503125</v>
      </c>
      <c r="F36" s="65">
        <f>'10 Years Mixed'!G37</f>
        <v>-1503125</v>
      </c>
      <c r="G36" s="65">
        <f>'10 Years Mixed'!H37</f>
        <v>-1503125</v>
      </c>
      <c r="H36" s="65">
        <f>'10 Years Mixed'!I37</f>
        <v>-1503125</v>
      </c>
      <c r="I36" s="65">
        <f>'10 Years Mixed'!J37</f>
        <v>-1503125</v>
      </c>
      <c r="J36" s="65">
        <f>'10 Years Mixed'!K37</f>
        <v>-1503125</v>
      </c>
      <c r="K36" s="65">
        <f>'10 Years Mixed'!L37</f>
        <v>-1503125</v>
      </c>
      <c r="L36" s="67">
        <f>'10 Years Mixed'!M37</f>
        <v>-1503125</v>
      </c>
      <c r="M36" s="56"/>
    </row>
    <row r="37" spans="1:15">
      <c r="A37" s="58" t="s">
        <v>31</v>
      </c>
      <c r="B37" s="56"/>
      <c r="C37" s="65">
        <v>0</v>
      </c>
      <c r="D37" s="65">
        <v>0</v>
      </c>
      <c r="E37" s="65">
        <v>0</v>
      </c>
      <c r="F37" s="65">
        <v>0</v>
      </c>
      <c r="G37" s="65">
        <v>0</v>
      </c>
      <c r="H37" s="65">
        <v>0</v>
      </c>
      <c r="I37" s="65">
        <v>0</v>
      </c>
      <c r="J37" s="65">
        <v>0</v>
      </c>
      <c r="K37" s="65">
        <v>0</v>
      </c>
      <c r="L37" s="78">
        <v>0</v>
      </c>
      <c r="M37" s="56"/>
    </row>
    <row r="38" spans="1:15">
      <c r="A38" s="89" t="s">
        <v>170</v>
      </c>
      <c r="B38" s="90"/>
      <c r="C38" s="91">
        <f>SUM(C31:C37)</f>
        <v>-1025689.7447163179</v>
      </c>
      <c r="D38" s="91">
        <f t="shared" ref="D38:L38" si="5">SUM(D31:D37)</f>
        <v>-927344.08306103805</v>
      </c>
      <c r="E38" s="91">
        <f t="shared" si="5"/>
        <v>-823796.23135626083</v>
      </c>
      <c r="F38" s="91">
        <f>SUM(F31:F37)</f>
        <v>-714777.53289050958</v>
      </c>
      <c r="G38" s="91">
        <f t="shared" si="5"/>
        <v>-600005.64170046477</v>
      </c>
      <c r="H38" s="91">
        <f t="shared" si="5"/>
        <v>-479183.83041587938</v>
      </c>
      <c r="I38" s="91">
        <f t="shared" si="5"/>
        <v>-352000.26326597808</v>
      </c>
      <c r="J38" s="91">
        <f t="shared" si="5"/>
        <v>-218127.23249845859</v>
      </c>
      <c r="K38" s="91">
        <f t="shared" si="5"/>
        <v>-77220.356374640483</v>
      </c>
      <c r="L38" s="92">
        <f t="shared" si="5"/>
        <v>71082.263187831268</v>
      </c>
      <c r="M38" s="56"/>
    </row>
    <row r="39" spans="1:15">
      <c r="A39" s="93" t="s">
        <v>171</v>
      </c>
      <c r="B39" s="94">
        <f>'10 Years Mixed'!C47</f>
        <v>1</v>
      </c>
      <c r="C39" s="65">
        <f>IF(C38&lt;0,0,C38*$B$39)</f>
        <v>0</v>
      </c>
      <c r="D39" s="65">
        <f t="shared" ref="D39:L39" si="6">IF(D38&lt;0,0,D38*$B$39)</f>
        <v>0</v>
      </c>
      <c r="E39" s="65">
        <f t="shared" si="6"/>
        <v>0</v>
      </c>
      <c r="F39" s="65">
        <f t="shared" si="6"/>
        <v>0</v>
      </c>
      <c r="G39" s="65">
        <f t="shared" si="6"/>
        <v>0</v>
      </c>
      <c r="H39" s="65">
        <f t="shared" si="6"/>
        <v>0</v>
      </c>
      <c r="I39" s="65">
        <f t="shared" si="6"/>
        <v>0</v>
      </c>
      <c r="J39" s="65">
        <f t="shared" si="6"/>
        <v>0</v>
      </c>
      <c r="K39" s="65">
        <f t="shared" si="6"/>
        <v>0</v>
      </c>
      <c r="L39" s="74">
        <f t="shared" si="6"/>
        <v>71082.263187831268</v>
      </c>
      <c r="M39" s="56"/>
    </row>
    <row r="40" spans="1:15">
      <c r="A40" s="93" t="s">
        <v>42</v>
      </c>
      <c r="B40" s="94">
        <f>'10 Years Mixed'!C48</f>
        <v>0</v>
      </c>
      <c r="C40" s="65">
        <f>IF(C38&lt;0,0,C38*$B$40)</f>
        <v>0</v>
      </c>
      <c r="D40" s="65">
        <f t="shared" ref="D40:L40" si="7">IF(D38&lt;0,0,D38*$B$40)</f>
        <v>0</v>
      </c>
      <c r="E40" s="65">
        <f t="shared" si="7"/>
        <v>0</v>
      </c>
      <c r="F40" s="65">
        <f t="shared" si="7"/>
        <v>0</v>
      </c>
      <c r="G40" s="65">
        <f t="shared" si="7"/>
        <v>0</v>
      </c>
      <c r="H40" s="65">
        <f t="shared" si="7"/>
        <v>0</v>
      </c>
      <c r="I40" s="65">
        <f t="shared" si="7"/>
        <v>0</v>
      </c>
      <c r="J40" s="65">
        <f t="shared" si="7"/>
        <v>0</v>
      </c>
      <c r="K40" s="65">
        <f t="shared" si="7"/>
        <v>0</v>
      </c>
      <c r="L40" s="67">
        <f t="shared" si="7"/>
        <v>0</v>
      </c>
      <c r="M40" s="56"/>
    </row>
    <row r="41" spans="1:15" hidden="1">
      <c r="A41" s="58"/>
      <c r="B41" s="56"/>
      <c r="C41" s="65"/>
      <c r="D41" s="65"/>
      <c r="E41" s="65"/>
      <c r="F41" s="65"/>
      <c r="G41" s="65"/>
      <c r="H41" s="65"/>
      <c r="I41" s="65"/>
      <c r="J41" s="65"/>
      <c r="K41" s="65"/>
      <c r="L41" s="67"/>
      <c r="M41" s="56"/>
    </row>
    <row r="42" spans="1:15">
      <c r="A42" s="95" t="s">
        <v>172</v>
      </c>
      <c r="B42" s="96"/>
      <c r="C42" s="97">
        <f t="shared" ref="C42:L42" si="8">C38-C39-C40</f>
        <v>-1025689.7447163179</v>
      </c>
      <c r="D42" s="97">
        <f t="shared" si="8"/>
        <v>-927344.08306103805</v>
      </c>
      <c r="E42" s="97">
        <f t="shared" si="8"/>
        <v>-823796.23135626083</v>
      </c>
      <c r="F42" s="97">
        <f t="shared" si="8"/>
        <v>-714777.53289050958</v>
      </c>
      <c r="G42" s="97">
        <f t="shared" si="8"/>
        <v>-600005.64170046477</v>
      </c>
      <c r="H42" s="97">
        <f t="shared" si="8"/>
        <v>-479183.83041587938</v>
      </c>
      <c r="I42" s="97">
        <f t="shared" si="8"/>
        <v>-352000.26326597808</v>
      </c>
      <c r="J42" s="97">
        <f t="shared" si="8"/>
        <v>-218127.23249845859</v>
      </c>
      <c r="K42" s="97">
        <f t="shared" si="8"/>
        <v>-77220.356374640483</v>
      </c>
      <c r="L42" s="98">
        <f t="shared" si="8"/>
        <v>0</v>
      </c>
      <c r="M42" s="56"/>
    </row>
    <row r="43" spans="1:15">
      <c r="A43" s="99"/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2"/>
      <c r="M43" s="56"/>
    </row>
    <row r="44" spans="1:15">
      <c r="A44" s="83" t="s">
        <v>173</v>
      </c>
      <c r="B44" s="103">
        <f t="shared" ref="B44:L44" si="9">B5</f>
        <v>44743</v>
      </c>
      <c r="C44" s="103">
        <f t="shared" si="9"/>
        <v>45103</v>
      </c>
      <c r="D44" s="103">
        <f t="shared" si="9"/>
        <v>45468</v>
      </c>
      <c r="E44" s="103">
        <f t="shared" si="9"/>
        <v>45833</v>
      </c>
      <c r="F44" s="103">
        <f t="shared" si="9"/>
        <v>46198</v>
      </c>
      <c r="G44" s="103">
        <f t="shared" si="9"/>
        <v>46563</v>
      </c>
      <c r="H44" s="103">
        <f t="shared" si="9"/>
        <v>46928</v>
      </c>
      <c r="I44" s="103">
        <f t="shared" si="9"/>
        <v>47293</v>
      </c>
      <c r="J44" s="103">
        <f t="shared" si="9"/>
        <v>47658</v>
      </c>
      <c r="K44" s="103">
        <f t="shared" si="9"/>
        <v>48023</v>
      </c>
      <c r="L44" s="104">
        <f t="shared" si="9"/>
        <v>48388</v>
      </c>
      <c r="M44" s="64"/>
    </row>
    <row r="45" spans="1:15">
      <c r="A45" s="71" t="s">
        <v>71</v>
      </c>
      <c r="B45" s="105">
        <v>5.5E-2</v>
      </c>
      <c r="C45" s="73"/>
      <c r="D45" s="73"/>
      <c r="E45" s="73"/>
      <c r="F45" s="73"/>
      <c r="G45" s="73"/>
      <c r="H45" s="73"/>
      <c r="I45" s="73"/>
      <c r="J45" s="73"/>
      <c r="K45" s="73"/>
      <c r="L45" s="74"/>
      <c r="M45" s="56"/>
    </row>
    <row r="46" spans="1:15">
      <c r="A46" s="58" t="s">
        <v>70</v>
      </c>
      <c r="B46" s="105">
        <f>'10 Years Mixed'!C52</f>
        <v>0.15</v>
      </c>
      <c r="C46" s="65"/>
      <c r="D46" s="65"/>
      <c r="E46" s="65"/>
      <c r="F46" s="65"/>
      <c r="G46" s="65"/>
      <c r="H46" s="65"/>
      <c r="I46" s="65"/>
      <c r="J46" s="65"/>
      <c r="K46" s="65"/>
      <c r="L46" s="67">
        <f>(L31-((L88*B46)))/B45</f>
        <v>52663380.406896248</v>
      </c>
      <c r="M46" s="106"/>
      <c r="N46" s="1"/>
      <c r="O46" s="1"/>
    </row>
    <row r="47" spans="1:15">
      <c r="A47" s="58" t="s">
        <v>72</v>
      </c>
      <c r="B47" s="87">
        <v>0.02</v>
      </c>
      <c r="C47" s="65"/>
      <c r="D47" s="65"/>
      <c r="E47" s="65"/>
      <c r="F47" s="65"/>
      <c r="G47" s="65"/>
      <c r="H47" s="65"/>
      <c r="I47" s="65"/>
      <c r="J47" s="65"/>
      <c r="K47" s="65"/>
      <c r="L47" s="78">
        <f>L46*-B47</f>
        <v>-1053267.6081379249</v>
      </c>
      <c r="M47" s="107"/>
      <c r="N47" s="1"/>
      <c r="O47" s="1"/>
    </row>
    <row r="48" spans="1:15">
      <c r="A48" s="58" t="s">
        <v>73</v>
      </c>
      <c r="B48" s="108"/>
      <c r="C48" s="65"/>
      <c r="D48" s="65"/>
      <c r="E48" s="65"/>
      <c r="F48" s="65"/>
      <c r="G48" s="65"/>
      <c r="H48" s="65"/>
      <c r="I48" s="65"/>
      <c r="J48" s="65"/>
      <c r="K48" s="65"/>
      <c r="L48" s="67">
        <f>SUM(L46:L47)</f>
        <v>51610112.798758321</v>
      </c>
      <c r="M48" s="106"/>
      <c r="N48" s="1"/>
      <c r="O48" s="1"/>
    </row>
    <row r="49" spans="1:15">
      <c r="A49" s="58" t="s">
        <v>75</v>
      </c>
      <c r="B49" s="108"/>
      <c r="C49" s="65"/>
      <c r="D49" s="65"/>
      <c r="E49" s="65"/>
      <c r="F49" s="65"/>
      <c r="G49" s="65"/>
      <c r="H49" s="65"/>
      <c r="I49" s="65"/>
      <c r="J49" s="65"/>
      <c r="K49" s="65"/>
      <c r="L49" s="78">
        <f>-'Amort Schedule '!C8</f>
        <v>-24050000</v>
      </c>
      <c r="M49" s="107"/>
      <c r="N49" s="1"/>
      <c r="O49" s="1"/>
    </row>
    <row r="50" spans="1:15">
      <c r="A50" s="58" t="s">
        <v>76</v>
      </c>
      <c r="B50" s="108"/>
      <c r="C50" s="65"/>
      <c r="D50" s="65"/>
      <c r="E50" s="65"/>
      <c r="F50" s="65"/>
      <c r="G50" s="65"/>
      <c r="H50" s="65"/>
      <c r="I50" s="65"/>
      <c r="J50" s="65"/>
      <c r="K50" s="65"/>
      <c r="L50" s="67">
        <f>SUM(L48:L49)</f>
        <v>27560112.798758321</v>
      </c>
      <c r="M50" s="106"/>
      <c r="N50" s="1"/>
      <c r="O50" s="1"/>
    </row>
    <row r="51" spans="1:15">
      <c r="A51" s="58" t="s">
        <v>77</v>
      </c>
      <c r="B51" s="108"/>
      <c r="C51" s="65"/>
      <c r="D51" s="65"/>
      <c r="E51" s="65"/>
      <c r="F51" s="65"/>
      <c r="G51" s="65"/>
      <c r="H51" s="65"/>
      <c r="I51" s="65"/>
      <c r="J51" s="65"/>
      <c r="K51" s="65"/>
      <c r="L51" s="67">
        <f>'SOURCES and USES of FUNDS'!G31*-1</f>
        <v>-15713000</v>
      </c>
      <c r="M51" s="107"/>
      <c r="N51" s="1"/>
      <c r="O51" s="1"/>
    </row>
    <row r="52" spans="1:15">
      <c r="A52" s="58" t="s">
        <v>272</v>
      </c>
      <c r="B52" s="108"/>
      <c r="C52" s="65"/>
      <c r="D52" s="65"/>
      <c r="E52" s="65"/>
      <c r="F52" s="65"/>
      <c r="G52" s="65"/>
      <c r="H52" s="65"/>
      <c r="I52" s="65"/>
      <c r="J52" s="65"/>
      <c r="K52" s="65"/>
      <c r="L52" s="67">
        <f>'10 Years Mixed'!O59</f>
        <v>-5218144.9162795469</v>
      </c>
      <c r="M52" s="107"/>
      <c r="N52" s="1"/>
      <c r="O52" s="1"/>
    </row>
    <row r="53" spans="1:15">
      <c r="A53" s="58" t="s">
        <v>78</v>
      </c>
      <c r="B53" s="56"/>
      <c r="C53" s="65"/>
      <c r="D53" s="65"/>
      <c r="E53" s="65"/>
      <c r="F53" s="65"/>
      <c r="G53" s="65"/>
      <c r="H53" s="65"/>
      <c r="I53" s="65"/>
      <c r="J53" s="65"/>
      <c r="K53" s="65"/>
      <c r="L53" s="67">
        <v>0</v>
      </c>
      <c r="M53" s="106"/>
      <c r="N53" s="1"/>
      <c r="O53" s="1"/>
    </row>
    <row r="54" spans="1:15">
      <c r="A54" s="75" t="s">
        <v>174</v>
      </c>
      <c r="B54" s="109">
        <v>0.12</v>
      </c>
      <c r="C54" s="77"/>
      <c r="D54" s="77"/>
      <c r="E54" s="77"/>
      <c r="F54" s="77"/>
      <c r="G54" s="77"/>
      <c r="H54" s="77"/>
      <c r="I54" s="77"/>
      <c r="J54" s="77"/>
      <c r="K54" s="77"/>
      <c r="L54" s="78">
        <f>-L65</f>
        <v>-6568663.821445195</v>
      </c>
      <c r="M54" s="110"/>
      <c r="N54" s="1"/>
      <c r="O54" s="1"/>
    </row>
    <row r="55" spans="1:15">
      <c r="A55" s="111" t="s">
        <v>175</v>
      </c>
      <c r="B55" s="112"/>
      <c r="C55" s="113"/>
      <c r="D55" s="113"/>
      <c r="E55" s="113"/>
      <c r="F55" s="113"/>
      <c r="G55" s="113"/>
      <c r="H55" s="113"/>
      <c r="I55" s="113"/>
      <c r="J55" s="113"/>
      <c r="K55" s="113"/>
      <c r="L55" s="114">
        <f>SUM(L50:L54)</f>
        <v>60304.06103357859</v>
      </c>
      <c r="M55" s="106"/>
      <c r="N55" s="1"/>
      <c r="O55" s="1"/>
    </row>
    <row r="56" spans="1:15">
      <c r="A56" s="115" t="s">
        <v>171</v>
      </c>
      <c r="B56" s="116">
        <v>0.85</v>
      </c>
      <c r="C56" s="117"/>
      <c r="D56" s="117"/>
      <c r="E56" s="117"/>
      <c r="F56" s="117"/>
      <c r="G56" s="117"/>
      <c r="H56" s="117"/>
      <c r="I56" s="117"/>
      <c r="J56" s="117"/>
      <c r="K56" s="117"/>
      <c r="L56" s="118">
        <f>L55*B56</f>
        <v>51258.451878541797</v>
      </c>
      <c r="M56" s="107"/>
      <c r="N56" s="1"/>
      <c r="O56" s="1"/>
    </row>
    <row r="57" spans="1:15">
      <c r="A57" s="119" t="s">
        <v>42</v>
      </c>
      <c r="B57" s="120">
        <v>0.15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2">
        <f>L55*B57</f>
        <v>9045.6091550367873</v>
      </c>
      <c r="M57" s="56"/>
      <c r="N57" s="1"/>
      <c r="O57" s="123"/>
    </row>
    <row r="58" spans="1:15">
      <c r="A58" s="56"/>
      <c r="B58" s="56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56"/>
    </row>
    <row r="59" spans="1:15">
      <c r="A59" s="83" t="s">
        <v>176</v>
      </c>
      <c r="B59" s="61">
        <v>44743</v>
      </c>
      <c r="C59" s="62">
        <f>B59+360</f>
        <v>45103</v>
      </c>
      <c r="D59" s="124">
        <f t="shared" ref="D59:L59" si="10">D5</f>
        <v>45468</v>
      </c>
      <c r="E59" s="124">
        <f t="shared" si="10"/>
        <v>45833</v>
      </c>
      <c r="F59" s="124">
        <f t="shared" si="10"/>
        <v>46198</v>
      </c>
      <c r="G59" s="124">
        <f t="shared" si="10"/>
        <v>46563</v>
      </c>
      <c r="H59" s="124">
        <f t="shared" si="10"/>
        <v>46928</v>
      </c>
      <c r="I59" s="124">
        <f t="shared" si="10"/>
        <v>47293</v>
      </c>
      <c r="J59" s="124">
        <f t="shared" si="10"/>
        <v>47658</v>
      </c>
      <c r="K59" s="124">
        <f t="shared" si="10"/>
        <v>48023</v>
      </c>
      <c r="L59" s="125">
        <f t="shared" si="10"/>
        <v>48388</v>
      </c>
    </row>
    <row r="60" spans="1:15">
      <c r="A60" s="58" t="s">
        <v>177</v>
      </c>
      <c r="B60" s="65">
        <f>L51</f>
        <v>-15713000</v>
      </c>
      <c r="C60" s="65"/>
      <c r="D60" s="65"/>
      <c r="E60" s="65"/>
      <c r="F60" s="65"/>
      <c r="G60" s="65"/>
      <c r="H60" s="65"/>
      <c r="I60" s="65"/>
      <c r="J60" s="65"/>
      <c r="K60" s="65"/>
      <c r="L60" s="67"/>
      <c r="M60" s="56"/>
    </row>
    <row r="61" spans="1:15">
      <c r="A61" s="58" t="s">
        <v>289</v>
      </c>
      <c r="B61" s="56"/>
      <c r="C61" s="65">
        <f>-C35</f>
        <v>1257040</v>
      </c>
      <c r="D61" s="65">
        <f t="shared" ref="D61:L61" si="11">-D35</f>
        <v>1257040</v>
      </c>
      <c r="E61" s="65">
        <f t="shared" si="11"/>
        <v>1257040</v>
      </c>
      <c r="F61" s="65">
        <f t="shared" si="11"/>
        <v>1257040</v>
      </c>
      <c r="G61" s="65">
        <f t="shared" si="11"/>
        <v>1257040</v>
      </c>
      <c r="H61" s="65">
        <f t="shared" si="11"/>
        <v>1257040</v>
      </c>
      <c r="I61" s="65">
        <f t="shared" si="11"/>
        <v>1257040</v>
      </c>
      <c r="J61" s="65">
        <f t="shared" si="11"/>
        <v>1257040</v>
      </c>
      <c r="K61" s="65">
        <f t="shared" si="11"/>
        <v>1257040</v>
      </c>
      <c r="L61" s="67">
        <f t="shared" si="11"/>
        <v>1257040</v>
      </c>
      <c r="M61" s="56"/>
    </row>
    <row r="62" spans="1:15">
      <c r="A62" s="58" t="s">
        <v>40</v>
      </c>
      <c r="B62" s="56"/>
      <c r="C62" s="65">
        <f t="shared" ref="C62:L62" si="12">C39</f>
        <v>0</v>
      </c>
      <c r="D62" s="65">
        <f t="shared" si="12"/>
        <v>0</v>
      </c>
      <c r="E62" s="65">
        <f t="shared" si="12"/>
        <v>0</v>
      </c>
      <c r="F62" s="65">
        <f t="shared" si="12"/>
        <v>0</v>
      </c>
      <c r="G62" s="65">
        <f t="shared" si="12"/>
        <v>0</v>
      </c>
      <c r="H62" s="65">
        <f t="shared" si="12"/>
        <v>0</v>
      </c>
      <c r="I62" s="65">
        <f t="shared" si="12"/>
        <v>0</v>
      </c>
      <c r="J62" s="65">
        <f t="shared" si="12"/>
        <v>0</v>
      </c>
      <c r="K62" s="65">
        <f t="shared" si="12"/>
        <v>0</v>
      </c>
      <c r="L62" s="67">
        <f t="shared" si="12"/>
        <v>71082.263187831268</v>
      </c>
      <c r="M62" s="56"/>
    </row>
    <row r="63" spans="1:15">
      <c r="A63" s="58" t="s">
        <v>272</v>
      </c>
      <c r="B63" s="56"/>
      <c r="C63" s="65"/>
      <c r="D63" s="65"/>
      <c r="E63" s="65"/>
      <c r="F63" s="65"/>
      <c r="G63" s="65"/>
      <c r="H63" s="65"/>
      <c r="I63" s="65"/>
      <c r="J63" s="65"/>
      <c r="K63" s="65"/>
      <c r="L63" s="67">
        <f>L52*-1</f>
        <v>5218144.9162795469</v>
      </c>
      <c r="M63" s="56"/>
    </row>
    <row r="64" spans="1:15">
      <c r="A64" s="58" t="s">
        <v>178</v>
      </c>
      <c r="B64" s="56"/>
      <c r="C64" s="65"/>
      <c r="D64" s="65"/>
      <c r="E64" s="65"/>
      <c r="F64" s="65"/>
      <c r="G64" s="65"/>
      <c r="H64" s="65"/>
      <c r="I64" s="65"/>
      <c r="J64" s="65"/>
      <c r="K64" s="65"/>
      <c r="L64" s="67">
        <f>-B60</f>
        <v>15713000</v>
      </c>
      <c r="M64" s="56"/>
    </row>
    <row r="65" spans="1:16">
      <c r="A65" s="58" t="s">
        <v>179</v>
      </c>
      <c r="B65" s="56"/>
      <c r="C65" s="65"/>
      <c r="D65" s="65"/>
      <c r="E65" s="65"/>
      <c r="F65" s="65"/>
      <c r="G65" s="65"/>
      <c r="H65" s="65"/>
      <c r="I65" s="65"/>
      <c r="J65" s="65"/>
      <c r="K65" s="65"/>
      <c r="L65" s="67">
        <v>6568663.821445195</v>
      </c>
      <c r="M65" s="56"/>
    </row>
    <row r="66" spans="1:16">
      <c r="A66" s="60" t="s">
        <v>180</v>
      </c>
      <c r="B66" s="126">
        <f t="shared" ref="B66:K66" si="13">SUM(B60:B65)</f>
        <v>-15713000</v>
      </c>
      <c r="C66" s="127">
        <f t="shared" si="13"/>
        <v>1257040</v>
      </c>
      <c r="D66" s="127">
        <f t="shared" si="13"/>
        <v>1257040</v>
      </c>
      <c r="E66" s="127">
        <f t="shared" si="13"/>
        <v>1257040</v>
      </c>
      <c r="F66" s="127">
        <f t="shared" si="13"/>
        <v>1257040</v>
      </c>
      <c r="G66" s="127">
        <f t="shared" si="13"/>
        <v>1257040</v>
      </c>
      <c r="H66" s="127">
        <f t="shared" si="13"/>
        <v>1257040</v>
      </c>
      <c r="I66" s="127">
        <f t="shared" si="13"/>
        <v>1257040</v>
      </c>
      <c r="J66" s="127">
        <f t="shared" si="13"/>
        <v>1257040</v>
      </c>
      <c r="K66" s="127">
        <f t="shared" si="13"/>
        <v>1257040</v>
      </c>
      <c r="L66" s="128">
        <f>SUM(L60:L65)</f>
        <v>28827931.000912577</v>
      </c>
      <c r="M66" s="56"/>
    </row>
    <row r="67" spans="1:16">
      <c r="A67" s="119" t="s">
        <v>181</v>
      </c>
      <c r="B67" s="129"/>
      <c r="C67" s="121"/>
      <c r="D67" s="121"/>
      <c r="E67" s="121"/>
      <c r="F67" s="121"/>
      <c r="G67" s="121"/>
      <c r="H67" s="121"/>
      <c r="I67" s="121"/>
      <c r="J67" s="121"/>
      <c r="K67" s="121"/>
      <c r="L67" s="130">
        <f>XIRR(B66:L66,B59:L59,0.2)</f>
        <v>0.12272396683692932</v>
      </c>
      <c r="M67" s="56"/>
    </row>
    <row r="68" spans="1:16">
      <c r="A68" s="56"/>
      <c r="B68" s="56"/>
      <c r="C68" s="65"/>
      <c r="D68" s="65"/>
      <c r="E68" s="65"/>
      <c r="F68" s="65"/>
      <c r="G68" s="65"/>
      <c r="H68" s="65"/>
      <c r="I68" s="65"/>
      <c r="J68" s="65"/>
      <c r="K68" s="65"/>
      <c r="L68" s="131"/>
      <c r="M68" s="56"/>
    </row>
    <row r="69" spans="1:16">
      <c r="A69" s="132" t="s">
        <v>182</v>
      </c>
      <c r="B69" s="124">
        <f t="shared" ref="B69:L69" si="14">B5</f>
        <v>44743</v>
      </c>
      <c r="C69" s="124">
        <f t="shared" si="14"/>
        <v>45103</v>
      </c>
      <c r="D69" s="124">
        <f t="shared" si="14"/>
        <v>45468</v>
      </c>
      <c r="E69" s="124">
        <f t="shared" si="14"/>
        <v>45833</v>
      </c>
      <c r="F69" s="124">
        <f t="shared" si="14"/>
        <v>46198</v>
      </c>
      <c r="G69" s="124">
        <f t="shared" si="14"/>
        <v>46563</v>
      </c>
      <c r="H69" s="124">
        <f t="shared" si="14"/>
        <v>46928</v>
      </c>
      <c r="I69" s="124">
        <f t="shared" si="14"/>
        <v>47293</v>
      </c>
      <c r="J69" s="124">
        <f t="shared" si="14"/>
        <v>47658</v>
      </c>
      <c r="K69" s="124">
        <f t="shared" si="14"/>
        <v>48023</v>
      </c>
      <c r="L69" s="125">
        <f t="shared" si="14"/>
        <v>48388</v>
      </c>
    </row>
    <row r="70" spans="1:16">
      <c r="A70" s="58" t="s">
        <v>183</v>
      </c>
      <c r="B70" s="206">
        <f>'HHA Benefits Analysis'!F9</f>
        <v>343551.25000000006</v>
      </c>
      <c r="C70" s="65"/>
      <c r="D70" s="65"/>
      <c r="E70" s="65"/>
      <c r="F70" s="65"/>
      <c r="G70" s="65"/>
      <c r="H70" s="65"/>
      <c r="I70" s="65"/>
      <c r="J70" s="65"/>
      <c r="K70" s="65"/>
      <c r="L70" s="67"/>
      <c r="M70" s="56"/>
    </row>
    <row r="71" spans="1:16">
      <c r="A71" s="58" t="s">
        <v>46</v>
      </c>
      <c r="B71" s="65"/>
      <c r="C71" s="65">
        <f>-C33</f>
        <v>50000</v>
      </c>
      <c r="D71" s="65">
        <f t="shared" ref="D71:L71" si="15">-D33</f>
        <v>51500</v>
      </c>
      <c r="E71" s="65">
        <f t="shared" si="15"/>
        <v>53045</v>
      </c>
      <c r="F71" s="65">
        <f t="shared" si="15"/>
        <v>54636.35</v>
      </c>
      <c r="G71" s="65">
        <f t="shared" si="15"/>
        <v>56275.440499999997</v>
      </c>
      <c r="H71" s="65">
        <f t="shared" si="15"/>
        <v>57963.703714999996</v>
      </c>
      <c r="I71" s="65">
        <f t="shared" si="15"/>
        <v>59702.614826450001</v>
      </c>
      <c r="J71" s="65">
        <f t="shared" si="15"/>
        <v>61493.693271243501</v>
      </c>
      <c r="K71" s="65">
        <f t="shared" si="15"/>
        <v>63338.504069380804</v>
      </c>
      <c r="L71" s="67">
        <f t="shared" si="15"/>
        <v>65238.659191462233</v>
      </c>
      <c r="M71" s="56"/>
      <c r="P71" s="133"/>
    </row>
    <row r="72" spans="1:16">
      <c r="A72" s="58" t="s">
        <v>287</v>
      </c>
      <c r="B72" s="65"/>
      <c r="C72" s="65">
        <f>-C34</f>
        <v>122841.75</v>
      </c>
      <c r="D72" s="65">
        <f t="shared" ref="D72:L72" si="16">-D34</f>
        <v>126527.00249999999</v>
      </c>
      <c r="E72" s="65">
        <f t="shared" si="16"/>
        <v>130322.81257499999</v>
      </c>
      <c r="F72" s="65">
        <f t="shared" si="16"/>
        <v>134232.49695224999</v>
      </c>
      <c r="G72" s="65">
        <f t="shared" si="16"/>
        <v>138259.47186081749</v>
      </c>
      <c r="H72" s="65">
        <f t="shared" si="16"/>
        <v>142407.25601664203</v>
      </c>
      <c r="I72" s="65">
        <f t="shared" si="16"/>
        <v>146679.47369714131</v>
      </c>
      <c r="J72" s="65">
        <f t="shared" si="16"/>
        <v>151079.85790805554</v>
      </c>
      <c r="K72" s="65">
        <f t="shared" si="16"/>
        <v>155612.2536452972</v>
      </c>
      <c r="L72" s="65">
        <f t="shared" si="16"/>
        <v>160280.62125465611</v>
      </c>
      <c r="M72" s="56"/>
      <c r="N72" s="134"/>
      <c r="P72" s="133"/>
    </row>
    <row r="73" spans="1:16">
      <c r="A73" s="58" t="s">
        <v>184</v>
      </c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7">
        <f>L57</f>
        <v>9045.6091550367873</v>
      </c>
      <c r="M73" s="56"/>
    </row>
    <row r="74" spans="1:16">
      <c r="A74" s="68" t="s">
        <v>185</v>
      </c>
      <c r="B74" s="69">
        <f t="shared" ref="B74:L74" si="17">SUM(B70:B73)</f>
        <v>343551.25000000006</v>
      </c>
      <c r="C74" s="69">
        <f>SUM(C70:C73)</f>
        <v>172841.75</v>
      </c>
      <c r="D74" s="69">
        <f t="shared" si="17"/>
        <v>178027.0025</v>
      </c>
      <c r="E74" s="69">
        <f t="shared" si="17"/>
        <v>183367.81257499999</v>
      </c>
      <c r="F74" s="69">
        <f t="shared" si="17"/>
        <v>188868.84695224999</v>
      </c>
      <c r="G74" s="69">
        <f t="shared" si="17"/>
        <v>194534.91236081749</v>
      </c>
      <c r="H74" s="69">
        <f t="shared" si="17"/>
        <v>200370.95973164204</v>
      </c>
      <c r="I74" s="69">
        <f t="shared" si="17"/>
        <v>206382.08852359132</v>
      </c>
      <c r="J74" s="69">
        <f t="shared" si="17"/>
        <v>212573.55117929904</v>
      </c>
      <c r="K74" s="69">
        <f t="shared" si="17"/>
        <v>218950.75771467801</v>
      </c>
      <c r="L74" s="70">
        <f t="shared" si="17"/>
        <v>234564.88960115516</v>
      </c>
    </row>
    <row r="75" spans="1:16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</row>
    <row r="76" spans="1:16">
      <c r="A76" s="83" t="s">
        <v>186</v>
      </c>
      <c r="B76" s="135"/>
      <c r="C76" s="136">
        <f t="shared" ref="C76:L76" si="18">C5</f>
        <v>45103</v>
      </c>
      <c r="D76" s="136">
        <f t="shared" si="18"/>
        <v>45468</v>
      </c>
      <c r="E76" s="136">
        <f t="shared" si="18"/>
        <v>45833</v>
      </c>
      <c r="F76" s="136">
        <f t="shared" si="18"/>
        <v>46198</v>
      </c>
      <c r="G76" s="136">
        <f t="shared" si="18"/>
        <v>46563</v>
      </c>
      <c r="H76" s="136">
        <f t="shared" si="18"/>
        <v>46928</v>
      </c>
      <c r="I76" s="136">
        <f t="shared" si="18"/>
        <v>47293</v>
      </c>
      <c r="J76" s="136">
        <f t="shared" si="18"/>
        <v>47658</v>
      </c>
      <c r="K76" s="136">
        <f t="shared" si="18"/>
        <v>48023</v>
      </c>
      <c r="L76" s="137">
        <f t="shared" si="18"/>
        <v>48388</v>
      </c>
      <c r="M76" s="137" t="s">
        <v>187</v>
      </c>
    </row>
    <row r="77" spans="1:16">
      <c r="A77" s="138" t="s">
        <v>103</v>
      </c>
      <c r="B77" s="90"/>
      <c r="C77" s="90"/>
      <c r="D77" s="90"/>
      <c r="E77" s="90"/>
      <c r="F77" s="90"/>
      <c r="G77" s="90"/>
      <c r="H77" s="90"/>
      <c r="I77" s="90"/>
      <c r="J77" s="90"/>
      <c r="K77" s="90"/>
      <c r="L77" s="139"/>
      <c r="M77" s="140"/>
    </row>
    <row r="78" spans="1:16">
      <c r="A78" s="141" t="s">
        <v>188</v>
      </c>
      <c r="B78" s="56"/>
      <c r="C78" s="65">
        <f>'Benefits Analysis'!C8</f>
        <v>3468049.2</v>
      </c>
      <c r="D78" s="65">
        <f>'Benefits Analysis'!D8</f>
        <v>3641451.66</v>
      </c>
      <c r="E78" s="65">
        <f>'Benefits Analysis'!E8</f>
        <v>3823524.2430000002</v>
      </c>
      <c r="F78" s="65">
        <f>'Benefits Analysis'!F8</f>
        <v>4014700.4551500003</v>
      </c>
      <c r="G78" s="65">
        <f>'Benefits Analysis'!G8</f>
        <v>4215435.4779075002</v>
      </c>
      <c r="H78" s="65">
        <f>'Benefits Analysis'!H8</f>
        <v>4426207.2518028757</v>
      </c>
      <c r="I78" s="65">
        <f>'Benefits Analysis'!I8</f>
        <v>4647517.61439302</v>
      </c>
      <c r="J78" s="65">
        <f>'Benefits Analysis'!J8</f>
        <v>4879893.4951126715</v>
      </c>
      <c r="K78" s="65">
        <f>'Benefits Analysis'!K8</f>
        <v>5123888.1698683053</v>
      </c>
      <c r="L78" s="65">
        <f>'Benefits Analysis'!L8</f>
        <v>5380082.5783617208</v>
      </c>
      <c r="M78" s="140"/>
    </row>
    <row r="79" spans="1:16">
      <c r="A79" s="141" t="s">
        <v>189</v>
      </c>
      <c r="B79" s="56"/>
      <c r="C79" s="65">
        <f>C78/'Mixed Rent'!$D$63/12</f>
        <v>2156.7470149253732</v>
      </c>
      <c r="D79" s="65">
        <f>D78/'Mixed Rent'!$D$63/12</f>
        <v>2264.584365671642</v>
      </c>
      <c r="E79" s="65">
        <f>E78/'Mixed Rent'!$D$63/12</f>
        <v>2377.8135839552237</v>
      </c>
      <c r="F79" s="65">
        <f>F78/'Mixed Rent'!$D$63/12</f>
        <v>2496.7042631529853</v>
      </c>
      <c r="G79" s="65">
        <f>G78/'Mixed Rent'!$D$63/12</f>
        <v>2621.5394763106347</v>
      </c>
      <c r="H79" s="65">
        <f>H78/'Mixed Rent'!$D$63/12</f>
        <v>2752.6164501261665</v>
      </c>
      <c r="I79" s="65">
        <f>I78/'Mixed Rent'!$D$63/12</f>
        <v>2890.2472726324754</v>
      </c>
      <c r="J79" s="65">
        <f>J78/'Mixed Rent'!$D$63/12</f>
        <v>3034.7596362640993</v>
      </c>
      <c r="K79" s="65">
        <f>K78/'Mixed Rent'!$D$63/12</f>
        <v>3186.4976180773042</v>
      </c>
      <c r="L79" s="67">
        <f>L78/'Mixed Rent'!$D$63/12</f>
        <v>3345.8224989811697</v>
      </c>
      <c r="M79" s="140"/>
    </row>
    <row r="80" spans="1:16">
      <c r="A80" s="141" t="s">
        <v>190</v>
      </c>
      <c r="B80" s="56"/>
      <c r="C80" s="142">
        <f>C78/'Mixed Rent'!$K$15/12</f>
        <v>1.3808767057049467</v>
      </c>
      <c r="D80" s="142">
        <f>D78/'Mixed Rent'!$K$15/12</f>
        <v>1.4499205409901939</v>
      </c>
      <c r="E80" s="142">
        <f>E78/'Mixed Rent'!$K$15/12</f>
        <v>1.5224165680397037</v>
      </c>
      <c r="F80" s="142">
        <f>F78/'Mixed Rent'!$K$15/12</f>
        <v>1.5985373964416889</v>
      </c>
      <c r="G80" s="142">
        <f>G78/'Mixed Rent'!$K$15/12</f>
        <v>1.6784642662637734</v>
      </c>
      <c r="H80" s="142">
        <f>H78/'Mixed Rent'!$K$15/12</f>
        <v>1.7623874795769623</v>
      </c>
      <c r="I80" s="142">
        <f>I78/'Mixed Rent'!$K$15/12</f>
        <v>1.8505068535558105</v>
      </c>
      <c r="J80" s="142">
        <f>J78/'Mixed Rent'!$K$15/12</f>
        <v>1.9430321962336012</v>
      </c>
      <c r="K80" s="142">
        <f>K78/'Mixed Rent'!$K$15/12</f>
        <v>2.0401838060452815</v>
      </c>
      <c r="L80" s="143">
        <f>L78/'Mixed Rent'!$K$15/12</f>
        <v>2.1421929963475455</v>
      </c>
      <c r="M80" s="140"/>
    </row>
    <row r="81" spans="1:13" ht="3.95" customHeight="1">
      <c r="A81" s="58"/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9"/>
      <c r="M81" s="140"/>
    </row>
    <row r="82" spans="1:13">
      <c r="A82" s="144" t="s">
        <v>191</v>
      </c>
      <c r="B82" s="90"/>
      <c r="C82" s="90"/>
      <c r="D82" s="90"/>
      <c r="E82" s="90"/>
      <c r="F82" s="90"/>
      <c r="G82" s="90"/>
      <c r="H82" s="90"/>
      <c r="I82" s="90"/>
      <c r="J82" s="90"/>
      <c r="K82" s="90"/>
      <c r="L82" s="139"/>
      <c r="M82" s="140"/>
    </row>
    <row r="83" spans="1:13">
      <c r="A83" s="141" t="s">
        <v>188</v>
      </c>
      <c r="B83" s="56"/>
      <c r="C83" s="65">
        <f t="shared" ref="C83:L83" si="19">SUM(C7:C9)</f>
        <v>3079136.04</v>
      </c>
      <c r="D83" s="65">
        <f t="shared" si="19"/>
        <v>3219325.9620000003</v>
      </c>
      <c r="E83" s="65">
        <f t="shared" si="19"/>
        <v>3366112.3737000003</v>
      </c>
      <c r="F83" s="65">
        <f t="shared" si="19"/>
        <v>3519812.7093930007</v>
      </c>
      <c r="G83" s="65">
        <f t="shared" si="19"/>
        <v>3680759.9033808904</v>
      </c>
      <c r="H83" s="65">
        <f t="shared" si="19"/>
        <v>3849303.1538237226</v>
      </c>
      <c r="I83" s="65">
        <f t="shared" si="19"/>
        <v>4025808.72444691</v>
      </c>
      <c r="J83" s="65">
        <f t="shared" si="19"/>
        <v>4210660.7859892165</v>
      </c>
      <c r="K83" s="65">
        <f t="shared" si="19"/>
        <v>4404262.2993682371</v>
      </c>
      <c r="L83" s="67">
        <f t="shared" si="19"/>
        <v>4607035.9426385956</v>
      </c>
      <c r="M83" s="140"/>
    </row>
    <row r="84" spans="1:13">
      <c r="A84" s="141" t="s">
        <v>189</v>
      </c>
      <c r="B84" s="56"/>
      <c r="C84" s="65">
        <f>C83/'Mixed Rent'!$D$63/12</f>
        <v>1914.8855970149255</v>
      </c>
      <c r="D84" s="65">
        <f>D83/'Mixed Rent'!$D$63/12</f>
        <v>2002.0683843283584</v>
      </c>
      <c r="E84" s="65">
        <f>E83/'Mixed Rent'!$D$63/12</f>
        <v>2093.3534662313436</v>
      </c>
      <c r="F84" s="65">
        <f>F83/'Mixed Rent'!$D$63/12</f>
        <v>2188.9382521100752</v>
      </c>
      <c r="G84" s="65">
        <f>G83/'Mixed Rent'!$D$63/12</f>
        <v>2289.0297906597575</v>
      </c>
      <c r="H84" s="65">
        <f>H83/'Mixed Rent'!$D$63/12</f>
        <v>2393.8452449152505</v>
      </c>
      <c r="I84" s="65">
        <f>I83/'Mixed Rent'!$D$63/12</f>
        <v>2503.6123908251925</v>
      </c>
      <c r="J84" s="65">
        <f>J83/'Mixed Rent'!$D$63/12</f>
        <v>2618.5701405405575</v>
      </c>
      <c r="K84" s="65">
        <f>K83/'Mixed Rent'!$D$63/12</f>
        <v>2738.9690916469135</v>
      </c>
      <c r="L84" s="67">
        <f>L83/'Mixed Rent'!$D$63/12</f>
        <v>2865.0721036309674</v>
      </c>
      <c r="M84" s="140"/>
    </row>
    <row r="85" spans="1:13">
      <c r="A85" s="141" t="s">
        <v>190</v>
      </c>
      <c r="B85" s="56"/>
      <c r="C85" s="142">
        <f>C83/'Mixed Rent'!$K$15/12</f>
        <v>1.2260227540406794</v>
      </c>
      <c r="D85" s="142">
        <f>D83/'Mixed Rent'!$K$15/12</f>
        <v>1.2818423190181294</v>
      </c>
      <c r="E85" s="142">
        <f>E83/'Mixed Rent'!$K$15/12</f>
        <v>1.3402884150627143</v>
      </c>
      <c r="F85" s="142">
        <f>F83/'Mixed Rent'!$K$15/12</f>
        <v>1.4014874353123392</v>
      </c>
      <c r="G85" s="142">
        <f>G83/'Mixed Rent'!$K$15/12</f>
        <v>1.4655719445593396</v>
      </c>
      <c r="H85" s="142">
        <f>H83/'Mixed Rent'!$K$15/12</f>
        <v>1.5326809833931316</v>
      </c>
      <c r="I85" s="142">
        <f>I83/'Mixed Rent'!$K$15/12</f>
        <v>1.6029603874167881</v>
      </c>
      <c r="J85" s="142">
        <f>J83/'Mixed Rent'!$K$15/12</f>
        <v>1.6765631222872475</v>
      </c>
      <c r="K85" s="142">
        <f>K83/'Mixed Rent'!$K$15/12</f>
        <v>1.7536496353662183</v>
      </c>
      <c r="L85" s="143">
        <f>L83/'Mixed Rent'!$K$15/12</f>
        <v>1.8343882248080756</v>
      </c>
      <c r="M85" s="140"/>
    </row>
    <row r="86" spans="1:13" ht="6.6" customHeight="1">
      <c r="A86" s="58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9"/>
      <c r="M86" s="140"/>
    </row>
    <row r="87" spans="1:13">
      <c r="A87" s="141" t="s">
        <v>192</v>
      </c>
      <c r="B87" s="56"/>
      <c r="C87" s="145">
        <f>C78-C83</f>
        <v>388913.16000000015</v>
      </c>
      <c r="D87" s="145">
        <f t="shared" ref="D87:L87" si="20">D78-D83</f>
        <v>422125.69799999986</v>
      </c>
      <c r="E87" s="145">
        <f t="shared" si="20"/>
        <v>457411.8692999999</v>
      </c>
      <c r="F87" s="145">
        <f t="shared" si="20"/>
        <v>494887.74575699959</v>
      </c>
      <c r="G87" s="145">
        <f t="shared" si="20"/>
        <v>534675.57452660985</v>
      </c>
      <c r="H87" s="145">
        <f t="shared" si="20"/>
        <v>576904.09797915304</v>
      </c>
      <c r="I87" s="145">
        <f t="shared" si="20"/>
        <v>621708.88994611008</v>
      </c>
      <c r="J87" s="145">
        <f t="shared" si="20"/>
        <v>669232.70912345499</v>
      </c>
      <c r="K87" s="145">
        <f t="shared" si="20"/>
        <v>719625.87050006818</v>
      </c>
      <c r="L87" s="146">
        <f t="shared" si="20"/>
        <v>773046.63572312519</v>
      </c>
      <c r="M87" s="147">
        <f>SUM(C87:L87)</f>
        <v>5658532.2508555204</v>
      </c>
    </row>
    <row r="88" spans="1:13">
      <c r="A88" s="141" t="s">
        <v>27</v>
      </c>
      <c r="B88" s="56"/>
      <c r="C88" s="65">
        <f>'10 Years Mixed'!D29</f>
        <v>818945</v>
      </c>
      <c r="D88" s="65">
        <f>'10 Years Mixed'!E29</f>
        <v>843513.35</v>
      </c>
      <c r="E88" s="65">
        <f>'10 Years Mixed'!F29</f>
        <v>868818.75049999997</v>
      </c>
      <c r="F88" s="65">
        <f>'10 Years Mixed'!G29</f>
        <v>894883.31301499996</v>
      </c>
      <c r="G88" s="65">
        <f>'10 Years Mixed'!H29</f>
        <v>921729.81240545004</v>
      </c>
      <c r="H88" s="65">
        <f>'10 Years Mixed'!I29</f>
        <v>949381.70677761361</v>
      </c>
      <c r="I88" s="65">
        <f>'10 Years Mixed'!J29</f>
        <v>977863.15798094205</v>
      </c>
      <c r="J88" s="65">
        <f>'10 Years Mixed'!K29</f>
        <v>1007199.0527203704</v>
      </c>
      <c r="K88" s="65">
        <f>'10 Years Mixed'!L29</f>
        <v>1037415.0243019814</v>
      </c>
      <c r="L88" s="67">
        <f>'10 Years Mixed'!M29</f>
        <v>1068537.4750310408</v>
      </c>
      <c r="M88" s="147">
        <f>SUM(C88:L88)</f>
        <v>9388286.6427323986</v>
      </c>
    </row>
    <row r="89" spans="1:13">
      <c r="A89" s="141" t="s">
        <v>193</v>
      </c>
      <c r="B89" s="56"/>
      <c r="C89" s="65">
        <f t="shared" ref="C89:L89" si="21">C88-C87</f>
        <v>430031.83999999985</v>
      </c>
      <c r="D89" s="65">
        <f t="shared" si="21"/>
        <v>421387.65200000012</v>
      </c>
      <c r="E89" s="65">
        <f t="shared" si="21"/>
        <v>411406.88120000006</v>
      </c>
      <c r="F89" s="65">
        <f>F88-F87</f>
        <v>399995.56725800037</v>
      </c>
      <c r="G89" s="65">
        <f t="shared" si="21"/>
        <v>387054.23787884018</v>
      </c>
      <c r="H89" s="65">
        <f t="shared" si="21"/>
        <v>372477.60879846057</v>
      </c>
      <c r="I89" s="65">
        <f>I88-I87</f>
        <v>356154.26803483197</v>
      </c>
      <c r="J89" s="65">
        <f t="shared" si="21"/>
        <v>337966.34359691537</v>
      </c>
      <c r="K89" s="65">
        <f t="shared" si="21"/>
        <v>317789.15380191326</v>
      </c>
      <c r="L89" s="67">
        <f t="shared" si="21"/>
        <v>295490.83930791565</v>
      </c>
      <c r="M89" s="147">
        <f>SUM(C89:L89)</f>
        <v>3729754.3918768773</v>
      </c>
    </row>
    <row r="90" spans="1:13">
      <c r="A90" s="148" t="s">
        <v>194</v>
      </c>
      <c r="B90" s="76"/>
      <c r="C90" s="77">
        <f>B74+C74</f>
        <v>516393.00000000006</v>
      </c>
      <c r="D90" s="77">
        <f t="shared" ref="D90:L90" si="22">D74</f>
        <v>178027.0025</v>
      </c>
      <c r="E90" s="77">
        <f t="shared" si="22"/>
        <v>183367.81257499999</v>
      </c>
      <c r="F90" s="77">
        <f t="shared" si="22"/>
        <v>188868.84695224999</v>
      </c>
      <c r="G90" s="77">
        <f t="shared" si="22"/>
        <v>194534.91236081749</v>
      </c>
      <c r="H90" s="77">
        <f t="shared" si="22"/>
        <v>200370.95973164204</v>
      </c>
      <c r="I90" s="77">
        <f t="shared" si="22"/>
        <v>206382.08852359132</v>
      </c>
      <c r="J90" s="77">
        <f t="shared" si="22"/>
        <v>212573.55117929904</v>
      </c>
      <c r="K90" s="77">
        <f t="shared" si="22"/>
        <v>218950.75771467801</v>
      </c>
      <c r="L90" s="78">
        <f t="shared" si="22"/>
        <v>234564.88960115516</v>
      </c>
      <c r="M90" s="149">
        <f>SUM(C90:L90)</f>
        <v>2334033.8211384332</v>
      </c>
    </row>
    <row r="91" spans="1:13" ht="10.35" customHeight="1">
      <c r="A91" s="71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150"/>
    </row>
    <row r="92" spans="1:13">
      <c r="A92" s="141" t="s">
        <v>195</v>
      </c>
      <c r="B92" s="56"/>
      <c r="C92" s="56"/>
      <c r="D92" s="56"/>
      <c r="E92" s="83" t="s">
        <v>196</v>
      </c>
      <c r="F92" s="151" t="s">
        <v>5</v>
      </c>
      <c r="G92" s="152" t="s">
        <v>38</v>
      </c>
      <c r="H92" s="83" t="s">
        <v>197</v>
      </c>
      <c r="I92" s="151" t="s">
        <v>5</v>
      </c>
      <c r="J92" s="152" t="s">
        <v>38</v>
      </c>
      <c r="K92" s="56"/>
      <c r="L92" s="56"/>
      <c r="M92" s="59"/>
    </row>
    <row r="93" spans="1:13">
      <c r="A93" s="153" t="s">
        <v>198</v>
      </c>
      <c r="B93" s="154">
        <v>0.01</v>
      </c>
      <c r="C93" s="155">
        <v>0</v>
      </c>
      <c r="D93" s="56"/>
      <c r="E93" s="58" t="s">
        <v>97</v>
      </c>
      <c r="F93" s="65">
        <f>'SOURCES and USES of FUNDS'!G30</f>
        <v>24050000</v>
      </c>
      <c r="G93" s="67">
        <f>F93/'Mixed Rent'!$G$15</f>
        <v>141470.58823529413</v>
      </c>
      <c r="H93" s="56" t="s">
        <v>275</v>
      </c>
      <c r="I93" s="156">
        <f>'SOURCES and USES of FUNDS'!G7</f>
        <v>37000000</v>
      </c>
      <c r="J93" s="157">
        <f>I93/'Mixed Rent'!$G$15</f>
        <v>217647.0588235294</v>
      </c>
      <c r="K93" s="56"/>
      <c r="L93" s="56"/>
      <c r="M93" s="59"/>
    </row>
    <row r="94" spans="1:13">
      <c r="A94" s="141" t="s">
        <v>199</v>
      </c>
      <c r="B94" s="87">
        <v>8.7500000000000008E-3</v>
      </c>
      <c r="C94" s="67">
        <f>B70</f>
        <v>343551.25000000006</v>
      </c>
      <c r="D94" s="56"/>
      <c r="E94" s="58" t="s">
        <v>120</v>
      </c>
      <c r="F94" s="65">
        <f>'SOURCES and USES of FUNDS'!G31</f>
        <v>15713000</v>
      </c>
      <c r="G94" s="67">
        <f>F94/'Mixed Rent'!$G$15</f>
        <v>92429.411764705888</v>
      </c>
      <c r="H94" s="58" t="s">
        <v>238</v>
      </c>
      <c r="I94" s="156">
        <f>SUM('SOURCES and USES of FUNDS'!G9:G23)+'SOURCES and USES of FUNDS'!G26</f>
        <v>2606551.25</v>
      </c>
      <c r="J94" s="157">
        <f>I94/'Mixed Rent'!$G$15</f>
        <v>15332.654411764706</v>
      </c>
      <c r="K94" s="56"/>
      <c r="L94" s="56"/>
      <c r="M94" s="59"/>
    </row>
    <row r="95" spans="1:13">
      <c r="A95" s="141" t="s">
        <v>46</v>
      </c>
      <c r="B95" s="88"/>
      <c r="C95" s="67">
        <f>SUM(C71:L71)</f>
        <v>573193.96557353658</v>
      </c>
      <c r="D95" s="56"/>
      <c r="E95" s="58"/>
      <c r="F95" s="56"/>
      <c r="G95" s="59"/>
      <c r="H95" s="58" t="s">
        <v>276</v>
      </c>
      <c r="I95" s="156">
        <v>0</v>
      </c>
      <c r="J95" s="157">
        <f>I95/'Mixed Rent'!$G$15</f>
        <v>0</v>
      </c>
      <c r="K95" s="56"/>
      <c r="L95" s="56"/>
      <c r="M95" s="59"/>
    </row>
    <row r="96" spans="1:13">
      <c r="A96" s="141" t="s">
        <v>202</v>
      </c>
      <c r="B96" s="160"/>
      <c r="C96" s="67">
        <f>SUM(C72:L72)</f>
        <v>1408242.9964098595</v>
      </c>
      <c r="D96" s="56"/>
      <c r="E96" s="68" t="s">
        <v>200</v>
      </c>
      <c r="F96" s="158">
        <f>SUM(F93:F94)</f>
        <v>39763000</v>
      </c>
      <c r="G96" s="159">
        <f>SUM(G93:G94)</f>
        <v>233900</v>
      </c>
      <c r="H96" s="68" t="s">
        <v>201</v>
      </c>
      <c r="I96" s="158">
        <f>SUM(I93:I95)</f>
        <v>39606551.25</v>
      </c>
      <c r="J96" s="159">
        <f>SUM(J93:J95)</f>
        <v>232979.7132352941</v>
      </c>
      <c r="K96" s="142"/>
      <c r="L96" s="56"/>
      <c r="M96" s="59"/>
    </row>
    <row r="97" spans="1:19">
      <c r="A97" s="141" t="s">
        <v>203</v>
      </c>
      <c r="B97" s="56"/>
      <c r="C97" s="67">
        <f>L73</f>
        <v>9045.6091550367873</v>
      </c>
      <c r="D97" s="56"/>
      <c r="E97" s="56"/>
      <c r="F97" s="56"/>
      <c r="G97" s="56"/>
      <c r="H97" s="56"/>
      <c r="I97" s="56"/>
      <c r="J97" s="56"/>
      <c r="K97" s="56"/>
      <c r="L97" s="56"/>
      <c r="M97" s="59"/>
    </row>
    <row r="98" spans="1:19">
      <c r="A98" s="141" t="s">
        <v>204</v>
      </c>
      <c r="B98" s="56"/>
      <c r="C98" s="67">
        <f>M88</f>
        <v>9388286.6427323986</v>
      </c>
      <c r="D98" s="56"/>
      <c r="E98" s="161"/>
      <c r="F98" s="151"/>
      <c r="G98" s="151" t="s">
        <v>1</v>
      </c>
      <c r="H98" s="151" t="s">
        <v>0</v>
      </c>
      <c r="I98" s="151" t="s">
        <v>103</v>
      </c>
      <c r="J98" s="152" t="s">
        <v>187</v>
      </c>
      <c r="K98" s="56"/>
      <c r="L98" s="56"/>
      <c r="M98" s="59"/>
    </row>
    <row r="99" spans="1:19">
      <c r="A99" s="58" t="s">
        <v>205</v>
      </c>
      <c r="B99" s="163">
        <f>C87</f>
        <v>388913.16000000015</v>
      </c>
      <c r="C99" s="59"/>
      <c r="E99" s="58" t="s">
        <v>280</v>
      </c>
      <c r="F99" s="56"/>
      <c r="G99" s="160">
        <f>'Mixed Rent'!D53</f>
        <v>43</v>
      </c>
      <c r="H99" s="160">
        <f>'Mixed Rent'!D42</f>
        <v>0</v>
      </c>
      <c r="I99" s="160">
        <f>'Mixed Rent'!D30</f>
        <v>25</v>
      </c>
      <c r="J99" s="162">
        <f>SUM(G99:I99)</f>
        <v>68</v>
      </c>
      <c r="K99" s="56"/>
      <c r="L99" s="56"/>
      <c r="M99" s="59"/>
    </row>
    <row r="100" spans="1:19">
      <c r="A100" s="164" t="s">
        <v>206</v>
      </c>
      <c r="B100" s="163">
        <f>L87</f>
        <v>773046.63572312519</v>
      </c>
      <c r="C100" s="67">
        <f>$M$87</f>
        <v>5658532.2508555204</v>
      </c>
      <c r="D100" s="56"/>
      <c r="E100" s="58" t="s">
        <v>281</v>
      </c>
      <c r="F100" s="56"/>
      <c r="G100" s="160">
        <f>'Mixed Rent'!D57</f>
        <v>6</v>
      </c>
      <c r="H100" s="160">
        <f>'Mixed Rent'!D45</f>
        <v>0</v>
      </c>
      <c r="I100" s="160">
        <f>'Mixed Rent'!D33</f>
        <v>60</v>
      </c>
      <c r="J100" s="162">
        <f>SUM(G100:I100)</f>
        <v>66</v>
      </c>
      <c r="K100" s="56"/>
      <c r="L100" s="56"/>
      <c r="M100" s="59"/>
    </row>
    <row r="101" spans="1:19">
      <c r="A101" s="148" t="s">
        <v>207</v>
      </c>
      <c r="B101" s="169">
        <f>C101/C98</f>
        <v>0.85133383503805871</v>
      </c>
      <c r="C101" s="78">
        <f>M87+M90</f>
        <v>7992566.0719939535</v>
      </c>
      <c r="D101" s="56"/>
      <c r="E101" s="165" t="s">
        <v>187</v>
      </c>
      <c r="F101" s="166"/>
      <c r="G101" s="167">
        <f>SUM(G99:G100)</f>
        <v>49</v>
      </c>
      <c r="H101" s="167">
        <f>SUM(H99:H100)</f>
        <v>0</v>
      </c>
      <c r="I101" s="167">
        <f>SUM(I99:I100)</f>
        <v>85</v>
      </c>
      <c r="J101" s="168">
        <f>SUM(J99:J100)</f>
        <v>134</v>
      </c>
      <c r="K101" s="56"/>
      <c r="L101" s="56"/>
      <c r="M101" s="59"/>
    </row>
    <row r="102" spans="1:19">
      <c r="A102" s="174" t="s">
        <v>208</v>
      </c>
      <c r="B102" s="76"/>
      <c r="C102" s="175"/>
      <c r="D102" s="56"/>
      <c r="E102" s="170" t="s">
        <v>282</v>
      </c>
      <c r="F102" s="171"/>
      <c r="G102" s="172">
        <f>G101/$J$101</f>
        <v>0.36567164179104478</v>
      </c>
      <c r="H102" s="172">
        <f>H101/$J$101</f>
        <v>0</v>
      </c>
      <c r="I102" s="172">
        <f>I101/$J$101</f>
        <v>0.63432835820895528</v>
      </c>
      <c r="J102" s="173">
        <f>J101/$J$101</f>
        <v>1</v>
      </c>
      <c r="K102" s="56"/>
      <c r="L102" s="56"/>
      <c r="M102" s="59"/>
    </row>
    <row r="103" spans="1:19">
      <c r="A103" s="176"/>
      <c r="B103" s="72"/>
      <c r="C103" s="72"/>
      <c r="D103" s="56"/>
      <c r="E103" s="56"/>
      <c r="F103" s="56"/>
      <c r="G103" s="56"/>
      <c r="H103" s="56"/>
      <c r="I103" s="56"/>
      <c r="J103" s="56"/>
      <c r="K103" s="56"/>
      <c r="L103" s="56"/>
      <c r="M103" s="59"/>
    </row>
    <row r="104" spans="1:19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175"/>
    </row>
    <row r="106" spans="1:19" ht="5.0999999999999996" customHeight="1">
      <c r="P106" s="71"/>
      <c r="Q106" s="72"/>
      <c r="R106" s="72"/>
      <c r="S106" s="150"/>
    </row>
    <row r="107" spans="1:19">
      <c r="P107" s="58"/>
      <c r="Q107" s="57" t="s">
        <v>209</v>
      </c>
      <c r="R107" s="57" t="s">
        <v>210</v>
      </c>
      <c r="S107" s="59"/>
    </row>
    <row r="108" spans="1:19" ht="5.0999999999999996" customHeight="1">
      <c r="P108" s="58"/>
      <c r="Q108" s="177"/>
      <c r="R108" s="57"/>
      <c r="S108" s="59"/>
    </row>
    <row r="109" spans="1:19">
      <c r="P109" s="58"/>
      <c r="Q109" s="57" t="s">
        <v>211</v>
      </c>
      <c r="R109" s="57" t="s">
        <v>212</v>
      </c>
      <c r="S109" s="59"/>
    </row>
    <row r="110" spans="1:19" ht="5.0999999999999996" customHeight="1">
      <c r="P110" s="58"/>
      <c r="Q110" s="178"/>
      <c r="R110" s="57"/>
      <c r="S110" s="59"/>
    </row>
    <row r="111" spans="1:19">
      <c r="P111" s="58"/>
      <c r="Q111" s="57" t="s">
        <v>213</v>
      </c>
      <c r="R111" s="57" t="s">
        <v>214</v>
      </c>
      <c r="S111" s="59"/>
    </row>
    <row r="112" spans="1:19">
      <c r="P112" s="58"/>
      <c r="Q112" s="178"/>
      <c r="R112" s="57" t="s">
        <v>215</v>
      </c>
      <c r="S112" s="59"/>
    </row>
    <row r="113" spans="16:19">
      <c r="P113" s="58"/>
      <c r="Q113" s="178"/>
      <c r="R113" s="57" t="s">
        <v>216</v>
      </c>
      <c r="S113" s="59"/>
    </row>
    <row r="114" spans="16:19" ht="5.0999999999999996" customHeight="1">
      <c r="P114" s="58"/>
      <c r="Q114" s="178"/>
      <c r="R114" s="57"/>
      <c r="S114" s="59"/>
    </row>
    <row r="115" spans="16:19">
      <c r="P115" s="58"/>
      <c r="Q115" s="57" t="s">
        <v>217</v>
      </c>
      <c r="R115" s="57" t="s">
        <v>218</v>
      </c>
      <c r="S115" s="59"/>
    </row>
    <row r="116" spans="16:19">
      <c r="P116" s="58"/>
      <c r="Q116" s="178"/>
      <c r="R116" s="57" t="s">
        <v>273</v>
      </c>
      <c r="S116" s="59"/>
    </row>
    <row r="117" spans="16:19" ht="5.0999999999999996" customHeight="1">
      <c r="P117" s="58"/>
      <c r="Q117" s="178"/>
      <c r="R117" s="57"/>
      <c r="S117" s="59"/>
    </row>
    <row r="118" spans="16:19">
      <c r="P118" s="58"/>
      <c r="Q118" s="57" t="s">
        <v>219</v>
      </c>
      <c r="R118" s="57" t="s">
        <v>274</v>
      </c>
      <c r="S118" s="59"/>
    </row>
    <row r="119" spans="16:19" ht="5.0999999999999996" customHeight="1">
      <c r="P119" s="75"/>
      <c r="Q119" s="76"/>
      <c r="R119" s="76"/>
      <c r="S119" s="175"/>
    </row>
  </sheetData>
  <mergeCells count="3">
    <mergeCell ref="A3:L3"/>
    <mergeCell ref="A1:L1"/>
    <mergeCell ref="A2:L2"/>
  </mergeCells>
  <printOptions horizontalCentered="1"/>
  <pageMargins left="0.7" right="0.7" top="0.75" bottom="0.75" header="0.3" footer="0.3"/>
  <pageSetup paperSize="3" scale="50" orientation="portrait" r:id="rId1"/>
  <rowBreaks count="2" manualBreakCount="2">
    <brk id="43" max="16383" man="1"/>
    <brk id="74" max="16383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R499"/>
  <sheetViews>
    <sheetView zoomScale="75" workbookViewId="0">
      <selection activeCell="D3" sqref="D3"/>
    </sheetView>
  </sheetViews>
  <sheetFormatPr defaultRowHeight="12.75"/>
  <cols>
    <col min="1" max="1" width="8.7109375" style="182"/>
    <col min="2" max="2" width="11.42578125" style="182" bestFit="1" customWidth="1"/>
    <col min="3" max="3" width="14" style="182" customWidth="1"/>
    <col min="4" max="4" width="13.28515625" style="182" bestFit="1" customWidth="1"/>
    <col min="5" max="5" width="11.7109375" style="182" bestFit="1" customWidth="1"/>
    <col min="6" max="6" width="10.42578125" style="182" customWidth="1"/>
    <col min="7" max="7" width="11.7109375" style="182" bestFit="1" customWidth="1"/>
    <col min="8" max="8" width="8.7109375" style="182"/>
    <col min="9" max="15" width="11.28515625" style="182" bestFit="1" customWidth="1"/>
    <col min="16" max="16" width="10.7109375" style="182" bestFit="1" customWidth="1"/>
    <col min="17" max="17" width="12.28515625" style="182" bestFit="1" customWidth="1"/>
    <col min="18" max="18" width="12" style="182" bestFit="1" customWidth="1"/>
    <col min="19" max="257" width="8.7109375" style="182"/>
    <col min="258" max="258" width="11.42578125" style="182" bestFit="1" customWidth="1"/>
    <col min="259" max="259" width="14" style="182" customWidth="1"/>
    <col min="260" max="260" width="12.7109375" style="182" bestFit="1" customWidth="1"/>
    <col min="261" max="261" width="10" style="182" customWidth="1"/>
    <col min="262" max="262" width="10.42578125" style="182" customWidth="1"/>
    <col min="263" max="263" width="11" style="182" customWidth="1"/>
    <col min="264" max="264" width="8.7109375" style="182"/>
    <col min="265" max="271" width="11.28515625" style="182" bestFit="1" customWidth="1"/>
    <col min="272" max="274" width="10.7109375" style="182" bestFit="1" customWidth="1"/>
    <col min="275" max="513" width="8.7109375" style="182"/>
    <col min="514" max="514" width="11.42578125" style="182" bestFit="1" customWidth="1"/>
    <col min="515" max="515" width="14" style="182" customWidth="1"/>
    <col min="516" max="516" width="12.7109375" style="182" bestFit="1" customWidth="1"/>
    <col min="517" max="517" width="10" style="182" customWidth="1"/>
    <col min="518" max="518" width="10.42578125" style="182" customWidth="1"/>
    <col min="519" max="519" width="11" style="182" customWidth="1"/>
    <col min="520" max="520" width="8.7109375" style="182"/>
    <col min="521" max="527" width="11.28515625" style="182" bestFit="1" customWidth="1"/>
    <col min="528" max="530" width="10.7109375" style="182" bestFit="1" customWidth="1"/>
    <col min="531" max="769" width="8.7109375" style="182"/>
    <col min="770" max="770" width="11.42578125" style="182" bestFit="1" customWidth="1"/>
    <col min="771" max="771" width="14" style="182" customWidth="1"/>
    <col min="772" max="772" width="12.7109375" style="182" bestFit="1" customWidth="1"/>
    <col min="773" max="773" width="10" style="182" customWidth="1"/>
    <col min="774" max="774" width="10.42578125" style="182" customWidth="1"/>
    <col min="775" max="775" width="11" style="182" customWidth="1"/>
    <col min="776" max="776" width="8.7109375" style="182"/>
    <col min="777" max="783" width="11.28515625" style="182" bestFit="1" customWidth="1"/>
    <col min="784" max="786" width="10.7109375" style="182" bestFit="1" customWidth="1"/>
    <col min="787" max="1025" width="8.7109375" style="182"/>
    <col min="1026" max="1026" width="11.42578125" style="182" bestFit="1" customWidth="1"/>
    <col min="1027" max="1027" width="14" style="182" customWidth="1"/>
    <col min="1028" max="1028" width="12.7109375" style="182" bestFit="1" customWidth="1"/>
    <col min="1029" max="1029" width="10" style="182" customWidth="1"/>
    <col min="1030" max="1030" width="10.42578125" style="182" customWidth="1"/>
    <col min="1031" max="1031" width="11" style="182" customWidth="1"/>
    <col min="1032" max="1032" width="8.7109375" style="182"/>
    <col min="1033" max="1039" width="11.28515625" style="182" bestFit="1" customWidth="1"/>
    <col min="1040" max="1042" width="10.7109375" style="182" bestFit="1" customWidth="1"/>
    <col min="1043" max="1281" width="8.7109375" style="182"/>
    <col min="1282" max="1282" width="11.42578125" style="182" bestFit="1" customWidth="1"/>
    <col min="1283" max="1283" width="14" style="182" customWidth="1"/>
    <col min="1284" max="1284" width="12.7109375" style="182" bestFit="1" customWidth="1"/>
    <col min="1285" max="1285" width="10" style="182" customWidth="1"/>
    <col min="1286" max="1286" width="10.42578125" style="182" customWidth="1"/>
    <col min="1287" max="1287" width="11" style="182" customWidth="1"/>
    <col min="1288" max="1288" width="8.7109375" style="182"/>
    <col min="1289" max="1295" width="11.28515625" style="182" bestFit="1" customWidth="1"/>
    <col min="1296" max="1298" width="10.7109375" style="182" bestFit="1" customWidth="1"/>
    <col min="1299" max="1537" width="8.7109375" style="182"/>
    <col min="1538" max="1538" width="11.42578125" style="182" bestFit="1" customWidth="1"/>
    <col min="1539" max="1539" width="14" style="182" customWidth="1"/>
    <col min="1540" max="1540" width="12.7109375" style="182" bestFit="1" customWidth="1"/>
    <col min="1541" max="1541" width="10" style="182" customWidth="1"/>
    <col min="1542" max="1542" width="10.42578125" style="182" customWidth="1"/>
    <col min="1543" max="1543" width="11" style="182" customWidth="1"/>
    <col min="1544" max="1544" width="8.7109375" style="182"/>
    <col min="1545" max="1551" width="11.28515625" style="182" bestFit="1" customWidth="1"/>
    <col min="1552" max="1554" width="10.7109375" style="182" bestFit="1" customWidth="1"/>
    <col min="1555" max="1793" width="8.7109375" style="182"/>
    <col min="1794" max="1794" width="11.42578125" style="182" bestFit="1" customWidth="1"/>
    <col min="1795" max="1795" width="14" style="182" customWidth="1"/>
    <col min="1796" max="1796" width="12.7109375" style="182" bestFit="1" customWidth="1"/>
    <col min="1797" max="1797" width="10" style="182" customWidth="1"/>
    <col min="1798" max="1798" width="10.42578125" style="182" customWidth="1"/>
    <col min="1799" max="1799" width="11" style="182" customWidth="1"/>
    <col min="1800" max="1800" width="8.7109375" style="182"/>
    <col min="1801" max="1807" width="11.28515625" style="182" bestFit="1" customWidth="1"/>
    <col min="1808" max="1810" width="10.7109375" style="182" bestFit="1" customWidth="1"/>
    <col min="1811" max="2049" width="8.7109375" style="182"/>
    <col min="2050" max="2050" width="11.42578125" style="182" bestFit="1" customWidth="1"/>
    <col min="2051" max="2051" width="14" style="182" customWidth="1"/>
    <col min="2052" max="2052" width="12.7109375" style="182" bestFit="1" customWidth="1"/>
    <col min="2053" max="2053" width="10" style="182" customWidth="1"/>
    <col min="2054" max="2054" width="10.42578125" style="182" customWidth="1"/>
    <col min="2055" max="2055" width="11" style="182" customWidth="1"/>
    <col min="2056" max="2056" width="8.7109375" style="182"/>
    <col min="2057" max="2063" width="11.28515625" style="182" bestFit="1" customWidth="1"/>
    <col min="2064" max="2066" width="10.7109375" style="182" bestFit="1" customWidth="1"/>
    <col min="2067" max="2305" width="8.7109375" style="182"/>
    <col min="2306" max="2306" width="11.42578125" style="182" bestFit="1" customWidth="1"/>
    <col min="2307" max="2307" width="14" style="182" customWidth="1"/>
    <col min="2308" max="2308" width="12.7109375" style="182" bestFit="1" customWidth="1"/>
    <col min="2309" max="2309" width="10" style="182" customWidth="1"/>
    <col min="2310" max="2310" width="10.42578125" style="182" customWidth="1"/>
    <col min="2311" max="2311" width="11" style="182" customWidth="1"/>
    <col min="2312" max="2312" width="8.7109375" style="182"/>
    <col min="2313" max="2319" width="11.28515625" style="182" bestFit="1" customWidth="1"/>
    <col min="2320" max="2322" width="10.7109375" style="182" bestFit="1" customWidth="1"/>
    <col min="2323" max="2561" width="8.7109375" style="182"/>
    <col min="2562" max="2562" width="11.42578125" style="182" bestFit="1" customWidth="1"/>
    <col min="2563" max="2563" width="14" style="182" customWidth="1"/>
    <col min="2564" max="2564" width="12.7109375" style="182" bestFit="1" customWidth="1"/>
    <col min="2565" max="2565" width="10" style="182" customWidth="1"/>
    <col min="2566" max="2566" width="10.42578125" style="182" customWidth="1"/>
    <col min="2567" max="2567" width="11" style="182" customWidth="1"/>
    <col min="2568" max="2568" width="8.7109375" style="182"/>
    <col min="2569" max="2575" width="11.28515625" style="182" bestFit="1" customWidth="1"/>
    <col min="2576" max="2578" width="10.7109375" style="182" bestFit="1" customWidth="1"/>
    <col min="2579" max="2817" width="8.7109375" style="182"/>
    <col min="2818" max="2818" width="11.42578125" style="182" bestFit="1" customWidth="1"/>
    <col min="2819" max="2819" width="14" style="182" customWidth="1"/>
    <col min="2820" max="2820" width="12.7109375" style="182" bestFit="1" customWidth="1"/>
    <col min="2821" max="2821" width="10" style="182" customWidth="1"/>
    <col min="2822" max="2822" width="10.42578125" style="182" customWidth="1"/>
    <col min="2823" max="2823" width="11" style="182" customWidth="1"/>
    <col min="2824" max="2824" width="8.7109375" style="182"/>
    <col min="2825" max="2831" width="11.28515625" style="182" bestFit="1" customWidth="1"/>
    <col min="2832" max="2834" width="10.7109375" style="182" bestFit="1" customWidth="1"/>
    <col min="2835" max="3073" width="8.7109375" style="182"/>
    <col min="3074" max="3074" width="11.42578125" style="182" bestFit="1" customWidth="1"/>
    <col min="3075" max="3075" width="14" style="182" customWidth="1"/>
    <col min="3076" max="3076" width="12.7109375" style="182" bestFit="1" customWidth="1"/>
    <col min="3077" max="3077" width="10" style="182" customWidth="1"/>
    <col min="3078" max="3078" width="10.42578125" style="182" customWidth="1"/>
    <col min="3079" max="3079" width="11" style="182" customWidth="1"/>
    <col min="3080" max="3080" width="8.7109375" style="182"/>
    <col min="3081" max="3087" width="11.28515625" style="182" bestFit="1" customWidth="1"/>
    <col min="3088" max="3090" width="10.7109375" style="182" bestFit="1" customWidth="1"/>
    <col min="3091" max="3329" width="8.7109375" style="182"/>
    <col min="3330" max="3330" width="11.42578125" style="182" bestFit="1" customWidth="1"/>
    <col min="3331" max="3331" width="14" style="182" customWidth="1"/>
    <col min="3332" max="3332" width="12.7109375" style="182" bestFit="1" customWidth="1"/>
    <col min="3333" max="3333" width="10" style="182" customWidth="1"/>
    <col min="3334" max="3334" width="10.42578125" style="182" customWidth="1"/>
    <col min="3335" max="3335" width="11" style="182" customWidth="1"/>
    <col min="3336" max="3336" width="8.7109375" style="182"/>
    <col min="3337" max="3343" width="11.28515625" style="182" bestFit="1" customWidth="1"/>
    <col min="3344" max="3346" width="10.7109375" style="182" bestFit="1" customWidth="1"/>
    <col min="3347" max="3585" width="8.7109375" style="182"/>
    <col min="3586" max="3586" width="11.42578125" style="182" bestFit="1" customWidth="1"/>
    <col min="3587" max="3587" width="14" style="182" customWidth="1"/>
    <col min="3588" max="3588" width="12.7109375" style="182" bestFit="1" customWidth="1"/>
    <col min="3589" max="3589" width="10" style="182" customWidth="1"/>
    <col min="3590" max="3590" width="10.42578125" style="182" customWidth="1"/>
    <col min="3591" max="3591" width="11" style="182" customWidth="1"/>
    <col min="3592" max="3592" width="8.7109375" style="182"/>
    <col min="3593" max="3599" width="11.28515625" style="182" bestFit="1" customWidth="1"/>
    <col min="3600" max="3602" width="10.7109375" style="182" bestFit="1" customWidth="1"/>
    <col min="3603" max="3841" width="8.7109375" style="182"/>
    <col min="3842" max="3842" width="11.42578125" style="182" bestFit="1" customWidth="1"/>
    <col min="3843" max="3843" width="14" style="182" customWidth="1"/>
    <col min="3844" max="3844" width="12.7109375" style="182" bestFit="1" customWidth="1"/>
    <col min="3845" max="3845" width="10" style="182" customWidth="1"/>
    <col min="3846" max="3846" width="10.42578125" style="182" customWidth="1"/>
    <col min="3847" max="3847" width="11" style="182" customWidth="1"/>
    <col min="3848" max="3848" width="8.7109375" style="182"/>
    <col min="3849" max="3855" width="11.28515625" style="182" bestFit="1" customWidth="1"/>
    <col min="3856" max="3858" width="10.7109375" style="182" bestFit="1" customWidth="1"/>
    <col min="3859" max="4097" width="8.7109375" style="182"/>
    <col min="4098" max="4098" width="11.42578125" style="182" bestFit="1" customWidth="1"/>
    <col min="4099" max="4099" width="14" style="182" customWidth="1"/>
    <col min="4100" max="4100" width="12.7109375" style="182" bestFit="1" customWidth="1"/>
    <col min="4101" max="4101" width="10" style="182" customWidth="1"/>
    <col min="4102" max="4102" width="10.42578125" style="182" customWidth="1"/>
    <col min="4103" max="4103" width="11" style="182" customWidth="1"/>
    <col min="4104" max="4104" width="8.7109375" style="182"/>
    <col min="4105" max="4111" width="11.28515625" style="182" bestFit="1" customWidth="1"/>
    <col min="4112" max="4114" width="10.7109375" style="182" bestFit="1" customWidth="1"/>
    <col min="4115" max="4353" width="8.7109375" style="182"/>
    <col min="4354" max="4354" width="11.42578125" style="182" bestFit="1" customWidth="1"/>
    <col min="4355" max="4355" width="14" style="182" customWidth="1"/>
    <col min="4356" max="4356" width="12.7109375" style="182" bestFit="1" customWidth="1"/>
    <col min="4357" max="4357" width="10" style="182" customWidth="1"/>
    <col min="4358" max="4358" width="10.42578125" style="182" customWidth="1"/>
    <col min="4359" max="4359" width="11" style="182" customWidth="1"/>
    <col min="4360" max="4360" width="8.7109375" style="182"/>
    <col min="4361" max="4367" width="11.28515625" style="182" bestFit="1" customWidth="1"/>
    <col min="4368" max="4370" width="10.7109375" style="182" bestFit="1" customWidth="1"/>
    <col min="4371" max="4609" width="8.7109375" style="182"/>
    <col min="4610" max="4610" width="11.42578125" style="182" bestFit="1" customWidth="1"/>
    <col min="4611" max="4611" width="14" style="182" customWidth="1"/>
    <col min="4612" max="4612" width="12.7109375" style="182" bestFit="1" customWidth="1"/>
    <col min="4613" max="4613" width="10" style="182" customWidth="1"/>
    <col min="4614" max="4614" width="10.42578125" style="182" customWidth="1"/>
    <col min="4615" max="4615" width="11" style="182" customWidth="1"/>
    <col min="4616" max="4616" width="8.7109375" style="182"/>
    <col min="4617" max="4623" width="11.28515625" style="182" bestFit="1" customWidth="1"/>
    <col min="4624" max="4626" width="10.7109375" style="182" bestFit="1" customWidth="1"/>
    <col min="4627" max="4865" width="8.7109375" style="182"/>
    <col min="4866" max="4866" width="11.42578125" style="182" bestFit="1" customWidth="1"/>
    <col min="4867" max="4867" width="14" style="182" customWidth="1"/>
    <col min="4868" max="4868" width="12.7109375" style="182" bestFit="1" customWidth="1"/>
    <col min="4869" max="4869" width="10" style="182" customWidth="1"/>
    <col min="4870" max="4870" width="10.42578125" style="182" customWidth="1"/>
    <col min="4871" max="4871" width="11" style="182" customWidth="1"/>
    <col min="4872" max="4872" width="8.7109375" style="182"/>
    <col min="4873" max="4879" width="11.28515625" style="182" bestFit="1" customWidth="1"/>
    <col min="4880" max="4882" width="10.7109375" style="182" bestFit="1" customWidth="1"/>
    <col min="4883" max="5121" width="8.7109375" style="182"/>
    <col min="5122" max="5122" width="11.42578125" style="182" bestFit="1" customWidth="1"/>
    <col min="5123" max="5123" width="14" style="182" customWidth="1"/>
    <col min="5124" max="5124" width="12.7109375" style="182" bestFit="1" customWidth="1"/>
    <col min="5125" max="5125" width="10" style="182" customWidth="1"/>
    <col min="5126" max="5126" width="10.42578125" style="182" customWidth="1"/>
    <col min="5127" max="5127" width="11" style="182" customWidth="1"/>
    <col min="5128" max="5128" width="8.7109375" style="182"/>
    <col min="5129" max="5135" width="11.28515625" style="182" bestFit="1" customWidth="1"/>
    <col min="5136" max="5138" width="10.7109375" style="182" bestFit="1" customWidth="1"/>
    <col min="5139" max="5377" width="8.7109375" style="182"/>
    <col min="5378" max="5378" width="11.42578125" style="182" bestFit="1" customWidth="1"/>
    <col min="5379" max="5379" width="14" style="182" customWidth="1"/>
    <col min="5380" max="5380" width="12.7109375" style="182" bestFit="1" customWidth="1"/>
    <col min="5381" max="5381" width="10" style="182" customWidth="1"/>
    <col min="5382" max="5382" width="10.42578125" style="182" customWidth="1"/>
    <col min="5383" max="5383" width="11" style="182" customWidth="1"/>
    <col min="5384" max="5384" width="8.7109375" style="182"/>
    <col min="5385" max="5391" width="11.28515625" style="182" bestFit="1" customWidth="1"/>
    <col min="5392" max="5394" width="10.7109375" style="182" bestFit="1" customWidth="1"/>
    <col min="5395" max="5633" width="8.7109375" style="182"/>
    <col min="5634" max="5634" width="11.42578125" style="182" bestFit="1" customWidth="1"/>
    <col min="5635" max="5635" width="14" style="182" customWidth="1"/>
    <col min="5636" max="5636" width="12.7109375" style="182" bestFit="1" customWidth="1"/>
    <col min="5637" max="5637" width="10" style="182" customWidth="1"/>
    <col min="5638" max="5638" width="10.42578125" style="182" customWidth="1"/>
    <col min="5639" max="5639" width="11" style="182" customWidth="1"/>
    <col min="5640" max="5640" width="8.7109375" style="182"/>
    <col min="5641" max="5647" width="11.28515625" style="182" bestFit="1" customWidth="1"/>
    <col min="5648" max="5650" width="10.7109375" style="182" bestFit="1" customWidth="1"/>
    <col min="5651" max="5889" width="8.7109375" style="182"/>
    <col min="5890" max="5890" width="11.42578125" style="182" bestFit="1" customWidth="1"/>
    <col min="5891" max="5891" width="14" style="182" customWidth="1"/>
    <col min="5892" max="5892" width="12.7109375" style="182" bestFit="1" customWidth="1"/>
    <col min="5893" max="5893" width="10" style="182" customWidth="1"/>
    <col min="5894" max="5894" width="10.42578125" style="182" customWidth="1"/>
    <col min="5895" max="5895" width="11" style="182" customWidth="1"/>
    <col min="5896" max="5896" width="8.7109375" style="182"/>
    <col min="5897" max="5903" width="11.28515625" style="182" bestFit="1" customWidth="1"/>
    <col min="5904" max="5906" width="10.7109375" style="182" bestFit="1" customWidth="1"/>
    <col min="5907" max="6145" width="8.7109375" style="182"/>
    <col min="6146" max="6146" width="11.42578125" style="182" bestFit="1" customWidth="1"/>
    <col min="6147" max="6147" width="14" style="182" customWidth="1"/>
    <col min="6148" max="6148" width="12.7109375" style="182" bestFit="1" customWidth="1"/>
    <col min="6149" max="6149" width="10" style="182" customWidth="1"/>
    <col min="6150" max="6150" width="10.42578125" style="182" customWidth="1"/>
    <col min="6151" max="6151" width="11" style="182" customWidth="1"/>
    <col min="6152" max="6152" width="8.7109375" style="182"/>
    <col min="6153" max="6159" width="11.28515625" style="182" bestFit="1" customWidth="1"/>
    <col min="6160" max="6162" width="10.7109375" style="182" bestFit="1" customWidth="1"/>
    <col min="6163" max="6401" width="8.7109375" style="182"/>
    <col min="6402" max="6402" width="11.42578125" style="182" bestFit="1" customWidth="1"/>
    <col min="6403" max="6403" width="14" style="182" customWidth="1"/>
    <col min="6404" max="6404" width="12.7109375" style="182" bestFit="1" customWidth="1"/>
    <col min="6405" max="6405" width="10" style="182" customWidth="1"/>
    <col min="6406" max="6406" width="10.42578125" style="182" customWidth="1"/>
    <col min="6407" max="6407" width="11" style="182" customWidth="1"/>
    <col min="6408" max="6408" width="8.7109375" style="182"/>
    <col min="6409" max="6415" width="11.28515625" style="182" bestFit="1" customWidth="1"/>
    <col min="6416" max="6418" width="10.7109375" style="182" bestFit="1" customWidth="1"/>
    <col min="6419" max="6657" width="8.7109375" style="182"/>
    <col min="6658" max="6658" width="11.42578125" style="182" bestFit="1" customWidth="1"/>
    <col min="6659" max="6659" width="14" style="182" customWidth="1"/>
    <col min="6660" max="6660" width="12.7109375" style="182" bestFit="1" customWidth="1"/>
    <col min="6661" max="6661" width="10" style="182" customWidth="1"/>
    <col min="6662" max="6662" width="10.42578125" style="182" customWidth="1"/>
    <col min="6663" max="6663" width="11" style="182" customWidth="1"/>
    <col min="6664" max="6664" width="8.7109375" style="182"/>
    <col min="6665" max="6671" width="11.28515625" style="182" bestFit="1" customWidth="1"/>
    <col min="6672" max="6674" width="10.7109375" style="182" bestFit="1" customWidth="1"/>
    <col min="6675" max="6913" width="8.7109375" style="182"/>
    <col min="6914" max="6914" width="11.42578125" style="182" bestFit="1" customWidth="1"/>
    <col min="6915" max="6915" width="14" style="182" customWidth="1"/>
    <col min="6916" max="6916" width="12.7109375" style="182" bestFit="1" customWidth="1"/>
    <col min="6917" max="6917" width="10" style="182" customWidth="1"/>
    <col min="6918" max="6918" width="10.42578125" style="182" customWidth="1"/>
    <col min="6919" max="6919" width="11" style="182" customWidth="1"/>
    <col min="6920" max="6920" width="8.7109375" style="182"/>
    <col min="6921" max="6927" width="11.28515625" style="182" bestFit="1" customWidth="1"/>
    <col min="6928" max="6930" width="10.7109375" style="182" bestFit="1" customWidth="1"/>
    <col min="6931" max="7169" width="8.7109375" style="182"/>
    <col min="7170" max="7170" width="11.42578125" style="182" bestFit="1" customWidth="1"/>
    <col min="7171" max="7171" width="14" style="182" customWidth="1"/>
    <col min="7172" max="7172" width="12.7109375" style="182" bestFit="1" customWidth="1"/>
    <col min="7173" max="7173" width="10" style="182" customWidth="1"/>
    <col min="7174" max="7174" width="10.42578125" style="182" customWidth="1"/>
    <col min="7175" max="7175" width="11" style="182" customWidth="1"/>
    <col min="7176" max="7176" width="8.7109375" style="182"/>
    <col min="7177" max="7183" width="11.28515625" style="182" bestFit="1" customWidth="1"/>
    <col min="7184" max="7186" width="10.7109375" style="182" bestFit="1" customWidth="1"/>
    <col min="7187" max="7425" width="8.7109375" style="182"/>
    <col min="7426" max="7426" width="11.42578125" style="182" bestFit="1" customWidth="1"/>
    <col min="7427" max="7427" width="14" style="182" customWidth="1"/>
    <col min="7428" max="7428" width="12.7109375" style="182" bestFit="1" customWidth="1"/>
    <col min="7429" max="7429" width="10" style="182" customWidth="1"/>
    <col min="7430" max="7430" width="10.42578125" style="182" customWidth="1"/>
    <col min="7431" max="7431" width="11" style="182" customWidth="1"/>
    <col min="7432" max="7432" width="8.7109375" style="182"/>
    <col min="7433" max="7439" width="11.28515625" style="182" bestFit="1" customWidth="1"/>
    <col min="7440" max="7442" width="10.7109375" style="182" bestFit="1" customWidth="1"/>
    <col min="7443" max="7681" width="8.7109375" style="182"/>
    <col min="7682" max="7682" width="11.42578125" style="182" bestFit="1" customWidth="1"/>
    <col min="7683" max="7683" width="14" style="182" customWidth="1"/>
    <col min="7684" max="7684" width="12.7109375" style="182" bestFit="1" customWidth="1"/>
    <col min="7685" max="7685" width="10" style="182" customWidth="1"/>
    <col min="7686" max="7686" width="10.42578125" style="182" customWidth="1"/>
    <col min="7687" max="7687" width="11" style="182" customWidth="1"/>
    <col min="7688" max="7688" width="8.7109375" style="182"/>
    <col min="7689" max="7695" width="11.28515625" style="182" bestFit="1" customWidth="1"/>
    <col min="7696" max="7698" width="10.7109375" style="182" bestFit="1" customWidth="1"/>
    <col min="7699" max="7937" width="8.7109375" style="182"/>
    <col min="7938" max="7938" width="11.42578125" style="182" bestFit="1" customWidth="1"/>
    <col min="7939" max="7939" width="14" style="182" customWidth="1"/>
    <col min="7940" max="7940" width="12.7109375" style="182" bestFit="1" customWidth="1"/>
    <col min="7941" max="7941" width="10" style="182" customWidth="1"/>
    <col min="7942" max="7942" width="10.42578125" style="182" customWidth="1"/>
    <col min="7943" max="7943" width="11" style="182" customWidth="1"/>
    <col min="7944" max="7944" width="8.7109375" style="182"/>
    <col min="7945" max="7951" width="11.28515625" style="182" bestFit="1" customWidth="1"/>
    <col min="7952" max="7954" width="10.7109375" style="182" bestFit="1" customWidth="1"/>
    <col min="7955" max="8193" width="8.7109375" style="182"/>
    <col min="8194" max="8194" width="11.42578125" style="182" bestFit="1" customWidth="1"/>
    <col min="8195" max="8195" width="14" style="182" customWidth="1"/>
    <col min="8196" max="8196" width="12.7109375" style="182" bestFit="1" customWidth="1"/>
    <col min="8197" max="8197" width="10" style="182" customWidth="1"/>
    <col min="8198" max="8198" width="10.42578125" style="182" customWidth="1"/>
    <col min="8199" max="8199" width="11" style="182" customWidth="1"/>
    <col min="8200" max="8200" width="8.7109375" style="182"/>
    <col min="8201" max="8207" width="11.28515625" style="182" bestFit="1" customWidth="1"/>
    <col min="8208" max="8210" width="10.7109375" style="182" bestFit="1" customWidth="1"/>
    <col min="8211" max="8449" width="8.7109375" style="182"/>
    <col min="8450" max="8450" width="11.42578125" style="182" bestFit="1" customWidth="1"/>
    <col min="8451" max="8451" width="14" style="182" customWidth="1"/>
    <col min="8452" max="8452" width="12.7109375" style="182" bestFit="1" customWidth="1"/>
    <col min="8453" max="8453" width="10" style="182" customWidth="1"/>
    <col min="8454" max="8454" width="10.42578125" style="182" customWidth="1"/>
    <col min="8455" max="8455" width="11" style="182" customWidth="1"/>
    <col min="8456" max="8456" width="8.7109375" style="182"/>
    <col min="8457" max="8463" width="11.28515625" style="182" bestFit="1" customWidth="1"/>
    <col min="8464" max="8466" width="10.7109375" style="182" bestFit="1" customWidth="1"/>
    <col min="8467" max="8705" width="8.7109375" style="182"/>
    <col min="8706" max="8706" width="11.42578125" style="182" bestFit="1" customWidth="1"/>
    <col min="8707" max="8707" width="14" style="182" customWidth="1"/>
    <col min="8708" max="8708" width="12.7109375" style="182" bestFit="1" customWidth="1"/>
    <col min="8709" max="8709" width="10" style="182" customWidth="1"/>
    <col min="8710" max="8710" width="10.42578125" style="182" customWidth="1"/>
    <col min="8711" max="8711" width="11" style="182" customWidth="1"/>
    <col min="8712" max="8712" width="8.7109375" style="182"/>
    <col min="8713" max="8719" width="11.28515625" style="182" bestFit="1" customWidth="1"/>
    <col min="8720" max="8722" width="10.7109375" style="182" bestFit="1" customWidth="1"/>
    <col min="8723" max="8961" width="8.7109375" style="182"/>
    <col min="8962" max="8962" width="11.42578125" style="182" bestFit="1" customWidth="1"/>
    <col min="8963" max="8963" width="14" style="182" customWidth="1"/>
    <col min="8964" max="8964" width="12.7109375" style="182" bestFit="1" customWidth="1"/>
    <col min="8965" max="8965" width="10" style="182" customWidth="1"/>
    <col min="8966" max="8966" width="10.42578125" style="182" customWidth="1"/>
    <col min="8967" max="8967" width="11" style="182" customWidth="1"/>
    <col min="8968" max="8968" width="8.7109375" style="182"/>
    <col min="8969" max="8975" width="11.28515625" style="182" bestFit="1" customWidth="1"/>
    <col min="8976" max="8978" width="10.7109375" style="182" bestFit="1" customWidth="1"/>
    <col min="8979" max="9217" width="8.7109375" style="182"/>
    <col min="9218" max="9218" width="11.42578125" style="182" bestFit="1" customWidth="1"/>
    <col min="9219" max="9219" width="14" style="182" customWidth="1"/>
    <col min="9220" max="9220" width="12.7109375" style="182" bestFit="1" customWidth="1"/>
    <col min="9221" max="9221" width="10" style="182" customWidth="1"/>
    <col min="9222" max="9222" width="10.42578125" style="182" customWidth="1"/>
    <col min="9223" max="9223" width="11" style="182" customWidth="1"/>
    <col min="9224" max="9224" width="8.7109375" style="182"/>
    <col min="9225" max="9231" width="11.28515625" style="182" bestFit="1" customWidth="1"/>
    <col min="9232" max="9234" width="10.7109375" style="182" bestFit="1" customWidth="1"/>
    <col min="9235" max="9473" width="8.7109375" style="182"/>
    <col min="9474" max="9474" width="11.42578125" style="182" bestFit="1" customWidth="1"/>
    <col min="9475" max="9475" width="14" style="182" customWidth="1"/>
    <col min="9476" max="9476" width="12.7109375" style="182" bestFit="1" customWidth="1"/>
    <col min="9477" max="9477" width="10" style="182" customWidth="1"/>
    <col min="9478" max="9478" width="10.42578125" style="182" customWidth="1"/>
    <col min="9479" max="9479" width="11" style="182" customWidth="1"/>
    <col min="9480" max="9480" width="8.7109375" style="182"/>
    <col min="9481" max="9487" width="11.28515625" style="182" bestFit="1" customWidth="1"/>
    <col min="9488" max="9490" width="10.7109375" style="182" bestFit="1" customWidth="1"/>
    <col min="9491" max="9729" width="8.7109375" style="182"/>
    <col min="9730" max="9730" width="11.42578125" style="182" bestFit="1" customWidth="1"/>
    <col min="9731" max="9731" width="14" style="182" customWidth="1"/>
    <col min="9732" max="9732" width="12.7109375" style="182" bestFit="1" customWidth="1"/>
    <col min="9733" max="9733" width="10" style="182" customWidth="1"/>
    <col min="9734" max="9734" width="10.42578125" style="182" customWidth="1"/>
    <col min="9735" max="9735" width="11" style="182" customWidth="1"/>
    <col min="9736" max="9736" width="8.7109375" style="182"/>
    <col min="9737" max="9743" width="11.28515625" style="182" bestFit="1" customWidth="1"/>
    <col min="9744" max="9746" width="10.7109375" style="182" bestFit="1" customWidth="1"/>
    <col min="9747" max="9985" width="8.7109375" style="182"/>
    <col min="9986" max="9986" width="11.42578125" style="182" bestFit="1" customWidth="1"/>
    <col min="9987" max="9987" width="14" style="182" customWidth="1"/>
    <col min="9988" max="9988" width="12.7109375" style="182" bestFit="1" customWidth="1"/>
    <col min="9989" max="9989" width="10" style="182" customWidth="1"/>
    <col min="9990" max="9990" width="10.42578125" style="182" customWidth="1"/>
    <col min="9991" max="9991" width="11" style="182" customWidth="1"/>
    <col min="9992" max="9992" width="8.7109375" style="182"/>
    <col min="9993" max="9999" width="11.28515625" style="182" bestFit="1" customWidth="1"/>
    <col min="10000" max="10002" width="10.7109375" style="182" bestFit="1" customWidth="1"/>
    <col min="10003" max="10241" width="8.7109375" style="182"/>
    <col min="10242" max="10242" width="11.42578125" style="182" bestFit="1" customWidth="1"/>
    <col min="10243" max="10243" width="14" style="182" customWidth="1"/>
    <col min="10244" max="10244" width="12.7109375" style="182" bestFit="1" customWidth="1"/>
    <col min="10245" max="10245" width="10" style="182" customWidth="1"/>
    <col min="10246" max="10246" width="10.42578125" style="182" customWidth="1"/>
    <col min="10247" max="10247" width="11" style="182" customWidth="1"/>
    <col min="10248" max="10248" width="8.7109375" style="182"/>
    <col min="10249" max="10255" width="11.28515625" style="182" bestFit="1" customWidth="1"/>
    <col min="10256" max="10258" width="10.7109375" style="182" bestFit="1" customWidth="1"/>
    <col min="10259" max="10497" width="8.7109375" style="182"/>
    <col min="10498" max="10498" width="11.42578125" style="182" bestFit="1" customWidth="1"/>
    <col min="10499" max="10499" width="14" style="182" customWidth="1"/>
    <col min="10500" max="10500" width="12.7109375" style="182" bestFit="1" customWidth="1"/>
    <col min="10501" max="10501" width="10" style="182" customWidth="1"/>
    <col min="10502" max="10502" width="10.42578125" style="182" customWidth="1"/>
    <col min="10503" max="10503" width="11" style="182" customWidth="1"/>
    <col min="10504" max="10504" width="8.7109375" style="182"/>
    <col min="10505" max="10511" width="11.28515625" style="182" bestFit="1" customWidth="1"/>
    <col min="10512" max="10514" width="10.7109375" style="182" bestFit="1" customWidth="1"/>
    <col min="10515" max="10753" width="8.7109375" style="182"/>
    <col min="10754" max="10754" width="11.42578125" style="182" bestFit="1" customWidth="1"/>
    <col min="10755" max="10755" width="14" style="182" customWidth="1"/>
    <col min="10756" max="10756" width="12.7109375" style="182" bestFit="1" customWidth="1"/>
    <col min="10757" max="10757" width="10" style="182" customWidth="1"/>
    <col min="10758" max="10758" width="10.42578125" style="182" customWidth="1"/>
    <col min="10759" max="10759" width="11" style="182" customWidth="1"/>
    <col min="10760" max="10760" width="8.7109375" style="182"/>
    <col min="10761" max="10767" width="11.28515625" style="182" bestFit="1" customWidth="1"/>
    <col min="10768" max="10770" width="10.7109375" style="182" bestFit="1" customWidth="1"/>
    <col min="10771" max="11009" width="8.7109375" style="182"/>
    <col min="11010" max="11010" width="11.42578125" style="182" bestFit="1" customWidth="1"/>
    <col min="11011" max="11011" width="14" style="182" customWidth="1"/>
    <col min="11012" max="11012" width="12.7109375" style="182" bestFit="1" customWidth="1"/>
    <col min="11013" max="11013" width="10" style="182" customWidth="1"/>
    <col min="11014" max="11014" width="10.42578125" style="182" customWidth="1"/>
    <col min="11015" max="11015" width="11" style="182" customWidth="1"/>
    <col min="11016" max="11016" width="8.7109375" style="182"/>
    <col min="11017" max="11023" width="11.28515625" style="182" bestFit="1" customWidth="1"/>
    <col min="11024" max="11026" width="10.7109375" style="182" bestFit="1" customWidth="1"/>
    <col min="11027" max="11265" width="8.7109375" style="182"/>
    <col min="11266" max="11266" width="11.42578125" style="182" bestFit="1" customWidth="1"/>
    <col min="11267" max="11267" width="14" style="182" customWidth="1"/>
    <col min="11268" max="11268" width="12.7109375" style="182" bestFit="1" customWidth="1"/>
    <col min="11269" max="11269" width="10" style="182" customWidth="1"/>
    <col min="11270" max="11270" width="10.42578125" style="182" customWidth="1"/>
    <col min="11271" max="11271" width="11" style="182" customWidth="1"/>
    <col min="11272" max="11272" width="8.7109375" style="182"/>
    <col min="11273" max="11279" width="11.28515625" style="182" bestFit="1" customWidth="1"/>
    <col min="11280" max="11282" width="10.7109375" style="182" bestFit="1" customWidth="1"/>
    <col min="11283" max="11521" width="8.7109375" style="182"/>
    <col min="11522" max="11522" width="11.42578125" style="182" bestFit="1" customWidth="1"/>
    <col min="11523" max="11523" width="14" style="182" customWidth="1"/>
    <col min="11524" max="11524" width="12.7109375" style="182" bestFit="1" customWidth="1"/>
    <col min="11525" max="11525" width="10" style="182" customWidth="1"/>
    <col min="11526" max="11526" width="10.42578125" style="182" customWidth="1"/>
    <col min="11527" max="11527" width="11" style="182" customWidth="1"/>
    <col min="11528" max="11528" width="8.7109375" style="182"/>
    <col min="11529" max="11535" width="11.28515625" style="182" bestFit="1" customWidth="1"/>
    <col min="11536" max="11538" width="10.7109375" style="182" bestFit="1" customWidth="1"/>
    <col min="11539" max="11777" width="8.7109375" style="182"/>
    <col min="11778" max="11778" width="11.42578125" style="182" bestFit="1" customWidth="1"/>
    <col min="11779" max="11779" width="14" style="182" customWidth="1"/>
    <col min="11780" max="11780" width="12.7109375" style="182" bestFit="1" customWidth="1"/>
    <col min="11781" max="11781" width="10" style="182" customWidth="1"/>
    <col min="11782" max="11782" width="10.42578125" style="182" customWidth="1"/>
    <col min="11783" max="11783" width="11" style="182" customWidth="1"/>
    <col min="11784" max="11784" width="8.7109375" style="182"/>
    <col min="11785" max="11791" width="11.28515625" style="182" bestFit="1" customWidth="1"/>
    <col min="11792" max="11794" width="10.7109375" style="182" bestFit="1" customWidth="1"/>
    <col min="11795" max="12033" width="8.7109375" style="182"/>
    <col min="12034" max="12034" width="11.42578125" style="182" bestFit="1" customWidth="1"/>
    <col min="12035" max="12035" width="14" style="182" customWidth="1"/>
    <col min="12036" max="12036" width="12.7109375" style="182" bestFit="1" customWidth="1"/>
    <col min="12037" max="12037" width="10" style="182" customWidth="1"/>
    <col min="12038" max="12038" width="10.42578125" style="182" customWidth="1"/>
    <col min="12039" max="12039" width="11" style="182" customWidth="1"/>
    <col min="12040" max="12040" width="8.7109375" style="182"/>
    <col min="12041" max="12047" width="11.28515625" style="182" bestFit="1" customWidth="1"/>
    <col min="12048" max="12050" width="10.7109375" style="182" bestFit="1" customWidth="1"/>
    <col min="12051" max="12289" width="8.7109375" style="182"/>
    <col min="12290" max="12290" width="11.42578125" style="182" bestFit="1" customWidth="1"/>
    <col min="12291" max="12291" width="14" style="182" customWidth="1"/>
    <col min="12292" max="12292" width="12.7109375" style="182" bestFit="1" customWidth="1"/>
    <col min="12293" max="12293" width="10" style="182" customWidth="1"/>
    <col min="12294" max="12294" width="10.42578125" style="182" customWidth="1"/>
    <col min="12295" max="12295" width="11" style="182" customWidth="1"/>
    <col min="12296" max="12296" width="8.7109375" style="182"/>
    <col min="12297" max="12303" width="11.28515625" style="182" bestFit="1" customWidth="1"/>
    <col min="12304" max="12306" width="10.7109375" style="182" bestFit="1" customWidth="1"/>
    <col min="12307" max="12545" width="8.7109375" style="182"/>
    <col min="12546" max="12546" width="11.42578125" style="182" bestFit="1" customWidth="1"/>
    <col min="12547" max="12547" width="14" style="182" customWidth="1"/>
    <col min="12548" max="12548" width="12.7109375" style="182" bestFit="1" customWidth="1"/>
    <col min="12549" max="12549" width="10" style="182" customWidth="1"/>
    <col min="12550" max="12550" width="10.42578125" style="182" customWidth="1"/>
    <col min="12551" max="12551" width="11" style="182" customWidth="1"/>
    <col min="12552" max="12552" width="8.7109375" style="182"/>
    <col min="12553" max="12559" width="11.28515625" style="182" bestFit="1" customWidth="1"/>
    <col min="12560" max="12562" width="10.7109375" style="182" bestFit="1" customWidth="1"/>
    <col min="12563" max="12801" width="8.7109375" style="182"/>
    <col min="12802" max="12802" width="11.42578125" style="182" bestFit="1" customWidth="1"/>
    <col min="12803" max="12803" width="14" style="182" customWidth="1"/>
    <col min="12804" max="12804" width="12.7109375" style="182" bestFit="1" customWidth="1"/>
    <col min="12805" max="12805" width="10" style="182" customWidth="1"/>
    <col min="12806" max="12806" width="10.42578125" style="182" customWidth="1"/>
    <col min="12807" max="12807" width="11" style="182" customWidth="1"/>
    <col min="12808" max="12808" width="8.7109375" style="182"/>
    <col min="12809" max="12815" width="11.28515625" style="182" bestFit="1" customWidth="1"/>
    <col min="12816" max="12818" width="10.7109375" style="182" bestFit="1" customWidth="1"/>
    <col min="12819" max="13057" width="8.7109375" style="182"/>
    <col min="13058" max="13058" width="11.42578125" style="182" bestFit="1" customWidth="1"/>
    <col min="13059" max="13059" width="14" style="182" customWidth="1"/>
    <col min="13060" max="13060" width="12.7109375" style="182" bestFit="1" customWidth="1"/>
    <col min="13061" max="13061" width="10" style="182" customWidth="1"/>
    <col min="13062" max="13062" width="10.42578125" style="182" customWidth="1"/>
    <col min="13063" max="13063" width="11" style="182" customWidth="1"/>
    <col min="13064" max="13064" width="8.7109375" style="182"/>
    <col min="13065" max="13071" width="11.28515625" style="182" bestFit="1" customWidth="1"/>
    <col min="13072" max="13074" width="10.7109375" style="182" bestFit="1" customWidth="1"/>
    <col min="13075" max="13313" width="8.7109375" style="182"/>
    <col min="13314" max="13314" width="11.42578125" style="182" bestFit="1" customWidth="1"/>
    <col min="13315" max="13315" width="14" style="182" customWidth="1"/>
    <col min="13316" max="13316" width="12.7109375" style="182" bestFit="1" customWidth="1"/>
    <col min="13317" max="13317" width="10" style="182" customWidth="1"/>
    <col min="13318" max="13318" width="10.42578125" style="182" customWidth="1"/>
    <col min="13319" max="13319" width="11" style="182" customWidth="1"/>
    <col min="13320" max="13320" width="8.7109375" style="182"/>
    <col min="13321" max="13327" width="11.28515625" style="182" bestFit="1" customWidth="1"/>
    <col min="13328" max="13330" width="10.7109375" style="182" bestFit="1" customWidth="1"/>
    <col min="13331" max="13569" width="8.7109375" style="182"/>
    <col min="13570" max="13570" width="11.42578125" style="182" bestFit="1" customWidth="1"/>
    <col min="13571" max="13571" width="14" style="182" customWidth="1"/>
    <col min="13572" max="13572" width="12.7109375" style="182" bestFit="1" customWidth="1"/>
    <col min="13573" max="13573" width="10" style="182" customWidth="1"/>
    <col min="13574" max="13574" width="10.42578125" style="182" customWidth="1"/>
    <col min="13575" max="13575" width="11" style="182" customWidth="1"/>
    <col min="13576" max="13576" width="8.7109375" style="182"/>
    <col min="13577" max="13583" width="11.28515625" style="182" bestFit="1" customWidth="1"/>
    <col min="13584" max="13586" width="10.7109375" style="182" bestFit="1" customWidth="1"/>
    <col min="13587" max="13825" width="8.7109375" style="182"/>
    <col min="13826" max="13826" width="11.42578125" style="182" bestFit="1" customWidth="1"/>
    <col min="13827" max="13827" width="14" style="182" customWidth="1"/>
    <col min="13828" max="13828" width="12.7109375" style="182" bestFit="1" customWidth="1"/>
    <col min="13829" max="13829" width="10" style="182" customWidth="1"/>
    <col min="13830" max="13830" width="10.42578125" style="182" customWidth="1"/>
    <col min="13831" max="13831" width="11" style="182" customWidth="1"/>
    <col min="13832" max="13832" width="8.7109375" style="182"/>
    <col min="13833" max="13839" width="11.28515625" style="182" bestFit="1" customWidth="1"/>
    <col min="13840" max="13842" width="10.7109375" style="182" bestFit="1" customWidth="1"/>
    <col min="13843" max="14081" width="8.7109375" style="182"/>
    <col min="14082" max="14082" width="11.42578125" style="182" bestFit="1" customWidth="1"/>
    <col min="14083" max="14083" width="14" style="182" customWidth="1"/>
    <col min="14084" max="14084" width="12.7109375" style="182" bestFit="1" customWidth="1"/>
    <col min="14085" max="14085" width="10" style="182" customWidth="1"/>
    <col min="14086" max="14086" width="10.42578125" style="182" customWidth="1"/>
    <col min="14087" max="14087" width="11" style="182" customWidth="1"/>
    <col min="14088" max="14088" width="8.7109375" style="182"/>
    <col min="14089" max="14095" width="11.28515625" style="182" bestFit="1" customWidth="1"/>
    <col min="14096" max="14098" width="10.7109375" style="182" bestFit="1" customWidth="1"/>
    <col min="14099" max="14337" width="8.7109375" style="182"/>
    <col min="14338" max="14338" width="11.42578125" style="182" bestFit="1" customWidth="1"/>
    <col min="14339" max="14339" width="14" style="182" customWidth="1"/>
    <col min="14340" max="14340" width="12.7109375" style="182" bestFit="1" customWidth="1"/>
    <col min="14341" max="14341" width="10" style="182" customWidth="1"/>
    <col min="14342" max="14342" width="10.42578125" style="182" customWidth="1"/>
    <col min="14343" max="14343" width="11" style="182" customWidth="1"/>
    <col min="14344" max="14344" width="8.7109375" style="182"/>
    <col min="14345" max="14351" width="11.28515625" style="182" bestFit="1" customWidth="1"/>
    <col min="14352" max="14354" width="10.7109375" style="182" bestFit="1" customWidth="1"/>
    <col min="14355" max="14593" width="8.7109375" style="182"/>
    <col min="14594" max="14594" width="11.42578125" style="182" bestFit="1" customWidth="1"/>
    <col min="14595" max="14595" width="14" style="182" customWidth="1"/>
    <col min="14596" max="14596" width="12.7109375" style="182" bestFit="1" customWidth="1"/>
    <col min="14597" max="14597" width="10" style="182" customWidth="1"/>
    <col min="14598" max="14598" width="10.42578125" style="182" customWidth="1"/>
    <col min="14599" max="14599" width="11" style="182" customWidth="1"/>
    <col min="14600" max="14600" width="8.7109375" style="182"/>
    <col min="14601" max="14607" width="11.28515625" style="182" bestFit="1" customWidth="1"/>
    <col min="14608" max="14610" width="10.7109375" style="182" bestFit="1" customWidth="1"/>
    <col min="14611" max="14849" width="8.7109375" style="182"/>
    <col min="14850" max="14850" width="11.42578125" style="182" bestFit="1" customWidth="1"/>
    <col min="14851" max="14851" width="14" style="182" customWidth="1"/>
    <col min="14852" max="14852" width="12.7109375" style="182" bestFit="1" customWidth="1"/>
    <col min="14853" max="14853" width="10" style="182" customWidth="1"/>
    <col min="14854" max="14854" width="10.42578125" style="182" customWidth="1"/>
    <col min="14855" max="14855" width="11" style="182" customWidth="1"/>
    <col min="14856" max="14856" width="8.7109375" style="182"/>
    <col min="14857" max="14863" width="11.28515625" style="182" bestFit="1" customWidth="1"/>
    <col min="14864" max="14866" width="10.7109375" style="182" bestFit="1" customWidth="1"/>
    <col min="14867" max="15105" width="8.7109375" style="182"/>
    <col min="15106" max="15106" width="11.42578125" style="182" bestFit="1" customWidth="1"/>
    <col min="15107" max="15107" width="14" style="182" customWidth="1"/>
    <col min="15108" max="15108" width="12.7109375" style="182" bestFit="1" customWidth="1"/>
    <col min="15109" max="15109" width="10" style="182" customWidth="1"/>
    <col min="15110" max="15110" width="10.42578125" style="182" customWidth="1"/>
    <col min="15111" max="15111" width="11" style="182" customWidth="1"/>
    <col min="15112" max="15112" width="8.7109375" style="182"/>
    <col min="15113" max="15119" width="11.28515625" style="182" bestFit="1" customWidth="1"/>
    <col min="15120" max="15122" width="10.7109375" style="182" bestFit="1" customWidth="1"/>
    <col min="15123" max="15361" width="8.7109375" style="182"/>
    <col min="15362" max="15362" width="11.42578125" style="182" bestFit="1" customWidth="1"/>
    <col min="15363" max="15363" width="14" style="182" customWidth="1"/>
    <col min="15364" max="15364" width="12.7109375" style="182" bestFit="1" customWidth="1"/>
    <col min="15365" max="15365" width="10" style="182" customWidth="1"/>
    <col min="15366" max="15366" width="10.42578125" style="182" customWidth="1"/>
    <col min="15367" max="15367" width="11" style="182" customWidth="1"/>
    <col min="15368" max="15368" width="8.7109375" style="182"/>
    <col min="15369" max="15375" width="11.28515625" style="182" bestFit="1" customWidth="1"/>
    <col min="15376" max="15378" width="10.7109375" style="182" bestFit="1" customWidth="1"/>
    <col min="15379" max="15617" width="8.7109375" style="182"/>
    <col min="15618" max="15618" width="11.42578125" style="182" bestFit="1" customWidth="1"/>
    <col min="15619" max="15619" width="14" style="182" customWidth="1"/>
    <col min="15620" max="15620" width="12.7109375" style="182" bestFit="1" customWidth="1"/>
    <col min="15621" max="15621" width="10" style="182" customWidth="1"/>
    <col min="15622" max="15622" width="10.42578125" style="182" customWidth="1"/>
    <col min="15623" max="15623" width="11" style="182" customWidth="1"/>
    <col min="15624" max="15624" width="8.7109375" style="182"/>
    <col min="15625" max="15631" width="11.28515625" style="182" bestFit="1" customWidth="1"/>
    <col min="15632" max="15634" width="10.7109375" style="182" bestFit="1" customWidth="1"/>
    <col min="15635" max="15873" width="8.7109375" style="182"/>
    <col min="15874" max="15874" width="11.42578125" style="182" bestFit="1" customWidth="1"/>
    <col min="15875" max="15875" width="14" style="182" customWidth="1"/>
    <col min="15876" max="15876" width="12.7109375" style="182" bestFit="1" customWidth="1"/>
    <col min="15877" max="15877" width="10" style="182" customWidth="1"/>
    <col min="15878" max="15878" width="10.42578125" style="182" customWidth="1"/>
    <col min="15879" max="15879" width="11" style="182" customWidth="1"/>
    <col min="15880" max="15880" width="8.7109375" style="182"/>
    <col min="15881" max="15887" width="11.28515625" style="182" bestFit="1" customWidth="1"/>
    <col min="15888" max="15890" width="10.7109375" style="182" bestFit="1" customWidth="1"/>
    <col min="15891" max="16129" width="8.7109375" style="182"/>
    <col min="16130" max="16130" width="11.42578125" style="182" bestFit="1" customWidth="1"/>
    <col min="16131" max="16131" width="14" style="182" customWidth="1"/>
    <col min="16132" max="16132" width="12.7109375" style="182" bestFit="1" customWidth="1"/>
    <col min="16133" max="16133" width="10" style="182" customWidth="1"/>
    <col min="16134" max="16134" width="10.42578125" style="182" customWidth="1"/>
    <col min="16135" max="16135" width="11" style="182" customWidth="1"/>
    <col min="16136" max="16136" width="8.7109375" style="182"/>
    <col min="16137" max="16143" width="11.28515625" style="182" bestFit="1" customWidth="1"/>
    <col min="16144" max="16146" width="10.7109375" style="182" bestFit="1" customWidth="1"/>
    <col min="16147" max="16384" width="8.7109375" style="182"/>
  </cols>
  <sheetData>
    <row r="1" spans="1:18">
      <c r="A1" s="179" t="str">
        <f>'HHA Benefits Analysis'!A1:K1</f>
        <v>Baronne Lofts</v>
      </c>
      <c r="B1" s="179"/>
      <c r="C1" s="180"/>
      <c r="D1" s="180"/>
      <c r="E1" s="180"/>
      <c r="F1" s="180"/>
      <c r="G1" s="181"/>
    </row>
    <row r="2" spans="1:18">
      <c r="A2" s="180">
        <f>'HHA Benefits Analysis'!I26</f>
        <v>170</v>
      </c>
      <c r="B2" s="180" t="s">
        <v>8</v>
      </c>
      <c r="C2" s="180"/>
      <c r="D2" s="183">
        <f>'Cash Flow + Debt'!D20</f>
        <v>24050000</v>
      </c>
      <c r="E2" s="180"/>
      <c r="F2" s="180"/>
      <c r="G2" s="181"/>
    </row>
    <row r="3" spans="1:18">
      <c r="A3" s="180"/>
      <c r="B3" s="180"/>
      <c r="C3" s="180"/>
      <c r="D3" s="184">
        <f>'Cash Flow + Debt'!D23</f>
        <v>6.25E-2</v>
      </c>
      <c r="E3" s="180"/>
      <c r="F3" s="180"/>
      <c r="G3" s="181"/>
    </row>
    <row r="4" spans="1:18">
      <c r="A4" s="180" t="s">
        <v>220</v>
      </c>
      <c r="B4" s="180"/>
      <c r="C4" s="180"/>
      <c r="D4" s="180">
        <f>'Cash Flow + Debt'!D24*12</f>
        <v>360</v>
      </c>
      <c r="E4" s="180" t="s">
        <v>221</v>
      </c>
      <c r="F4" s="180"/>
      <c r="G4" s="181"/>
    </row>
    <row r="5" spans="1:18" ht="15">
      <c r="A5" s="179" t="s">
        <v>222</v>
      </c>
      <c r="B5" s="179"/>
      <c r="C5" s="181"/>
      <c r="D5" s="183">
        <f>PMT(D3/12,D4,-D2)</f>
        <v>148079.98670254718</v>
      </c>
      <c r="E5" s="183">
        <f>D5*12</f>
        <v>1776959.8404305661</v>
      </c>
      <c r="F5" s="183"/>
      <c r="G5" s="183">
        <f>D2*D3</f>
        <v>1503125</v>
      </c>
      <c r="K5" s="185"/>
    </row>
    <row r="6" spans="1:18">
      <c r="A6" s="181"/>
      <c r="B6" s="181"/>
      <c r="C6" s="183"/>
      <c r="D6" s="183"/>
      <c r="E6" s="183"/>
      <c r="F6" s="183"/>
      <c r="G6" s="181"/>
    </row>
    <row r="7" spans="1:18">
      <c r="A7" s="186" t="s">
        <v>223</v>
      </c>
      <c r="B7" s="186" t="s">
        <v>224</v>
      </c>
      <c r="C7" s="187" t="s">
        <v>225</v>
      </c>
      <c r="D7" s="187" t="s">
        <v>226</v>
      </c>
      <c r="E7" s="187" t="s">
        <v>5</v>
      </c>
      <c r="F7" s="187" t="s">
        <v>227</v>
      </c>
      <c r="G7" s="187" t="s">
        <v>228</v>
      </c>
      <c r="I7" s="182">
        <v>1</v>
      </c>
      <c r="J7" s="182">
        <v>2</v>
      </c>
      <c r="K7" s="182">
        <v>3</v>
      </c>
      <c r="L7" s="182">
        <v>4</v>
      </c>
      <c r="M7" s="182">
        <v>5</v>
      </c>
      <c r="N7" s="182">
        <v>6</v>
      </c>
      <c r="O7" s="182">
        <v>7</v>
      </c>
      <c r="P7" s="182">
        <v>8</v>
      </c>
      <c r="Q7" s="182">
        <v>9</v>
      </c>
      <c r="R7" s="182">
        <v>10</v>
      </c>
    </row>
    <row r="8" spans="1:18">
      <c r="A8" s="188">
        <v>1</v>
      </c>
      <c r="B8" s="189">
        <v>45323</v>
      </c>
      <c r="C8" s="183">
        <f>D2</f>
        <v>24050000</v>
      </c>
      <c r="D8" s="183">
        <f t="shared" ref="D8:D71" si="0">PV($D$3/12,($D$4-A8),-$D$5)</f>
        <v>24027180.429964047</v>
      </c>
      <c r="E8" s="183">
        <f t="shared" ref="E8:E71" si="1">IF(C8=0,0,$D$5)</f>
        <v>148079.98670254718</v>
      </c>
      <c r="F8" s="183">
        <f t="shared" ref="F8:F71" si="2">E8-(C8-D8)</f>
        <v>125260.4166665941</v>
      </c>
      <c r="G8" s="183">
        <f t="shared" ref="G8:G71" si="3">E8-F8</f>
        <v>22819.570035953075</v>
      </c>
      <c r="I8" s="190">
        <f>SUM(G8:G19)</f>
        <v>281816.86142302677</v>
      </c>
      <c r="J8" s="190">
        <f>SUM(G20:G31)</f>
        <v>299943.8333363384</v>
      </c>
      <c r="K8" s="190">
        <f>SUM(G32:G43)</f>
        <v>319236.76497651637</v>
      </c>
      <c r="L8" s="190">
        <f>SUM(G44:G55)</f>
        <v>339770.6529888697</v>
      </c>
      <c r="M8" s="190">
        <f>SUM(G56:G67)</f>
        <v>361625.3179390952</v>
      </c>
      <c r="N8" s="190">
        <f>SUM(G68:G79)</f>
        <v>384885.71459653229</v>
      </c>
      <c r="O8" s="190">
        <f>SUM(G80:G91)</f>
        <v>409642.26217545196</v>
      </c>
      <c r="P8" s="190">
        <f>SUM(G104:G115)</f>
        <v>464034.94068542495</v>
      </c>
      <c r="Q8" s="190">
        <f>SUM(G116:G127)</f>
        <v>493882.51011106744</v>
      </c>
      <c r="R8" s="190">
        <f>SUM(G128:G139)</f>
        <v>525649.9293637462</v>
      </c>
    </row>
    <row r="9" spans="1:18">
      <c r="A9" s="188">
        <v>2</v>
      </c>
      <c r="B9" s="189">
        <f>B8+31</f>
        <v>45354</v>
      </c>
      <c r="C9" s="183">
        <f t="shared" ref="C9:C72" si="4">D8</f>
        <v>24027180.429964047</v>
      </c>
      <c r="D9" s="183">
        <f t="shared" si="0"/>
        <v>24004242.008000895</v>
      </c>
      <c r="E9" s="183">
        <f t="shared" si="1"/>
        <v>148079.98670254718</v>
      </c>
      <c r="F9" s="183">
        <f t="shared" si="2"/>
        <v>125141.56473939563</v>
      </c>
      <c r="G9" s="183">
        <f t="shared" si="3"/>
        <v>22938.421963151544</v>
      </c>
      <c r="I9" s="191">
        <f t="shared" ref="I9:R9" si="5">-I8</f>
        <v>-281816.86142302677</v>
      </c>
      <c r="J9" s="191">
        <f t="shared" si="5"/>
        <v>-299943.8333363384</v>
      </c>
      <c r="K9" s="191">
        <f t="shared" si="5"/>
        <v>-319236.76497651637</v>
      </c>
      <c r="L9" s="191">
        <f t="shared" si="5"/>
        <v>-339770.6529888697</v>
      </c>
      <c r="M9" s="191">
        <f t="shared" si="5"/>
        <v>-361625.3179390952</v>
      </c>
      <c r="N9" s="191">
        <f t="shared" si="5"/>
        <v>-384885.71459653229</v>
      </c>
      <c r="O9" s="191">
        <f t="shared" si="5"/>
        <v>-409642.26217545196</v>
      </c>
      <c r="P9" s="191">
        <f t="shared" si="5"/>
        <v>-464034.94068542495</v>
      </c>
      <c r="Q9" s="191">
        <f t="shared" si="5"/>
        <v>-493882.51011106744</v>
      </c>
      <c r="R9" s="191">
        <f t="shared" si="5"/>
        <v>-525649.9293637462</v>
      </c>
    </row>
    <row r="10" spans="1:18">
      <c r="A10" s="188">
        <v>3</v>
      </c>
      <c r="B10" s="189">
        <f>B9+30</f>
        <v>45384</v>
      </c>
      <c r="C10" s="183">
        <f t="shared" si="4"/>
        <v>24004242.008000895</v>
      </c>
      <c r="D10" s="183">
        <f t="shared" si="0"/>
        <v>23981184.11509002</v>
      </c>
      <c r="E10" s="183">
        <f t="shared" si="1"/>
        <v>148079.98670254718</v>
      </c>
      <c r="F10" s="183">
        <f t="shared" si="2"/>
        <v>125022.0937916718</v>
      </c>
      <c r="G10" s="183">
        <f t="shared" si="3"/>
        <v>23057.89291087538</v>
      </c>
    </row>
    <row r="11" spans="1:18">
      <c r="A11" s="188">
        <v>4</v>
      </c>
      <c r="B11" s="189">
        <f>B10+31</f>
        <v>45415</v>
      </c>
      <c r="C11" s="183">
        <f t="shared" si="4"/>
        <v>23981184.11509002</v>
      </c>
      <c r="D11" s="183">
        <f t="shared" si="0"/>
        <v>23958006.128986899</v>
      </c>
      <c r="E11" s="183">
        <f t="shared" si="1"/>
        <v>148079.98670254718</v>
      </c>
      <c r="F11" s="183">
        <f t="shared" si="2"/>
        <v>124902.00059942598</v>
      </c>
      <c r="G11" s="183">
        <f t="shared" si="3"/>
        <v>23177.986103121191</v>
      </c>
    </row>
    <row r="12" spans="1:18">
      <c r="A12" s="188">
        <v>5</v>
      </c>
      <c r="B12" s="189">
        <f>B11+30</f>
        <v>45445</v>
      </c>
      <c r="C12" s="183">
        <f t="shared" si="4"/>
        <v>23958006.128986899</v>
      </c>
      <c r="D12" s="183">
        <f t="shared" si="0"/>
        <v>23934707.424206156</v>
      </c>
      <c r="E12" s="183">
        <f t="shared" si="1"/>
        <v>148079.98670254718</v>
      </c>
      <c r="F12" s="183">
        <f t="shared" si="2"/>
        <v>124781.28192180465</v>
      </c>
      <c r="G12" s="183">
        <f t="shared" si="3"/>
        <v>23298.704780742526</v>
      </c>
    </row>
    <row r="13" spans="1:18">
      <c r="A13" s="188">
        <v>6</v>
      </c>
      <c r="B13" s="189">
        <f>B12+31</f>
        <v>45476</v>
      </c>
      <c r="C13" s="183">
        <f t="shared" si="4"/>
        <v>23934707.424206156</v>
      </c>
      <c r="D13" s="183">
        <f t="shared" si="0"/>
        <v>23911287.372004684</v>
      </c>
      <c r="E13" s="183">
        <f t="shared" si="1"/>
        <v>148079.98670254718</v>
      </c>
      <c r="F13" s="183">
        <f t="shared" si="2"/>
        <v>124659.93450107495</v>
      </c>
      <c r="G13" s="183">
        <f t="shared" si="3"/>
        <v>23420.052201472223</v>
      </c>
    </row>
    <row r="14" spans="1:18">
      <c r="A14" s="188">
        <v>7</v>
      </c>
      <c r="B14" s="189">
        <f>B13+31</f>
        <v>45507</v>
      </c>
      <c r="C14" s="183">
        <f t="shared" si="4"/>
        <v>23911287.372004684</v>
      </c>
      <c r="D14" s="183">
        <f t="shared" si="0"/>
        <v>23887745.340364657</v>
      </c>
      <c r="E14" s="183">
        <f t="shared" si="1"/>
        <v>148079.98670254718</v>
      </c>
      <c r="F14" s="183">
        <f t="shared" si="2"/>
        <v>124537.95506252046</v>
      </c>
      <c r="G14" s="183">
        <f t="shared" si="3"/>
        <v>23542.031640026718</v>
      </c>
    </row>
    <row r="15" spans="1:18">
      <c r="A15" s="188">
        <v>8</v>
      </c>
      <c r="B15" s="189">
        <f>B14+30</f>
        <v>45537</v>
      </c>
      <c r="C15" s="183">
        <f t="shared" si="4"/>
        <v>23887745.340364657</v>
      </c>
      <c r="D15" s="183">
        <f t="shared" si="0"/>
        <v>23864080.693976514</v>
      </c>
      <c r="E15" s="183">
        <f t="shared" si="1"/>
        <v>148079.98670254718</v>
      </c>
      <c r="F15" s="183">
        <f t="shared" si="2"/>
        <v>124415.34031440387</v>
      </c>
      <c r="G15" s="183">
        <f t="shared" si="3"/>
        <v>23664.646388143301</v>
      </c>
    </row>
    <row r="16" spans="1:18">
      <c r="A16" s="188">
        <v>9</v>
      </c>
      <c r="B16" s="189">
        <f>B15+31</f>
        <v>45568</v>
      </c>
      <c r="C16" s="183">
        <f t="shared" si="4"/>
        <v>23864080.693976514</v>
      </c>
      <c r="D16" s="183">
        <f t="shared" si="0"/>
        <v>23840292.794221759</v>
      </c>
      <c r="E16" s="183">
        <f t="shared" si="1"/>
        <v>148079.98670254718</v>
      </c>
      <c r="F16" s="183">
        <f t="shared" si="2"/>
        <v>124292.08694779198</v>
      </c>
      <c r="G16" s="183">
        <f t="shared" si="3"/>
        <v>23787.899754755199</v>
      </c>
    </row>
    <row r="17" spans="1:10">
      <c r="A17" s="188">
        <f t="shared" ref="A17:A80" si="6">A16+1</f>
        <v>10</v>
      </c>
      <c r="B17" s="189">
        <f>B16+30</f>
        <v>45598</v>
      </c>
      <c r="C17" s="183">
        <f t="shared" si="4"/>
        <v>23840292.794221759</v>
      </c>
      <c r="D17" s="183">
        <f t="shared" si="0"/>
        <v>23816380.999155786</v>
      </c>
      <c r="E17" s="183">
        <f t="shared" si="1"/>
        <v>148079.98670254718</v>
      </c>
      <c r="F17" s="183">
        <f t="shared" si="2"/>
        <v>124168.19163657422</v>
      </c>
      <c r="G17" s="183">
        <f t="shared" si="3"/>
        <v>23911.795065972954</v>
      </c>
    </row>
    <row r="18" spans="1:10">
      <c r="A18" s="188">
        <f t="shared" si="6"/>
        <v>11</v>
      </c>
      <c r="B18" s="189">
        <f>B17+31</f>
        <v>45629</v>
      </c>
      <c r="C18" s="183">
        <f t="shared" si="4"/>
        <v>23816380.999155786</v>
      </c>
      <c r="D18" s="183">
        <f t="shared" si="0"/>
        <v>23792344.663490508</v>
      </c>
      <c r="E18" s="183">
        <f t="shared" si="1"/>
        <v>148079.98670254718</v>
      </c>
      <c r="F18" s="183">
        <f t="shared" si="2"/>
        <v>124043.65103726904</v>
      </c>
      <c r="G18" s="183">
        <f t="shared" si="3"/>
        <v>24036.335665278137</v>
      </c>
    </row>
    <row r="19" spans="1:10">
      <c r="A19" s="188">
        <f t="shared" si="6"/>
        <v>12</v>
      </c>
      <c r="B19" s="189">
        <f>B18+31</f>
        <v>45660</v>
      </c>
      <c r="C19" s="183">
        <f t="shared" si="4"/>
        <v>23792344.663490508</v>
      </c>
      <c r="D19" s="183">
        <f t="shared" si="0"/>
        <v>23768183.138576973</v>
      </c>
      <c r="E19" s="183">
        <f t="shared" si="1"/>
        <v>148079.98670254718</v>
      </c>
      <c r="F19" s="183">
        <f t="shared" si="2"/>
        <v>123918.46178901265</v>
      </c>
      <c r="G19" s="183">
        <f t="shared" si="3"/>
        <v>24161.524913534522</v>
      </c>
      <c r="I19" s="191"/>
      <c r="J19" s="191"/>
    </row>
    <row r="20" spans="1:10">
      <c r="A20" s="188">
        <f t="shared" si="6"/>
        <v>13</v>
      </c>
      <c r="B20" s="189">
        <f>B19+29</f>
        <v>45689</v>
      </c>
      <c r="C20" s="183">
        <f t="shared" si="4"/>
        <v>23768183.138576973</v>
      </c>
      <c r="D20" s="183">
        <f t="shared" si="0"/>
        <v>23743895.772387851</v>
      </c>
      <c r="E20" s="183">
        <f t="shared" si="1"/>
        <v>148079.98670254718</v>
      </c>
      <c r="F20" s="183">
        <f t="shared" si="2"/>
        <v>123792.62051342498</v>
      </c>
      <c r="G20" s="183">
        <f t="shared" si="3"/>
        <v>24287.3661891222</v>
      </c>
      <c r="I20" s="191"/>
      <c r="J20" s="191"/>
    </row>
    <row r="21" spans="1:10">
      <c r="A21" s="188">
        <f t="shared" si="6"/>
        <v>14</v>
      </c>
      <c r="B21" s="189">
        <f>B20+31</f>
        <v>45720</v>
      </c>
      <c r="C21" s="183">
        <f t="shared" si="4"/>
        <v>23743895.772387851</v>
      </c>
      <c r="D21" s="183">
        <f t="shared" si="0"/>
        <v>23719481.90949982</v>
      </c>
      <c r="E21" s="183">
        <f t="shared" si="1"/>
        <v>148079.98670254718</v>
      </c>
      <c r="F21" s="183">
        <f t="shared" si="2"/>
        <v>123666.12381451647</v>
      </c>
      <c r="G21" s="183">
        <f t="shared" si="3"/>
        <v>24413.862888030708</v>
      </c>
    </row>
    <row r="22" spans="1:10">
      <c r="A22" s="188">
        <f t="shared" si="6"/>
        <v>15</v>
      </c>
      <c r="B22" s="189">
        <f>B21+30</f>
        <v>45750</v>
      </c>
      <c r="C22" s="183">
        <f t="shared" si="4"/>
        <v>23719481.90949982</v>
      </c>
      <c r="D22" s="183">
        <f t="shared" si="0"/>
        <v>23694940.891075924</v>
      </c>
      <c r="E22" s="183">
        <f t="shared" si="1"/>
        <v>148079.98670254718</v>
      </c>
      <c r="F22" s="183">
        <f t="shared" si="2"/>
        <v>123538.96827865089</v>
      </c>
      <c r="G22" s="183">
        <f t="shared" si="3"/>
        <v>24541.018423896283</v>
      </c>
    </row>
    <row r="23" spans="1:10">
      <c r="A23" s="188">
        <f t="shared" si="6"/>
        <v>16</v>
      </c>
      <c r="B23" s="189">
        <f>B22+31</f>
        <v>45781</v>
      </c>
      <c r="C23" s="191">
        <f t="shared" si="4"/>
        <v>23694940.891075924</v>
      </c>
      <c r="D23" s="191">
        <f t="shared" si="0"/>
        <v>23670272.054847725</v>
      </c>
      <c r="E23" s="191">
        <f t="shared" si="1"/>
        <v>148079.98670254718</v>
      </c>
      <c r="F23" s="191">
        <f t="shared" si="2"/>
        <v>123411.15047434787</v>
      </c>
      <c r="G23" s="191">
        <f t="shared" si="3"/>
        <v>24668.836228199303</v>
      </c>
    </row>
    <row r="24" spans="1:10">
      <c r="A24" s="188">
        <f t="shared" si="6"/>
        <v>17</v>
      </c>
      <c r="B24" s="189">
        <f>B23+30</f>
        <v>45811</v>
      </c>
      <c r="C24" s="191">
        <f t="shared" si="4"/>
        <v>23670272.054847725</v>
      </c>
      <c r="D24" s="191">
        <f t="shared" si="0"/>
        <v>23645474.735097509</v>
      </c>
      <c r="E24" s="191">
        <f t="shared" si="1"/>
        <v>148079.98670254718</v>
      </c>
      <c r="F24" s="191">
        <f t="shared" si="2"/>
        <v>123282.66695233132</v>
      </c>
      <c r="G24" s="191">
        <f t="shared" si="3"/>
        <v>24797.319750215858</v>
      </c>
    </row>
    <row r="25" spans="1:10">
      <c r="A25" s="188">
        <f t="shared" si="6"/>
        <v>18</v>
      </c>
      <c r="B25" s="189">
        <f>B24+31</f>
        <v>45842</v>
      </c>
      <c r="C25" s="191">
        <f t="shared" si="4"/>
        <v>23645474.735097509</v>
      </c>
      <c r="D25" s="191">
        <f t="shared" si="0"/>
        <v>23620548.262640268</v>
      </c>
      <c r="E25" s="191">
        <f t="shared" si="1"/>
        <v>148079.98670254718</v>
      </c>
      <c r="F25" s="191">
        <f t="shared" si="2"/>
        <v>123153.51424530591</v>
      </c>
      <c r="G25" s="191">
        <f t="shared" si="3"/>
        <v>24926.472457241267</v>
      </c>
    </row>
    <row r="26" spans="1:10">
      <c r="A26" s="188">
        <f t="shared" si="6"/>
        <v>19</v>
      </c>
      <c r="B26" s="189">
        <f>B25+31</f>
        <v>45873</v>
      </c>
      <c r="C26" s="191">
        <f t="shared" si="4"/>
        <v>23620548.262640268</v>
      </c>
      <c r="D26" s="191">
        <f t="shared" si="0"/>
        <v>23595491.964805633</v>
      </c>
      <c r="E26" s="191">
        <f t="shared" si="1"/>
        <v>148079.98670254718</v>
      </c>
      <c r="F26" s="191">
        <f t="shared" si="2"/>
        <v>123023.68886791239</v>
      </c>
      <c r="G26" s="191">
        <f t="shared" si="3"/>
        <v>25056.297834634781</v>
      </c>
    </row>
    <row r="27" spans="1:10">
      <c r="A27" s="188">
        <f t="shared" si="6"/>
        <v>20</v>
      </c>
      <c r="B27" s="189">
        <f>B26+30</f>
        <v>45903</v>
      </c>
      <c r="C27" s="191">
        <f t="shared" si="4"/>
        <v>23595491.964805633</v>
      </c>
      <c r="D27" s="191">
        <f t="shared" si="0"/>
        <v>23570305.165419787</v>
      </c>
      <c r="E27" s="191">
        <f t="shared" si="1"/>
        <v>148079.98670254718</v>
      </c>
      <c r="F27" s="191">
        <f t="shared" si="2"/>
        <v>122893.18731670151</v>
      </c>
      <c r="G27" s="191">
        <f t="shared" si="3"/>
        <v>25186.799385845661</v>
      </c>
    </row>
    <row r="28" spans="1:10">
      <c r="A28" s="188">
        <f t="shared" si="6"/>
        <v>21</v>
      </c>
      <c r="B28" s="189">
        <f>B27+31</f>
        <v>45934</v>
      </c>
      <c r="C28" s="191">
        <f t="shared" si="4"/>
        <v>23570305.165419787</v>
      </c>
      <c r="D28" s="191">
        <f t="shared" si="0"/>
        <v>23544987.184787132</v>
      </c>
      <c r="E28" s="191">
        <f t="shared" si="1"/>
        <v>148079.98670254718</v>
      </c>
      <c r="F28" s="191">
        <f t="shared" si="2"/>
        <v>122762.00606989185</v>
      </c>
      <c r="G28" s="191">
        <f t="shared" si="3"/>
        <v>25317.980632655323</v>
      </c>
    </row>
    <row r="29" spans="1:10">
      <c r="A29" s="188">
        <f t="shared" si="6"/>
        <v>22</v>
      </c>
      <c r="B29" s="189">
        <f>B28+30</f>
        <v>45964</v>
      </c>
      <c r="C29" s="191">
        <f t="shared" si="4"/>
        <v>23544987.184787132</v>
      </c>
      <c r="D29" s="191">
        <f t="shared" si="0"/>
        <v>23519537.339672018</v>
      </c>
      <c r="E29" s="191">
        <f t="shared" si="1"/>
        <v>148079.98670254718</v>
      </c>
      <c r="F29" s="191">
        <f t="shared" si="2"/>
        <v>122630.14158743317</v>
      </c>
      <c r="G29" s="191">
        <f t="shared" si="3"/>
        <v>25449.845115114003</v>
      </c>
    </row>
    <row r="30" spans="1:10">
      <c r="A30" s="188">
        <f t="shared" si="6"/>
        <v>23</v>
      </c>
      <c r="B30" s="189">
        <f>B29+31</f>
        <v>45995</v>
      </c>
      <c r="C30" s="191">
        <f t="shared" si="4"/>
        <v>23519537.339672018</v>
      </c>
      <c r="D30" s="191">
        <f t="shared" si="0"/>
        <v>23493954.943280265</v>
      </c>
      <c r="E30" s="191">
        <f t="shared" si="1"/>
        <v>148079.98670254718</v>
      </c>
      <c r="F30" s="191">
        <f t="shared" si="2"/>
        <v>122497.59031079407</v>
      </c>
      <c r="G30" s="191">
        <f t="shared" si="3"/>
        <v>25582.396391753107</v>
      </c>
    </row>
    <row r="31" spans="1:10">
      <c r="A31" s="188">
        <f t="shared" si="6"/>
        <v>24</v>
      </c>
      <c r="B31" s="189">
        <f>B30+31</f>
        <v>46026</v>
      </c>
      <c r="C31" s="191">
        <f t="shared" si="4"/>
        <v>23493954.943280265</v>
      </c>
      <c r="D31" s="191">
        <f t="shared" si="0"/>
        <v>23468239.305240635</v>
      </c>
      <c r="E31" s="191">
        <f t="shared" si="1"/>
        <v>148079.98670254718</v>
      </c>
      <c r="F31" s="191">
        <f t="shared" si="2"/>
        <v>122364.34866291727</v>
      </c>
      <c r="G31" s="191">
        <f t="shared" si="3"/>
        <v>25715.638039629906</v>
      </c>
    </row>
    <row r="32" spans="1:10">
      <c r="A32" s="188">
        <f t="shared" si="6"/>
        <v>25</v>
      </c>
      <c r="B32" s="189">
        <f>B31+28</f>
        <v>46054</v>
      </c>
      <c r="C32" s="191">
        <f t="shared" si="4"/>
        <v>23468239.305240635</v>
      </c>
      <c r="D32" s="191">
        <f t="shared" si="0"/>
        <v>23442389.731586218</v>
      </c>
      <c r="E32" s="191">
        <f t="shared" si="1"/>
        <v>148079.98670254718</v>
      </c>
      <c r="F32" s="191">
        <f t="shared" si="2"/>
        <v>122230.41304813023</v>
      </c>
      <c r="G32" s="191">
        <f t="shared" si="3"/>
        <v>25849.573654416949</v>
      </c>
    </row>
    <row r="33" spans="1:18">
      <c r="A33" s="188">
        <f t="shared" si="6"/>
        <v>26</v>
      </c>
      <c r="B33" s="189">
        <f>B32+31</f>
        <v>46085</v>
      </c>
      <c r="C33" s="191">
        <f t="shared" si="4"/>
        <v>23442389.731586218</v>
      </c>
      <c r="D33" s="191">
        <f t="shared" si="0"/>
        <v>23416405.524735682</v>
      </c>
      <c r="E33" s="191">
        <f t="shared" si="1"/>
        <v>148079.98670254718</v>
      </c>
      <c r="F33" s="191">
        <f t="shared" si="2"/>
        <v>122095.77985201101</v>
      </c>
      <c r="G33" s="191">
        <f t="shared" si="3"/>
        <v>25984.206850536168</v>
      </c>
      <c r="I33" s="190">
        <f>SUM(G33:G44)</f>
        <v>320899.45646077022</v>
      </c>
      <c r="J33" s="190">
        <f>SUM(G45:G56)</f>
        <v>341540.29180651903</v>
      </c>
      <c r="K33" s="190">
        <f>SUM(G57:G68)</f>
        <v>363508.78313669562</v>
      </c>
      <c r="L33" s="190">
        <f>SUM(G69:G80)</f>
        <v>386890.32769339159</v>
      </c>
      <c r="M33" s="190">
        <f>SUM(G81:G92)</f>
        <v>411775.81562427804</v>
      </c>
    </row>
    <row r="34" spans="1:18">
      <c r="A34" s="188">
        <f t="shared" si="6"/>
        <v>27</v>
      </c>
      <c r="B34" s="189">
        <f>B33+30</f>
        <v>46115</v>
      </c>
      <c r="C34" s="191">
        <f t="shared" si="4"/>
        <v>23416405.524735682</v>
      </c>
      <c r="D34" s="191">
        <f t="shared" si="0"/>
        <v>23390285.983474467</v>
      </c>
      <c r="E34" s="191">
        <f t="shared" si="1"/>
        <v>148079.98670254718</v>
      </c>
      <c r="F34" s="191">
        <f t="shared" si="2"/>
        <v>121960.44544133241</v>
      </c>
      <c r="G34" s="191">
        <f t="shared" si="3"/>
        <v>26119.541261214763</v>
      </c>
      <c r="I34" s="191">
        <f>-I33</f>
        <v>-320899.45646077022</v>
      </c>
      <c r="J34" s="191">
        <f>-J33</f>
        <v>-341540.29180651903</v>
      </c>
      <c r="K34" s="191">
        <f>-K33</f>
        <v>-363508.78313669562</v>
      </c>
      <c r="L34" s="191">
        <f>-L33</f>
        <v>-386890.32769339159</v>
      </c>
      <c r="M34" s="191">
        <f>-M33</f>
        <v>-411775.81562427804</v>
      </c>
    </row>
    <row r="35" spans="1:18">
      <c r="A35" s="188">
        <f t="shared" si="6"/>
        <v>28</v>
      </c>
      <c r="B35" s="189">
        <f>B34+31</f>
        <v>46146</v>
      </c>
      <c r="C35" s="191">
        <f t="shared" si="4"/>
        <v>23390285.983474467</v>
      </c>
      <c r="D35" s="191">
        <f t="shared" si="0"/>
        <v>23364030.402935848</v>
      </c>
      <c r="E35" s="191">
        <f t="shared" si="1"/>
        <v>148079.98670254718</v>
      </c>
      <c r="F35" s="191">
        <f t="shared" si="2"/>
        <v>121824.40616392787</v>
      </c>
      <c r="G35" s="191">
        <f t="shared" si="3"/>
        <v>26255.58053861931</v>
      </c>
    </row>
    <row r="36" spans="1:18">
      <c r="A36" s="188">
        <f t="shared" si="6"/>
        <v>29</v>
      </c>
      <c r="B36" s="189">
        <f>B35+30</f>
        <v>46176</v>
      </c>
      <c r="C36" s="191">
        <f t="shared" si="4"/>
        <v>23364030.402935848</v>
      </c>
      <c r="D36" s="191">
        <f t="shared" si="0"/>
        <v>23337638.074581925</v>
      </c>
      <c r="E36" s="191">
        <f t="shared" si="1"/>
        <v>148079.98670254718</v>
      </c>
      <c r="F36" s="191">
        <f t="shared" si="2"/>
        <v>121687.65834862436</v>
      </c>
      <c r="G36" s="191">
        <f t="shared" si="3"/>
        <v>26392.328353922814</v>
      </c>
    </row>
    <row r="37" spans="1:18">
      <c r="A37" s="188">
        <f t="shared" si="6"/>
        <v>30</v>
      </c>
      <c r="B37" s="189">
        <f>B36+31</f>
        <v>46207</v>
      </c>
      <c r="C37" s="191">
        <f t="shared" si="4"/>
        <v>23337638.074581925</v>
      </c>
      <c r="D37" s="191">
        <f t="shared" si="0"/>
        <v>23311108.286184493</v>
      </c>
      <c r="E37" s="191">
        <f t="shared" si="1"/>
        <v>148079.98670254718</v>
      </c>
      <c r="F37" s="191">
        <f t="shared" si="2"/>
        <v>121550.1983051158</v>
      </c>
      <c r="G37" s="191">
        <f t="shared" si="3"/>
        <v>26529.788397431374</v>
      </c>
    </row>
    <row r="38" spans="1:18">
      <c r="A38" s="188">
        <f t="shared" si="6"/>
        <v>31</v>
      </c>
      <c r="B38" s="189">
        <f>B37+31</f>
        <v>46238</v>
      </c>
      <c r="C38" s="191">
        <f t="shared" si="4"/>
        <v>23311108.286184493</v>
      </c>
      <c r="D38" s="191">
        <f t="shared" si="0"/>
        <v>23284440.321805824</v>
      </c>
      <c r="E38" s="191">
        <f t="shared" si="1"/>
        <v>148079.98670254718</v>
      </c>
      <c r="F38" s="191">
        <f t="shared" si="2"/>
        <v>121412.02232387732</v>
      </c>
      <c r="G38" s="191">
        <f t="shared" si="3"/>
        <v>26667.964378669858</v>
      </c>
    </row>
    <row r="39" spans="1:18">
      <c r="A39" s="188">
        <f t="shared" si="6"/>
        <v>32</v>
      </c>
      <c r="B39" s="189">
        <f>B38+30</f>
        <v>46268</v>
      </c>
      <c r="C39" s="191">
        <f t="shared" si="4"/>
        <v>23284440.321805824</v>
      </c>
      <c r="D39" s="191">
        <f t="shared" si="0"/>
        <v>23257633.461779349</v>
      </c>
      <c r="E39" s="191">
        <f t="shared" si="1"/>
        <v>148079.98670254718</v>
      </c>
      <c r="F39" s="191">
        <f t="shared" si="2"/>
        <v>121273.12667607213</v>
      </c>
      <c r="G39" s="191">
        <f t="shared" si="3"/>
        <v>26806.860026475042</v>
      </c>
    </row>
    <row r="40" spans="1:18">
      <c r="A40" s="188">
        <f t="shared" si="6"/>
        <v>33</v>
      </c>
      <c r="B40" s="189">
        <f>B39+31</f>
        <v>46299</v>
      </c>
      <c r="C40" s="191">
        <f t="shared" si="4"/>
        <v>23257633.461779349</v>
      </c>
      <c r="D40" s="191">
        <f t="shared" si="0"/>
        <v>23230686.982690237</v>
      </c>
      <c r="E40" s="191">
        <f t="shared" si="1"/>
        <v>148079.98670254718</v>
      </c>
      <c r="F40" s="191">
        <f t="shared" si="2"/>
        <v>121133.50761343609</v>
      </c>
      <c r="G40" s="191">
        <f t="shared" si="3"/>
        <v>26946.47908911109</v>
      </c>
    </row>
    <row r="41" spans="1:18">
      <c r="A41" s="188">
        <f t="shared" si="6"/>
        <v>34</v>
      </c>
      <c r="B41" s="189">
        <f>B40+30</f>
        <v>46329</v>
      </c>
      <c r="C41" s="191">
        <f t="shared" si="4"/>
        <v>23230686.982690237</v>
      </c>
      <c r="D41" s="191">
        <f t="shared" si="0"/>
        <v>23203600.157355867</v>
      </c>
      <c r="E41" s="191">
        <f t="shared" si="1"/>
        <v>148079.98670254718</v>
      </c>
      <c r="F41" s="191">
        <f t="shared" si="2"/>
        <v>120993.16136817704</v>
      </c>
      <c r="G41" s="191">
        <f t="shared" si="3"/>
        <v>27086.825334370136</v>
      </c>
    </row>
    <row r="42" spans="1:18">
      <c r="A42" s="188">
        <f t="shared" si="6"/>
        <v>35</v>
      </c>
      <c r="B42" s="189">
        <f>B41+31</f>
        <v>46360</v>
      </c>
      <c r="C42" s="191">
        <f t="shared" si="4"/>
        <v>23203600.157355867</v>
      </c>
      <c r="D42" s="191">
        <f t="shared" si="0"/>
        <v>23176372.254806217</v>
      </c>
      <c r="E42" s="191">
        <f t="shared" si="1"/>
        <v>148079.98670254718</v>
      </c>
      <c r="F42" s="191">
        <f t="shared" si="2"/>
        <v>120852.08415289666</v>
      </c>
      <c r="G42" s="191">
        <f t="shared" si="3"/>
        <v>27227.90254965052</v>
      </c>
    </row>
    <row r="43" spans="1:18">
      <c r="A43" s="188">
        <f t="shared" si="6"/>
        <v>36</v>
      </c>
      <c r="B43" s="189">
        <f>B42+31</f>
        <v>46391</v>
      </c>
      <c r="C43" s="191">
        <f t="shared" si="4"/>
        <v>23176372.254806217</v>
      </c>
      <c r="D43" s="191">
        <f t="shared" si="0"/>
        <v>23149002.540264118</v>
      </c>
      <c r="E43" s="191">
        <f t="shared" si="1"/>
        <v>148079.98670254718</v>
      </c>
      <c r="F43" s="191">
        <f t="shared" si="2"/>
        <v>120710.27216044883</v>
      </c>
      <c r="G43" s="191">
        <f t="shared" si="3"/>
        <v>27369.714542098343</v>
      </c>
    </row>
    <row r="44" spans="1:18">
      <c r="A44" s="188">
        <f t="shared" si="6"/>
        <v>37</v>
      </c>
      <c r="B44" s="189">
        <f>B43+28</f>
        <v>46419</v>
      </c>
      <c r="C44" s="191">
        <f t="shared" si="4"/>
        <v>23149002.540264118</v>
      </c>
      <c r="D44" s="191">
        <f t="shared" si="0"/>
        <v>23121490.275125448</v>
      </c>
      <c r="E44" s="191">
        <f t="shared" si="1"/>
        <v>148079.98670254718</v>
      </c>
      <c r="F44" s="191">
        <f t="shared" si="2"/>
        <v>120567.72156387637</v>
      </c>
      <c r="G44" s="191">
        <f t="shared" si="3"/>
        <v>27512.265138670802</v>
      </c>
    </row>
    <row r="45" spans="1:18">
      <c r="A45" s="188">
        <f t="shared" si="6"/>
        <v>38</v>
      </c>
      <c r="B45" s="189">
        <f>B44+31</f>
        <v>46450</v>
      </c>
      <c r="C45" s="191">
        <f t="shared" si="4"/>
        <v>23121490.275125448</v>
      </c>
      <c r="D45" s="191">
        <f t="shared" si="0"/>
        <v>23093834.716939181</v>
      </c>
      <c r="E45" s="191">
        <f t="shared" si="1"/>
        <v>148079.98670254718</v>
      </c>
      <c r="F45" s="191">
        <f t="shared" si="2"/>
        <v>120424.4285162806</v>
      </c>
      <c r="G45" s="191">
        <f t="shared" si="3"/>
        <v>27655.558186266571</v>
      </c>
    </row>
    <row r="46" spans="1:18">
      <c r="A46" s="188">
        <f t="shared" si="6"/>
        <v>39</v>
      </c>
      <c r="B46" s="189">
        <f>B45+30</f>
        <v>46480</v>
      </c>
      <c r="C46" s="191">
        <f t="shared" si="4"/>
        <v>23093834.716939181</v>
      </c>
      <c r="D46" s="191">
        <f t="shared" si="0"/>
        <v>23066035.119387355</v>
      </c>
      <c r="E46" s="191">
        <f t="shared" si="1"/>
        <v>148079.98670254718</v>
      </c>
      <c r="F46" s="191">
        <f t="shared" si="2"/>
        <v>120280.38915072079</v>
      </c>
      <c r="G46" s="191">
        <f t="shared" si="3"/>
        <v>27799.597551826388</v>
      </c>
      <c r="I46" s="190">
        <f>SUM(G46:G57)</f>
        <v>343319.14749301225</v>
      </c>
      <c r="J46" s="190">
        <f>SUM(G58:G69)</f>
        <v>365402.05804886669</v>
      </c>
      <c r="K46" s="190">
        <f>SUM(G70:G81)</f>
        <v>388905.38148346171</v>
      </c>
      <c r="L46" s="190">
        <f>SUM(G82:G93)</f>
        <v>413920.48133065552</v>
      </c>
      <c r="M46" s="190">
        <f>SUM(G94:G105)</f>
        <v>440544.597792577</v>
      </c>
      <c r="N46" s="190">
        <f>SUM(G106:G117)</f>
        <v>468881.22573761642</v>
      </c>
      <c r="O46" s="190">
        <f>SUM(G118:G129)</f>
        <v>499040.51701190695</v>
      </c>
      <c r="P46" s="190">
        <f>SUM(G142:G153)</f>
        <v>565303.57849666104</v>
      </c>
      <c r="Q46" s="190">
        <f>SUM(G154:G165)</f>
        <v>601664.93046902865</v>
      </c>
      <c r="R46" s="190">
        <f>SUM(G166:G177)</f>
        <v>640365.11058180034</v>
      </c>
    </row>
    <row r="47" spans="1:18">
      <c r="A47" s="188">
        <f t="shared" si="6"/>
        <v>40</v>
      </c>
      <c r="B47" s="189">
        <f>B46+31</f>
        <v>46511</v>
      </c>
      <c r="C47" s="191">
        <f t="shared" si="4"/>
        <v>23066035.119387355</v>
      </c>
      <c r="D47" s="191">
        <f t="shared" si="0"/>
        <v>23038090.732264951</v>
      </c>
      <c r="E47" s="191">
        <f t="shared" si="1"/>
        <v>148079.98670254718</v>
      </c>
      <c r="F47" s="191">
        <f t="shared" si="2"/>
        <v>120135.59958014335</v>
      </c>
      <c r="G47" s="191">
        <f t="shared" si="3"/>
        <v>27944.38712240383</v>
      </c>
      <c r="I47" s="191">
        <f t="shared" ref="I47:R47" si="7">-I46</f>
        <v>-343319.14749301225</v>
      </c>
      <c r="J47" s="191">
        <f t="shared" si="7"/>
        <v>-365402.05804886669</v>
      </c>
      <c r="K47" s="191">
        <f t="shared" si="7"/>
        <v>-388905.38148346171</v>
      </c>
      <c r="L47" s="191">
        <f t="shared" si="7"/>
        <v>-413920.48133065552</v>
      </c>
      <c r="M47" s="191">
        <f t="shared" si="7"/>
        <v>-440544.597792577</v>
      </c>
      <c r="N47" s="191">
        <f t="shared" si="7"/>
        <v>-468881.22573761642</v>
      </c>
      <c r="O47" s="191">
        <f t="shared" si="7"/>
        <v>-499040.51701190695</v>
      </c>
      <c r="P47" s="191">
        <f t="shared" si="7"/>
        <v>-565303.57849666104</v>
      </c>
      <c r="Q47" s="191">
        <f t="shared" si="7"/>
        <v>-601664.93046902865</v>
      </c>
      <c r="R47" s="191">
        <f t="shared" si="7"/>
        <v>-640365.11058180034</v>
      </c>
    </row>
    <row r="48" spans="1:18">
      <c r="A48" s="188">
        <f t="shared" si="6"/>
        <v>41</v>
      </c>
      <c r="B48" s="189">
        <f>B47+31</f>
        <v>46542</v>
      </c>
      <c r="C48" s="191">
        <f t="shared" si="4"/>
        <v>23038090.732264951</v>
      </c>
      <c r="D48" s="191">
        <f t="shared" si="0"/>
        <v>23010000.801459618</v>
      </c>
      <c r="E48" s="191">
        <f t="shared" si="1"/>
        <v>148079.98670254718</v>
      </c>
      <c r="F48" s="191">
        <f t="shared" si="2"/>
        <v>119990.05589721422</v>
      </c>
      <c r="G48" s="191">
        <f t="shared" si="3"/>
        <v>28089.930805332959</v>
      </c>
    </row>
    <row r="49" spans="1:13">
      <c r="A49" s="188">
        <f t="shared" si="6"/>
        <v>42</v>
      </c>
      <c r="B49" s="189">
        <f>B48+31</f>
        <v>46573</v>
      </c>
      <c r="C49" s="191">
        <f t="shared" si="4"/>
        <v>23010000.801459618</v>
      </c>
      <c r="D49" s="191">
        <f t="shared" si="0"/>
        <v>22981764.568931341</v>
      </c>
      <c r="E49" s="191">
        <f t="shared" si="1"/>
        <v>148079.98670254718</v>
      </c>
      <c r="F49" s="191">
        <f t="shared" si="2"/>
        <v>119843.75417427043</v>
      </c>
      <c r="G49" s="191">
        <f t="shared" si="3"/>
        <v>28236.232528276742</v>
      </c>
    </row>
    <row r="50" spans="1:13">
      <c r="A50" s="188">
        <f t="shared" si="6"/>
        <v>43</v>
      </c>
      <c r="B50" s="189">
        <f>B49+31</f>
        <v>46604</v>
      </c>
      <c r="C50" s="191">
        <f t="shared" si="4"/>
        <v>22981764.568931341</v>
      </c>
      <c r="D50" s="191">
        <f t="shared" si="0"/>
        <v>22953381.272691976</v>
      </c>
      <c r="E50" s="191">
        <f t="shared" si="1"/>
        <v>148079.98670254718</v>
      </c>
      <c r="F50" s="191">
        <f t="shared" si="2"/>
        <v>119696.69046318228</v>
      </c>
      <c r="G50" s="191">
        <f t="shared" si="3"/>
        <v>28383.296239364892</v>
      </c>
    </row>
    <row r="51" spans="1:13">
      <c r="A51" s="188">
        <f t="shared" si="6"/>
        <v>44</v>
      </c>
      <c r="B51" s="189">
        <f>B50+30</f>
        <v>46634</v>
      </c>
      <c r="C51" s="191">
        <f t="shared" si="4"/>
        <v>22953381.272691976</v>
      </c>
      <c r="D51" s="191">
        <f t="shared" si="0"/>
        <v>22924850.146784704</v>
      </c>
      <c r="E51" s="191">
        <f t="shared" si="1"/>
        <v>148079.98670254718</v>
      </c>
      <c r="F51" s="191">
        <f t="shared" si="2"/>
        <v>119548.86079527508</v>
      </c>
      <c r="G51" s="191">
        <f t="shared" si="3"/>
        <v>28531.1259072721</v>
      </c>
    </row>
    <row r="52" spans="1:13">
      <c r="A52" s="188">
        <f t="shared" si="6"/>
        <v>45</v>
      </c>
      <c r="B52" s="189">
        <f>B51+31</f>
        <v>46665</v>
      </c>
      <c r="C52" s="191">
        <f t="shared" si="4"/>
        <v>22924850.146784704</v>
      </c>
      <c r="D52" s="191">
        <f t="shared" si="0"/>
        <v>22896170.421263322</v>
      </c>
      <c r="E52" s="191">
        <f t="shared" si="1"/>
        <v>148079.98670254718</v>
      </c>
      <c r="F52" s="191">
        <f t="shared" si="2"/>
        <v>119400.26118116523</v>
      </c>
      <c r="G52" s="191">
        <f t="shared" si="3"/>
        <v>28679.725521381944</v>
      </c>
    </row>
    <row r="53" spans="1:13">
      <c r="A53" s="188">
        <f t="shared" si="6"/>
        <v>46</v>
      </c>
      <c r="B53" s="189">
        <f>B52+30</f>
        <v>46695</v>
      </c>
      <c r="C53" s="191">
        <f t="shared" si="4"/>
        <v>22896170.421263322</v>
      </c>
      <c r="D53" s="191">
        <f t="shared" si="0"/>
        <v>22867341.322171524</v>
      </c>
      <c r="E53" s="191">
        <f t="shared" si="1"/>
        <v>148079.98670254718</v>
      </c>
      <c r="F53" s="191">
        <f t="shared" si="2"/>
        <v>119250.88761074911</v>
      </c>
      <c r="G53" s="191">
        <f t="shared" si="3"/>
        <v>28829.099091798067</v>
      </c>
    </row>
    <row r="54" spans="1:13">
      <c r="A54" s="188">
        <f t="shared" si="6"/>
        <v>47</v>
      </c>
      <c r="B54" s="189">
        <f>B53+31</f>
        <v>46726</v>
      </c>
      <c r="C54" s="191">
        <f t="shared" si="4"/>
        <v>22867341.322171524</v>
      </c>
      <c r="D54" s="191">
        <f t="shared" si="0"/>
        <v>22838362.071521953</v>
      </c>
      <c r="E54" s="191">
        <f t="shared" si="1"/>
        <v>148079.98670254718</v>
      </c>
      <c r="F54" s="191">
        <f t="shared" si="2"/>
        <v>119100.73605297576</v>
      </c>
      <c r="G54" s="191">
        <f t="shared" si="3"/>
        <v>28979.250649571419</v>
      </c>
    </row>
    <row r="55" spans="1:13">
      <c r="A55" s="188">
        <f t="shared" si="6"/>
        <v>48</v>
      </c>
      <c r="B55" s="189">
        <f>B54+31</f>
        <v>46757</v>
      </c>
      <c r="C55" s="191">
        <f t="shared" si="4"/>
        <v>22838362.071521953</v>
      </c>
      <c r="D55" s="191">
        <f t="shared" si="0"/>
        <v>22809231.887275249</v>
      </c>
      <c r="E55" s="191">
        <f t="shared" si="1"/>
        <v>148079.98670254718</v>
      </c>
      <c r="F55" s="191">
        <f t="shared" si="2"/>
        <v>118949.80245584319</v>
      </c>
      <c r="G55" s="191">
        <f t="shared" si="3"/>
        <v>29130.184246703982</v>
      </c>
      <c r="I55" s="190">
        <f>SUM(G55:G66)</f>
        <v>359751.61162852868</v>
      </c>
      <c r="J55" s="190">
        <f>SUM(G67:G78)</f>
        <v>382891.48809603974</v>
      </c>
      <c r="K55" s="190">
        <f>SUM(G79:G90)</f>
        <v>407519.76340769976</v>
      </c>
      <c r="L55" s="190">
        <f>SUM(G91:G102)</f>
        <v>433732.17407802492</v>
      </c>
      <c r="M55" s="190">
        <f>SUM(G103:G114)</f>
        <v>461630.61456789076</v>
      </c>
    </row>
    <row r="56" spans="1:13">
      <c r="A56" s="188">
        <f t="shared" si="6"/>
        <v>49</v>
      </c>
      <c r="B56" s="189">
        <f>B55+30</f>
        <v>46787</v>
      </c>
      <c r="C56" s="191">
        <f t="shared" si="4"/>
        <v>22809231.887275249</v>
      </c>
      <c r="D56" s="191">
        <f t="shared" si="0"/>
        <v>22779949.983318929</v>
      </c>
      <c r="E56" s="191">
        <f t="shared" si="1"/>
        <v>148079.98670254718</v>
      </c>
      <c r="F56" s="191">
        <f t="shared" si="2"/>
        <v>118798.08274622704</v>
      </c>
      <c r="G56" s="191">
        <f t="shared" si="3"/>
        <v>29281.903956320137</v>
      </c>
      <c r="I56" s="191">
        <f>-I55</f>
        <v>-359751.61162852868</v>
      </c>
      <c r="J56" s="191">
        <f>-J55</f>
        <v>-382891.48809603974</v>
      </c>
      <c r="K56" s="191">
        <f>-K55</f>
        <v>-407519.76340769976</v>
      </c>
      <c r="L56" s="191">
        <f>-L55</f>
        <v>-433732.17407802492</v>
      </c>
      <c r="M56" s="191">
        <f>-M55</f>
        <v>-461630.61456789076</v>
      </c>
    </row>
    <row r="57" spans="1:13">
      <c r="A57" s="188">
        <f t="shared" si="6"/>
        <v>50</v>
      </c>
      <c r="B57" s="189">
        <f>B56+31</f>
        <v>46818</v>
      </c>
      <c r="C57" s="191">
        <f t="shared" si="4"/>
        <v>22779949.983318929</v>
      </c>
      <c r="D57" s="191">
        <f t="shared" si="0"/>
        <v>22750515.569446169</v>
      </c>
      <c r="E57" s="191">
        <f t="shared" si="1"/>
        <v>148079.98670254718</v>
      </c>
      <c r="F57" s="191">
        <f t="shared" si="2"/>
        <v>118645.57282978739</v>
      </c>
      <c r="G57" s="191">
        <f t="shared" si="3"/>
        <v>29434.413872759789</v>
      </c>
      <c r="I57" s="191"/>
      <c r="J57" s="191"/>
      <c r="K57" s="191"/>
      <c r="L57" s="191"/>
      <c r="M57" s="191"/>
    </row>
    <row r="58" spans="1:13">
      <c r="A58" s="188">
        <f t="shared" si="6"/>
        <v>51</v>
      </c>
      <c r="B58" s="189">
        <f>B57+30</f>
        <v>46848</v>
      </c>
      <c r="C58" s="191">
        <f t="shared" si="4"/>
        <v>22750515.569446169</v>
      </c>
      <c r="D58" s="191">
        <f t="shared" si="0"/>
        <v>22720927.851334482</v>
      </c>
      <c r="E58" s="191">
        <f t="shared" si="1"/>
        <v>148079.98670254718</v>
      </c>
      <c r="F58" s="191">
        <f t="shared" si="2"/>
        <v>118492.26859086077</v>
      </c>
      <c r="G58" s="191">
        <f t="shared" si="3"/>
        <v>29587.718111686409</v>
      </c>
    </row>
    <row r="59" spans="1:13">
      <c r="A59" s="188">
        <f t="shared" si="6"/>
        <v>52</v>
      </c>
      <c r="B59" s="189">
        <f>B58+31</f>
        <v>46879</v>
      </c>
      <c r="C59" s="191">
        <f t="shared" si="4"/>
        <v>22720927.851334482</v>
      </c>
      <c r="D59" s="191">
        <f t="shared" si="0"/>
        <v>22691186.030524306</v>
      </c>
      <c r="E59" s="191">
        <f t="shared" si="1"/>
        <v>148079.98670254718</v>
      </c>
      <c r="F59" s="191">
        <f t="shared" si="2"/>
        <v>118338.16589237074</v>
      </c>
      <c r="G59" s="191">
        <f t="shared" si="3"/>
        <v>29741.820810176432</v>
      </c>
    </row>
    <row r="60" spans="1:13">
      <c r="A60" s="188">
        <f t="shared" si="6"/>
        <v>53</v>
      </c>
      <c r="B60" s="189">
        <f>B59+31</f>
        <v>46910</v>
      </c>
      <c r="C60" s="191">
        <f t="shared" si="4"/>
        <v>22691186.030524306</v>
      </c>
      <c r="D60" s="191">
        <f t="shared" si="0"/>
        <v>22661289.304397404</v>
      </c>
      <c r="E60" s="191">
        <f t="shared" si="1"/>
        <v>148079.98670254718</v>
      </c>
      <c r="F60" s="191">
        <f t="shared" si="2"/>
        <v>118183.26057564537</v>
      </c>
      <c r="G60" s="191">
        <f t="shared" si="3"/>
        <v>29896.726126901805</v>
      </c>
    </row>
    <row r="61" spans="1:13">
      <c r="A61" s="188">
        <f t="shared" si="6"/>
        <v>54</v>
      </c>
      <c r="B61" s="189">
        <f>B60+28</f>
        <v>46938</v>
      </c>
      <c r="C61" s="191">
        <f t="shared" si="4"/>
        <v>22661289.304397404</v>
      </c>
      <c r="D61" s="191">
        <f t="shared" si="0"/>
        <v>22631236.866155263</v>
      </c>
      <c r="E61" s="191">
        <f t="shared" si="1"/>
        <v>148079.98670254718</v>
      </c>
      <c r="F61" s="191">
        <f t="shared" si="2"/>
        <v>118027.54846040602</v>
      </c>
      <c r="G61" s="191">
        <f t="shared" si="3"/>
        <v>30052.438242141157</v>
      </c>
    </row>
    <row r="62" spans="1:13">
      <c r="A62" s="188">
        <f t="shared" si="6"/>
        <v>55</v>
      </c>
      <c r="B62" s="189">
        <f>B61+31</f>
        <v>46969</v>
      </c>
      <c r="C62" s="191">
        <f t="shared" si="4"/>
        <v>22631236.866155263</v>
      </c>
      <c r="D62" s="191">
        <f t="shared" si="0"/>
        <v>22601027.904797275</v>
      </c>
      <c r="E62" s="191">
        <f t="shared" si="1"/>
        <v>148079.98670254718</v>
      </c>
      <c r="F62" s="191">
        <f t="shared" si="2"/>
        <v>117871.02534455876</v>
      </c>
      <c r="G62" s="191">
        <f t="shared" si="3"/>
        <v>30208.961357988417</v>
      </c>
    </row>
    <row r="63" spans="1:13">
      <c r="A63" s="188">
        <f t="shared" si="6"/>
        <v>56</v>
      </c>
      <c r="B63" s="189">
        <f>B62+30</f>
        <v>46999</v>
      </c>
      <c r="C63" s="191">
        <f t="shared" si="4"/>
        <v>22601027.904797275</v>
      </c>
      <c r="D63" s="191">
        <f t="shared" si="0"/>
        <v>22570661.605098881</v>
      </c>
      <c r="E63" s="191">
        <f t="shared" si="1"/>
        <v>148079.98670254718</v>
      </c>
      <c r="F63" s="191">
        <f t="shared" si="2"/>
        <v>117713.68700415338</v>
      </c>
      <c r="G63" s="191">
        <f t="shared" si="3"/>
        <v>30366.299698393792</v>
      </c>
    </row>
    <row r="64" spans="1:13">
      <c r="A64" s="188">
        <f t="shared" si="6"/>
        <v>57</v>
      </c>
      <c r="B64" s="189">
        <f>B63+31</f>
        <v>47030</v>
      </c>
      <c r="C64" s="191">
        <f t="shared" si="4"/>
        <v>22570661.605098881</v>
      </c>
      <c r="D64" s="191">
        <f t="shared" si="0"/>
        <v>22540137.147589561</v>
      </c>
      <c r="E64" s="191">
        <f t="shared" si="1"/>
        <v>148079.98670254718</v>
      </c>
      <c r="F64" s="191">
        <f t="shared" si="2"/>
        <v>117555.52919322695</v>
      </c>
      <c r="G64" s="191">
        <f t="shared" si="3"/>
        <v>30524.457509320229</v>
      </c>
    </row>
    <row r="65" spans="1:13">
      <c r="A65" s="188">
        <f t="shared" si="6"/>
        <v>58</v>
      </c>
      <c r="B65" s="189">
        <f>B64+30</f>
        <v>47060</v>
      </c>
      <c r="C65" s="191">
        <f t="shared" si="4"/>
        <v>22540137.147589561</v>
      </c>
      <c r="D65" s="191">
        <f t="shared" si="0"/>
        <v>22509453.708530705</v>
      </c>
      <c r="E65" s="191">
        <f t="shared" si="1"/>
        <v>148079.98670254718</v>
      </c>
      <c r="F65" s="191">
        <f t="shared" si="2"/>
        <v>117396.547643692</v>
      </c>
      <c r="G65" s="191">
        <f t="shared" si="3"/>
        <v>30683.439058855176</v>
      </c>
    </row>
    <row r="66" spans="1:13">
      <c r="A66" s="188">
        <f t="shared" si="6"/>
        <v>59</v>
      </c>
      <c r="B66" s="189">
        <f>B65+31</f>
        <v>47091</v>
      </c>
      <c r="C66" s="191">
        <f t="shared" si="4"/>
        <v>22509453.708530705</v>
      </c>
      <c r="D66" s="191">
        <f t="shared" si="0"/>
        <v>22478610.459893424</v>
      </c>
      <c r="E66" s="191">
        <f t="shared" si="1"/>
        <v>148079.98670254718</v>
      </c>
      <c r="F66" s="191">
        <f t="shared" si="2"/>
        <v>117236.73806526582</v>
      </c>
      <c r="G66" s="191">
        <f t="shared" si="3"/>
        <v>30843.248637281358</v>
      </c>
    </row>
    <row r="67" spans="1:13">
      <c r="A67" s="188">
        <f t="shared" si="6"/>
        <v>60</v>
      </c>
      <c r="B67" s="189">
        <f>B66+31</f>
        <v>47122</v>
      </c>
      <c r="C67" s="191">
        <f t="shared" si="4"/>
        <v>22478610.459893424</v>
      </c>
      <c r="D67" s="191">
        <f t="shared" si="0"/>
        <v>22447606.569336154</v>
      </c>
      <c r="E67" s="191">
        <f t="shared" si="1"/>
        <v>148079.98670254718</v>
      </c>
      <c r="F67" s="191">
        <f t="shared" si="2"/>
        <v>117076.09614527668</v>
      </c>
      <c r="G67" s="191">
        <f t="shared" si="3"/>
        <v>31003.890557270497</v>
      </c>
    </row>
    <row r="68" spans="1:13">
      <c r="A68" s="192">
        <f t="shared" si="6"/>
        <v>61</v>
      </c>
      <c r="B68" s="193">
        <f>B67+30</f>
        <v>47152</v>
      </c>
      <c r="C68" s="191">
        <f t="shared" si="4"/>
        <v>22447606.569336154</v>
      </c>
      <c r="D68" s="191">
        <f t="shared" si="0"/>
        <v>22416441.200182233</v>
      </c>
      <c r="E68" s="191">
        <f t="shared" si="1"/>
        <v>148079.98670254718</v>
      </c>
      <c r="F68" s="191">
        <f t="shared" si="2"/>
        <v>116914.61754862661</v>
      </c>
      <c r="G68" s="191">
        <f t="shared" si="3"/>
        <v>31165.369153920561</v>
      </c>
    </row>
    <row r="69" spans="1:13">
      <c r="A69" s="192">
        <f t="shared" si="6"/>
        <v>62</v>
      </c>
      <c r="B69" s="193">
        <f>B68+31</f>
        <v>47183</v>
      </c>
      <c r="C69" s="191">
        <f t="shared" si="4"/>
        <v>22416441.200182233</v>
      </c>
      <c r="D69" s="191">
        <f t="shared" si="0"/>
        <v>22385113.511397302</v>
      </c>
      <c r="E69" s="191">
        <f t="shared" si="1"/>
        <v>148079.98670254718</v>
      </c>
      <c r="F69" s="191">
        <f t="shared" si="2"/>
        <v>116752.29791761632</v>
      </c>
      <c r="G69" s="191">
        <f t="shared" si="3"/>
        <v>31327.688784930855</v>
      </c>
    </row>
    <row r="70" spans="1:13">
      <c r="A70" s="192">
        <f t="shared" si="6"/>
        <v>63</v>
      </c>
      <c r="B70" s="193">
        <f>B69+30</f>
        <v>47213</v>
      </c>
      <c r="C70" s="191">
        <f t="shared" si="4"/>
        <v>22385113.511397302</v>
      </c>
      <c r="D70" s="191">
        <f t="shared" si="0"/>
        <v>22353622.657566614</v>
      </c>
      <c r="E70" s="191">
        <f t="shared" si="1"/>
        <v>148079.98670254718</v>
      </c>
      <c r="F70" s="191">
        <f t="shared" si="2"/>
        <v>116589.13287185947</v>
      </c>
      <c r="G70" s="191">
        <f t="shared" si="3"/>
        <v>31490.853830687702</v>
      </c>
    </row>
    <row r="71" spans="1:13">
      <c r="A71" s="192">
        <f t="shared" si="6"/>
        <v>64</v>
      </c>
      <c r="B71" s="193">
        <f>B70+31</f>
        <v>47244</v>
      </c>
      <c r="C71" s="191">
        <f t="shared" si="4"/>
        <v>22353622.657566614</v>
      </c>
      <c r="D71" s="191">
        <f t="shared" si="0"/>
        <v>22321967.788872227</v>
      </c>
      <c r="E71" s="191">
        <f t="shared" si="1"/>
        <v>148079.98670254718</v>
      </c>
      <c r="F71" s="191">
        <f t="shared" si="2"/>
        <v>116425.1180081598</v>
      </c>
      <c r="G71" s="191">
        <f t="shared" si="3"/>
        <v>31654.868694387376</v>
      </c>
    </row>
    <row r="72" spans="1:13">
      <c r="A72" s="192">
        <f t="shared" si="6"/>
        <v>65</v>
      </c>
      <c r="B72" s="193">
        <f>B71+31</f>
        <v>47275</v>
      </c>
      <c r="C72" s="191">
        <f t="shared" si="4"/>
        <v>22321967.788872227</v>
      </c>
      <c r="D72" s="191">
        <f t="shared" ref="D72:D135" si="8">PV($D$3/12,($D$4-A72),-$D$5)</f>
        <v>22290148.051070061</v>
      </c>
      <c r="E72" s="191">
        <f t="shared" ref="E72:E135" si="9">IF(C72=0,0,$D$5)</f>
        <v>148079.98670254718</v>
      </c>
      <c r="F72" s="191">
        <f t="shared" ref="F72:F135" si="10">E72-(C72-D72)</f>
        <v>116260.24890038068</v>
      </c>
      <c r="G72" s="191">
        <f t="shared" ref="G72:G135" si="11">E72-F72</f>
        <v>31819.737802166492</v>
      </c>
    </row>
    <row r="73" spans="1:13">
      <c r="A73" s="192">
        <f t="shared" si="6"/>
        <v>66</v>
      </c>
      <c r="B73" s="193">
        <f>B72+28</f>
        <v>47303</v>
      </c>
      <c r="C73" s="191">
        <f t="shared" ref="C73:C136" si="12">D72</f>
        <v>22290148.051070061</v>
      </c>
      <c r="D73" s="191">
        <f t="shared" si="8"/>
        <v>22258162.585466832</v>
      </c>
      <c r="E73" s="191">
        <f t="shared" si="9"/>
        <v>148079.98670254718</v>
      </c>
      <c r="F73" s="191">
        <f t="shared" si="10"/>
        <v>116094.52109931852</v>
      </c>
      <c r="G73" s="191">
        <f t="shared" si="11"/>
        <v>31985.465603228658</v>
      </c>
    </row>
    <row r="74" spans="1:13">
      <c r="A74" s="192">
        <f t="shared" si="6"/>
        <v>67</v>
      </c>
      <c r="B74" s="193">
        <f>B73+31</f>
        <v>47334</v>
      </c>
      <c r="C74" s="191">
        <f t="shared" si="12"/>
        <v>22258162.585466832</v>
      </c>
      <c r="D74" s="191">
        <f t="shared" si="8"/>
        <v>22226010.528896928</v>
      </c>
      <c r="E74" s="191">
        <f t="shared" si="9"/>
        <v>148079.98670254718</v>
      </c>
      <c r="F74" s="191">
        <f t="shared" si="10"/>
        <v>115927.93013264309</v>
      </c>
      <c r="G74" s="191">
        <f t="shared" si="11"/>
        <v>32152.056569904089</v>
      </c>
      <c r="H74" s="194"/>
      <c r="I74" s="190">
        <f>SUM(G74:G85)</f>
        <v>397071.09540526196</v>
      </c>
      <c r="J74" s="190">
        <f>SUM(G86:G97)</f>
        <v>422611.42878946662</v>
      </c>
      <c r="K74" s="190">
        <f>SUM(G98:G109)</f>
        <v>449794.56276258454</v>
      </c>
      <c r="L74" s="190">
        <f>SUM(G110:G121)</f>
        <v>478726.16523954272</v>
      </c>
      <c r="M74" s="190">
        <f>SUM(G122:G133)</f>
        <v>509518.7008872889</v>
      </c>
    </row>
    <row r="75" spans="1:13">
      <c r="A75" s="192">
        <f t="shared" si="6"/>
        <v>68</v>
      </c>
      <c r="B75" s="193">
        <f>B74+30</f>
        <v>47364</v>
      </c>
      <c r="C75" s="191">
        <f t="shared" si="12"/>
        <v>22226010.528896928</v>
      </c>
      <c r="D75" s="191">
        <f t="shared" si="8"/>
        <v>22193691.013699051</v>
      </c>
      <c r="E75" s="191">
        <f t="shared" si="9"/>
        <v>148079.98670254718</v>
      </c>
      <c r="F75" s="191">
        <f t="shared" si="10"/>
        <v>115760.47150467033</v>
      </c>
      <c r="G75" s="191">
        <f t="shared" si="11"/>
        <v>32319.515197876841</v>
      </c>
      <c r="I75" s="191">
        <f>-I74</f>
        <v>-397071.09540526196</v>
      </c>
      <c r="J75" s="191">
        <f>-J74</f>
        <v>-422611.42878946662</v>
      </c>
      <c r="K75" s="191">
        <f>-K74</f>
        <v>-449794.56276258454</v>
      </c>
      <c r="L75" s="191">
        <f>-L74</f>
        <v>-478726.16523954272</v>
      </c>
      <c r="M75" s="191">
        <f>-M74</f>
        <v>-509518.7008872889</v>
      </c>
    </row>
    <row r="76" spans="1:13">
      <c r="A76" s="192">
        <f t="shared" si="6"/>
        <v>69</v>
      </c>
      <c r="B76" s="193">
        <f>B75+31</f>
        <v>47395</v>
      </c>
      <c r="C76" s="191">
        <f t="shared" si="12"/>
        <v>22193691.013699051</v>
      </c>
      <c r="D76" s="191">
        <f t="shared" si="8"/>
        <v>22161203.167692855</v>
      </c>
      <c r="E76" s="191">
        <f t="shared" si="9"/>
        <v>148079.98670254718</v>
      </c>
      <c r="F76" s="191">
        <f t="shared" si="10"/>
        <v>115592.14069635118</v>
      </c>
      <c r="G76" s="191">
        <f t="shared" si="11"/>
        <v>32487.846006195992</v>
      </c>
    </row>
    <row r="77" spans="1:13">
      <c r="A77" s="192">
        <f t="shared" si="6"/>
        <v>70</v>
      </c>
      <c r="B77" s="193">
        <f>B76+30</f>
        <v>47425</v>
      </c>
      <c r="C77" s="191">
        <f t="shared" si="12"/>
        <v>22161203.167692855</v>
      </c>
      <c r="D77" s="191">
        <f t="shared" si="8"/>
        <v>22128546.114155374</v>
      </c>
      <c r="E77" s="191">
        <f t="shared" si="9"/>
        <v>148079.98670254718</v>
      </c>
      <c r="F77" s="191">
        <f t="shared" si="10"/>
        <v>115422.93316506664</v>
      </c>
      <c r="G77" s="191">
        <f t="shared" si="11"/>
        <v>32657.053537480533</v>
      </c>
    </row>
    <row r="78" spans="1:13">
      <c r="A78" s="192">
        <f t="shared" si="6"/>
        <v>71</v>
      </c>
      <c r="B78" s="193">
        <f>B77+31</f>
        <v>47456</v>
      </c>
      <c r="C78" s="191">
        <f t="shared" si="12"/>
        <v>22128546.114155374</v>
      </c>
      <c r="D78" s="191">
        <f t="shared" si="8"/>
        <v>22095718.971797384</v>
      </c>
      <c r="E78" s="191">
        <f t="shared" si="9"/>
        <v>148079.98670254718</v>
      </c>
      <c r="F78" s="191">
        <f t="shared" si="10"/>
        <v>115252.84434455703</v>
      </c>
      <c r="G78" s="191">
        <f t="shared" si="11"/>
        <v>32827.142357990146</v>
      </c>
    </row>
    <row r="79" spans="1:13">
      <c r="A79" s="192">
        <f t="shared" si="6"/>
        <v>72</v>
      </c>
      <c r="B79" s="193">
        <f>B78+31</f>
        <v>47487</v>
      </c>
      <c r="C79" s="191">
        <f t="shared" si="12"/>
        <v>22095718.971797384</v>
      </c>
      <c r="D79" s="191">
        <f t="shared" si="8"/>
        <v>22062720.854739621</v>
      </c>
      <c r="E79" s="191">
        <f t="shared" si="9"/>
        <v>148079.98670254718</v>
      </c>
      <c r="F79" s="191">
        <f t="shared" si="10"/>
        <v>115081.86964478414</v>
      </c>
      <c r="G79" s="191">
        <f t="shared" si="11"/>
        <v>32998.11705776304</v>
      </c>
    </row>
    <row r="80" spans="1:13">
      <c r="A80" s="192">
        <f t="shared" si="6"/>
        <v>73</v>
      </c>
      <c r="B80" s="193">
        <f>B79+30</f>
        <v>47517</v>
      </c>
      <c r="C80" s="191">
        <f t="shared" si="12"/>
        <v>22062720.854739621</v>
      </c>
      <c r="D80" s="191">
        <f t="shared" si="8"/>
        <v>22029550.872488841</v>
      </c>
      <c r="E80" s="191">
        <f t="shared" si="9"/>
        <v>148079.98670254718</v>
      </c>
      <c r="F80" s="191">
        <f t="shared" si="10"/>
        <v>114910.00445176731</v>
      </c>
      <c r="G80" s="191">
        <f t="shared" si="11"/>
        <v>33169.982250779867</v>
      </c>
    </row>
    <row r="81" spans="1:13">
      <c r="A81" s="192">
        <f t="shared" ref="A81:A144" si="13">A80+1</f>
        <v>74</v>
      </c>
      <c r="B81" s="193">
        <f>B80+31</f>
        <v>47548</v>
      </c>
      <c r="C81" s="191">
        <f t="shared" si="12"/>
        <v>22029550.872488841</v>
      </c>
      <c r="D81" s="191">
        <f t="shared" si="8"/>
        <v>21996208.12991384</v>
      </c>
      <c r="E81" s="191">
        <f t="shared" si="9"/>
        <v>148079.98670254718</v>
      </c>
      <c r="F81" s="191">
        <f t="shared" si="10"/>
        <v>114737.2441275462</v>
      </c>
      <c r="G81" s="191">
        <f t="shared" si="11"/>
        <v>33342.742575000972</v>
      </c>
    </row>
    <row r="82" spans="1:13">
      <c r="A82" s="192">
        <f t="shared" si="13"/>
        <v>75</v>
      </c>
      <c r="B82" s="193">
        <f>B81+30</f>
        <v>47578</v>
      </c>
      <c r="C82" s="191">
        <f t="shared" si="12"/>
        <v>21996208.12991384</v>
      </c>
      <c r="D82" s="191">
        <f t="shared" si="8"/>
        <v>21962691.727221258</v>
      </c>
      <c r="E82" s="191">
        <f t="shared" si="9"/>
        <v>148079.98670254718</v>
      </c>
      <c r="F82" s="191">
        <f t="shared" si="10"/>
        <v>114563.58400996472</v>
      </c>
      <c r="G82" s="191">
        <f t="shared" si="11"/>
        <v>33516.402692582458</v>
      </c>
    </row>
    <row r="83" spans="1:13">
      <c r="A83" s="192">
        <f t="shared" si="13"/>
        <v>76</v>
      </c>
      <c r="B83" s="193">
        <f>B82+31</f>
        <v>47609</v>
      </c>
      <c r="C83" s="191">
        <f t="shared" si="12"/>
        <v>21962691.727221258</v>
      </c>
      <c r="D83" s="191">
        <f t="shared" si="8"/>
        <v>21929000.759931322</v>
      </c>
      <c r="E83" s="191">
        <f t="shared" si="9"/>
        <v>148079.98670254718</v>
      </c>
      <c r="F83" s="191">
        <f t="shared" si="10"/>
        <v>114389.01941261138</v>
      </c>
      <c r="G83" s="191">
        <f t="shared" si="11"/>
        <v>33690.967289935797</v>
      </c>
    </row>
    <row r="84" spans="1:13">
      <c r="A84" s="192">
        <f t="shared" si="13"/>
        <v>77</v>
      </c>
      <c r="B84" s="193">
        <f>B83+31</f>
        <v>47640</v>
      </c>
      <c r="C84" s="191">
        <f t="shared" si="12"/>
        <v>21929000.759931322</v>
      </c>
      <c r="D84" s="191">
        <f t="shared" si="8"/>
        <v>21895134.318853423</v>
      </c>
      <c r="E84" s="191">
        <f t="shared" si="9"/>
        <v>148079.98670254718</v>
      </c>
      <c r="F84" s="191">
        <f t="shared" si="10"/>
        <v>114213.54562464799</v>
      </c>
      <c r="G84" s="191">
        <f t="shared" si="11"/>
        <v>33866.441077899188</v>
      </c>
    </row>
    <row r="85" spans="1:13">
      <c r="A85" s="192">
        <f t="shared" si="13"/>
        <v>78</v>
      </c>
      <c r="B85" s="193">
        <f>B84+29</f>
        <v>47669</v>
      </c>
      <c r="C85" s="191">
        <f t="shared" si="12"/>
        <v>21895134.318853423</v>
      </c>
      <c r="D85" s="191">
        <f t="shared" si="8"/>
        <v>21861091.49006157</v>
      </c>
      <c r="E85" s="191">
        <f t="shared" si="9"/>
        <v>148079.98670254718</v>
      </c>
      <c r="F85" s="191">
        <f t="shared" si="10"/>
        <v>114037.15791069414</v>
      </c>
      <c r="G85" s="191">
        <f t="shared" si="11"/>
        <v>34042.82879185304</v>
      </c>
    </row>
    <row r="86" spans="1:13">
      <c r="A86" s="192">
        <f t="shared" si="13"/>
        <v>79</v>
      </c>
      <c r="B86" s="193">
        <f>B85+31</f>
        <v>47700</v>
      </c>
      <c r="C86" s="191">
        <f t="shared" si="12"/>
        <v>21861091.49006157</v>
      </c>
      <c r="D86" s="191">
        <f t="shared" si="8"/>
        <v>21826871.354869761</v>
      </c>
      <c r="E86" s="191">
        <f t="shared" si="9"/>
        <v>148079.98670254718</v>
      </c>
      <c r="F86" s="191">
        <f t="shared" si="10"/>
        <v>113859.85151073779</v>
      </c>
      <c r="G86" s="191">
        <f t="shared" si="11"/>
        <v>34220.135191809386</v>
      </c>
    </row>
    <row r="87" spans="1:13">
      <c r="A87" s="192">
        <f t="shared" si="13"/>
        <v>80</v>
      </c>
      <c r="B87" s="193">
        <f>B86+30</f>
        <v>47730</v>
      </c>
      <c r="C87" s="191">
        <f t="shared" si="12"/>
        <v>21826871.354869761</v>
      </c>
      <c r="D87" s="191">
        <f t="shared" si="8"/>
        <v>21792472.989807155</v>
      </c>
      <c r="E87" s="191">
        <f t="shared" si="9"/>
        <v>148079.98670254718</v>
      </c>
      <c r="F87" s="191">
        <f t="shared" si="10"/>
        <v>113681.62163994159</v>
      </c>
      <c r="G87" s="191">
        <f t="shared" si="11"/>
        <v>34398.36506260559</v>
      </c>
      <c r="I87" s="191"/>
      <c r="J87" s="191"/>
      <c r="K87" s="191"/>
      <c r="L87" s="191"/>
      <c r="M87" s="191"/>
    </row>
    <row r="88" spans="1:13">
      <c r="A88" s="192">
        <f t="shared" si="13"/>
        <v>81</v>
      </c>
      <c r="B88" s="193">
        <f>B87+31</f>
        <v>47761</v>
      </c>
      <c r="C88" s="191">
        <f t="shared" si="12"/>
        <v>21792472.989807155</v>
      </c>
      <c r="D88" s="191">
        <f t="shared" si="8"/>
        <v>21757895.466593187</v>
      </c>
      <c r="E88" s="191">
        <f t="shared" si="9"/>
        <v>148079.98670254718</v>
      </c>
      <c r="F88" s="191">
        <f t="shared" si="10"/>
        <v>113502.46348857949</v>
      </c>
      <c r="G88" s="191">
        <f t="shared" si="11"/>
        <v>34577.523213967681</v>
      </c>
      <c r="I88" s="191"/>
      <c r="J88" s="191"/>
      <c r="K88" s="191"/>
      <c r="L88" s="191"/>
      <c r="M88" s="191"/>
    </row>
    <row r="89" spans="1:13">
      <c r="A89" s="192">
        <f t="shared" si="13"/>
        <v>82</v>
      </c>
      <c r="B89" s="193">
        <f>B88+30</f>
        <v>47791</v>
      </c>
      <c r="C89" s="191">
        <f t="shared" si="12"/>
        <v>21757895.466593187</v>
      </c>
      <c r="D89" s="191">
        <f t="shared" si="8"/>
        <v>21723137.852112483</v>
      </c>
      <c r="E89" s="191">
        <f t="shared" si="9"/>
        <v>148079.98670254718</v>
      </c>
      <c r="F89" s="191">
        <f t="shared" si="10"/>
        <v>113322.37222184311</v>
      </c>
      <c r="G89" s="191">
        <f t="shared" si="11"/>
        <v>34757.614480704069</v>
      </c>
    </row>
    <row r="90" spans="1:13">
      <c r="A90" s="192">
        <f t="shared" si="13"/>
        <v>83</v>
      </c>
      <c r="B90" s="193">
        <f>B89+31</f>
        <v>47822</v>
      </c>
      <c r="C90" s="191">
        <f t="shared" si="12"/>
        <v>21723137.852112483</v>
      </c>
      <c r="D90" s="191">
        <f t="shared" si="8"/>
        <v>21688199.208389685</v>
      </c>
      <c r="E90" s="191">
        <f t="shared" si="9"/>
        <v>148079.98670254718</v>
      </c>
      <c r="F90" s="191">
        <f t="shared" si="10"/>
        <v>113141.3429797485</v>
      </c>
      <c r="G90" s="191">
        <f t="shared" si="11"/>
        <v>34938.643722798675</v>
      </c>
    </row>
    <row r="91" spans="1:13">
      <c r="A91" s="195">
        <f t="shared" si="13"/>
        <v>84</v>
      </c>
      <c r="B91" s="196">
        <f>B90+31</f>
        <v>47853</v>
      </c>
      <c r="C91" s="197">
        <f t="shared" si="12"/>
        <v>21688199.208389685</v>
      </c>
      <c r="D91" s="197">
        <f t="shared" si="8"/>
        <v>21653078.592564169</v>
      </c>
      <c r="E91" s="197">
        <f t="shared" si="9"/>
        <v>148079.98670254718</v>
      </c>
      <c r="F91" s="197">
        <f t="shared" si="10"/>
        <v>112959.37087703194</v>
      </c>
      <c r="G91" s="197">
        <f t="shared" si="11"/>
        <v>35120.61582551524</v>
      </c>
    </row>
    <row r="92" spans="1:13">
      <c r="A92" s="192">
        <f t="shared" si="13"/>
        <v>85</v>
      </c>
      <c r="B92" s="193">
        <f>B91+30</f>
        <v>47883</v>
      </c>
      <c r="C92" s="191">
        <f t="shared" si="12"/>
        <v>21653078.592564169</v>
      </c>
      <c r="D92" s="191">
        <f t="shared" si="8"/>
        <v>21617775.056864563</v>
      </c>
      <c r="E92" s="191">
        <f t="shared" si="9"/>
        <v>148079.98670254718</v>
      </c>
      <c r="F92" s="191">
        <f t="shared" si="10"/>
        <v>112776.45100294123</v>
      </c>
      <c r="G92" s="191">
        <f t="shared" si="11"/>
        <v>35303.535699605942</v>
      </c>
    </row>
    <row r="93" spans="1:13">
      <c r="A93" s="192">
        <f t="shared" si="13"/>
        <v>86</v>
      </c>
      <c r="B93" s="193">
        <f>B92+31</f>
        <v>47914</v>
      </c>
      <c r="C93" s="191">
        <f t="shared" si="12"/>
        <v>21617775.056864563</v>
      </c>
      <c r="D93" s="191">
        <f t="shared" si="8"/>
        <v>21582287.648583185</v>
      </c>
      <c r="E93" s="191">
        <f t="shared" si="9"/>
        <v>148079.98670254718</v>
      </c>
      <c r="F93" s="191">
        <f t="shared" si="10"/>
        <v>112592.57842116873</v>
      </c>
      <c r="G93" s="191">
        <f t="shared" si="11"/>
        <v>35487.408281378448</v>
      </c>
    </row>
    <row r="94" spans="1:13">
      <c r="A94" s="192">
        <f t="shared" si="13"/>
        <v>87</v>
      </c>
      <c r="B94" s="193">
        <f>B93+30</f>
        <v>47944</v>
      </c>
      <c r="C94" s="191">
        <f t="shared" si="12"/>
        <v>21582287.648583185</v>
      </c>
      <c r="D94" s="191">
        <f t="shared" si="8"/>
        <v>21546615.410050344</v>
      </c>
      <c r="E94" s="191">
        <f t="shared" si="9"/>
        <v>148079.98670254718</v>
      </c>
      <c r="F94" s="191">
        <f t="shared" si="10"/>
        <v>112407.74816970597</v>
      </c>
      <c r="G94" s="191">
        <f t="shared" si="11"/>
        <v>35672.238532841206</v>
      </c>
    </row>
    <row r="95" spans="1:13">
      <c r="A95" s="192">
        <f t="shared" si="13"/>
        <v>88</v>
      </c>
      <c r="B95" s="193">
        <f>B94+31</f>
        <v>47975</v>
      </c>
      <c r="C95" s="191">
        <f t="shared" si="12"/>
        <v>21546615.410050344</v>
      </c>
      <c r="D95" s="191">
        <f t="shared" si="8"/>
        <v>21510757.378608473</v>
      </c>
      <c r="E95" s="191">
        <f t="shared" si="9"/>
        <v>148079.98670254718</v>
      </c>
      <c r="F95" s="191">
        <f t="shared" si="10"/>
        <v>112221.9552606761</v>
      </c>
      <c r="G95" s="191">
        <f t="shared" si="11"/>
        <v>35858.031441871077</v>
      </c>
    </row>
    <row r="96" spans="1:13">
      <c r="A96" s="192">
        <f t="shared" si="13"/>
        <v>89</v>
      </c>
      <c r="B96" s="193">
        <f>B95+31</f>
        <v>48006</v>
      </c>
      <c r="C96" s="191">
        <f t="shared" si="12"/>
        <v>21510757.378608473</v>
      </c>
      <c r="D96" s="191">
        <f t="shared" si="8"/>
        <v>21474712.586586177</v>
      </c>
      <c r="E96" s="191">
        <f t="shared" si="9"/>
        <v>148079.98670254718</v>
      </c>
      <c r="F96" s="191">
        <f t="shared" si="10"/>
        <v>112035.19468025188</v>
      </c>
      <c r="G96" s="191">
        <f t="shared" si="11"/>
        <v>36044.792022295296</v>
      </c>
    </row>
    <row r="97" spans="1:7">
      <c r="A97" s="192">
        <f t="shared" si="13"/>
        <v>90</v>
      </c>
      <c r="B97" s="193">
        <f>B96+28</f>
        <v>48034</v>
      </c>
      <c r="C97" s="191">
        <f t="shared" si="12"/>
        <v>21474712.586586177</v>
      </c>
      <c r="D97" s="191">
        <f t="shared" si="8"/>
        <v>21438480.061272103</v>
      </c>
      <c r="E97" s="191">
        <f t="shared" si="9"/>
        <v>148079.98670254718</v>
      </c>
      <c r="F97" s="191">
        <f t="shared" si="10"/>
        <v>111847.46138847317</v>
      </c>
      <c r="G97" s="191">
        <f t="shared" si="11"/>
        <v>36232.52531407401</v>
      </c>
    </row>
    <row r="98" spans="1:7">
      <c r="A98" s="192">
        <f t="shared" si="13"/>
        <v>91</v>
      </c>
      <c r="B98" s="193">
        <f>B97+31</f>
        <v>48065</v>
      </c>
      <c r="C98" s="191">
        <f t="shared" si="12"/>
        <v>21438480.061272103</v>
      </c>
      <c r="D98" s="191">
        <f t="shared" si="8"/>
        <v>21402058.824888676</v>
      </c>
      <c r="E98" s="191">
        <f t="shared" si="9"/>
        <v>148079.98670254718</v>
      </c>
      <c r="F98" s="191">
        <f t="shared" si="10"/>
        <v>111658.75031912024</v>
      </c>
      <c r="G98" s="191">
        <f t="shared" si="11"/>
        <v>36421.236383426934</v>
      </c>
    </row>
    <row r="99" spans="1:7">
      <c r="A99" s="192">
        <f t="shared" si="13"/>
        <v>92</v>
      </c>
      <c r="B99" s="193">
        <f>B98+30</f>
        <v>48095</v>
      </c>
      <c r="C99" s="191">
        <f t="shared" si="12"/>
        <v>21402058.824888676</v>
      </c>
      <c r="D99" s="191">
        <f t="shared" si="8"/>
        <v>21365447.894565765</v>
      </c>
      <c r="E99" s="191">
        <f t="shared" si="9"/>
        <v>148079.98670254718</v>
      </c>
      <c r="F99" s="191">
        <f t="shared" si="10"/>
        <v>111469.05637963559</v>
      </c>
      <c r="G99" s="191">
        <f t="shared" si="11"/>
        <v>36610.93032291159</v>
      </c>
    </row>
    <row r="100" spans="1:7">
      <c r="A100" s="192">
        <f t="shared" si="13"/>
        <v>93</v>
      </c>
      <c r="B100" s="198">
        <f>C100/C97</f>
        <v>0.99491193693140911</v>
      </c>
      <c r="C100" s="191">
        <f t="shared" si="12"/>
        <v>21365447.894565765</v>
      </c>
      <c r="D100" s="191">
        <f t="shared" si="8"/>
        <v>21328646.282314077</v>
      </c>
      <c r="E100" s="191">
        <f t="shared" si="9"/>
        <v>148079.98670254718</v>
      </c>
      <c r="F100" s="191">
        <f t="shared" si="10"/>
        <v>111278.37445085938</v>
      </c>
      <c r="G100" s="191">
        <f t="shared" si="11"/>
        <v>36801.612251687795</v>
      </c>
    </row>
    <row r="101" spans="1:7">
      <c r="A101" s="192">
        <f t="shared" si="13"/>
        <v>94</v>
      </c>
      <c r="B101" s="193">
        <f>B100+30</f>
        <v>30.994911936931409</v>
      </c>
      <c r="C101" s="191">
        <f t="shared" si="12"/>
        <v>21328646.282314077</v>
      </c>
      <c r="D101" s="191">
        <f t="shared" si="8"/>
        <v>21291652.994998585</v>
      </c>
      <c r="E101" s="191">
        <f t="shared" si="9"/>
        <v>148079.98670254718</v>
      </c>
      <c r="F101" s="191">
        <f t="shared" si="10"/>
        <v>111086.69938705559</v>
      </c>
      <c r="G101" s="191">
        <f t="shared" si="11"/>
        <v>36993.287315491587</v>
      </c>
    </row>
    <row r="102" spans="1:7">
      <c r="A102" s="192">
        <f t="shared" si="13"/>
        <v>95</v>
      </c>
      <c r="B102" s="193">
        <f>B101+31</f>
        <v>61.994911936931409</v>
      </c>
      <c r="C102" s="191">
        <f t="shared" si="12"/>
        <v>21291652.994998585</v>
      </c>
      <c r="D102" s="191">
        <f t="shared" si="8"/>
        <v>21254467.03431166</v>
      </c>
      <c r="E102" s="191">
        <f t="shared" si="9"/>
        <v>148079.98670254718</v>
      </c>
      <c r="F102" s="191">
        <f t="shared" si="10"/>
        <v>110894.02601562138</v>
      </c>
      <c r="G102" s="191">
        <f t="shared" si="11"/>
        <v>37185.960686925799</v>
      </c>
    </row>
    <row r="103" spans="1:7">
      <c r="A103" s="192">
        <f t="shared" si="13"/>
        <v>96</v>
      </c>
      <c r="B103" s="193">
        <f>B102+31</f>
        <v>92.994911936931402</v>
      </c>
      <c r="C103" s="191">
        <f t="shared" si="12"/>
        <v>21254467.03431166</v>
      </c>
      <c r="D103" s="191">
        <f t="shared" si="8"/>
        <v>21217087.396746147</v>
      </c>
      <c r="E103" s="191">
        <f t="shared" si="9"/>
        <v>148079.98670254718</v>
      </c>
      <c r="F103" s="191">
        <f t="shared" si="10"/>
        <v>110700.34913703497</v>
      </c>
      <c r="G103" s="191">
        <f t="shared" si="11"/>
        <v>37379.63756551221</v>
      </c>
    </row>
    <row r="104" spans="1:7">
      <c r="A104" s="192">
        <f t="shared" si="13"/>
        <v>97</v>
      </c>
      <c r="B104" s="193">
        <f>B103+30</f>
        <v>122.9949119369314</v>
      </c>
      <c r="C104" s="191">
        <f t="shared" si="12"/>
        <v>21217087.396746147</v>
      </c>
      <c r="D104" s="191">
        <f t="shared" si="8"/>
        <v>21179513.073568322</v>
      </c>
      <c r="E104" s="191">
        <f t="shared" si="9"/>
        <v>148079.98670254718</v>
      </c>
      <c r="F104" s="191">
        <f t="shared" si="10"/>
        <v>110505.66352472152</v>
      </c>
      <c r="G104" s="191">
        <f t="shared" si="11"/>
        <v>37574.32317782566</v>
      </c>
    </row>
    <row r="105" spans="1:7">
      <c r="A105" s="192">
        <f t="shared" si="13"/>
        <v>98</v>
      </c>
      <c r="B105" s="193">
        <f>B104+31</f>
        <v>153.9949119369314</v>
      </c>
      <c r="C105" s="191">
        <f t="shared" si="12"/>
        <v>21179513.073568322</v>
      </c>
      <c r="D105" s="191">
        <f t="shared" si="8"/>
        <v>21141743.050790608</v>
      </c>
      <c r="E105" s="191">
        <f t="shared" si="9"/>
        <v>148079.98670254718</v>
      </c>
      <c r="F105" s="191">
        <f t="shared" si="10"/>
        <v>110309.96392483334</v>
      </c>
      <c r="G105" s="191">
        <f t="shared" si="11"/>
        <v>37770.022777713835</v>
      </c>
    </row>
    <row r="106" spans="1:7">
      <c r="A106" s="192">
        <f t="shared" si="13"/>
        <v>99</v>
      </c>
      <c r="B106" s="193">
        <f>B105+30</f>
        <v>183.9949119369314</v>
      </c>
      <c r="C106" s="191">
        <f t="shared" si="12"/>
        <v>21141743.050790608</v>
      </c>
      <c r="D106" s="191">
        <f t="shared" si="8"/>
        <v>21103776.309144266</v>
      </c>
      <c r="E106" s="191">
        <f t="shared" si="9"/>
        <v>148079.98670254718</v>
      </c>
      <c r="F106" s="191">
        <f t="shared" si="10"/>
        <v>110113.2450562052</v>
      </c>
      <c r="G106" s="191">
        <f t="shared" si="11"/>
        <v>37966.74164634198</v>
      </c>
    </row>
    <row r="107" spans="1:7">
      <c r="A107" s="192">
        <f t="shared" si="13"/>
        <v>100</v>
      </c>
      <c r="B107" s="193">
        <f>B106+31</f>
        <v>214.9949119369314</v>
      </c>
      <c r="C107" s="191">
        <f t="shared" si="12"/>
        <v>21103776.309144266</v>
      </c>
      <c r="D107" s="191">
        <f t="shared" si="8"/>
        <v>21065611.824051842</v>
      </c>
      <c r="E107" s="191">
        <f t="shared" si="9"/>
        <v>148079.98670254718</v>
      </c>
      <c r="F107" s="191">
        <f t="shared" si="10"/>
        <v>109915.50161012332</v>
      </c>
      <c r="G107" s="191">
        <f t="shared" si="11"/>
        <v>38164.485092423856</v>
      </c>
    </row>
    <row r="108" spans="1:7">
      <c r="A108" s="192">
        <f t="shared" si="13"/>
        <v>101</v>
      </c>
      <c r="B108" s="193">
        <f>B107+31</f>
        <v>245.9949119369314</v>
      </c>
      <c r="C108" s="191">
        <f t="shared" si="12"/>
        <v>21065611.824051842</v>
      </c>
      <c r="D108" s="191">
        <f t="shared" si="8"/>
        <v>21027248.565599568</v>
      </c>
      <c r="E108" s="191">
        <f t="shared" si="9"/>
        <v>148079.98670254718</v>
      </c>
      <c r="F108" s="191">
        <f t="shared" si="10"/>
        <v>109716.72825027327</v>
      </c>
      <c r="G108" s="191">
        <f t="shared" si="11"/>
        <v>38363.258452273905</v>
      </c>
    </row>
    <row r="109" spans="1:7">
      <c r="A109" s="192">
        <f t="shared" si="13"/>
        <v>102</v>
      </c>
      <c r="B109" s="193">
        <f>B108+28</f>
        <v>273.99491193693143</v>
      </c>
      <c r="C109" s="191">
        <f t="shared" si="12"/>
        <v>21027248.565599568</v>
      </c>
      <c r="D109" s="191">
        <f t="shared" si="8"/>
        <v>20988685.498509519</v>
      </c>
      <c r="E109" s="191">
        <f t="shared" si="9"/>
        <v>148079.98670254718</v>
      </c>
      <c r="F109" s="191">
        <f t="shared" si="10"/>
        <v>109516.91961249779</v>
      </c>
      <c r="G109" s="191">
        <f t="shared" si="11"/>
        <v>38563.067090049386</v>
      </c>
    </row>
    <row r="110" spans="1:7">
      <c r="A110" s="192">
        <f t="shared" si="13"/>
        <v>103</v>
      </c>
      <c r="B110" s="193">
        <f>B109+31</f>
        <v>304.99491193693143</v>
      </c>
      <c r="C110" s="191">
        <f t="shared" si="12"/>
        <v>20988685.498509519</v>
      </c>
      <c r="D110" s="191">
        <f t="shared" si="8"/>
        <v>20949921.582111709</v>
      </c>
      <c r="E110" s="191">
        <f t="shared" si="9"/>
        <v>148079.98670254718</v>
      </c>
      <c r="F110" s="191">
        <f t="shared" si="10"/>
        <v>109316.07030473719</v>
      </c>
      <c r="G110" s="191">
        <f t="shared" si="11"/>
        <v>38763.916397809982</v>
      </c>
    </row>
    <row r="111" spans="1:7">
      <c r="A111" s="192">
        <f t="shared" si="13"/>
        <v>104</v>
      </c>
      <c r="B111" s="193">
        <f>B110+30</f>
        <v>334.99491193693143</v>
      </c>
      <c r="C111" s="191">
        <f t="shared" si="12"/>
        <v>20949921.582111709</v>
      </c>
      <c r="D111" s="191">
        <f t="shared" si="8"/>
        <v>20910955.770315994</v>
      </c>
      <c r="E111" s="191">
        <f t="shared" si="9"/>
        <v>148079.98670254718</v>
      </c>
      <c r="F111" s="191">
        <f t="shared" si="10"/>
        <v>109114.17490683193</v>
      </c>
      <c r="G111" s="191">
        <f t="shared" si="11"/>
        <v>38965.811795715243</v>
      </c>
    </row>
    <row r="112" spans="1:7">
      <c r="A112" s="192">
        <f t="shared" si="13"/>
        <v>105</v>
      </c>
      <c r="B112" s="193">
        <f>B111+31</f>
        <v>365.99491193693143</v>
      </c>
      <c r="C112" s="191">
        <f t="shared" si="12"/>
        <v>20910955.770315994</v>
      </c>
      <c r="D112" s="191">
        <f t="shared" si="8"/>
        <v>20871787.011583846</v>
      </c>
      <c r="E112" s="191">
        <f t="shared" si="9"/>
        <v>148079.98670254718</v>
      </c>
      <c r="F112" s="191">
        <f t="shared" si="10"/>
        <v>108911.22797039966</v>
      </c>
      <c r="G112" s="191">
        <f t="shared" si="11"/>
        <v>39168.758732147515</v>
      </c>
    </row>
    <row r="113" spans="1:11">
      <c r="A113" s="192">
        <f t="shared" si="13"/>
        <v>106</v>
      </c>
      <c r="B113" s="193">
        <f>B112+30</f>
        <v>395.99491193693143</v>
      </c>
      <c r="C113" s="191">
        <f t="shared" si="12"/>
        <v>20871787.011583846</v>
      </c>
      <c r="D113" s="191">
        <f t="shared" si="8"/>
        <v>20832414.248899966</v>
      </c>
      <c r="E113" s="191">
        <f t="shared" si="9"/>
        <v>148079.98670254718</v>
      </c>
      <c r="F113" s="191">
        <f t="shared" si="10"/>
        <v>108707.22401866759</v>
      </c>
      <c r="G113" s="191">
        <f t="shared" si="11"/>
        <v>39372.762683879584</v>
      </c>
    </row>
    <row r="114" spans="1:11">
      <c r="A114" s="192">
        <f t="shared" si="13"/>
        <v>107</v>
      </c>
      <c r="B114" s="193">
        <f>B113+31</f>
        <v>426.99491193693143</v>
      </c>
      <c r="C114" s="191">
        <f t="shared" si="12"/>
        <v>20832414.248899966</v>
      </c>
      <c r="D114" s="191">
        <f t="shared" si="8"/>
        <v>20792836.419743769</v>
      </c>
      <c r="E114" s="191">
        <f t="shared" si="9"/>
        <v>148079.98670254718</v>
      </c>
      <c r="F114" s="191">
        <f t="shared" si="10"/>
        <v>108502.15754634957</v>
      </c>
      <c r="G114" s="191">
        <f t="shared" si="11"/>
        <v>39577.829156197608</v>
      </c>
    </row>
    <row r="115" spans="1:11">
      <c r="A115" s="192">
        <f t="shared" si="13"/>
        <v>108</v>
      </c>
      <c r="B115" s="193">
        <f>B114+31</f>
        <v>457.99491193693143</v>
      </c>
      <c r="C115" s="191">
        <f t="shared" si="12"/>
        <v>20792836.419743769</v>
      </c>
      <c r="D115" s="191">
        <f t="shared" si="8"/>
        <v>20753052.456060722</v>
      </c>
      <c r="E115" s="191">
        <f t="shared" si="9"/>
        <v>148079.98670254718</v>
      </c>
      <c r="F115" s="191">
        <f t="shared" si="10"/>
        <v>108296.02301950078</v>
      </c>
      <c r="G115" s="191">
        <f t="shared" si="11"/>
        <v>39783.963683046401</v>
      </c>
    </row>
    <row r="116" spans="1:11">
      <c r="A116" s="192">
        <f t="shared" si="13"/>
        <v>109</v>
      </c>
      <c r="B116" s="193">
        <f>B115+30</f>
        <v>487.99491193693143</v>
      </c>
      <c r="C116" s="191">
        <f t="shared" si="12"/>
        <v>20753052.456060722</v>
      </c>
      <c r="D116" s="191">
        <f t="shared" si="8"/>
        <v>20713061.284233488</v>
      </c>
      <c r="E116" s="191">
        <f t="shared" si="9"/>
        <v>148079.98670254718</v>
      </c>
      <c r="F116" s="191">
        <f t="shared" si="10"/>
        <v>108088.81487531285</v>
      </c>
      <c r="G116" s="191">
        <f t="shared" si="11"/>
        <v>39991.171827234328</v>
      </c>
    </row>
    <row r="117" spans="1:11">
      <c r="A117" s="192">
        <f t="shared" si="13"/>
        <v>110</v>
      </c>
      <c r="B117" s="193">
        <f>B116+31</f>
        <v>518.99491193693143</v>
      </c>
      <c r="C117" s="191">
        <f t="shared" si="12"/>
        <v>20713061.284233488</v>
      </c>
      <c r="D117" s="191">
        <f t="shared" si="8"/>
        <v>20672861.825052992</v>
      </c>
      <c r="E117" s="191">
        <f t="shared" si="9"/>
        <v>148079.98670254718</v>
      </c>
      <c r="F117" s="191">
        <f t="shared" si="10"/>
        <v>107880.52752205054</v>
      </c>
      <c r="G117" s="191">
        <f t="shared" si="11"/>
        <v>40199.459180496633</v>
      </c>
      <c r="K117" s="182">
        <f>120-36</f>
        <v>84</v>
      </c>
    </row>
    <row r="118" spans="1:11">
      <c r="A118" s="192">
        <f t="shared" si="13"/>
        <v>111</v>
      </c>
      <c r="B118" s="193">
        <f>B117+30</f>
        <v>548.99491193693143</v>
      </c>
      <c r="C118" s="191">
        <f t="shared" si="12"/>
        <v>20672861.825052992</v>
      </c>
      <c r="D118" s="191">
        <f t="shared" si="8"/>
        <v>20632452.993689261</v>
      </c>
      <c r="E118" s="191">
        <f t="shared" si="9"/>
        <v>148079.98670254718</v>
      </c>
      <c r="F118" s="191">
        <f t="shared" si="10"/>
        <v>107671.15533881704</v>
      </c>
      <c r="G118" s="191">
        <f t="shared" si="11"/>
        <v>40408.831363730133</v>
      </c>
    </row>
    <row r="119" spans="1:11">
      <c r="A119" s="192">
        <f t="shared" si="13"/>
        <v>112</v>
      </c>
      <c r="B119" s="193">
        <f>B118+31</f>
        <v>579.99491193693143</v>
      </c>
      <c r="C119" s="191">
        <f t="shared" si="12"/>
        <v>20632452.993689261</v>
      </c>
      <c r="D119" s="191">
        <f t="shared" si="8"/>
        <v>20591833.699662182</v>
      </c>
      <c r="E119" s="191">
        <f t="shared" si="9"/>
        <v>148079.98670254718</v>
      </c>
      <c r="F119" s="191">
        <f t="shared" si="10"/>
        <v>107460.69267546828</v>
      </c>
      <c r="G119" s="191">
        <f t="shared" si="11"/>
        <v>40619.294027078897</v>
      </c>
    </row>
    <row r="120" spans="1:11">
      <c r="A120" s="192">
        <f t="shared" si="13"/>
        <v>113</v>
      </c>
      <c r="B120" s="193">
        <f>B119+31</f>
        <v>610.99491193693143</v>
      </c>
      <c r="C120" s="191">
        <f t="shared" si="12"/>
        <v>20591833.699662182</v>
      </c>
      <c r="D120" s="191">
        <f t="shared" si="8"/>
        <v>20551002.846812043</v>
      </c>
      <c r="E120" s="191">
        <f t="shared" si="9"/>
        <v>148079.98670254718</v>
      </c>
      <c r="F120" s="191">
        <f t="shared" si="10"/>
        <v>107249.13385240803</v>
      </c>
      <c r="G120" s="191">
        <f t="shared" si="11"/>
        <v>40830.852850139141</v>
      </c>
    </row>
    <row r="121" spans="1:11">
      <c r="A121" s="192">
        <f t="shared" si="13"/>
        <v>114</v>
      </c>
      <c r="B121" s="193">
        <f>B120+28</f>
        <v>638.99491193693143</v>
      </c>
      <c r="C121" s="191">
        <f t="shared" si="12"/>
        <v>20551002.846812043</v>
      </c>
      <c r="D121" s="191">
        <f t="shared" si="8"/>
        <v>20509959.333269976</v>
      </c>
      <c r="E121" s="191">
        <f t="shared" si="9"/>
        <v>148079.98670254718</v>
      </c>
      <c r="F121" s="191">
        <f t="shared" si="10"/>
        <v>107036.47316047992</v>
      </c>
      <c r="G121" s="191">
        <f t="shared" si="11"/>
        <v>41043.51354206726</v>
      </c>
    </row>
    <row r="122" spans="1:11">
      <c r="A122" s="192">
        <f t="shared" si="13"/>
        <v>115</v>
      </c>
      <c r="B122" s="193">
        <f>B121+31</f>
        <v>669.99491193693143</v>
      </c>
      <c r="C122" s="191">
        <f t="shared" si="12"/>
        <v>20509959.333269976</v>
      </c>
      <c r="D122" s="191">
        <f t="shared" si="8"/>
        <v>20468702.051428206</v>
      </c>
      <c r="E122" s="191">
        <f t="shared" si="9"/>
        <v>148079.98670254718</v>
      </c>
      <c r="F122" s="191">
        <f t="shared" si="10"/>
        <v>106822.70486077736</v>
      </c>
      <c r="G122" s="191">
        <f t="shared" si="11"/>
        <v>41257.281841769814</v>
      </c>
    </row>
    <row r="123" spans="1:11">
      <c r="A123" s="192">
        <f t="shared" si="13"/>
        <v>116</v>
      </c>
      <c r="B123" s="193">
        <f>B122+30</f>
        <v>699.99491193693143</v>
      </c>
      <c r="C123" s="191">
        <f t="shared" si="12"/>
        <v>20468702.051428206</v>
      </c>
      <c r="D123" s="191">
        <f t="shared" si="8"/>
        <v>20427229.887910184</v>
      </c>
      <c r="E123" s="191">
        <f t="shared" si="9"/>
        <v>148079.98670254718</v>
      </c>
      <c r="F123" s="191">
        <f t="shared" si="10"/>
        <v>106607.82318452443</v>
      </c>
      <c r="G123" s="191">
        <f t="shared" si="11"/>
        <v>41472.163518022746</v>
      </c>
    </row>
    <row r="124" spans="1:11">
      <c r="A124" s="192">
        <f t="shared" si="13"/>
        <v>117</v>
      </c>
      <c r="B124" s="193">
        <f>B123+31</f>
        <v>730.99491193693143</v>
      </c>
      <c r="C124" s="191">
        <f t="shared" si="12"/>
        <v>20427229.887910184</v>
      </c>
      <c r="D124" s="191">
        <f t="shared" si="8"/>
        <v>20385541.7235405</v>
      </c>
      <c r="E124" s="191">
        <f t="shared" si="9"/>
        <v>148079.98670254718</v>
      </c>
      <c r="F124" s="191">
        <f t="shared" si="10"/>
        <v>106391.82233286346</v>
      </c>
      <c r="G124" s="191">
        <f t="shared" si="11"/>
        <v>41688.164369683713</v>
      </c>
    </row>
    <row r="125" spans="1:11">
      <c r="A125" s="192">
        <f t="shared" si="13"/>
        <v>118</v>
      </c>
      <c r="B125" s="193">
        <f>B124+30</f>
        <v>760.99491193693143</v>
      </c>
      <c r="C125" s="191">
        <f t="shared" si="12"/>
        <v>20385541.7235405</v>
      </c>
      <c r="D125" s="191">
        <f t="shared" si="8"/>
        <v>20343636.433314729</v>
      </c>
      <c r="E125" s="191">
        <f t="shared" si="9"/>
        <v>148079.98670254718</v>
      </c>
      <c r="F125" s="191">
        <f t="shared" si="10"/>
        <v>106174.69647677685</v>
      </c>
      <c r="G125" s="191">
        <f t="shared" si="11"/>
        <v>41905.290225770324</v>
      </c>
    </row>
    <row r="126" spans="1:11">
      <c r="A126" s="192">
        <f t="shared" si="13"/>
        <v>119</v>
      </c>
      <c r="B126" s="193">
        <f>B125+31</f>
        <v>791.99491193693143</v>
      </c>
      <c r="C126" s="191">
        <f t="shared" si="12"/>
        <v>20343636.433314729</v>
      </c>
      <c r="D126" s="191">
        <f t="shared" si="8"/>
        <v>20301512.886369031</v>
      </c>
      <c r="E126" s="191">
        <f t="shared" si="9"/>
        <v>148079.98670254718</v>
      </c>
      <c r="F126" s="191">
        <f t="shared" si="10"/>
        <v>105956.43975684862</v>
      </c>
      <c r="G126" s="191">
        <f t="shared" si="11"/>
        <v>42123.546945698559</v>
      </c>
    </row>
    <row r="127" spans="1:11">
      <c r="A127" s="199">
        <f t="shared" si="13"/>
        <v>120</v>
      </c>
      <c r="B127" s="200">
        <f>B126+31</f>
        <v>822.99491193693143</v>
      </c>
      <c r="C127" s="201">
        <f t="shared" si="12"/>
        <v>20301512.886369031</v>
      </c>
      <c r="D127" s="201">
        <f t="shared" si="8"/>
        <v>20259169.945949655</v>
      </c>
      <c r="E127" s="201">
        <f t="shared" si="9"/>
        <v>148079.98670254718</v>
      </c>
      <c r="F127" s="201">
        <f t="shared" si="10"/>
        <v>105737.04628317128</v>
      </c>
      <c r="G127" s="201">
        <f t="shared" si="11"/>
        <v>42342.940419375896</v>
      </c>
    </row>
    <row r="128" spans="1:11">
      <c r="A128" s="192">
        <f t="shared" si="13"/>
        <v>121</v>
      </c>
      <c r="B128" s="193">
        <f>B127+30</f>
        <v>852.99491193693143</v>
      </c>
      <c r="C128" s="191">
        <f t="shared" si="12"/>
        <v>20259169.945949655</v>
      </c>
      <c r="D128" s="191">
        <f t="shared" si="8"/>
        <v>20216606.469382267</v>
      </c>
      <c r="E128" s="191">
        <f t="shared" si="9"/>
        <v>148079.98670254718</v>
      </c>
      <c r="F128" s="191">
        <f t="shared" si="10"/>
        <v>105516.51013515959</v>
      </c>
      <c r="G128" s="191">
        <f t="shared" si="11"/>
        <v>42563.476567387581</v>
      </c>
      <c r="H128" s="182">
        <v>1</v>
      </c>
    </row>
    <row r="129" spans="1:8">
      <c r="A129" s="192">
        <f t="shared" si="13"/>
        <v>122</v>
      </c>
      <c r="B129" s="193">
        <f>B128+31</f>
        <v>883.99491193693143</v>
      </c>
      <c r="C129" s="191">
        <f t="shared" si="12"/>
        <v>20216606.469382267</v>
      </c>
      <c r="D129" s="191">
        <f t="shared" si="8"/>
        <v>20173821.308041085</v>
      </c>
      <c r="E129" s="191">
        <f t="shared" si="9"/>
        <v>148079.98670254718</v>
      </c>
      <c r="F129" s="191">
        <f t="shared" si="10"/>
        <v>105294.82536136429</v>
      </c>
      <c r="G129" s="191">
        <f t="shared" si="11"/>
        <v>42785.161341182888</v>
      </c>
      <c r="H129" s="182">
        <f t="shared" ref="H129:H139" si="14">H128+1</f>
        <v>2</v>
      </c>
    </row>
    <row r="130" spans="1:8">
      <c r="A130" s="192">
        <f t="shared" si="13"/>
        <v>123</v>
      </c>
      <c r="B130" s="193">
        <f>B129+30</f>
        <v>913.99491193693143</v>
      </c>
      <c r="C130" s="191">
        <f t="shared" si="12"/>
        <v>20173821.308041085</v>
      </c>
      <c r="D130" s="191">
        <f t="shared" si="8"/>
        <v>20130813.307317916</v>
      </c>
      <c r="E130" s="191">
        <f t="shared" si="9"/>
        <v>148079.98670254718</v>
      </c>
      <c r="F130" s="191">
        <f t="shared" si="10"/>
        <v>105071.98597937892</v>
      </c>
      <c r="G130" s="191">
        <f t="shared" si="11"/>
        <v>43008.000723168254</v>
      </c>
      <c r="H130" s="182">
        <f t="shared" si="14"/>
        <v>3</v>
      </c>
    </row>
    <row r="131" spans="1:8">
      <c r="A131" s="192">
        <f t="shared" si="13"/>
        <v>124</v>
      </c>
      <c r="B131" s="193">
        <f>B130+31</f>
        <v>944.99491193693143</v>
      </c>
      <c r="C131" s="191">
        <f t="shared" si="12"/>
        <v>20130813.307317916</v>
      </c>
      <c r="D131" s="191">
        <f t="shared" si="8"/>
        <v>20087581.306590982</v>
      </c>
      <c r="E131" s="191">
        <f t="shared" si="9"/>
        <v>148079.98670254718</v>
      </c>
      <c r="F131" s="191">
        <f t="shared" si="10"/>
        <v>104847.98597561265</v>
      </c>
      <c r="G131" s="191">
        <f t="shared" si="11"/>
        <v>43232.000726934522</v>
      </c>
      <c r="H131" s="182">
        <f t="shared" si="14"/>
        <v>4</v>
      </c>
    </row>
    <row r="132" spans="1:8">
      <c r="A132" s="192">
        <f t="shared" si="13"/>
        <v>125</v>
      </c>
      <c r="B132" s="193">
        <f>B131+31</f>
        <v>975.99491193693143</v>
      </c>
      <c r="C132" s="191">
        <f t="shared" si="12"/>
        <v>20087581.306590982</v>
      </c>
      <c r="D132" s="191">
        <f t="shared" si="8"/>
        <v>20044124.139193598</v>
      </c>
      <c r="E132" s="191">
        <f t="shared" si="9"/>
        <v>148079.98670254718</v>
      </c>
      <c r="F132" s="191">
        <f t="shared" si="10"/>
        <v>104622.81930516358</v>
      </c>
      <c r="G132" s="191">
        <f t="shared" si="11"/>
        <v>43457.1673973836</v>
      </c>
      <c r="H132" s="182">
        <f t="shared" si="14"/>
        <v>5</v>
      </c>
    </row>
    <row r="133" spans="1:8">
      <c r="A133" s="192">
        <f t="shared" si="13"/>
        <v>126</v>
      </c>
      <c r="B133" s="193">
        <f>B132+29</f>
        <v>1004.9949119369314</v>
      </c>
      <c r="C133" s="191">
        <f t="shared" si="12"/>
        <v>20044124.139193598</v>
      </c>
      <c r="D133" s="191">
        <f t="shared" si="8"/>
        <v>20000440.632382687</v>
      </c>
      <c r="E133" s="191">
        <f t="shared" si="9"/>
        <v>148079.98670254718</v>
      </c>
      <c r="F133" s="191">
        <f t="shared" si="10"/>
        <v>104396.47989163618</v>
      </c>
      <c r="G133" s="191">
        <f t="shared" si="11"/>
        <v>43683.506810911</v>
      </c>
      <c r="H133" s="182">
        <f t="shared" si="14"/>
        <v>6</v>
      </c>
    </row>
    <row r="134" spans="1:8">
      <c r="A134" s="192">
        <f t="shared" si="13"/>
        <v>127</v>
      </c>
      <c r="B134" s="193">
        <f>B133+31</f>
        <v>1035.9949119369314</v>
      </c>
      <c r="C134" s="191">
        <f t="shared" si="12"/>
        <v>20000440.632382687</v>
      </c>
      <c r="D134" s="191">
        <f t="shared" si="8"/>
        <v>19956529.607307129</v>
      </c>
      <c r="E134" s="191">
        <f t="shared" si="9"/>
        <v>148079.98670254718</v>
      </c>
      <c r="F134" s="191">
        <f t="shared" si="10"/>
        <v>104168.9616269886</v>
      </c>
      <c r="G134" s="191">
        <f t="shared" si="11"/>
        <v>43911.025075558573</v>
      </c>
      <c r="H134" s="182">
        <f t="shared" si="14"/>
        <v>7</v>
      </c>
    </row>
    <row r="135" spans="1:8">
      <c r="A135" s="192">
        <f t="shared" si="13"/>
        <v>128</v>
      </c>
      <c r="B135" s="193">
        <f>B134+30</f>
        <v>1065.9949119369314</v>
      </c>
      <c r="C135" s="191">
        <f t="shared" si="12"/>
        <v>19956529.607307129</v>
      </c>
      <c r="D135" s="191">
        <f t="shared" si="8"/>
        <v>19912389.878975976</v>
      </c>
      <c r="E135" s="191">
        <f t="shared" si="9"/>
        <v>148079.98670254718</v>
      </c>
      <c r="F135" s="191">
        <f t="shared" si="10"/>
        <v>103940.25837139483</v>
      </c>
      <c r="G135" s="191">
        <f t="shared" si="11"/>
        <v>44139.72833115235</v>
      </c>
      <c r="H135" s="182">
        <f t="shared" si="14"/>
        <v>8</v>
      </c>
    </row>
    <row r="136" spans="1:8">
      <c r="A136" s="192">
        <f t="shared" si="13"/>
        <v>129</v>
      </c>
      <c r="B136" s="193">
        <f>B135+31</f>
        <v>1096.9949119369314</v>
      </c>
      <c r="C136" s="191">
        <f t="shared" si="12"/>
        <v>19912389.878975976</v>
      </c>
      <c r="D136" s="191">
        <f t="shared" ref="D136:D199" si="15">PV($D$3/12,($D$4-A136),-$D$5)</f>
        <v>19868020.256226428</v>
      </c>
      <c r="E136" s="191">
        <f t="shared" ref="E136:E199" si="16">IF(C136=0,0,$D$5)</f>
        <v>148079.98670254718</v>
      </c>
      <c r="F136" s="191">
        <f t="shared" ref="F136:F199" si="17">E136-(C136-D136)</f>
        <v>103710.36395299877</v>
      </c>
      <c r="G136" s="191">
        <f t="shared" ref="G136:G199" si="18">E136-F136</f>
        <v>44369.622749548405</v>
      </c>
      <c r="H136" s="182">
        <f t="shared" si="14"/>
        <v>9</v>
      </c>
    </row>
    <row r="137" spans="1:8">
      <c r="A137" s="192">
        <f t="shared" si="13"/>
        <v>130</v>
      </c>
      <c r="B137" s="193">
        <f>B136+30</f>
        <v>1126.9949119369314</v>
      </c>
      <c r="C137" s="191">
        <f t="shared" ref="C137:C200" si="19">D136</f>
        <v>19868020.256226428</v>
      </c>
      <c r="D137" s="191">
        <f t="shared" si="15"/>
        <v>19823419.541691728</v>
      </c>
      <c r="E137" s="191">
        <f t="shared" si="16"/>
        <v>148079.98670254718</v>
      </c>
      <c r="F137" s="191">
        <f t="shared" si="17"/>
        <v>103479.27216784726</v>
      </c>
      <c r="G137" s="191">
        <f t="shared" si="18"/>
        <v>44600.714534699917</v>
      </c>
      <c r="H137" s="182">
        <f t="shared" si="14"/>
        <v>10</v>
      </c>
    </row>
    <row r="138" spans="1:8">
      <c r="A138" s="192">
        <f t="shared" si="13"/>
        <v>131</v>
      </c>
      <c r="B138" s="193">
        <f>B137+31</f>
        <v>1157.9949119369314</v>
      </c>
      <c r="C138" s="191">
        <f t="shared" si="19"/>
        <v>19823419.541691728</v>
      </c>
      <c r="D138" s="191">
        <f t="shared" si="15"/>
        <v>19778586.531768825</v>
      </c>
      <c r="E138" s="191">
        <f t="shared" si="16"/>
        <v>148079.98670254718</v>
      </c>
      <c r="F138" s="191">
        <f t="shared" si="17"/>
        <v>103246.97677964414</v>
      </c>
      <c r="G138" s="191">
        <f t="shared" si="18"/>
        <v>44833.009922903031</v>
      </c>
      <c r="H138" s="182">
        <f t="shared" si="14"/>
        <v>11</v>
      </c>
    </row>
    <row r="139" spans="1:8">
      <c r="A139" s="192">
        <f t="shared" si="13"/>
        <v>132</v>
      </c>
      <c r="B139" s="193">
        <f>B138+31</f>
        <v>1188.9949119369314</v>
      </c>
      <c r="C139" s="191">
        <f t="shared" si="19"/>
        <v>19778586.531768825</v>
      </c>
      <c r="D139" s="191">
        <f t="shared" si="15"/>
        <v>19733520.016585909</v>
      </c>
      <c r="E139" s="191">
        <f t="shared" si="16"/>
        <v>148079.98670254718</v>
      </c>
      <c r="F139" s="191">
        <f t="shared" si="17"/>
        <v>103013.4715196311</v>
      </c>
      <c r="G139" s="191">
        <f t="shared" si="18"/>
        <v>45066.515182916075</v>
      </c>
      <c r="H139" s="182">
        <f t="shared" si="14"/>
        <v>12</v>
      </c>
    </row>
    <row r="140" spans="1:8">
      <c r="A140" s="192">
        <f t="shared" si="13"/>
        <v>133</v>
      </c>
      <c r="B140" s="193">
        <f>B139+30</f>
        <v>1218.9949119369314</v>
      </c>
      <c r="C140" s="191">
        <f t="shared" si="19"/>
        <v>19733520.016585909</v>
      </c>
      <c r="D140" s="191">
        <f t="shared" si="15"/>
        <v>19688218.779969748</v>
      </c>
      <c r="E140" s="191">
        <f t="shared" si="16"/>
        <v>148079.98670254718</v>
      </c>
      <c r="F140" s="191">
        <f t="shared" si="17"/>
        <v>102778.75008638646</v>
      </c>
      <c r="G140" s="191">
        <f t="shared" si="18"/>
        <v>45301.236616160721</v>
      </c>
    </row>
    <row r="141" spans="1:8">
      <c r="A141" s="192">
        <f t="shared" si="13"/>
        <v>134</v>
      </c>
      <c r="B141" s="193">
        <f>B140+31</f>
        <v>1249.9949119369314</v>
      </c>
      <c r="C141" s="191">
        <f t="shared" si="19"/>
        <v>19688218.779969748</v>
      </c>
      <c r="D141" s="191">
        <f t="shared" si="15"/>
        <v>19642681.599412877</v>
      </c>
      <c r="E141" s="191">
        <f t="shared" si="16"/>
        <v>148079.98670254718</v>
      </c>
      <c r="F141" s="191">
        <f t="shared" si="17"/>
        <v>102542.80614567618</v>
      </c>
      <c r="G141" s="191">
        <f t="shared" si="18"/>
        <v>45537.180556870997</v>
      </c>
    </row>
    <row r="142" spans="1:8">
      <c r="A142" s="192">
        <f t="shared" si="13"/>
        <v>135</v>
      </c>
      <c r="B142" s="193">
        <f>B141+30</f>
        <v>1279.9949119369314</v>
      </c>
      <c r="C142" s="191">
        <f t="shared" si="19"/>
        <v>19642681.599412877</v>
      </c>
      <c r="D142" s="191">
        <f t="shared" si="15"/>
        <v>19596907.246040601</v>
      </c>
      <c r="E142" s="191">
        <f t="shared" si="16"/>
        <v>148079.98670254718</v>
      </c>
      <c r="F142" s="191">
        <f t="shared" si="17"/>
        <v>102305.63333027135</v>
      </c>
      <c r="G142" s="191">
        <f t="shared" si="18"/>
        <v>45774.353372275829</v>
      </c>
    </row>
    <row r="143" spans="1:8">
      <c r="A143" s="192">
        <f t="shared" si="13"/>
        <v>136</v>
      </c>
      <c r="B143" s="193">
        <f>B142+31</f>
        <v>1310.9949119369314</v>
      </c>
      <c r="C143" s="191">
        <f t="shared" si="19"/>
        <v>19596907.246040601</v>
      </c>
      <c r="D143" s="191">
        <f t="shared" si="15"/>
        <v>19550894.484577853</v>
      </c>
      <c r="E143" s="191">
        <f t="shared" si="16"/>
        <v>148079.98670254718</v>
      </c>
      <c r="F143" s="191">
        <f t="shared" si="17"/>
        <v>102067.22523979913</v>
      </c>
      <c r="G143" s="191">
        <f t="shared" si="18"/>
        <v>46012.761462748051</v>
      </c>
    </row>
    <row r="144" spans="1:8">
      <c r="A144" s="192">
        <f t="shared" si="13"/>
        <v>137</v>
      </c>
      <c r="B144" s="193">
        <f>B143+31</f>
        <v>1341.9949119369314</v>
      </c>
      <c r="C144" s="191">
        <f t="shared" si="19"/>
        <v>19550894.484577853</v>
      </c>
      <c r="D144" s="191">
        <f t="shared" si="15"/>
        <v>19504642.073315814</v>
      </c>
      <c r="E144" s="191">
        <f t="shared" si="16"/>
        <v>148079.98670254718</v>
      </c>
      <c r="F144" s="191">
        <f t="shared" si="17"/>
        <v>101827.57544050808</v>
      </c>
      <c r="G144" s="191">
        <f t="shared" si="18"/>
        <v>46252.411262039095</v>
      </c>
    </row>
    <row r="145" spans="1:7">
      <c r="A145" s="192">
        <f t="shared" ref="A145:A208" si="20">A144+1</f>
        <v>138</v>
      </c>
      <c r="B145" s="193">
        <f>B144+28</f>
        <v>1369.9949119369314</v>
      </c>
      <c r="C145" s="191">
        <f t="shared" si="19"/>
        <v>19504642.073315814</v>
      </c>
      <c r="D145" s="191">
        <f t="shared" si="15"/>
        <v>19458148.764078457</v>
      </c>
      <c r="E145" s="191">
        <f t="shared" si="16"/>
        <v>148079.98670254718</v>
      </c>
      <c r="F145" s="191">
        <f t="shared" si="17"/>
        <v>101586.67746518995</v>
      </c>
      <c r="G145" s="191">
        <f t="shared" si="18"/>
        <v>46493.309237357229</v>
      </c>
    </row>
    <row r="146" spans="1:7">
      <c r="A146" s="192">
        <f t="shared" si="20"/>
        <v>139</v>
      </c>
      <c r="B146" s="193">
        <f>B145+31</f>
        <v>1400.9949119369314</v>
      </c>
      <c r="C146" s="191">
        <f t="shared" si="19"/>
        <v>19458148.764078457</v>
      </c>
      <c r="D146" s="191">
        <f t="shared" si="15"/>
        <v>19411413.302188817</v>
      </c>
      <c r="E146" s="191">
        <f t="shared" si="16"/>
        <v>148079.98670254718</v>
      </c>
      <c r="F146" s="191">
        <f t="shared" si="17"/>
        <v>101344.52481290768</v>
      </c>
      <c r="G146" s="191">
        <f t="shared" si="18"/>
        <v>46735.461889639497</v>
      </c>
    </row>
    <row r="147" spans="1:7">
      <c r="A147" s="192">
        <f t="shared" si="20"/>
        <v>140</v>
      </c>
      <c r="B147" s="193">
        <f>B146+30</f>
        <v>1430.9949119369314</v>
      </c>
      <c r="C147" s="191">
        <f t="shared" si="19"/>
        <v>19411413.302188817</v>
      </c>
      <c r="D147" s="191">
        <f t="shared" si="15"/>
        <v>19364434.426435169</v>
      </c>
      <c r="E147" s="191">
        <f t="shared" si="16"/>
        <v>148079.98670254718</v>
      </c>
      <c r="F147" s="191">
        <f t="shared" si="17"/>
        <v>101101.1109488986</v>
      </c>
      <c r="G147" s="191">
        <f t="shared" si="18"/>
        <v>46978.875753648579</v>
      </c>
    </row>
    <row r="148" spans="1:7">
      <c r="A148" s="192">
        <f t="shared" si="20"/>
        <v>141</v>
      </c>
      <c r="B148" s="193">
        <f>B147+31</f>
        <v>1461.9949119369314</v>
      </c>
      <c r="C148" s="191">
        <f t="shared" si="19"/>
        <v>19364434.426435169</v>
      </c>
      <c r="D148" s="191">
        <f t="shared" si="15"/>
        <v>19317210.869036973</v>
      </c>
      <c r="E148" s="191">
        <f t="shared" si="16"/>
        <v>148079.98670254718</v>
      </c>
      <c r="F148" s="191">
        <f t="shared" si="17"/>
        <v>100856.42930435087</v>
      </c>
      <c r="G148" s="191">
        <f t="shared" si="18"/>
        <v>47223.55739819631</v>
      </c>
    </row>
    <row r="149" spans="1:7">
      <c r="A149" s="192">
        <f t="shared" si="20"/>
        <v>142</v>
      </c>
      <c r="B149" s="193">
        <f>B148+30</f>
        <v>1491.9949119369314</v>
      </c>
      <c r="C149" s="191">
        <f t="shared" si="19"/>
        <v>19317210.869036973</v>
      </c>
      <c r="D149" s="191">
        <f t="shared" si="15"/>
        <v>19269741.355610661</v>
      </c>
      <c r="E149" s="191">
        <f t="shared" si="16"/>
        <v>148079.98670254718</v>
      </c>
      <c r="F149" s="191">
        <f t="shared" si="17"/>
        <v>100610.47327623586</v>
      </c>
      <c r="G149" s="191">
        <f t="shared" si="18"/>
        <v>47469.513426311314</v>
      </c>
    </row>
    <row r="150" spans="1:7">
      <c r="A150" s="192">
        <f t="shared" si="20"/>
        <v>143</v>
      </c>
      <c r="B150" s="193">
        <f>B149+31</f>
        <v>1522.9949119369314</v>
      </c>
      <c r="C150" s="191">
        <f t="shared" si="19"/>
        <v>19269741.355610661</v>
      </c>
      <c r="D150" s="191">
        <f t="shared" si="15"/>
        <v>19222024.605135251</v>
      </c>
      <c r="E150" s="191">
        <f t="shared" si="16"/>
        <v>148079.98670254718</v>
      </c>
      <c r="F150" s="191">
        <f t="shared" si="17"/>
        <v>100363.2362271368</v>
      </c>
      <c r="G150" s="191">
        <f t="shared" si="18"/>
        <v>47716.750475410372</v>
      </c>
    </row>
    <row r="151" spans="1:7">
      <c r="A151" s="192">
        <f t="shared" si="20"/>
        <v>144</v>
      </c>
      <c r="B151" s="193">
        <f>B150+31</f>
        <v>1553.9949119369314</v>
      </c>
      <c r="C151" s="191">
        <f t="shared" si="19"/>
        <v>19222024.605135251</v>
      </c>
      <c r="D151" s="191">
        <f t="shared" si="15"/>
        <v>19174059.329917785</v>
      </c>
      <c r="E151" s="191">
        <f t="shared" si="16"/>
        <v>148079.98670254718</v>
      </c>
      <c r="F151" s="191">
        <f t="shared" si="17"/>
        <v>100114.71148508112</v>
      </c>
      <c r="G151" s="191">
        <f t="shared" si="18"/>
        <v>47965.275217466056</v>
      </c>
    </row>
    <row r="152" spans="1:7">
      <c r="A152" s="192">
        <f t="shared" si="20"/>
        <v>145</v>
      </c>
      <c r="B152" s="193">
        <f>B151+30</f>
        <v>1583.9949119369314</v>
      </c>
      <c r="C152" s="191">
        <f t="shared" si="19"/>
        <v>19174059.329917785</v>
      </c>
      <c r="D152" s="191">
        <f t="shared" si="15"/>
        <v>19125844.235558562</v>
      </c>
      <c r="E152" s="191">
        <f t="shared" si="16"/>
        <v>148079.98670254718</v>
      </c>
      <c r="F152" s="191">
        <f t="shared" si="17"/>
        <v>99864.892343324376</v>
      </c>
      <c r="G152" s="191">
        <f t="shared" si="18"/>
        <v>48215.0943592228</v>
      </c>
    </row>
    <row r="153" spans="1:7">
      <c r="A153" s="192">
        <f t="shared" si="20"/>
        <v>146</v>
      </c>
      <c r="B153" s="193">
        <f>B152+31</f>
        <v>1614.9949119369314</v>
      </c>
      <c r="C153" s="191">
        <f t="shared" si="19"/>
        <v>19125844.235558562</v>
      </c>
      <c r="D153" s="191">
        <f t="shared" si="15"/>
        <v>19077378.020916216</v>
      </c>
      <c r="E153" s="191">
        <f t="shared" si="16"/>
        <v>148079.98670254718</v>
      </c>
      <c r="F153" s="191">
        <f t="shared" si="17"/>
        <v>99613.772060201271</v>
      </c>
      <c r="G153" s="191">
        <f t="shared" si="18"/>
        <v>48466.214642345905</v>
      </c>
    </row>
    <row r="154" spans="1:7">
      <c r="A154" s="192">
        <f t="shared" si="20"/>
        <v>147</v>
      </c>
      <c r="B154" s="193">
        <f>B153+30</f>
        <v>1644.9949119369314</v>
      </c>
      <c r="C154" s="191">
        <f t="shared" si="19"/>
        <v>19077378.020916216</v>
      </c>
      <c r="D154" s="191">
        <f t="shared" si="15"/>
        <v>19028659.378072605</v>
      </c>
      <c r="E154" s="191">
        <f t="shared" si="16"/>
        <v>148079.98670254718</v>
      </c>
      <c r="F154" s="191">
        <f t="shared" si="17"/>
        <v>99361.343858935637</v>
      </c>
      <c r="G154" s="191">
        <f t="shared" si="18"/>
        <v>48718.642843611538</v>
      </c>
    </row>
    <row r="155" spans="1:7">
      <c r="A155" s="192">
        <f t="shared" si="20"/>
        <v>148</v>
      </c>
      <c r="B155" s="193">
        <f>B154+31</f>
        <v>1675.9949119369314</v>
      </c>
      <c r="C155" s="191">
        <f t="shared" si="19"/>
        <v>19028659.378072605</v>
      </c>
      <c r="D155" s="191">
        <f t="shared" si="15"/>
        <v>18979686.992297523</v>
      </c>
      <c r="E155" s="191">
        <f t="shared" si="16"/>
        <v>148079.98670254718</v>
      </c>
      <c r="F155" s="191">
        <f t="shared" si="17"/>
        <v>99107.600927465362</v>
      </c>
      <c r="G155" s="191">
        <f t="shared" si="18"/>
        <v>48972.385775081813</v>
      </c>
    </row>
    <row r="156" spans="1:7">
      <c r="A156" s="192">
        <f t="shared" si="20"/>
        <v>149</v>
      </c>
      <c r="B156" s="193">
        <f>B155+31</f>
        <v>1706.9949119369314</v>
      </c>
      <c r="C156" s="191">
        <f t="shared" si="19"/>
        <v>18979686.992297523</v>
      </c>
      <c r="D156" s="191">
        <f t="shared" si="15"/>
        <v>18930459.542013191</v>
      </c>
      <c r="E156" s="191">
        <f t="shared" si="16"/>
        <v>148079.98670254718</v>
      </c>
      <c r="F156" s="191">
        <f t="shared" si="17"/>
        <v>98852.536418215139</v>
      </c>
      <c r="G156" s="191">
        <f t="shared" si="18"/>
        <v>49227.450284332037</v>
      </c>
    </row>
    <row r="157" spans="1:7">
      <c r="A157" s="192">
        <f t="shared" si="20"/>
        <v>150</v>
      </c>
      <c r="B157" s="193">
        <f>B156+28</f>
        <v>1734.9949119369314</v>
      </c>
      <c r="C157" s="191">
        <f t="shared" si="19"/>
        <v>18930459.542013191</v>
      </c>
      <c r="D157" s="191">
        <f t="shared" si="15"/>
        <v>18880975.698758628</v>
      </c>
      <c r="E157" s="191">
        <f t="shared" si="16"/>
        <v>148079.98670254718</v>
      </c>
      <c r="F157" s="191">
        <f t="shared" si="17"/>
        <v>98596.143447984708</v>
      </c>
      <c r="G157" s="191">
        <f t="shared" si="18"/>
        <v>49483.843254562467</v>
      </c>
    </row>
    <row r="158" spans="1:7">
      <c r="A158" s="192">
        <f t="shared" si="20"/>
        <v>151</v>
      </c>
      <c r="B158" s="193">
        <f>B157+31</f>
        <v>1765.9949119369314</v>
      </c>
      <c r="C158" s="191">
        <f t="shared" si="19"/>
        <v>18880975.698758628</v>
      </c>
      <c r="D158" s="191">
        <f t="shared" si="15"/>
        <v>18831234.12715378</v>
      </c>
      <c r="E158" s="191">
        <f t="shared" si="16"/>
        <v>148079.98670254718</v>
      </c>
      <c r="F158" s="191">
        <f t="shared" si="17"/>
        <v>98338.415097699268</v>
      </c>
      <c r="G158" s="191">
        <f t="shared" si="18"/>
        <v>49741.571604847908</v>
      </c>
    </row>
    <row r="159" spans="1:7">
      <c r="A159" s="192">
        <f t="shared" si="20"/>
        <v>152</v>
      </c>
      <c r="B159" s="193">
        <f>B158+30</f>
        <v>1795.9949119369314</v>
      </c>
      <c r="C159" s="191">
        <f t="shared" si="19"/>
        <v>18831234.12715378</v>
      </c>
      <c r="D159" s="191">
        <f t="shared" si="15"/>
        <v>18781233.484863497</v>
      </c>
      <c r="E159" s="191">
        <f t="shared" si="16"/>
        <v>148079.98670254718</v>
      </c>
      <c r="F159" s="191">
        <f t="shared" si="17"/>
        <v>98079.344412264181</v>
      </c>
      <c r="G159" s="191">
        <f t="shared" si="18"/>
        <v>50000.642290282995</v>
      </c>
    </row>
    <row r="160" spans="1:7">
      <c r="A160" s="192">
        <f t="shared" si="20"/>
        <v>153</v>
      </c>
      <c r="B160" s="193">
        <f>B159+31</f>
        <v>1826.9949119369314</v>
      </c>
      <c r="C160" s="191">
        <f t="shared" si="19"/>
        <v>18781233.484863497</v>
      </c>
      <c r="D160" s="191">
        <f t="shared" si="15"/>
        <v>18730972.422561284</v>
      </c>
      <c r="E160" s="191">
        <f t="shared" si="16"/>
        <v>148079.98670254718</v>
      </c>
      <c r="F160" s="191">
        <f t="shared" si="17"/>
        <v>97818.924400334014</v>
      </c>
      <c r="G160" s="191">
        <f t="shared" si="18"/>
        <v>50261.062302213162</v>
      </c>
    </row>
    <row r="161" spans="1:7">
      <c r="A161" s="192">
        <f t="shared" si="20"/>
        <v>154</v>
      </c>
      <c r="B161" s="193">
        <f>B160+30</f>
        <v>1856.9949119369314</v>
      </c>
      <c r="C161" s="191">
        <f t="shared" si="19"/>
        <v>18730972.422561284</v>
      </c>
      <c r="D161" s="191">
        <f t="shared" si="15"/>
        <v>18680449.583892908</v>
      </c>
      <c r="E161" s="191">
        <f t="shared" si="16"/>
        <v>148079.98670254718</v>
      </c>
      <c r="F161" s="191">
        <f t="shared" si="17"/>
        <v>97557.148034170968</v>
      </c>
      <c r="G161" s="191">
        <f t="shared" si="18"/>
        <v>50522.838668376207</v>
      </c>
    </row>
    <row r="162" spans="1:7">
      <c r="A162" s="192">
        <f t="shared" si="20"/>
        <v>155</v>
      </c>
      <c r="B162" s="193">
        <f>B161+31</f>
        <v>1887.9949119369314</v>
      </c>
      <c r="C162" s="191">
        <f t="shared" si="19"/>
        <v>18680449.583892908</v>
      </c>
      <c r="D162" s="191">
        <f t="shared" si="15"/>
        <v>18629663.605439801</v>
      </c>
      <c r="E162" s="191">
        <f t="shared" si="16"/>
        <v>148079.98670254718</v>
      </c>
      <c r="F162" s="191">
        <f t="shared" si="17"/>
        <v>97294.008249439998</v>
      </c>
      <c r="G162" s="191">
        <f t="shared" si="18"/>
        <v>50785.978453107178</v>
      </c>
    </row>
    <row r="163" spans="1:7">
      <c r="A163" s="192">
        <f t="shared" si="20"/>
        <v>156</v>
      </c>
      <c r="B163" s="193">
        <f>B162+31</f>
        <v>1918.9949119369314</v>
      </c>
      <c r="C163" s="191">
        <f t="shared" si="19"/>
        <v>18629663.605439801</v>
      </c>
      <c r="D163" s="191">
        <f t="shared" si="15"/>
        <v>18578613.116682254</v>
      </c>
      <c r="E163" s="191">
        <f t="shared" si="16"/>
        <v>148079.98670254718</v>
      </c>
      <c r="F163" s="191">
        <f t="shared" si="17"/>
        <v>97029.497945000185</v>
      </c>
      <c r="G163" s="191">
        <f t="shared" si="18"/>
        <v>51050.488757546991</v>
      </c>
    </row>
    <row r="164" spans="1:7">
      <c r="A164" s="192">
        <f t="shared" si="20"/>
        <v>157</v>
      </c>
      <c r="B164" s="193">
        <f>B163+30</f>
        <v>1948.9949119369314</v>
      </c>
      <c r="C164" s="191">
        <f t="shared" si="19"/>
        <v>18578613.116682254</v>
      </c>
      <c r="D164" s="191">
        <f t="shared" si="15"/>
        <v>18527296.739962425</v>
      </c>
      <c r="E164" s="191">
        <f t="shared" si="16"/>
        <v>148079.98670254718</v>
      </c>
      <c r="F164" s="191">
        <f t="shared" si="17"/>
        <v>96763.609982718481</v>
      </c>
      <c r="G164" s="191">
        <f t="shared" si="18"/>
        <v>51316.376719828695</v>
      </c>
    </row>
    <row r="165" spans="1:7">
      <c r="A165" s="192">
        <f t="shared" si="20"/>
        <v>158</v>
      </c>
      <c r="B165" s="193">
        <f>B164+31</f>
        <v>1979.9949119369314</v>
      </c>
      <c r="C165" s="191">
        <f t="shared" si="19"/>
        <v>18527296.739962425</v>
      </c>
      <c r="D165" s="191">
        <f t="shared" si="15"/>
        <v>18475713.090447187</v>
      </c>
      <c r="E165" s="191">
        <f t="shared" si="16"/>
        <v>148079.98670254718</v>
      </c>
      <c r="F165" s="191">
        <f t="shared" si="17"/>
        <v>96496.337187309517</v>
      </c>
      <c r="G165" s="191">
        <f t="shared" si="18"/>
        <v>51583.649515237659</v>
      </c>
    </row>
    <row r="166" spans="1:7">
      <c r="A166" s="192">
        <f t="shared" si="20"/>
        <v>159</v>
      </c>
      <c r="B166" s="193">
        <f>B165+30</f>
        <v>2009.9949119369314</v>
      </c>
      <c r="C166" s="191">
        <f t="shared" si="19"/>
        <v>18475713.090447187</v>
      </c>
      <c r="D166" s="191">
        <f t="shared" si="15"/>
        <v>18423860.776090719</v>
      </c>
      <c r="E166" s="191">
        <f t="shared" si="16"/>
        <v>148079.98670254718</v>
      </c>
      <c r="F166" s="191">
        <f t="shared" si="17"/>
        <v>96227.672346078558</v>
      </c>
      <c r="G166" s="191">
        <f t="shared" si="18"/>
        <v>51852.314356468618</v>
      </c>
    </row>
    <row r="167" spans="1:7">
      <c r="A167" s="192">
        <f t="shared" si="20"/>
        <v>160</v>
      </c>
      <c r="B167" s="193">
        <f>B166+31</f>
        <v>2040.9949119369314</v>
      </c>
      <c r="C167" s="191">
        <f t="shared" si="19"/>
        <v>18423860.776090719</v>
      </c>
      <c r="D167" s="191">
        <f t="shared" si="15"/>
        <v>18371738.397596978</v>
      </c>
      <c r="E167" s="191">
        <f t="shared" si="16"/>
        <v>148079.98670254718</v>
      </c>
      <c r="F167" s="191">
        <f t="shared" si="17"/>
        <v>95957.608208806021</v>
      </c>
      <c r="G167" s="191">
        <f t="shared" si="18"/>
        <v>52122.378493741155</v>
      </c>
    </row>
    <row r="168" spans="1:7">
      <c r="A168" s="192">
        <f t="shared" si="20"/>
        <v>161</v>
      </c>
      <c r="B168" s="193">
        <f>B167+31</f>
        <v>2071.9949119369312</v>
      </c>
      <c r="C168" s="191">
        <f t="shared" si="19"/>
        <v>18371738.397596978</v>
      </c>
      <c r="D168" s="191">
        <f t="shared" si="15"/>
        <v>18319344.548381917</v>
      </c>
      <c r="E168" s="191">
        <f t="shared" si="16"/>
        <v>148079.98670254718</v>
      </c>
      <c r="F168" s="191">
        <f t="shared" si="17"/>
        <v>95686.137487486703</v>
      </c>
      <c r="G168" s="191">
        <f t="shared" si="18"/>
        <v>52393.849215060472</v>
      </c>
    </row>
    <row r="169" spans="1:7">
      <c r="A169" s="192">
        <f t="shared" si="20"/>
        <v>162</v>
      </c>
      <c r="B169" s="193">
        <f>B168+28</f>
        <v>2099.9949119369312</v>
      </c>
      <c r="C169" s="191">
        <f t="shared" si="19"/>
        <v>18319344.548381917</v>
      </c>
      <c r="D169" s="191">
        <f t="shared" si="15"/>
        <v>18266677.814535525</v>
      </c>
      <c r="E169" s="191">
        <f t="shared" si="16"/>
        <v>148079.98670254718</v>
      </c>
      <c r="F169" s="191">
        <f t="shared" si="17"/>
        <v>95413.252856154693</v>
      </c>
      <c r="G169" s="191">
        <f t="shared" si="18"/>
        <v>52666.733846392483</v>
      </c>
    </row>
    <row r="170" spans="1:7">
      <c r="A170" s="192">
        <f t="shared" si="20"/>
        <v>163</v>
      </c>
      <c r="B170" s="193">
        <f>B169+31</f>
        <v>2130.9949119369312</v>
      </c>
      <c r="C170" s="191">
        <f t="shared" si="19"/>
        <v>18266677.814535525</v>
      </c>
      <c r="D170" s="191">
        <f t="shared" si="15"/>
        <v>18213736.774783682</v>
      </c>
      <c r="E170" s="191">
        <f t="shared" si="16"/>
        <v>148079.98670254718</v>
      </c>
      <c r="F170" s="191">
        <f t="shared" si="17"/>
        <v>95138.946950704558</v>
      </c>
      <c r="G170" s="191">
        <f t="shared" si="18"/>
        <v>52941.039751842618</v>
      </c>
    </row>
    <row r="171" spans="1:7">
      <c r="A171" s="192">
        <f t="shared" si="20"/>
        <v>164</v>
      </c>
      <c r="B171" s="193">
        <f>B170+30</f>
        <v>2160.9949119369312</v>
      </c>
      <c r="C171" s="191">
        <f t="shared" si="19"/>
        <v>18213736.774783682</v>
      </c>
      <c r="D171" s="191">
        <f t="shared" si="15"/>
        <v>18160520.000449803</v>
      </c>
      <c r="E171" s="191">
        <f t="shared" si="16"/>
        <v>148079.98670254718</v>
      </c>
      <c r="F171" s="191">
        <f t="shared" si="17"/>
        <v>94863.212368667824</v>
      </c>
      <c r="G171" s="191">
        <f t="shared" si="18"/>
        <v>53216.774333879352</v>
      </c>
    </row>
    <row r="172" spans="1:7">
      <c r="A172" s="192">
        <f t="shared" si="20"/>
        <v>165</v>
      </c>
      <c r="B172" s="193">
        <f>B171+31</f>
        <v>2191.9949119369312</v>
      </c>
      <c r="C172" s="191">
        <f t="shared" si="19"/>
        <v>18160520.000449803</v>
      </c>
      <c r="D172" s="191">
        <f t="shared" si="15"/>
        <v>18107026.055416264</v>
      </c>
      <c r="E172" s="191">
        <f t="shared" si="16"/>
        <v>148079.98670254718</v>
      </c>
      <c r="F172" s="191">
        <f t="shared" si="17"/>
        <v>94586.041669008089</v>
      </c>
      <c r="G172" s="191">
        <f t="shared" si="18"/>
        <v>53493.945033539087</v>
      </c>
    </row>
    <row r="173" spans="1:7">
      <c r="A173" s="192">
        <f t="shared" si="20"/>
        <v>166</v>
      </c>
      <c r="B173" s="193">
        <f>B172+30</f>
        <v>2221.9949119369312</v>
      </c>
      <c r="C173" s="191">
        <f t="shared" si="19"/>
        <v>18107026.055416264</v>
      </c>
      <c r="D173" s="191">
        <f t="shared" si="15"/>
        <v>18053253.496085677</v>
      </c>
      <c r="E173" s="191">
        <f t="shared" si="16"/>
        <v>148079.98670254718</v>
      </c>
      <c r="F173" s="191">
        <f t="shared" si="17"/>
        <v>94307.427371960832</v>
      </c>
      <c r="G173" s="191">
        <f t="shared" si="18"/>
        <v>53772.559330586344</v>
      </c>
    </row>
    <row r="174" spans="1:7">
      <c r="A174" s="192">
        <f t="shared" si="20"/>
        <v>167</v>
      </c>
      <c r="B174" s="193">
        <f>B173+31</f>
        <v>2252.9949119369312</v>
      </c>
      <c r="C174" s="191">
        <f t="shared" si="19"/>
        <v>18053253.496085677</v>
      </c>
      <c r="D174" s="191">
        <f t="shared" si="15"/>
        <v>17999200.87134191</v>
      </c>
      <c r="E174" s="191">
        <f t="shared" si="16"/>
        <v>148079.98670254718</v>
      </c>
      <c r="F174" s="191">
        <f t="shared" si="17"/>
        <v>94027.361958780093</v>
      </c>
      <c r="G174" s="191">
        <f t="shared" si="18"/>
        <v>54052.624743767083</v>
      </c>
    </row>
    <row r="175" spans="1:7">
      <c r="A175" s="192">
        <f t="shared" si="20"/>
        <v>168</v>
      </c>
      <c r="B175" s="193">
        <f>B174+31</f>
        <v>2283.9949119369312</v>
      </c>
      <c r="C175" s="191">
        <f t="shared" si="19"/>
        <v>17999200.87134191</v>
      </c>
      <c r="D175" s="191">
        <f t="shared" si="15"/>
        <v>17944866.722510934</v>
      </c>
      <c r="E175" s="191">
        <f t="shared" si="16"/>
        <v>148079.98670254718</v>
      </c>
      <c r="F175" s="191">
        <f t="shared" si="17"/>
        <v>93745.837871570839</v>
      </c>
      <c r="G175" s="191">
        <f t="shared" si="18"/>
        <v>54334.148830976337</v>
      </c>
    </row>
    <row r="176" spans="1:7">
      <c r="A176" s="192">
        <f t="shared" si="20"/>
        <v>169</v>
      </c>
      <c r="B176" s="193">
        <f>B175+30</f>
        <v>2313.9949119369312</v>
      </c>
      <c r="C176" s="191">
        <f t="shared" si="19"/>
        <v>17944866.722510934</v>
      </c>
      <c r="D176" s="191">
        <f t="shared" si="15"/>
        <v>17890249.583321471</v>
      </c>
      <c r="E176" s="191">
        <f t="shared" si="16"/>
        <v>148079.98670254718</v>
      </c>
      <c r="F176" s="191">
        <f t="shared" si="17"/>
        <v>93462.847513084067</v>
      </c>
      <c r="G176" s="191">
        <f t="shared" si="18"/>
        <v>54617.139189463109</v>
      </c>
    </row>
    <row r="177" spans="1:7">
      <c r="A177" s="192">
        <f t="shared" si="20"/>
        <v>170</v>
      </c>
      <c r="B177" s="193">
        <f>B176+31</f>
        <v>2344.9949119369312</v>
      </c>
      <c r="C177" s="191">
        <f t="shared" si="19"/>
        <v>17890249.583321471</v>
      </c>
      <c r="D177" s="191">
        <f t="shared" si="15"/>
        <v>17835347.979865387</v>
      </c>
      <c r="E177" s="191">
        <f t="shared" si="16"/>
        <v>148079.98670254718</v>
      </c>
      <c r="F177" s="191">
        <f t="shared" si="17"/>
        <v>93178.383246463491</v>
      </c>
      <c r="G177" s="191">
        <f t="shared" si="18"/>
        <v>54901.603456083685</v>
      </c>
    </row>
    <row r="178" spans="1:7">
      <c r="A178" s="192">
        <f t="shared" si="20"/>
        <v>171</v>
      </c>
      <c r="B178" s="193">
        <f>B177+30</f>
        <v>2374.9949119369312</v>
      </c>
      <c r="C178" s="191">
        <f t="shared" si="19"/>
        <v>17835347.979865387</v>
      </c>
      <c r="D178" s="191">
        <f t="shared" si="15"/>
        <v>17780160.43055797</v>
      </c>
      <c r="E178" s="191">
        <f t="shared" si="16"/>
        <v>148079.98670254718</v>
      </c>
      <c r="F178" s="191">
        <f t="shared" si="17"/>
        <v>92892.437395130051</v>
      </c>
      <c r="G178" s="191">
        <f t="shared" si="18"/>
        <v>55187.549307417125</v>
      </c>
    </row>
    <row r="179" spans="1:7">
      <c r="A179" s="192">
        <f t="shared" si="20"/>
        <v>172</v>
      </c>
      <c r="B179" s="193">
        <f>B178+31</f>
        <v>2405.9949119369312</v>
      </c>
      <c r="C179" s="191">
        <f t="shared" si="19"/>
        <v>17780160.43055797</v>
      </c>
      <c r="D179" s="191">
        <f t="shared" si="15"/>
        <v>17724685.446097914</v>
      </c>
      <c r="E179" s="191">
        <f t="shared" si="16"/>
        <v>148079.98670254718</v>
      </c>
      <c r="F179" s="191">
        <f t="shared" si="17"/>
        <v>92605.002242491348</v>
      </c>
      <c r="G179" s="191">
        <f t="shared" si="18"/>
        <v>55474.984460055828</v>
      </c>
    </row>
    <row r="180" spans="1:7">
      <c r="A180" s="192">
        <f t="shared" si="20"/>
        <v>173</v>
      </c>
      <c r="B180" s="193">
        <f>B179+31</f>
        <v>2436.9949119369312</v>
      </c>
      <c r="C180" s="191">
        <f t="shared" si="19"/>
        <v>17724685.446097914</v>
      </c>
      <c r="D180" s="191">
        <f t="shared" si="15"/>
        <v>17668921.529427126</v>
      </c>
      <c r="E180" s="191">
        <f t="shared" si="16"/>
        <v>148079.98670254718</v>
      </c>
      <c r="F180" s="191">
        <f t="shared" si="17"/>
        <v>92316.070031759096</v>
      </c>
      <c r="G180" s="191">
        <f t="shared" si="18"/>
        <v>55763.91667078808</v>
      </c>
    </row>
    <row r="181" spans="1:7">
      <c r="A181" s="192">
        <f t="shared" si="20"/>
        <v>174</v>
      </c>
      <c r="B181" s="193">
        <f>B180+29</f>
        <v>2465.9949119369312</v>
      </c>
      <c r="C181" s="191">
        <f t="shared" si="19"/>
        <v>17668921.529427126</v>
      </c>
      <c r="D181" s="191">
        <f t="shared" si="15"/>
        <v>17612867.175690345</v>
      </c>
      <c r="E181" s="191">
        <f t="shared" si="16"/>
        <v>148079.98670254718</v>
      </c>
      <c r="F181" s="191">
        <f t="shared" si="17"/>
        <v>92025.632965766592</v>
      </c>
      <c r="G181" s="191">
        <f t="shared" si="18"/>
        <v>56054.353736780584</v>
      </c>
    </row>
    <row r="182" spans="1:7">
      <c r="A182" s="192">
        <f t="shared" si="20"/>
        <v>175</v>
      </c>
      <c r="B182" s="193">
        <f>B181+31</f>
        <v>2496.9949119369312</v>
      </c>
      <c r="C182" s="191">
        <f t="shared" si="19"/>
        <v>17612867.175690345</v>
      </c>
      <c r="D182" s="191">
        <f t="shared" si="15"/>
        <v>17556520.872194521</v>
      </c>
      <c r="E182" s="191">
        <f t="shared" si="16"/>
        <v>148079.98670254718</v>
      </c>
      <c r="F182" s="191">
        <f t="shared" si="17"/>
        <v>91733.683206722839</v>
      </c>
      <c r="G182" s="191">
        <f t="shared" si="18"/>
        <v>56346.303495824337</v>
      </c>
    </row>
    <row r="183" spans="1:7">
      <c r="A183" s="192">
        <f t="shared" si="20"/>
        <v>176</v>
      </c>
      <c r="B183" s="193">
        <f>B182+30</f>
        <v>2526.9949119369312</v>
      </c>
      <c r="C183" s="191">
        <f t="shared" si="19"/>
        <v>17556520.872194521</v>
      </c>
      <c r="D183" s="191">
        <f t="shared" si="15"/>
        <v>17499881.098367989</v>
      </c>
      <c r="E183" s="191">
        <f t="shared" si="16"/>
        <v>148079.98670254718</v>
      </c>
      <c r="F183" s="191">
        <f t="shared" si="17"/>
        <v>91440.21287601511</v>
      </c>
      <c r="G183" s="191">
        <f t="shared" si="18"/>
        <v>56639.773826532066</v>
      </c>
    </row>
    <row r="184" spans="1:7">
      <c r="A184" s="192">
        <f t="shared" si="20"/>
        <v>177</v>
      </c>
      <c r="B184" s="193">
        <f>B183+31</f>
        <v>2557.9949119369312</v>
      </c>
      <c r="C184" s="191">
        <f t="shared" si="19"/>
        <v>17499881.098367989</v>
      </c>
      <c r="D184" s="191">
        <f t="shared" si="15"/>
        <v>17442946.325719442</v>
      </c>
      <c r="E184" s="191">
        <f t="shared" si="16"/>
        <v>148079.98670254718</v>
      </c>
      <c r="F184" s="191">
        <f t="shared" si="17"/>
        <v>91145.214054000331</v>
      </c>
      <c r="G184" s="191">
        <f t="shared" si="18"/>
        <v>56934.772648546845</v>
      </c>
    </row>
    <row r="185" spans="1:7">
      <c r="A185" s="192">
        <f t="shared" si="20"/>
        <v>178</v>
      </c>
      <c r="B185" s="193">
        <f>B184+30</f>
        <v>2587.9949119369312</v>
      </c>
      <c r="C185" s="191">
        <f t="shared" si="19"/>
        <v>17442946.325719442</v>
      </c>
      <c r="D185" s="191">
        <f t="shared" si="15"/>
        <v>17385715.017796684</v>
      </c>
      <c r="E185" s="191">
        <f t="shared" si="16"/>
        <v>148079.98670254718</v>
      </c>
      <c r="F185" s="191">
        <f t="shared" si="17"/>
        <v>90848.678779789014</v>
      </c>
      <c r="G185" s="191">
        <f t="shared" si="18"/>
        <v>57231.307922758162</v>
      </c>
    </row>
    <row r="186" spans="1:7">
      <c r="A186" s="192">
        <f t="shared" si="20"/>
        <v>179</v>
      </c>
      <c r="B186" s="193">
        <f>B185+31</f>
        <v>2618.9949119369312</v>
      </c>
      <c r="C186" s="191">
        <f t="shared" si="19"/>
        <v>17385715.017796684</v>
      </c>
      <c r="D186" s="191">
        <f t="shared" si="15"/>
        <v>17328185.630145159</v>
      </c>
      <c r="E186" s="191">
        <f t="shared" si="16"/>
        <v>148079.98670254718</v>
      </c>
      <c r="F186" s="191">
        <f t="shared" si="17"/>
        <v>90550.599051021738</v>
      </c>
      <c r="G186" s="191">
        <f t="shared" si="18"/>
        <v>57529.387651525438</v>
      </c>
    </row>
    <row r="187" spans="1:7">
      <c r="A187" s="192">
        <f t="shared" si="20"/>
        <v>180</v>
      </c>
      <c r="B187" s="193">
        <f>B186+31</f>
        <v>2649.9949119369312</v>
      </c>
      <c r="C187" s="191">
        <f t="shared" si="19"/>
        <v>17328185.630145159</v>
      </c>
      <c r="D187" s="191">
        <f t="shared" si="15"/>
        <v>17270356.610266287</v>
      </c>
      <c r="E187" s="191">
        <f t="shared" si="16"/>
        <v>148079.98670254718</v>
      </c>
      <c r="F187" s="191">
        <f t="shared" si="17"/>
        <v>90250.966823675437</v>
      </c>
      <c r="G187" s="191">
        <f t="shared" si="18"/>
        <v>57829.019878871739</v>
      </c>
    </row>
    <row r="188" spans="1:7">
      <c r="A188" s="192">
        <f t="shared" si="20"/>
        <v>181</v>
      </c>
      <c r="B188" s="193">
        <f>B187+30</f>
        <v>2679.9949119369312</v>
      </c>
      <c r="C188" s="191">
        <f t="shared" si="19"/>
        <v>17270356.610266287</v>
      </c>
      <c r="D188" s="191">
        <f t="shared" si="15"/>
        <v>17212226.397575542</v>
      </c>
      <c r="E188" s="191">
        <f t="shared" si="16"/>
        <v>148079.98670254718</v>
      </c>
      <c r="F188" s="191">
        <f t="shared" si="17"/>
        <v>89949.774011802627</v>
      </c>
      <c r="G188" s="191">
        <f t="shared" si="18"/>
        <v>58130.212690744549</v>
      </c>
    </row>
    <row r="189" spans="1:7">
      <c r="A189" s="192">
        <f t="shared" si="20"/>
        <v>182</v>
      </c>
      <c r="B189" s="193">
        <f>B188+31</f>
        <v>2710.9949119369312</v>
      </c>
      <c r="C189" s="191">
        <f t="shared" si="19"/>
        <v>17212226.397575542</v>
      </c>
      <c r="D189" s="191">
        <f t="shared" si="15"/>
        <v>17153793.423360366</v>
      </c>
      <c r="E189" s="191">
        <f t="shared" si="16"/>
        <v>148079.98670254718</v>
      </c>
      <c r="F189" s="191">
        <f t="shared" si="17"/>
        <v>89647.012487371219</v>
      </c>
      <c r="G189" s="191">
        <f t="shared" si="18"/>
        <v>58432.974215175956</v>
      </c>
    </row>
    <row r="190" spans="1:7">
      <c r="A190" s="192">
        <f t="shared" si="20"/>
        <v>183</v>
      </c>
      <c r="B190" s="193">
        <f>B189+30</f>
        <v>2740.9949119369312</v>
      </c>
      <c r="C190" s="191">
        <f t="shared" si="19"/>
        <v>17153793.423360366</v>
      </c>
      <c r="D190" s="191">
        <f t="shared" si="15"/>
        <v>17095056.110737823</v>
      </c>
      <c r="E190" s="191">
        <f t="shared" si="16"/>
        <v>148079.98670254718</v>
      </c>
      <c r="F190" s="191">
        <f t="shared" si="17"/>
        <v>89342.674080003751</v>
      </c>
      <c r="G190" s="191">
        <f t="shared" si="18"/>
        <v>58737.312622543424</v>
      </c>
    </row>
    <row r="191" spans="1:7">
      <c r="A191" s="192">
        <f t="shared" si="20"/>
        <v>184</v>
      </c>
      <c r="B191" s="193">
        <f>B190+31</f>
        <v>2771.9949119369312</v>
      </c>
      <c r="C191" s="191">
        <f t="shared" si="19"/>
        <v>17095056.110737823</v>
      </c>
      <c r="D191" s="191">
        <f t="shared" si="15"/>
        <v>17036012.874612037</v>
      </c>
      <c r="E191" s="191">
        <f t="shared" si="16"/>
        <v>148079.98670254718</v>
      </c>
      <c r="F191" s="191">
        <f t="shared" si="17"/>
        <v>89036.750576761318</v>
      </c>
      <c r="G191" s="191">
        <f t="shared" si="18"/>
        <v>59043.236125785857</v>
      </c>
    </row>
    <row r="192" spans="1:7">
      <c r="A192" s="192">
        <f t="shared" si="20"/>
        <v>185</v>
      </c>
      <c r="B192" s="193">
        <f>B191+31</f>
        <v>2802.9949119369312</v>
      </c>
      <c r="C192" s="191">
        <f t="shared" si="19"/>
        <v>17036012.874612037</v>
      </c>
      <c r="D192" s="191">
        <f t="shared" si="15"/>
        <v>16976662.121631432</v>
      </c>
      <c r="E192" s="191">
        <f t="shared" si="16"/>
        <v>148079.98670254718</v>
      </c>
      <c r="F192" s="191">
        <f t="shared" si="17"/>
        <v>88729.233721942408</v>
      </c>
      <c r="G192" s="191">
        <f t="shared" si="18"/>
        <v>59350.752980604768</v>
      </c>
    </row>
    <row r="193" spans="1:7">
      <c r="A193" s="192">
        <f t="shared" si="20"/>
        <v>186</v>
      </c>
      <c r="B193" s="193">
        <f>B192+28</f>
        <v>2830.9949119369312</v>
      </c>
      <c r="C193" s="191">
        <f t="shared" si="19"/>
        <v>16976662.121631432</v>
      </c>
      <c r="D193" s="191">
        <f t="shared" si="15"/>
        <v>16917002.250145715</v>
      </c>
      <c r="E193" s="191">
        <f t="shared" si="16"/>
        <v>148079.98670254718</v>
      </c>
      <c r="F193" s="191">
        <f t="shared" si="17"/>
        <v>88420.115216829581</v>
      </c>
      <c r="G193" s="191">
        <f t="shared" si="18"/>
        <v>59659.871485717595</v>
      </c>
    </row>
    <row r="194" spans="1:7">
      <c r="A194" s="192">
        <f t="shared" si="20"/>
        <v>187</v>
      </c>
      <c r="B194" s="193">
        <f>B193+31</f>
        <v>2861.9949119369312</v>
      </c>
      <c r="C194" s="191">
        <f t="shared" si="19"/>
        <v>16917002.250145715</v>
      </c>
      <c r="D194" s="191">
        <f t="shared" si="15"/>
        <v>16857031.650162674</v>
      </c>
      <c r="E194" s="191">
        <f t="shared" si="16"/>
        <v>148079.98670254718</v>
      </c>
      <c r="F194" s="191">
        <f t="shared" si="17"/>
        <v>88109.386719506932</v>
      </c>
      <c r="G194" s="191">
        <f t="shared" si="18"/>
        <v>59970.599983040243</v>
      </c>
    </row>
    <row r="195" spans="1:7">
      <c r="A195" s="192">
        <f t="shared" si="20"/>
        <v>188</v>
      </c>
      <c r="B195" s="193">
        <f>B194+30</f>
        <v>2891.9949119369312</v>
      </c>
      <c r="C195" s="191">
        <f t="shared" si="19"/>
        <v>16857031.650162674</v>
      </c>
      <c r="D195" s="191">
        <f t="shared" si="15"/>
        <v>16796748.703304727</v>
      </c>
      <c r="E195" s="191">
        <f t="shared" si="16"/>
        <v>148079.98670254718</v>
      </c>
      <c r="F195" s="191">
        <f t="shared" si="17"/>
        <v>87797.03984459932</v>
      </c>
      <c r="G195" s="191">
        <f t="shared" si="18"/>
        <v>60282.946857947856</v>
      </c>
    </row>
    <row r="196" spans="1:7">
      <c r="A196" s="192">
        <f t="shared" si="20"/>
        <v>189</v>
      </c>
      <c r="B196" s="193">
        <f>B195+31</f>
        <v>2922.9949119369312</v>
      </c>
      <c r="C196" s="191">
        <f t="shared" si="19"/>
        <v>16796748.703304727</v>
      </c>
      <c r="D196" s="191">
        <f t="shared" si="15"/>
        <v>16736151.782765225</v>
      </c>
      <c r="E196" s="191">
        <f t="shared" si="16"/>
        <v>148079.98670254718</v>
      </c>
      <c r="F196" s="191">
        <f t="shared" si="17"/>
        <v>87483.066163045121</v>
      </c>
      <c r="G196" s="191">
        <f t="shared" si="18"/>
        <v>60596.920539502054</v>
      </c>
    </row>
    <row r="197" spans="1:7">
      <c r="A197" s="192">
        <f t="shared" si="20"/>
        <v>190</v>
      </c>
      <c r="B197" s="193">
        <f>B196+30</f>
        <v>2952.9949119369312</v>
      </c>
      <c r="C197" s="191">
        <f t="shared" si="19"/>
        <v>16736151.782765225</v>
      </c>
      <c r="D197" s="191">
        <f t="shared" si="15"/>
        <v>16675239.253264584</v>
      </c>
      <c r="E197" s="191">
        <f t="shared" si="16"/>
        <v>148079.98670254718</v>
      </c>
      <c r="F197" s="191">
        <f t="shared" si="17"/>
        <v>87167.457201906247</v>
      </c>
      <c r="G197" s="191">
        <f t="shared" si="18"/>
        <v>60912.529500640929</v>
      </c>
    </row>
    <row r="198" spans="1:7">
      <c r="A198" s="192">
        <f t="shared" si="20"/>
        <v>191</v>
      </c>
      <c r="B198" s="193">
        <f>B197+31</f>
        <v>2983.9949119369312</v>
      </c>
      <c r="C198" s="191">
        <f t="shared" si="19"/>
        <v>16675239.253264584</v>
      </c>
      <c r="D198" s="191">
        <f t="shared" si="15"/>
        <v>16614009.47100612</v>
      </c>
      <c r="E198" s="191">
        <f t="shared" si="16"/>
        <v>148079.98670254718</v>
      </c>
      <c r="F198" s="191">
        <f t="shared" si="17"/>
        <v>86850.204444083152</v>
      </c>
      <c r="G198" s="191">
        <f t="shared" si="18"/>
        <v>61229.782258464023</v>
      </c>
    </row>
    <row r="199" spans="1:7">
      <c r="A199" s="192">
        <f t="shared" si="20"/>
        <v>192</v>
      </c>
      <c r="B199" s="193">
        <f>B198+31</f>
        <v>3014.9949119369312</v>
      </c>
      <c r="C199" s="191">
        <f t="shared" si="19"/>
        <v>16614009.47100612</v>
      </c>
      <c r="D199" s="191">
        <f t="shared" si="15"/>
        <v>16552460.783631731</v>
      </c>
      <c r="E199" s="191">
        <f t="shared" si="16"/>
        <v>148079.98670254718</v>
      </c>
      <c r="F199" s="191">
        <f t="shared" si="17"/>
        <v>86531.299328158377</v>
      </c>
      <c r="G199" s="191">
        <f t="shared" si="18"/>
        <v>61548.687374388799</v>
      </c>
    </row>
    <row r="200" spans="1:7">
      <c r="A200" s="192">
        <f t="shared" si="20"/>
        <v>193</v>
      </c>
      <c r="B200" s="193">
        <f>B199+30</f>
        <v>3044.9949119369312</v>
      </c>
      <c r="C200" s="191">
        <f t="shared" si="19"/>
        <v>16552460.783631731</v>
      </c>
      <c r="D200" s="191">
        <f t="shared" ref="D200:D263" si="21">PV($D$3/12,($D$4-A200),-$D$5)</f>
        <v>16490591.530177265</v>
      </c>
      <c r="E200" s="191">
        <f t="shared" ref="E200:E263" si="22">IF(C200=0,0,$D$5)</f>
        <v>148079.98670254718</v>
      </c>
      <c r="F200" s="191">
        <f t="shared" ref="F200:F263" si="23">E200-(C200-D200)</f>
        <v>86210.733248081757</v>
      </c>
      <c r="G200" s="191">
        <f t="shared" ref="G200:G263" si="24">E200-F200</f>
        <v>61869.253454465419</v>
      </c>
    </row>
    <row r="201" spans="1:7">
      <c r="A201" s="192">
        <f t="shared" si="20"/>
        <v>194</v>
      </c>
      <c r="B201" s="193">
        <f>B200+31</f>
        <v>3075.9949119369312</v>
      </c>
      <c r="C201" s="191">
        <f t="shared" ref="C201:C264" si="25">D200</f>
        <v>16490591.530177265</v>
      </c>
      <c r="D201" s="191">
        <f t="shared" si="21"/>
        <v>16428400.041027728</v>
      </c>
      <c r="E201" s="191">
        <f t="shared" si="22"/>
        <v>148079.98670254718</v>
      </c>
      <c r="F201" s="191">
        <f t="shared" si="23"/>
        <v>85888.497553010238</v>
      </c>
      <c r="G201" s="191">
        <f t="shared" si="24"/>
        <v>62191.489149536937</v>
      </c>
    </row>
    <row r="202" spans="1:7">
      <c r="A202" s="192">
        <f t="shared" si="20"/>
        <v>195</v>
      </c>
      <c r="B202" s="193">
        <f>B201+30</f>
        <v>3105.9949119369312</v>
      </c>
      <c r="C202" s="191">
        <f t="shared" si="25"/>
        <v>16428400.041027728</v>
      </c>
      <c r="D202" s="191">
        <f t="shared" si="21"/>
        <v>16365884.6378722</v>
      </c>
      <c r="E202" s="191">
        <f t="shared" si="22"/>
        <v>148079.98670254718</v>
      </c>
      <c r="F202" s="191">
        <f t="shared" si="23"/>
        <v>85564.583547019167</v>
      </c>
      <c r="G202" s="191">
        <f t="shared" si="24"/>
        <v>62515.403155528009</v>
      </c>
    </row>
    <row r="203" spans="1:7">
      <c r="A203" s="192">
        <f t="shared" si="20"/>
        <v>196</v>
      </c>
      <c r="B203" s="193">
        <f>B202+31</f>
        <v>3136.9949119369312</v>
      </c>
      <c r="C203" s="191">
        <f t="shared" si="25"/>
        <v>16365884.6378722</v>
      </c>
      <c r="D203" s="191">
        <f t="shared" si="21"/>
        <v>16303043.633658569</v>
      </c>
      <c r="E203" s="191">
        <f t="shared" si="22"/>
        <v>148079.98670254718</v>
      </c>
      <c r="F203" s="191">
        <f t="shared" si="23"/>
        <v>85238.982488916023</v>
      </c>
      <c r="G203" s="191">
        <f t="shared" si="24"/>
        <v>62841.004213631153</v>
      </c>
    </row>
    <row r="204" spans="1:7">
      <c r="A204" s="192">
        <f t="shared" si="20"/>
        <v>197</v>
      </c>
      <c r="B204" s="193">
        <f>B203+31</f>
        <v>3167.9949119369312</v>
      </c>
      <c r="C204" s="191">
        <f t="shared" si="25"/>
        <v>16303043.633658569</v>
      </c>
      <c r="D204" s="191">
        <f t="shared" si="21"/>
        <v>16239875.332547992</v>
      </c>
      <c r="E204" s="191">
        <f t="shared" si="22"/>
        <v>148079.98670254718</v>
      </c>
      <c r="F204" s="191">
        <f t="shared" si="23"/>
        <v>84911.685591970338</v>
      </c>
      <c r="G204" s="191">
        <f t="shared" si="24"/>
        <v>63168.301110576838</v>
      </c>
    </row>
    <row r="205" spans="1:7">
      <c r="A205" s="192">
        <f t="shared" si="20"/>
        <v>198</v>
      </c>
      <c r="B205" s="193">
        <f>B204+28</f>
        <v>3195.9949119369312</v>
      </c>
      <c r="C205" s="191">
        <f t="shared" si="25"/>
        <v>16239875.332547992</v>
      </c>
      <c r="D205" s="191">
        <f t="shared" si="21"/>
        <v>16176378.029869135</v>
      </c>
      <c r="E205" s="191">
        <f t="shared" si="22"/>
        <v>148079.98670254718</v>
      </c>
      <c r="F205" s="191">
        <f t="shared" si="23"/>
        <v>84582.684023690177</v>
      </c>
      <c r="G205" s="191">
        <f t="shared" si="24"/>
        <v>63497.302678856999</v>
      </c>
    </row>
    <row r="206" spans="1:7">
      <c r="A206" s="192">
        <f t="shared" si="20"/>
        <v>199</v>
      </c>
      <c r="B206" s="193">
        <f>B205+31</f>
        <v>3226.9949119369312</v>
      </c>
      <c r="C206" s="191">
        <f t="shared" si="25"/>
        <v>16176378.029869135</v>
      </c>
      <c r="D206" s="191">
        <f t="shared" si="21"/>
        <v>16112550.012072155</v>
      </c>
      <c r="E206" s="191">
        <f t="shared" si="22"/>
        <v>148079.98670254718</v>
      </c>
      <c r="F206" s="191">
        <f t="shared" si="23"/>
        <v>84251.968905566959</v>
      </c>
      <c r="G206" s="191">
        <f t="shared" si="24"/>
        <v>63828.017796980217</v>
      </c>
    </row>
    <row r="207" spans="1:7">
      <c r="A207" s="192">
        <f t="shared" si="20"/>
        <v>200</v>
      </c>
      <c r="B207" s="193">
        <f>B206+30</f>
        <v>3256.9949119369312</v>
      </c>
      <c r="C207" s="191">
        <f t="shared" si="25"/>
        <v>16112550.012072155</v>
      </c>
      <c r="D207" s="191">
        <f t="shared" si="21"/>
        <v>16048389.556682486</v>
      </c>
      <c r="E207" s="191">
        <f t="shared" si="22"/>
        <v>148079.98670254718</v>
      </c>
      <c r="F207" s="191">
        <f t="shared" si="23"/>
        <v>83919.531312878011</v>
      </c>
      <c r="G207" s="191">
        <f t="shared" si="24"/>
        <v>64160.455389669165</v>
      </c>
    </row>
    <row r="208" spans="1:7">
      <c r="A208" s="192">
        <f t="shared" si="20"/>
        <v>201</v>
      </c>
      <c r="B208" s="193">
        <f>B207+31</f>
        <v>3287.9949119369312</v>
      </c>
      <c r="C208" s="191">
        <f t="shared" si="25"/>
        <v>16048389.556682486</v>
      </c>
      <c r="D208" s="191">
        <f t="shared" si="21"/>
        <v>15983894.932254327</v>
      </c>
      <c r="E208" s="191">
        <f t="shared" si="22"/>
        <v>148079.98670254718</v>
      </c>
      <c r="F208" s="191">
        <f t="shared" si="23"/>
        <v>83585.36227438855</v>
      </c>
      <c r="G208" s="191">
        <f t="shared" si="24"/>
        <v>64494.624428158626</v>
      </c>
    </row>
    <row r="209" spans="1:7">
      <c r="A209" s="192">
        <f t="shared" ref="A209:A272" si="26">A208+1</f>
        <v>202</v>
      </c>
      <c r="B209" s="193">
        <f>B208+30</f>
        <v>3317.9949119369312</v>
      </c>
      <c r="C209" s="191">
        <f t="shared" si="25"/>
        <v>15983894.932254327</v>
      </c>
      <c r="D209" s="191">
        <f t="shared" si="21"/>
        <v>15919064.398323942</v>
      </c>
      <c r="E209" s="191">
        <f t="shared" si="22"/>
        <v>148079.98670254718</v>
      </c>
      <c r="F209" s="191">
        <f t="shared" si="23"/>
        <v>83249.452772161691</v>
      </c>
      <c r="G209" s="191">
        <f t="shared" si="24"/>
        <v>64830.533930385485</v>
      </c>
    </row>
    <row r="210" spans="1:7">
      <c r="A210" s="192">
        <f t="shared" si="26"/>
        <v>203</v>
      </c>
      <c r="B210" s="193">
        <f>B209+31</f>
        <v>3348.9949119369312</v>
      </c>
      <c r="C210" s="191">
        <f t="shared" si="25"/>
        <v>15919064.398323942</v>
      </c>
      <c r="D210" s="191">
        <f t="shared" si="21"/>
        <v>15853896.205362661</v>
      </c>
      <c r="E210" s="191">
        <f t="shared" si="22"/>
        <v>148079.98670254718</v>
      </c>
      <c r="F210" s="191">
        <f t="shared" si="23"/>
        <v>82911.79374126601</v>
      </c>
      <c r="G210" s="191">
        <f t="shared" si="24"/>
        <v>65168.192961281165</v>
      </c>
    </row>
    <row r="211" spans="1:7">
      <c r="A211" s="192">
        <f t="shared" si="26"/>
        <v>204</v>
      </c>
      <c r="B211" s="193">
        <f>B210+31</f>
        <v>3379.9949119369312</v>
      </c>
      <c r="C211" s="191">
        <f t="shared" si="25"/>
        <v>15853896.205362661</v>
      </c>
      <c r="D211" s="191">
        <f t="shared" si="21"/>
        <v>15788388.594729716</v>
      </c>
      <c r="E211" s="191">
        <f t="shared" si="22"/>
        <v>148079.98670254718</v>
      </c>
      <c r="F211" s="191">
        <f t="shared" si="23"/>
        <v>82572.376069602324</v>
      </c>
      <c r="G211" s="191">
        <f t="shared" si="24"/>
        <v>65507.610632944852</v>
      </c>
    </row>
    <row r="212" spans="1:7">
      <c r="A212" s="192">
        <f t="shared" si="26"/>
        <v>205</v>
      </c>
      <c r="B212" s="193">
        <f>B211+30</f>
        <v>3409.9949119369312</v>
      </c>
      <c r="C212" s="191">
        <f t="shared" si="25"/>
        <v>15788388.594729716</v>
      </c>
      <c r="D212" s="191">
        <f t="shared" si="21"/>
        <v>15722539.798624717</v>
      </c>
      <c r="E212" s="191">
        <f t="shared" si="22"/>
        <v>148079.98670254718</v>
      </c>
      <c r="F212" s="191">
        <f t="shared" si="23"/>
        <v>82231.190597547917</v>
      </c>
      <c r="G212" s="191">
        <f t="shared" si="24"/>
        <v>65848.796104999259</v>
      </c>
    </row>
    <row r="213" spans="1:7">
      <c r="A213" s="192">
        <f t="shared" si="26"/>
        <v>206</v>
      </c>
      <c r="B213" s="193">
        <f>B212+31</f>
        <v>3440.9949119369312</v>
      </c>
      <c r="C213" s="191">
        <f t="shared" si="25"/>
        <v>15722539.798624717</v>
      </c>
      <c r="D213" s="191">
        <f t="shared" si="21"/>
        <v>15656348.040040005</v>
      </c>
      <c r="E213" s="191">
        <f t="shared" si="22"/>
        <v>148079.98670254718</v>
      </c>
      <c r="F213" s="191">
        <f t="shared" si="23"/>
        <v>81888.228117835475</v>
      </c>
      <c r="G213" s="191">
        <f t="shared" si="24"/>
        <v>66191.758584711701</v>
      </c>
    </row>
    <row r="214" spans="1:7">
      <c r="A214" s="192">
        <f t="shared" si="26"/>
        <v>207</v>
      </c>
      <c r="B214" s="193">
        <f>B213+30</f>
        <v>3470.9949119369312</v>
      </c>
      <c r="C214" s="191">
        <f t="shared" si="25"/>
        <v>15656348.040040005</v>
      </c>
      <c r="D214" s="191">
        <f t="shared" si="21"/>
        <v>15589811.532712668</v>
      </c>
      <c r="E214" s="191">
        <f t="shared" si="22"/>
        <v>148079.98670254718</v>
      </c>
      <c r="F214" s="191">
        <f t="shared" si="23"/>
        <v>81543.479375210358</v>
      </c>
      <c r="G214" s="191">
        <f t="shared" si="24"/>
        <v>66536.507327336818</v>
      </c>
    </row>
    <row r="215" spans="1:7">
      <c r="A215" s="192">
        <f t="shared" si="26"/>
        <v>208</v>
      </c>
      <c r="B215" s="193">
        <f>B214+31</f>
        <v>3501.9949119369312</v>
      </c>
      <c r="C215" s="191">
        <f t="shared" si="25"/>
        <v>15589811.532712668</v>
      </c>
      <c r="D215" s="191">
        <f t="shared" si="21"/>
        <v>15522928.481076334</v>
      </c>
      <c r="E215" s="191">
        <f t="shared" si="22"/>
        <v>148079.98670254718</v>
      </c>
      <c r="F215" s="191">
        <f t="shared" si="23"/>
        <v>81196.935066212667</v>
      </c>
      <c r="G215" s="191">
        <f t="shared" si="24"/>
        <v>66883.051636334509</v>
      </c>
    </row>
    <row r="216" spans="1:7">
      <c r="A216" s="192">
        <f t="shared" si="26"/>
        <v>209</v>
      </c>
      <c r="B216" s="193">
        <f>B215+31</f>
        <v>3532.9949119369312</v>
      </c>
      <c r="C216" s="191">
        <f t="shared" si="25"/>
        <v>15522928.481076334</v>
      </c>
      <c r="D216" s="191">
        <f t="shared" si="21"/>
        <v>15455697.080212725</v>
      </c>
      <c r="E216" s="191">
        <f t="shared" si="22"/>
        <v>148079.98670254718</v>
      </c>
      <c r="F216" s="191">
        <f t="shared" si="23"/>
        <v>80848.58583893883</v>
      </c>
      <c r="G216" s="191">
        <f t="shared" si="24"/>
        <v>67231.400863608345</v>
      </c>
    </row>
    <row r="217" spans="1:7">
      <c r="A217" s="192">
        <f t="shared" si="26"/>
        <v>210</v>
      </c>
      <c r="B217" s="193">
        <f>B216+28</f>
        <v>3560.9949119369312</v>
      </c>
      <c r="C217" s="191">
        <f t="shared" si="25"/>
        <v>15455697.080212725</v>
      </c>
      <c r="D217" s="191">
        <f t="shared" si="21"/>
        <v>15388115.515802955</v>
      </c>
      <c r="E217" s="191">
        <f t="shared" si="22"/>
        <v>148079.98670254718</v>
      </c>
      <c r="F217" s="191">
        <f t="shared" si="23"/>
        <v>80498.422292777104</v>
      </c>
      <c r="G217" s="191">
        <f t="shared" si="24"/>
        <v>67581.564409770072</v>
      </c>
    </row>
    <row r="218" spans="1:7">
      <c r="A218" s="192">
        <f t="shared" si="26"/>
        <v>211</v>
      </c>
      <c r="B218" s="193">
        <f>B217+31</f>
        <v>3591.9949119369312</v>
      </c>
      <c r="C218" s="191">
        <f t="shared" si="25"/>
        <v>15388115.515802955</v>
      </c>
      <c r="D218" s="191">
        <f t="shared" si="21"/>
        <v>15320181.964078549</v>
      </c>
      <c r="E218" s="191">
        <f t="shared" si="22"/>
        <v>148079.98670254718</v>
      </c>
      <c r="F218" s="191">
        <f t="shared" si="23"/>
        <v>80146.434978141217</v>
      </c>
      <c r="G218" s="191">
        <f t="shared" si="24"/>
        <v>67933.551724405959</v>
      </c>
    </row>
    <row r="219" spans="1:7">
      <c r="A219" s="192">
        <f t="shared" si="26"/>
        <v>212</v>
      </c>
      <c r="B219" s="193">
        <f>B218+30</f>
        <v>3621.9949119369312</v>
      </c>
      <c r="C219" s="191">
        <f t="shared" si="25"/>
        <v>15320181.964078549</v>
      </c>
      <c r="D219" s="191">
        <f t="shared" si="21"/>
        <v>15251894.591772245</v>
      </c>
      <c r="E219" s="191">
        <f t="shared" si="22"/>
        <v>148079.98670254718</v>
      </c>
      <c r="F219" s="191">
        <f t="shared" si="23"/>
        <v>79792.614396243123</v>
      </c>
      <c r="G219" s="191">
        <f t="shared" si="24"/>
        <v>68287.372306304052</v>
      </c>
    </row>
    <row r="220" spans="1:7">
      <c r="A220" s="192">
        <f t="shared" si="26"/>
        <v>213</v>
      </c>
      <c r="B220" s="193">
        <f>B219+31</f>
        <v>3652.9949119369312</v>
      </c>
      <c r="C220" s="191">
        <f t="shared" si="25"/>
        <v>15251894.591772245</v>
      </c>
      <c r="D220" s="191">
        <f t="shared" si="21"/>
        <v>15183251.556068514</v>
      </c>
      <c r="E220" s="191">
        <f t="shared" si="22"/>
        <v>148079.98670254718</v>
      </c>
      <c r="F220" s="191">
        <f t="shared" si="23"/>
        <v>79436.950998815475</v>
      </c>
      <c r="G220" s="191">
        <f t="shared" si="24"/>
        <v>68643.035703731701</v>
      </c>
    </row>
    <row r="221" spans="1:7">
      <c r="A221" s="192">
        <f t="shared" si="26"/>
        <v>214</v>
      </c>
      <c r="B221" s="193">
        <f>B220+30</f>
        <v>3682.9949119369312</v>
      </c>
      <c r="C221" s="191">
        <f t="shared" si="25"/>
        <v>15183251.556068514</v>
      </c>
      <c r="D221" s="191">
        <f t="shared" si="21"/>
        <v>15114251.004553821</v>
      </c>
      <c r="E221" s="191">
        <f t="shared" si="22"/>
        <v>148079.98670254718</v>
      </c>
      <c r="F221" s="191">
        <f t="shared" si="23"/>
        <v>79079.435187854571</v>
      </c>
      <c r="G221" s="191">
        <f t="shared" si="24"/>
        <v>69000.551514692605</v>
      </c>
    </row>
    <row r="222" spans="1:7">
      <c r="A222" s="192">
        <f t="shared" si="26"/>
        <v>215</v>
      </c>
      <c r="B222" s="193">
        <f>B221+31</f>
        <v>3713.9949119369312</v>
      </c>
      <c r="C222" s="191">
        <f t="shared" si="25"/>
        <v>15114251.004553821</v>
      </c>
      <c r="D222" s="191">
        <f t="shared" si="21"/>
        <v>15044891.075166661</v>
      </c>
      <c r="E222" s="191">
        <f t="shared" si="22"/>
        <v>148079.98670254718</v>
      </c>
      <c r="F222" s="191">
        <f t="shared" si="23"/>
        <v>78720.05731538753</v>
      </c>
      <c r="G222" s="191">
        <f t="shared" si="24"/>
        <v>69359.929387159646</v>
      </c>
    </row>
    <row r="223" spans="1:7">
      <c r="A223" s="192">
        <f t="shared" si="26"/>
        <v>216</v>
      </c>
      <c r="B223" s="193">
        <f>B222+31</f>
        <v>3744.9949119369312</v>
      </c>
      <c r="C223" s="191">
        <f t="shared" si="25"/>
        <v>15044891.075166661</v>
      </c>
      <c r="D223" s="191">
        <f t="shared" si="21"/>
        <v>14975169.896147275</v>
      </c>
      <c r="E223" s="191">
        <f t="shared" si="22"/>
        <v>148079.98670254718</v>
      </c>
      <c r="F223" s="191">
        <f t="shared" si="23"/>
        <v>78358.807683161227</v>
      </c>
      <c r="G223" s="191">
        <f t="shared" si="24"/>
        <v>69721.179019385949</v>
      </c>
    </row>
    <row r="224" spans="1:7">
      <c r="A224" s="192">
        <f t="shared" si="26"/>
        <v>217</v>
      </c>
      <c r="B224" s="193">
        <f>B223+30</f>
        <v>3774.9949119369312</v>
      </c>
      <c r="C224" s="191">
        <f t="shared" si="25"/>
        <v>14975169.896147275</v>
      </c>
      <c r="D224" s="191">
        <f t="shared" si="21"/>
        <v>14905085.585987164</v>
      </c>
      <c r="E224" s="191">
        <f t="shared" si="22"/>
        <v>148079.98670254718</v>
      </c>
      <c r="F224" s="191">
        <f t="shared" si="23"/>
        <v>77995.67654243554</v>
      </c>
      <c r="G224" s="191">
        <f t="shared" si="24"/>
        <v>70084.310160111636</v>
      </c>
    </row>
    <row r="225" spans="1:7">
      <c r="A225" s="192">
        <f t="shared" si="26"/>
        <v>218</v>
      </c>
      <c r="B225" s="193">
        <f>B224+31</f>
        <v>3805.9949119369312</v>
      </c>
      <c r="C225" s="191">
        <f t="shared" si="25"/>
        <v>14905085.585987164</v>
      </c>
      <c r="D225" s="191">
        <f t="shared" si="21"/>
        <v>14834636.253378298</v>
      </c>
      <c r="E225" s="191">
        <f t="shared" si="22"/>
        <v>148079.98670254718</v>
      </c>
      <c r="F225" s="191">
        <f t="shared" si="23"/>
        <v>77630.654093681602</v>
      </c>
      <c r="G225" s="191">
        <f t="shared" si="24"/>
        <v>70449.332608865574</v>
      </c>
    </row>
    <row r="226" spans="1:7">
      <c r="A226" s="192">
        <f t="shared" si="26"/>
        <v>219</v>
      </c>
      <c r="B226" s="193">
        <f>B225+30</f>
        <v>3835.9949119369312</v>
      </c>
      <c r="C226" s="191">
        <f t="shared" si="25"/>
        <v>14834636.253378298</v>
      </c>
      <c r="D226" s="191">
        <f t="shared" si="21"/>
        <v>14763819.997162094</v>
      </c>
      <c r="E226" s="191">
        <f t="shared" si="22"/>
        <v>148079.98670254718</v>
      </c>
      <c r="F226" s="191">
        <f t="shared" si="23"/>
        <v>77263.730486343382</v>
      </c>
      <c r="G226" s="191">
        <f t="shared" si="24"/>
        <v>70816.256216203794</v>
      </c>
    </row>
    <row r="227" spans="1:7">
      <c r="A227" s="192">
        <f t="shared" si="26"/>
        <v>220</v>
      </c>
      <c r="B227" s="193">
        <f>B226+31</f>
        <v>3866.9949119369312</v>
      </c>
      <c r="C227" s="191">
        <f t="shared" si="25"/>
        <v>14763819.997162094</v>
      </c>
      <c r="D227" s="191">
        <f t="shared" si="21"/>
        <v>14692634.906278105</v>
      </c>
      <c r="E227" s="191">
        <f t="shared" si="22"/>
        <v>148079.98670254718</v>
      </c>
      <c r="F227" s="191">
        <f t="shared" si="23"/>
        <v>76894.895818558289</v>
      </c>
      <c r="G227" s="191">
        <f t="shared" si="24"/>
        <v>71185.090883988887</v>
      </c>
    </row>
    <row r="228" spans="1:7">
      <c r="A228" s="192">
        <f t="shared" si="26"/>
        <v>221</v>
      </c>
      <c r="B228" s="193">
        <f>B227+31</f>
        <v>3897.9949119369312</v>
      </c>
      <c r="C228" s="191">
        <f t="shared" si="25"/>
        <v>14692634.906278105</v>
      </c>
      <c r="D228" s="191">
        <f t="shared" si="21"/>
        <v>14621079.059712423</v>
      </c>
      <c r="E228" s="191">
        <f t="shared" si="22"/>
        <v>148079.98670254718</v>
      </c>
      <c r="F228" s="191">
        <f t="shared" si="23"/>
        <v>76524.140136864735</v>
      </c>
      <c r="G228" s="191">
        <f t="shared" si="24"/>
        <v>71555.846565682441</v>
      </c>
    </row>
    <row r="229" spans="1:7">
      <c r="A229" s="192">
        <f t="shared" si="26"/>
        <v>222</v>
      </c>
      <c r="B229" s="193">
        <f>B228+29</f>
        <v>3926.9949119369312</v>
      </c>
      <c r="C229" s="191">
        <f t="shared" si="25"/>
        <v>14621079.059712423</v>
      </c>
      <c r="D229" s="191">
        <f t="shared" si="21"/>
        <v>14549150.526445881</v>
      </c>
      <c r="E229" s="191">
        <f t="shared" si="22"/>
        <v>148079.98670254718</v>
      </c>
      <c r="F229" s="191">
        <f t="shared" si="23"/>
        <v>76151.453436004696</v>
      </c>
      <c r="G229" s="191">
        <f t="shared" si="24"/>
        <v>71928.533266542479</v>
      </c>
    </row>
    <row r="230" spans="1:7">
      <c r="A230" s="192">
        <f t="shared" si="26"/>
        <v>223</v>
      </c>
      <c r="B230" s="193">
        <f>B229+31</f>
        <v>3957.9949119369312</v>
      </c>
      <c r="C230" s="191">
        <f t="shared" si="25"/>
        <v>14549150.526445881</v>
      </c>
      <c r="D230" s="191">
        <f t="shared" si="21"/>
        <v>14476847.365401903</v>
      </c>
      <c r="E230" s="191">
        <f t="shared" si="22"/>
        <v>148079.98670254718</v>
      </c>
      <c r="F230" s="191">
        <f t="shared" si="23"/>
        <v>75776.825658569811</v>
      </c>
      <c r="G230" s="191">
        <f t="shared" si="24"/>
        <v>72303.161043977365</v>
      </c>
    </row>
    <row r="231" spans="1:7">
      <c r="A231" s="192">
        <f t="shared" si="26"/>
        <v>224</v>
      </c>
      <c r="B231" s="193">
        <f>B230+30</f>
        <v>3987.9949119369312</v>
      </c>
      <c r="C231" s="191">
        <f t="shared" si="25"/>
        <v>14476847.365401903</v>
      </c>
      <c r="D231" s="191">
        <f t="shared" si="21"/>
        <v>14404167.625394158</v>
      </c>
      <c r="E231" s="191">
        <f t="shared" si="22"/>
        <v>148079.98670254718</v>
      </c>
      <c r="F231" s="191">
        <f t="shared" si="23"/>
        <v>75400.246694802074</v>
      </c>
      <c r="G231" s="191">
        <f t="shared" si="24"/>
        <v>72679.740007745102</v>
      </c>
    </row>
    <row r="232" spans="1:7">
      <c r="A232" s="192">
        <f t="shared" si="26"/>
        <v>225</v>
      </c>
      <c r="B232" s="193">
        <f>B231+31</f>
        <v>4018.9949119369312</v>
      </c>
      <c r="C232" s="191">
        <f t="shared" si="25"/>
        <v>14404167.625394158</v>
      </c>
      <c r="D232" s="191">
        <f t="shared" si="21"/>
        <v>14331109.345073871</v>
      </c>
      <c r="E232" s="191">
        <f t="shared" si="22"/>
        <v>148079.98670254718</v>
      </c>
      <c r="F232" s="191">
        <f t="shared" si="23"/>
        <v>75021.706382260425</v>
      </c>
      <c r="G232" s="191">
        <f t="shared" si="24"/>
        <v>73058.280320286751</v>
      </c>
    </row>
    <row r="233" spans="1:7">
      <c r="A233" s="192">
        <f t="shared" si="26"/>
        <v>226</v>
      </c>
      <c r="B233" s="193">
        <f>B232+30</f>
        <v>4048.9949119369312</v>
      </c>
      <c r="C233" s="191">
        <f t="shared" si="25"/>
        <v>14331109.345073871</v>
      </c>
      <c r="D233" s="191">
        <f t="shared" si="21"/>
        <v>14257670.55287692</v>
      </c>
      <c r="E233" s="191">
        <f t="shared" si="22"/>
        <v>148079.98670254718</v>
      </c>
      <c r="F233" s="191">
        <f t="shared" si="23"/>
        <v>74641.194505595369</v>
      </c>
      <c r="G233" s="191">
        <f t="shared" si="24"/>
        <v>73438.792196951807</v>
      </c>
    </row>
    <row r="234" spans="1:7">
      <c r="A234" s="192">
        <f t="shared" si="26"/>
        <v>227</v>
      </c>
      <c r="B234" s="193">
        <f>B233+31</f>
        <v>4079.9949119369312</v>
      </c>
      <c r="C234" s="191">
        <f t="shared" si="25"/>
        <v>14257670.55287692</v>
      </c>
      <c r="D234" s="191">
        <f t="shared" si="21"/>
        <v>14183849.266970607</v>
      </c>
      <c r="E234" s="191">
        <f t="shared" si="22"/>
        <v>148079.98670254718</v>
      </c>
      <c r="F234" s="191">
        <f t="shared" si="23"/>
        <v>74258.700796234189</v>
      </c>
      <c r="G234" s="191">
        <f t="shared" si="24"/>
        <v>73821.285906312987</v>
      </c>
    </row>
    <row r="235" spans="1:7">
      <c r="A235" s="192">
        <f t="shared" si="26"/>
        <v>228</v>
      </c>
      <c r="B235" s="193">
        <f>B234+31</f>
        <v>4110.9949119369312</v>
      </c>
      <c r="C235" s="191">
        <f t="shared" si="25"/>
        <v>14183849.266970607</v>
      </c>
      <c r="D235" s="191">
        <f t="shared" si="21"/>
        <v>14109643.495200198</v>
      </c>
      <c r="E235" s="191">
        <f t="shared" si="22"/>
        <v>148079.98670254718</v>
      </c>
      <c r="F235" s="191">
        <f t="shared" si="23"/>
        <v>73874.214932138799</v>
      </c>
      <c r="G235" s="191">
        <f t="shared" si="24"/>
        <v>74205.771770408377</v>
      </c>
    </row>
    <row r="236" spans="1:7">
      <c r="A236" s="192">
        <f t="shared" si="26"/>
        <v>229</v>
      </c>
      <c r="B236" s="193">
        <f>B235+30</f>
        <v>4140.9949119369312</v>
      </c>
      <c r="C236" s="191">
        <f t="shared" si="25"/>
        <v>14109643.495200198</v>
      </c>
      <c r="D236" s="191">
        <f t="shared" si="21"/>
        <v>14035051.235035153</v>
      </c>
      <c r="E236" s="191">
        <f t="shared" si="22"/>
        <v>148079.98670254718</v>
      </c>
      <c r="F236" s="191">
        <f t="shared" si="23"/>
        <v>73487.726537502138</v>
      </c>
      <c r="G236" s="191">
        <f t="shared" si="24"/>
        <v>74592.260165045038</v>
      </c>
    </row>
    <row r="237" spans="1:7">
      <c r="A237" s="192">
        <f t="shared" si="26"/>
        <v>230</v>
      </c>
      <c r="B237" s="193">
        <f>B236+31</f>
        <v>4171.9949119369312</v>
      </c>
      <c r="C237" s="191">
        <f t="shared" si="25"/>
        <v>14035051.235035153</v>
      </c>
      <c r="D237" s="191">
        <f t="shared" si="21"/>
        <v>13960070.473515082</v>
      </c>
      <c r="E237" s="191">
        <f t="shared" si="22"/>
        <v>148079.98670254718</v>
      </c>
      <c r="F237" s="191">
        <f t="shared" si="23"/>
        <v>73099.225182476221</v>
      </c>
      <c r="G237" s="191">
        <f t="shared" si="24"/>
        <v>74980.761520070955</v>
      </c>
    </row>
    <row r="238" spans="1:7">
      <c r="A238" s="192">
        <f t="shared" si="26"/>
        <v>231</v>
      </c>
      <c r="B238" s="193">
        <f>B237+30</f>
        <v>4201.9949119369312</v>
      </c>
      <c r="C238" s="191">
        <f t="shared" si="25"/>
        <v>13960070.473515082</v>
      </c>
      <c r="D238" s="191">
        <f t="shared" si="21"/>
        <v>13884699.187195428</v>
      </c>
      <c r="E238" s="191">
        <f t="shared" si="22"/>
        <v>148079.98670254718</v>
      </c>
      <c r="F238" s="191">
        <f t="shared" si="23"/>
        <v>72708.700382892741</v>
      </c>
      <c r="G238" s="191">
        <f t="shared" si="24"/>
        <v>75371.286319654435</v>
      </c>
    </row>
    <row r="239" spans="1:7">
      <c r="A239" s="192">
        <f t="shared" si="26"/>
        <v>232</v>
      </c>
      <c r="B239" s="193">
        <f>B238+31</f>
        <v>4232.9949119369312</v>
      </c>
      <c r="C239" s="191">
        <f t="shared" si="25"/>
        <v>13884699.187195428</v>
      </c>
      <c r="D239" s="191">
        <f t="shared" si="21"/>
        <v>13808935.342092857</v>
      </c>
      <c r="E239" s="191">
        <f t="shared" si="22"/>
        <v>148079.98670254718</v>
      </c>
      <c r="F239" s="191">
        <f t="shared" si="23"/>
        <v>72316.141599976225</v>
      </c>
      <c r="G239" s="191">
        <f t="shared" si="24"/>
        <v>75763.845102570951</v>
      </c>
    </row>
    <row r="240" spans="1:7">
      <c r="A240" s="192">
        <f t="shared" si="26"/>
        <v>233</v>
      </c>
      <c r="B240" s="193">
        <f>B239+31</f>
        <v>4263.9949119369312</v>
      </c>
      <c r="C240" s="191">
        <f t="shared" si="25"/>
        <v>13808935.342092857</v>
      </c>
      <c r="D240" s="191">
        <f t="shared" si="21"/>
        <v>13732776.893630378</v>
      </c>
      <c r="E240" s="191">
        <f t="shared" si="22"/>
        <v>148079.98670254718</v>
      </c>
      <c r="F240" s="191">
        <f t="shared" si="23"/>
        <v>71921.538240068359</v>
      </c>
      <c r="G240" s="191">
        <f t="shared" si="24"/>
        <v>76158.448462478817</v>
      </c>
    </row>
    <row r="241" spans="1:7">
      <c r="A241" s="192">
        <f t="shared" si="26"/>
        <v>234</v>
      </c>
      <c r="B241" s="193">
        <f>B240+28</f>
        <v>4291.9949119369312</v>
      </c>
      <c r="C241" s="191">
        <f t="shared" si="25"/>
        <v>13732776.893630378</v>
      </c>
      <c r="D241" s="191">
        <f t="shared" si="21"/>
        <v>13656221.786582159</v>
      </c>
      <c r="E241" s="191">
        <f t="shared" si="22"/>
        <v>148079.98670254718</v>
      </c>
      <c r="F241" s="191">
        <f t="shared" si="23"/>
        <v>71524.879654328106</v>
      </c>
      <c r="G241" s="191">
        <f t="shared" si="24"/>
        <v>76555.10704821907</v>
      </c>
    </row>
    <row r="242" spans="1:7">
      <c r="A242" s="192">
        <f t="shared" si="26"/>
        <v>235</v>
      </c>
      <c r="B242" s="193">
        <f>B241+31</f>
        <v>4322.9949119369312</v>
      </c>
      <c r="C242" s="191">
        <f t="shared" si="25"/>
        <v>13656221.786582159</v>
      </c>
      <c r="D242" s="191">
        <f t="shared" si="21"/>
        <v>13579267.955018058</v>
      </c>
      <c r="E242" s="191">
        <f t="shared" si="22"/>
        <v>148079.98670254718</v>
      </c>
      <c r="F242" s="191">
        <f t="shared" si="23"/>
        <v>71126.155138446717</v>
      </c>
      <c r="G242" s="191">
        <f t="shared" si="24"/>
        <v>76953.831564100459</v>
      </c>
    </row>
    <row r="243" spans="1:7">
      <c r="A243" s="192">
        <f t="shared" si="26"/>
        <v>236</v>
      </c>
      <c r="B243" s="193">
        <f>B242+30</f>
        <v>4352.9949119369312</v>
      </c>
      <c r="C243" s="191">
        <f t="shared" si="25"/>
        <v>13579267.955018058</v>
      </c>
      <c r="D243" s="191">
        <f t="shared" si="21"/>
        <v>13501913.322247898</v>
      </c>
      <c r="E243" s="191">
        <f t="shared" si="22"/>
        <v>148079.98670254718</v>
      </c>
      <c r="F243" s="191">
        <f t="shared" si="23"/>
        <v>70725.353932386963</v>
      </c>
      <c r="G243" s="191">
        <f t="shared" si="24"/>
        <v>77354.632770160213</v>
      </c>
    </row>
    <row r="244" spans="1:7">
      <c r="A244" s="192">
        <f t="shared" si="26"/>
        <v>237</v>
      </c>
      <c r="B244" s="193">
        <f>B243+31</f>
        <v>4383.9949119369312</v>
      </c>
      <c r="C244" s="191">
        <f t="shared" si="25"/>
        <v>13501913.322247898</v>
      </c>
      <c r="D244" s="191">
        <f t="shared" si="21"/>
        <v>13424155.80076539</v>
      </c>
      <c r="E244" s="191">
        <f t="shared" si="22"/>
        <v>148079.98670254718</v>
      </c>
      <c r="F244" s="191">
        <f t="shared" si="23"/>
        <v>70322.465220038546</v>
      </c>
      <c r="G244" s="191">
        <f t="shared" si="24"/>
        <v>77757.52148250863</v>
      </c>
    </row>
    <row r="245" spans="1:7">
      <c r="A245" s="192">
        <f t="shared" si="26"/>
        <v>238</v>
      </c>
      <c r="B245" s="193">
        <f>B244+30</f>
        <v>4413.9949119369312</v>
      </c>
      <c r="C245" s="191">
        <f t="shared" si="25"/>
        <v>13424155.80076539</v>
      </c>
      <c r="D245" s="191">
        <f t="shared" si="21"/>
        <v>13345993.292191831</v>
      </c>
      <c r="E245" s="191">
        <f t="shared" si="22"/>
        <v>148079.98670254718</v>
      </c>
      <c r="F245" s="191">
        <f t="shared" si="23"/>
        <v>69917.478128988994</v>
      </c>
      <c r="G245" s="191">
        <f t="shared" si="24"/>
        <v>78162.508573558182</v>
      </c>
    </row>
    <row r="246" spans="1:7">
      <c r="A246" s="192">
        <f t="shared" si="26"/>
        <v>239</v>
      </c>
      <c r="B246" s="193">
        <f>B245+31</f>
        <v>4444.9949119369312</v>
      </c>
      <c r="C246" s="191">
        <f t="shared" si="25"/>
        <v>13345993.292191831</v>
      </c>
      <c r="D246" s="191">
        <f t="shared" si="21"/>
        <v>13267423.68721945</v>
      </c>
      <c r="E246" s="191">
        <f t="shared" si="22"/>
        <v>148079.98670254718</v>
      </c>
      <c r="F246" s="191">
        <f t="shared" si="23"/>
        <v>69510.381730166031</v>
      </c>
      <c r="G246" s="191">
        <f t="shared" si="24"/>
        <v>78569.604972381145</v>
      </c>
    </row>
    <row r="247" spans="1:7">
      <c r="A247" s="192">
        <f t="shared" si="26"/>
        <v>240</v>
      </c>
      <c r="B247" s="193">
        <f>B246+31</f>
        <v>4475.9949119369312</v>
      </c>
      <c r="C247" s="191">
        <f t="shared" si="25"/>
        <v>13267423.68721945</v>
      </c>
      <c r="D247" s="191">
        <f t="shared" si="21"/>
        <v>13188444.865554506</v>
      </c>
      <c r="E247" s="191">
        <f t="shared" si="22"/>
        <v>148079.98670254718</v>
      </c>
      <c r="F247" s="191">
        <f t="shared" si="23"/>
        <v>69101.165037602885</v>
      </c>
      <c r="G247" s="191">
        <f t="shared" si="24"/>
        <v>78978.821664944291</v>
      </c>
    </row>
    <row r="248" spans="1:7">
      <c r="A248" s="192">
        <f t="shared" si="26"/>
        <v>241</v>
      </c>
      <c r="B248" s="193">
        <f>B247+30</f>
        <v>4505.9949119369312</v>
      </c>
      <c r="C248" s="191">
        <f t="shared" si="25"/>
        <v>13188444.865554506</v>
      </c>
      <c r="D248" s="191">
        <f t="shared" si="21"/>
        <v>13109054.695860056</v>
      </c>
      <c r="E248" s="191">
        <f t="shared" si="22"/>
        <v>148079.98670254718</v>
      </c>
      <c r="F248" s="191">
        <f t="shared" si="23"/>
        <v>68689.817008097423</v>
      </c>
      <c r="G248" s="191">
        <f t="shared" si="24"/>
        <v>79390.169694449753</v>
      </c>
    </row>
    <row r="249" spans="1:7">
      <c r="A249" s="192">
        <f t="shared" si="26"/>
        <v>242</v>
      </c>
      <c r="B249" s="193">
        <f>B248+31</f>
        <v>4536.9949119369312</v>
      </c>
      <c r="C249" s="191">
        <f t="shared" si="25"/>
        <v>13109054.695860056</v>
      </c>
      <c r="D249" s="191">
        <f t="shared" si="21"/>
        <v>13029251.035698447</v>
      </c>
      <c r="E249" s="191">
        <f t="shared" si="22"/>
        <v>148079.98670254718</v>
      </c>
      <c r="F249" s="191">
        <f t="shared" si="23"/>
        <v>68276.326540938346</v>
      </c>
      <c r="G249" s="191">
        <f t="shared" si="24"/>
        <v>79803.66016160883</v>
      </c>
    </row>
    <row r="250" spans="1:7">
      <c r="A250" s="192">
        <f t="shared" si="26"/>
        <v>243</v>
      </c>
      <c r="B250" s="193">
        <f>B249+30</f>
        <v>4566.9949119369312</v>
      </c>
      <c r="C250" s="191">
        <f t="shared" si="25"/>
        <v>13029251.035698447</v>
      </c>
      <c r="D250" s="191">
        <f t="shared" si="21"/>
        <v>12949031.731473494</v>
      </c>
      <c r="E250" s="191">
        <f t="shared" si="22"/>
        <v>148079.98670254718</v>
      </c>
      <c r="F250" s="191">
        <f t="shared" si="23"/>
        <v>67860.68247759412</v>
      </c>
      <c r="G250" s="191">
        <f t="shared" si="24"/>
        <v>80219.304224953055</v>
      </c>
    </row>
    <row r="251" spans="1:7">
      <c r="A251" s="192">
        <f t="shared" si="26"/>
        <v>244</v>
      </c>
      <c r="B251" s="193">
        <f>B250+31</f>
        <v>4597.9949119369312</v>
      </c>
      <c r="C251" s="191">
        <f t="shared" si="25"/>
        <v>12949031.731473494</v>
      </c>
      <c r="D251" s="191">
        <f t="shared" si="21"/>
        <v>12868394.618372377</v>
      </c>
      <c r="E251" s="191">
        <f t="shared" si="22"/>
        <v>148079.98670254718</v>
      </c>
      <c r="F251" s="191">
        <f t="shared" si="23"/>
        <v>67442.873601429863</v>
      </c>
      <c r="G251" s="191">
        <f t="shared" si="24"/>
        <v>80637.113101117313</v>
      </c>
    </row>
    <row r="252" spans="1:7">
      <c r="A252" s="192">
        <f t="shared" si="26"/>
        <v>245</v>
      </c>
      <c r="B252" s="193">
        <f>B251+31</f>
        <v>4628.9949119369312</v>
      </c>
      <c r="C252" s="191">
        <f t="shared" si="25"/>
        <v>12868394.618372377</v>
      </c>
      <c r="D252" s="191">
        <f t="shared" si="21"/>
        <v>12787337.520307181</v>
      </c>
      <c r="E252" s="191">
        <f t="shared" si="22"/>
        <v>148079.98670254718</v>
      </c>
      <c r="F252" s="191">
        <f t="shared" si="23"/>
        <v>67022.888637351571</v>
      </c>
      <c r="G252" s="191">
        <f t="shared" si="24"/>
        <v>81057.098065195605</v>
      </c>
    </row>
    <row r="253" spans="1:7">
      <c r="A253" s="192">
        <f t="shared" si="26"/>
        <v>246</v>
      </c>
      <c r="B253" s="193">
        <f>B252+28</f>
        <v>4656.9949119369312</v>
      </c>
      <c r="C253" s="191">
        <f t="shared" si="25"/>
        <v>12787337.520307181</v>
      </c>
      <c r="D253" s="191">
        <f t="shared" si="21"/>
        <v>12705858.249856239</v>
      </c>
      <c r="E253" s="191">
        <f t="shared" si="22"/>
        <v>148079.98670254718</v>
      </c>
      <c r="F253" s="191">
        <f t="shared" si="23"/>
        <v>66600.716251604958</v>
      </c>
      <c r="G253" s="191">
        <f t="shared" si="24"/>
        <v>81479.270450942218</v>
      </c>
    </row>
    <row r="254" spans="1:7">
      <c r="A254" s="192">
        <f t="shared" si="26"/>
        <v>247</v>
      </c>
      <c r="B254" s="193">
        <f>B253+31</f>
        <v>4687.9949119369312</v>
      </c>
      <c r="C254" s="191">
        <f t="shared" si="25"/>
        <v>12705858.249856239</v>
      </c>
      <c r="D254" s="191">
        <f t="shared" si="21"/>
        <v>12623954.608205026</v>
      </c>
      <c r="E254" s="191">
        <f t="shared" si="22"/>
        <v>148079.98670254718</v>
      </c>
      <c r="F254" s="191">
        <f t="shared" si="23"/>
        <v>66176.345051334007</v>
      </c>
      <c r="G254" s="191">
        <f t="shared" si="24"/>
        <v>81903.641651213169</v>
      </c>
    </row>
    <row r="255" spans="1:7">
      <c r="A255" s="192">
        <f t="shared" si="26"/>
        <v>248</v>
      </c>
      <c r="B255" s="193">
        <f>B254+30</f>
        <v>4717.9949119369312</v>
      </c>
      <c r="C255" s="191">
        <f t="shared" si="25"/>
        <v>12623954.608205026</v>
      </c>
      <c r="D255" s="191">
        <f t="shared" si="21"/>
        <v>12541624.385086881</v>
      </c>
      <c r="E255" s="191">
        <f t="shared" si="22"/>
        <v>148079.98670254718</v>
      </c>
      <c r="F255" s="191">
        <f t="shared" si="23"/>
        <v>65749.763584402157</v>
      </c>
      <c r="G255" s="191">
        <f t="shared" si="24"/>
        <v>82330.223118145019</v>
      </c>
    </row>
    <row r="256" spans="1:7">
      <c r="A256" s="192">
        <f t="shared" si="26"/>
        <v>249</v>
      </c>
      <c r="B256" s="193">
        <f>B255+31</f>
        <v>4748.9949119369312</v>
      </c>
      <c r="C256" s="191">
        <f t="shared" si="25"/>
        <v>12541624.385086881</v>
      </c>
      <c r="D256" s="191">
        <f t="shared" si="21"/>
        <v>12458865.358723331</v>
      </c>
      <c r="E256" s="191">
        <f t="shared" si="22"/>
        <v>148079.98670254718</v>
      </c>
      <c r="F256" s="191">
        <f t="shared" si="23"/>
        <v>65320.960338997422</v>
      </c>
      <c r="G256" s="191">
        <f t="shared" si="24"/>
        <v>82759.026363549754</v>
      </c>
    </row>
    <row r="257" spans="1:7">
      <c r="A257" s="192">
        <f t="shared" si="26"/>
        <v>250</v>
      </c>
      <c r="B257" s="193">
        <f>B256+30</f>
        <v>4778.9949119369312</v>
      </c>
      <c r="C257" s="191">
        <f t="shared" si="25"/>
        <v>12458865.358723331</v>
      </c>
      <c r="D257" s="191">
        <f t="shared" si="21"/>
        <v>12375675.295764135</v>
      </c>
      <c r="E257" s="191">
        <f t="shared" si="22"/>
        <v>148079.98670254718</v>
      </c>
      <c r="F257" s="191">
        <f t="shared" si="23"/>
        <v>64889.92374335113</v>
      </c>
      <c r="G257" s="191">
        <f t="shared" si="24"/>
        <v>83190.062959196046</v>
      </c>
    </row>
    <row r="258" spans="1:7">
      <c r="A258" s="192">
        <f t="shared" si="26"/>
        <v>251</v>
      </c>
      <c r="B258" s="193">
        <f>B257+31</f>
        <v>4809.9949119369312</v>
      </c>
      <c r="C258" s="191">
        <f t="shared" si="25"/>
        <v>12375675.295764135</v>
      </c>
      <c r="D258" s="191">
        <f t="shared" si="21"/>
        <v>12292051.951227024</v>
      </c>
      <c r="E258" s="191">
        <f t="shared" si="22"/>
        <v>148079.98670254718</v>
      </c>
      <c r="F258" s="191">
        <f t="shared" si="23"/>
        <v>64456.642165436177</v>
      </c>
      <c r="G258" s="191">
        <f t="shared" si="24"/>
        <v>83623.344537110999</v>
      </c>
    </row>
    <row r="259" spans="1:7">
      <c r="A259" s="192">
        <f t="shared" si="26"/>
        <v>252</v>
      </c>
      <c r="B259" s="193">
        <f>B258+31</f>
        <v>4840.9949119369312</v>
      </c>
      <c r="C259" s="191">
        <f t="shared" si="25"/>
        <v>12292051.951227024</v>
      </c>
      <c r="D259" s="191">
        <f t="shared" si="21"/>
        <v>12207993.068437122</v>
      </c>
      <c r="E259" s="191">
        <f t="shared" si="22"/>
        <v>148079.98670254718</v>
      </c>
      <c r="F259" s="191">
        <f t="shared" si="23"/>
        <v>64021.103912644787</v>
      </c>
      <c r="G259" s="191">
        <f t="shared" si="24"/>
        <v>84058.882789902389</v>
      </c>
    </row>
    <row r="260" spans="1:7">
      <c r="A260" s="192">
        <f t="shared" si="26"/>
        <v>253</v>
      </c>
      <c r="B260" s="193">
        <f>B259+30</f>
        <v>4870.9949119369312</v>
      </c>
      <c r="C260" s="191">
        <f t="shared" si="25"/>
        <v>12207993.068437122</v>
      </c>
      <c r="D260" s="191">
        <f t="shared" si="21"/>
        <v>12123496.378966015</v>
      </c>
      <c r="E260" s="191">
        <f t="shared" si="22"/>
        <v>148079.98670254718</v>
      </c>
      <c r="F260" s="191">
        <f t="shared" si="23"/>
        <v>63583.2972314402</v>
      </c>
      <c r="G260" s="191">
        <f t="shared" si="24"/>
        <v>84496.689471106976</v>
      </c>
    </row>
    <row r="261" spans="1:7">
      <c r="A261" s="192">
        <f t="shared" si="26"/>
        <v>254</v>
      </c>
      <c r="B261" s="193">
        <f>B260+31</f>
        <v>4901.9949119369312</v>
      </c>
      <c r="C261" s="191">
        <f t="shared" si="25"/>
        <v>12123496.378966015</v>
      </c>
      <c r="D261" s="191">
        <f t="shared" si="21"/>
        <v>12038559.60257059</v>
      </c>
      <c r="E261" s="191">
        <f t="shared" si="22"/>
        <v>148079.98670254718</v>
      </c>
      <c r="F261" s="191">
        <f t="shared" si="23"/>
        <v>63143.210307121975</v>
      </c>
      <c r="G261" s="191">
        <f t="shared" si="24"/>
        <v>84936.7763954252</v>
      </c>
    </row>
    <row r="262" spans="1:7">
      <c r="A262" s="192">
        <f t="shared" si="26"/>
        <v>255</v>
      </c>
      <c r="B262" s="193">
        <f>B261+30</f>
        <v>4931.9949119369312</v>
      </c>
      <c r="C262" s="191">
        <f t="shared" si="25"/>
        <v>12038559.60257059</v>
      </c>
      <c r="D262" s="191">
        <f t="shared" si="21"/>
        <v>11953180.447131427</v>
      </c>
      <c r="E262" s="191">
        <f t="shared" si="22"/>
        <v>148079.98670254718</v>
      </c>
      <c r="F262" s="191">
        <f t="shared" si="23"/>
        <v>62700.831263384549</v>
      </c>
      <c r="G262" s="191">
        <f t="shared" si="24"/>
        <v>85379.155439162627</v>
      </c>
    </row>
    <row r="263" spans="1:7">
      <c r="A263" s="192">
        <f t="shared" si="26"/>
        <v>256</v>
      </c>
      <c r="B263" s="193">
        <f>B262+31</f>
        <v>4962.9949119369312</v>
      </c>
      <c r="C263" s="191">
        <f t="shared" si="25"/>
        <v>11953180.447131427</v>
      </c>
      <c r="D263" s="191">
        <f t="shared" si="21"/>
        <v>11867356.608591024</v>
      </c>
      <c r="E263" s="191">
        <f t="shared" si="22"/>
        <v>148079.98670254718</v>
      </c>
      <c r="F263" s="191">
        <f t="shared" si="23"/>
        <v>62256.148162144003</v>
      </c>
      <c r="G263" s="191">
        <f t="shared" si="24"/>
        <v>85823.838540403172</v>
      </c>
    </row>
    <row r="264" spans="1:7">
      <c r="A264" s="192">
        <f t="shared" si="26"/>
        <v>257</v>
      </c>
      <c r="B264" s="193">
        <f>B263+31</f>
        <v>4993.9949119369312</v>
      </c>
      <c r="C264" s="191">
        <f t="shared" si="25"/>
        <v>11867356.608591024</v>
      </c>
      <c r="D264" s="191">
        <f t="shared" ref="D264:D327" si="27">PV($D$3/12,($D$4-A264),-$D$5)</f>
        <v>11781085.770891557</v>
      </c>
      <c r="E264" s="191">
        <f t="shared" ref="E264:E327" si="28">IF(C264=0,0,$D$5)</f>
        <v>148079.98670254718</v>
      </c>
      <c r="F264" s="191">
        <f t="shared" ref="F264:F327" si="29">E264-(C264-D264)</f>
        <v>61809.14900307986</v>
      </c>
      <c r="G264" s="191">
        <f t="shared" ref="G264:G327" si="30">E264-F264</f>
        <v>86270.837699467316</v>
      </c>
    </row>
    <row r="265" spans="1:7">
      <c r="A265" s="192">
        <f t="shared" si="26"/>
        <v>258</v>
      </c>
      <c r="B265" s="193">
        <f>B264+28</f>
        <v>5021.9949119369312</v>
      </c>
      <c r="C265" s="191">
        <f t="shared" ref="C265:C328" si="31">D264</f>
        <v>11781085.770891557</v>
      </c>
      <c r="D265" s="191">
        <f t="shared" si="27"/>
        <v>11694365.605912402</v>
      </c>
      <c r="E265" s="191">
        <f t="shared" si="28"/>
        <v>148079.98670254718</v>
      </c>
      <c r="F265" s="191">
        <f t="shared" si="29"/>
        <v>61359.821723392932</v>
      </c>
      <c r="G265" s="191">
        <f t="shared" si="30"/>
        <v>86720.164979154244</v>
      </c>
    </row>
    <row r="266" spans="1:7">
      <c r="A266" s="192">
        <f t="shared" si="26"/>
        <v>259</v>
      </c>
      <c r="B266" s="193">
        <f>B265+31</f>
        <v>5052.9949119369312</v>
      </c>
      <c r="C266" s="191">
        <f t="shared" si="31"/>
        <v>11694365.605912402</v>
      </c>
      <c r="D266" s="191">
        <f t="shared" si="27"/>
        <v>11607193.773407316</v>
      </c>
      <c r="E266" s="191">
        <f t="shared" si="28"/>
        <v>148079.98670254718</v>
      </c>
      <c r="F266" s="191">
        <f t="shared" si="29"/>
        <v>60908.154197460739</v>
      </c>
      <c r="G266" s="191">
        <f t="shared" si="30"/>
        <v>87171.832505086437</v>
      </c>
    </row>
    <row r="267" spans="1:7">
      <c r="A267" s="192">
        <f t="shared" si="26"/>
        <v>260</v>
      </c>
      <c r="B267" s="193">
        <f>B266+30</f>
        <v>5082.9949119369312</v>
      </c>
      <c r="C267" s="191">
        <f t="shared" si="31"/>
        <v>11607193.773407316</v>
      </c>
      <c r="D267" s="191">
        <f t="shared" si="27"/>
        <v>11519567.920941267</v>
      </c>
      <c r="E267" s="191">
        <f t="shared" si="28"/>
        <v>148079.98670254718</v>
      </c>
      <c r="F267" s="191">
        <f t="shared" si="29"/>
        <v>60454.134236498503</v>
      </c>
      <c r="G267" s="191">
        <f t="shared" si="30"/>
        <v>87625.852466048673</v>
      </c>
    </row>
    <row r="268" spans="1:7">
      <c r="A268" s="192">
        <f t="shared" si="26"/>
        <v>261</v>
      </c>
      <c r="B268" s="193">
        <f>B267+31</f>
        <v>5113.9949119369312</v>
      </c>
      <c r="C268" s="191">
        <f t="shared" si="31"/>
        <v>11519567.920941267</v>
      </c>
      <c r="D268" s="191">
        <f t="shared" si="27"/>
        <v>11431485.683826955</v>
      </c>
      <c r="E268" s="191">
        <f t="shared" si="28"/>
        <v>148079.98670254718</v>
      </c>
      <c r="F268" s="191">
        <f t="shared" si="29"/>
        <v>59997.749588235049</v>
      </c>
      <c r="G268" s="191">
        <f t="shared" si="30"/>
        <v>88082.237114312127</v>
      </c>
    </row>
    <row r="269" spans="1:7">
      <c r="A269" s="192">
        <f t="shared" si="26"/>
        <v>262</v>
      </c>
      <c r="B269" s="193">
        <f>B268+30</f>
        <v>5143.9949119369312</v>
      </c>
      <c r="C269" s="191">
        <f t="shared" si="31"/>
        <v>11431485.683826955</v>
      </c>
      <c r="D269" s="191">
        <f t="shared" si="27"/>
        <v>11342944.68506101</v>
      </c>
      <c r="E269" s="191">
        <f t="shared" si="28"/>
        <v>148079.98670254718</v>
      </c>
      <c r="F269" s="191">
        <f t="shared" si="29"/>
        <v>59538.987936601741</v>
      </c>
      <c r="G269" s="191">
        <f t="shared" si="30"/>
        <v>88540.998765945435</v>
      </c>
    </row>
    <row r="270" spans="1:7">
      <c r="A270" s="192">
        <f t="shared" si="26"/>
        <v>263</v>
      </c>
      <c r="B270" s="193">
        <f>B269+31</f>
        <v>5174.9949119369312</v>
      </c>
      <c r="C270" s="191">
        <f t="shared" si="31"/>
        <v>11342944.68506101</v>
      </c>
      <c r="D270" s="191">
        <f t="shared" si="27"/>
        <v>11253942.535259821</v>
      </c>
      <c r="E270" s="191">
        <f t="shared" si="28"/>
        <v>148079.98670254718</v>
      </c>
      <c r="F270" s="191">
        <f t="shared" si="29"/>
        <v>59077.836901358096</v>
      </c>
      <c r="G270" s="191">
        <f t="shared" si="30"/>
        <v>89002.14980118908</v>
      </c>
    </row>
    <row r="271" spans="1:7">
      <c r="A271" s="192">
        <f t="shared" si="26"/>
        <v>264</v>
      </c>
      <c r="B271" s="193">
        <f>B270+31</f>
        <v>5205.9949119369312</v>
      </c>
      <c r="C271" s="191">
        <f t="shared" si="31"/>
        <v>11253942.535259821</v>
      </c>
      <c r="D271" s="191">
        <f t="shared" si="27"/>
        <v>11164476.832595088</v>
      </c>
      <c r="E271" s="191">
        <f t="shared" si="28"/>
        <v>148079.98670254718</v>
      </c>
      <c r="F271" s="191">
        <f t="shared" si="29"/>
        <v>58614.284037814243</v>
      </c>
      <c r="G271" s="191">
        <f t="shared" si="30"/>
        <v>89465.702664732933</v>
      </c>
    </row>
    <row r="272" spans="1:7">
      <c r="A272" s="192">
        <f t="shared" si="26"/>
        <v>265</v>
      </c>
      <c r="B272" s="193">
        <f>B271+30</f>
        <v>5235.9949119369312</v>
      </c>
      <c r="C272" s="191">
        <f t="shared" si="31"/>
        <v>11164476.832595088</v>
      </c>
      <c r="D272" s="191">
        <f t="shared" si="27"/>
        <v>11074545.162728973</v>
      </c>
      <c r="E272" s="191">
        <f t="shared" si="28"/>
        <v>148079.98670254718</v>
      </c>
      <c r="F272" s="191">
        <f t="shared" si="29"/>
        <v>58148.316836432321</v>
      </c>
      <c r="G272" s="191">
        <f t="shared" si="30"/>
        <v>89931.669866114855</v>
      </c>
    </row>
    <row r="273" spans="1:7">
      <c r="A273" s="192">
        <f t="shared" ref="A273:A336" si="32">A272+1</f>
        <v>266</v>
      </c>
      <c r="B273" s="193">
        <f>B272+31</f>
        <v>5266.9949119369312</v>
      </c>
      <c r="C273" s="191">
        <f t="shared" si="31"/>
        <v>11074545.162728973</v>
      </c>
      <c r="D273" s="191">
        <f t="shared" si="27"/>
        <v>10984145.098748971</v>
      </c>
      <c r="E273" s="191">
        <f t="shared" si="28"/>
        <v>148079.98670254718</v>
      </c>
      <c r="F273" s="191">
        <f t="shared" si="29"/>
        <v>57679.92272254522</v>
      </c>
      <c r="G273" s="191">
        <f t="shared" si="30"/>
        <v>90400.063980001956</v>
      </c>
    </row>
    <row r="274" spans="1:7">
      <c r="A274" s="192">
        <f t="shared" si="32"/>
        <v>267</v>
      </c>
      <c r="B274" s="193">
        <f>B273+30</f>
        <v>5296.9949119369312</v>
      </c>
      <c r="C274" s="191">
        <f t="shared" si="31"/>
        <v>10984145.098748971</v>
      </c>
      <c r="D274" s="191">
        <f t="shared" si="27"/>
        <v>10893274.20110241</v>
      </c>
      <c r="E274" s="191">
        <f t="shared" si="28"/>
        <v>148079.98670254718</v>
      </c>
      <c r="F274" s="191">
        <f t="shared" si="29"/>
        <v>57209.089055985911</v>
      </c>
      <c r="G274" s="191">
        <f t="shared" si="30"/>
        <v>90870.897646561265</v>
      </c>
    </row>
    <row r="275" spans="1:7">
      <c r="A275" s="192">
        <f t="shared" si="32"/>
        <v>268</v>
      </c>
      <c r="B275" s="193">
        <f>B274+31</f>
        <v>5327.9949119369312</v>
      </c>
      <c r="C275" s="191">
        <f t="shared" si="31"/>
        <v>10893274.20110241</v>
      </c>
      <c r="D275" s="191">
        <f t="shared" si="27"/>
        <v>10801930.017530607</v>
      </c>
      <c r="E275" s="191">
        <f t="shared" si="28"/>
        <v>148079.98670254718</v>
      </c>
      <c r="F275" s="191">
        <f t="shared" si="29"/>
        <v>56735.803130744724</v>
      </c>
      <c r="G275" s="191">
        <f t="shared" si="30"/>
        <v>91344.183571802452</v>
      </c>
    </row>
    <row r="276" spans="1:7">
      <c r="A276" s="192">
        <f t="shared" si="32"/>
        <v>269</v>
      </c>
      <c r="B276" s="193">
        <f>B275+31</f>
        <v>5358.9949119369312</v>
      </c>
      <c r="C276" s="191">
        <f t="shared" si="31"/>
        <v>10801930.017530607</v>
      </c>
      <c r="D276" s="191">
        <f t="shared" si="27"/>
        <v>10710110.083002696</v>
      </c>
      <c r="E276" s="191">
        <f t="shared" si="28"/>
        <v>148079.98670254718</v>
      </c>
      <c r="F276" s="191">
        <f t="shared" si="29"/>
        <v>56260.05217463593</v>
      </c>
      <c r="G276" s="191">
        <f t="shared" si="30"/>
        <v>91819.934527911246</v>
      </c>
    </row>
    <row r="277" spans="1:7">
      <c r="A277" s="192">
        <f t="shared" si="32"/>
        <v>270</v>
      </c>
      <c r="B277" s="193">
        <f>B276+29</f>
        <v>5387.9949119369312</v>
      </c>
      <c r="C277" s="191">
        <f t="shared" si="31"/>
        <v>10710110.083002696</v>
      </c>
      <c r="D277" s="191">
        <f t="shared" si="27"/>
        <v>10617811.919649124</v>
      </c>
      <c r="E277" s="191">
        <f t="shared" si="28"/>
        <v>148079.98670254718</v>
      </c>
      <c r="F277" s="191">
        <f t="shared" si="29"/>
        <v>55781.823348975508</v>
      </c>
      <c r="G277" s="191">
        <f t="shared" si="30"/>
        <v>92298.163353571668</v>
      </c>
    </row>
    <row r="278" spans="1:7">
      <c r="A278" s="192">
        <f t="shared" si="32"/>
        <v>271</v>
      </c>
      <c r="B278" s="193">
        <f>B277+31</f>
        <v>5418.9949119369312</v>
      </c>
      <c r="C278" s="191">
        <f t="shared" si="31"/>
        <v>10617811.919649124</v>
      </c>
      <c r="D278" s="191">
        <f t="shared" si="27"/>
        <v>10525033.03669475</v>
      </c>
      <c r="E278" s="191">
        <f t="shared" si="28"/>
        <v>148079.98670254718</v>
      </c>
      <c r="F278" s="191">
        <f t="shared" si="29"/>
        <v>55301.10374817322</v>
      </c>
      <c r="G278" s="191">
        <f t="shared" si="30"/>
        <v>92778.882954373956</v>
      </c>
    </row>
    <row r="279" spans="1:7">
      <c r="A279" s="192">
        <f t="shared" si="32"/>
        <v>272</v>
      </c>
      <c r="B279" s="193">
        <f>B278+30</f>
        <v>5448.9949119369312</v>
      </c>
      <c r="C279" s="191">
        <f t="shared" si="31"/>
        <v>10525033.03669475</v>
      </c>
      <c r="D279" s="191">
        <f t="shared" si="27"/>
        <v>10431770.930391654</v>
      </c>
      <c r="E279" s="191">
        <f t="shared" si="28"/>
        <v>148079.98670254718</v>
      </c>
      <c r="F279" s="191">
        <f t="shared" si="29"/>
        <v>54817.880399451358</v>
      </c>
      <c r="G279" s="191">
        <f t="shared" si="30"/>
        <v>93262.106303095818</v>
      </c>
    </row>
    <row r="280" spans="1:7">
      <c r="A280" s="192">
        <f t="shared" si="32"/>
        <v>273</v>
      </c>
      <c r="B280" s="193">
        <f>B279+31</f>
        <v>5479.9949119369312</v>
      </c>
      <c r="C280" s="191">
        <f t="shared" si="31"/>
        <v>10431770.930391654</v>
      </c>
      <c r="D280" s="191">
        <f t="shared" si="27"/>
        <v>10338023.083951568</v>
      </c>
      <c r="E280" s="191">
        <f t="shared" si="28"/>
        <v>148079.98670254718</v>
      </c>
      <c r="F280" s="191">
        <f t="shared" si="29"/>
        <v>54332.140262461035</v>
      </c>
      <c r="G280" s="191">
        <f t="shared" si="30"/>
        <v>93747.846440086141</v>
      </c>
    </row>
    <row r="281" spans="1:7">
      <c r="A281" s="192">
        <f t="shared" si="32"/>
        <v>274</v>
      </c>
      <c r="B281" s="193">
        <f>B280+30</f>
        <v>5509.9949119369312</v>
      </c>
      <c r="C281" s="191">
        <f t="shared" si="31"/>
        <v>10338023.083951568</v>
      </c>
      <c r="D281" s="191">
        <f t="shared" si="27"/>
        <v>10243786.967477936</v>
      </c>
      <c r="E281" s="191">
        <f t="shared" si="28"/>
        <v>148079.98670254718</v>
      </c>
      <c r="F281" s="191">
        <f t="shared" si="29"/>
        <v>53843.870228915242</v>
      </c>
      <c r="G281" s="191">
        <f t="shared" si="30"/>
        <v>94236.116473631933</v>
      </c>
    </row>
    <row r="282" spans="1:7">
      <c r="A282" s="192">
        <f t="shared" si="32"/>
        <v>275</v>
      </c>
      <c r="B282" s="193">
        <f>B281+31</f>
        <v>5540.9949119369312</v>
      </c>
      <c r="C282" s="191">
        <f t="shared" si="31"/>
        <v>10243786.967477936</v>
      </c>
      <c r="D282" s="191">
        <f t="shared" si="27"/>
        <v>10149060.037897667</v>
      </c>
      <c r="E282" s="191">
        <f t="shared" si="28"/>
        <v>148079.98670254718</v>
      </c>
      <c r="F282" s="191">
        <f t="shared" si="29"/>
        <v>53353.057122277794</v>
      </c>
      <c r="G282" s="191">
        <f t="shared" si="30"/>
        <v>94726.929580269381</v>
      </c>
    </row>
    <row r="283" spans="1:7">
      <c r="A283" s="192">
        <f t="shared" si="32"/>
        <v>276</v>
      </c>
      <c r="B283" s="193">
        <f>B282+31</f>
        <v>5571.9949119369312</v>
      </c>
      <c r="C283" s="191">
        <f t="shared" si="31"/>
        <v>10149060.037897667</v>
      </c>
      <c r="D283" s="191">
        <f t="shared" si="27"/>
        <v>10053839.738892505</v>
      </c>
      <c r="E283" s="191">
        <f t="shared" si="28"/>
        <v>148079.98670254718</v>
      </c>
      <c r="F283" s="191">
        <f t="shared" si="29"/>
        <v>52859.687697385205</v>
      </c>
      <c r="G283" s="191">
        <f t="shared" si="30"/>
        <v>95220.299005161971</v>
      </c>
    </row>
    <row r="284" spans="1:7">
      <c r="A284" s="192">
        <f t="shared" si="32"/>
        <v>277</v>
      </c>
      <c r="B284" s="193">
        <f>B283+30</f>
        <v>5601.9949119369312</v>
      </c>
      <c r="C284" s="191">
        <f t="shared" si="31"/>
        <v>10053839.738892505</v>
      </c>
      <c r="D284" s="191">
        <f t="shared" si="27"/>
        <v>9958123.5008300263</v>
      </c>
      <c r="E284" s="191">
        <f t="shared" si="28"/>
        <v>148079.98670254718</v>
      </c>
      <c r="F284" s="191">
        <f t="shared" si="29"/>
        <v>52363.748640068574</v>
      </c>
      <c r="G284" s="191">
        <f t="shared" si="30"/>
        <v>95716.238062478602</v>
      </c>
    </row>
    <row r="285" spans="1:7">
      <c r="A285" s="192">
        <f t="shared" si="32"/>
        <v>278</v>
      </c>
      <c r="B285" s="193">
        <f>B284+31</f>
        <v>5632.9949119369312</v>
      </c>
      <c r="C285" s="191">
        <f t="shared" si="31"/>
        <v>9958123.5008300263</v>
      </c>
      <c r="D285" s="191">
        <f t="shared" si="27"/>
        <v>9861908.7406942993</v>
      </c>
      <c r="E285" s="191">
        <f t="shared" si="28"/>
        <v>148079.98670254718</v>
      </c>
      <c r="F285" s="191">
        <f t="shared" si="29"/>
        <v>51865.226566820173</v>
      </c>
      <c r="G285" s="191">
        <f t="shared" si="30"/>
        <v>96214.760135727003</v>
      </c>
    </row>
    <row r="286" spans="1:7">
      <c r="A286" s="192">
        <f t="shared" si="32"/>
        <v>279</v>
      </c>
      <c r="B286" s="193">
        <f>B285+30</f>
        <v>5662.9949119369312</v>
      </c>
      <c r="C286" s="191">
        <f t="shared" si="31"/>
        <v>9861908.7406942993</v>
      </c>
      <c r="D286" s="191">
        <f t="shared" si="27"/>
        <v>9765192.8620162047</v>
      </c>
      <c r="E286" s="191">
        <f t="shared" si="28"/>
        <v>148079.98670254718</v>
      </c>
      <c r="F286" s="191">
        <f t="shared" si="29"/>
        <v>51364.10802445258</v>
      </c>
      <c r="G286" s="191">
        <f t="shared" si="30"/>
        <v>96715.878678094596</v>
      </c>
    </row>
    <row r="287" spans="1:7">
      <c r="A287" s="192">
        <f t="shared" si="32"/>
        <v>280</v>
      </c>
      <c r="B287" s="193">
        <f>B286+31</f>
        <v>5693.9949119369312</v>
      </c>
      <c r="C287" s="191">
        <f t="shared" si="31"/>
        <v>9765192.8620162047</v>
      </c>
      <c r="D287" s="191">
        <f t="shared" si="27"/>
        <v>9667973.2548033278</v>
      </c>
      <c r="E287" s="191">
        <f t="shared" si="28"/>
        <v>148079.98670254718</v>
      </c>
      <c r="F287" s="191">
        <f t="shared" si="29"/>
        <v>50860.379489670275</v>
      </c>
      <c r="G287" s="191">
        <f t="shared" si="30"/>
        <v>97219.607212876901</v>
      </c>
    </row>
    <row r="288" spans="1:7">
      <c r="A288" s="192">
        <f t="shared" si="32"/>
        <v>281</v>
      </c>
      <c r="B288" s="193">
        <f>B287+31</f>
        <v>5724.9949119369312</v>
      </c>
      <c r="C288" s="191">
        <f t="shared" si="31"/>
        <v>9667973.2548033278</v>
      </c>
      <c r="D288" s="191">
        <f t="shared" si="27"/>
        <v>9570247.2954695523</v>
      </c>
      <c r="E288" s="191">
        <f t="shared" si="28"/>
        <v>148079.98670254718</v>
      </c>
      <c r="F288" s="191">
        <f t="shared" si="29"/>
        <v>50354.027368771611</v>
      </c>
      <c r="G288" s="191">
        <f t="shared" si="30"/>
        <v>97725.959333775565</v>
      </c>
    </row>
    <row r="289" spans="1:7">
      <c r="A289" s="192">
        <f t="shared" si="32"/>
        <v>282</v>
      </c>
      <c r="B289" s="193">
        <f>B288+28</f>
        <v>5752.9949119369312</v>
      </c>
      <c r="C289" s="191">
        <f t="shared" si="31"/>
        <v>9570247.2954695523</v>
      </c>
      <c r="D289" s="191">
        <f t="shared" si="27"/>
        <v>9472012.3467642386</v>
      </c>
      <c r="E289" s="191">
        <f t="shared" si="28"/>
        <v>148079.98670254718</v>
      </c>
      <c r="F289" s="191">
        <f t="shared" si="29"/>
        <v>49845.037997233449</v>
      </c>
      <c r="G289" s="191">
        <f t="shared" si="30"/>
        <v>98234.948705313727</v>
      </c>
    </row>
    <row r="290" spans="1:7">
      <c r="A290" s="192">
        <f t="shared" si="32"/>
        <v>283</v>
      </c>
      <c r="B290" s="193">
        <f>B289+31</f>
        <v>5783.9949119369312</v>
      </c>
      <c r="C290" s="191">
        <f t="shared" si="31"/>
        <v>9472012.3467642386</v>
      </c>
      <c r="D290" s="191">
        <f t="shared" si="27"/>
        <v>9373265.7577010877</v>
      </c>
      <c r="E290" s="191">
        <f t="shared" si="28"/>
        <v>148079.98670254718</v>
      </c>
      <c r="F290" s="191">
        <f t="shared" si="29"/>
        <v>49333.397639396368</v>
      </c>
      <c r="G290" s="191">
        <f t="shared" si="30"/>
        <v>98746.589063150808</v>
      </c>
    </row>
    <row r="291" spans="1:7">
      <c r="A291" s="192">
        <f t="shared" si="32"/>
        <v>284</v>
      </c>
      <c r="B291" s="193">
        <f>B290+30</f>
        <v>5813.9949119369312</v>
      </c>
      <c r="C291" s="191">
        <f t="shared" si="31"/>
        <v>9373265.7577010877</v>
      </c>
      <c r="D291" s="191">
        <f t="shared" si="27"/>
        <v>9274004.8634865712</v>
      </c>
      <c r="E291" s="191">
        <f t="shared" si="28"/>
        <v>148079.98670254718</v>
      </c>
      <c r="F291" s="191">
        <f t="shared" si="29"/>
        <v>48819.09248803067</v>
      </c>
      <c r="G291" s="191">
        <f t="shared" si="30"/>
        <v>99260.894214516506</v>
      </c>
    </row>
    <row r="292" spans="1:7">
      <c r="A292" s="192">
        <f t="shared" si="32"/>
        <v>285</v>
      </c>
      <c r="B292" s="193">
        <f>B291+31</f>
        <v>5844.9949119369312</v>
      </c>
      <c r="C292" s="191">
        <f t="shared" si="31"/>
        <v>9274004.8634865712</v>
      </c>
      <c r="D292" s="191">
        <f t="shared" si="27"/>
        <v>9174226.985448014</v>
      </c>
      <c r="E292" s="191">
        <f t="shared" si="28"/>
        <v>148079.98670254718</v>
      </c>
      <c r="F292" s="191">
        <f t="shared" si="29"/>
        <v>48302.108663989929</v>
      </c>
      <c r="G292" s="191">
        <f t="shared" si="30"/>
        <v>99777.878038557246</v>
      </c>
    </row>
    <row r="293" spans="1:7">
      <c r="A293" s="192">
        <f t="shared" si="32"/>
        <v>286</v>
      </c>
      <c r="B293" s="193">
        <f>B292+30</f>
        <v>5874.9949119369312</v>
      </c>
      <c r="C293" s="191">
        <f t="shared" si="31"/>
        <v>9174226.985448014</v>
      </c>
      <c r="D293" s="191">
        <f t="shared" si="27"/>
        <v>9073929.4309613463</v>
      </c>
      <c r="E293" s="191">
        <f t="shared" si="28"/>
        <v>148079.98670254718</v>
      </c>
      <c r="F293" s="191">
        <f t="shared" si="29"/>
        <v>47782.432215879438</v>
      </c>
      <c r="G293" s="191">
        <f t="shared" si="30"/>
        <v>100297.55448666774</v>
      </c>
    </row>
    <row r="294" spans="1:7">
      <c r="A294" s="192">
        <f t="shared" si="32"/>
        <v>287</v>
      </c>
      <c r="B294" s="193">
        <f>B293+31</f>
        <v>5905.9949119369312</v>
      </c>
      <c r="C294" s="191">
        <f t="shared" si="31"/>
        <v>9073929.4309613463</v>
      </c>
      <c r="D294" s="191">
        <f t="shared" si="27"/>
        <v>8973109.4933783878</v>
      </c>
      <c r="E294" s="191">
        <f t="shared" si="28"/>
        <v>148079.98670254718</v>
      </c>
      <c r="F294" s="191">
        <f t="shared" si="29"/>
        <v>47260.049119588686</v>
      </c>
      <c r="G294" s="191">
        <f t="shared" si="30"/>
        <v>100819.93758295849</v>
      </c>
    </row>
    <row r="295" spans="1:7">
      <c r="A295" s="192">
        <f t="shared" si="32"/>
        <v>288</v>
      </c>
      <c r="B295" s="193">
        <f>B294+31</f>
        <v>5936.9949119369312</v>
      </c>
      <c r="C295" s="191">
        <f t="shared" si="31"/>
        <v>8973109.4933783878</v>
      </c>
      <c r="D295" s="191">
        <f t="shared" si="27"/>
        <v>8871764.4519538563</v>
      </c>
      <c r="E295" s="191">
        <f t="shared" si="28"/>
        <v>148079.98670254718</v>
      </c>
      <c r="F295" s="191">
        <f t="shared" si="29"/>
        <v>46734.945278015686</v>
      </c>
      <c r="G295" s="191">
        <f t="shared" si="30"/>
        <v>101345.04142453149</v>
      </c>
    </row>
    <row r="296" spans="1:7">
      <c r="A296" s="192">
        <f t="shared" si="32"/>
        <v>289</v>
      </c>
      <c r="B296" s="193">
        <f>B295+30</f>
        <v>5966.9949119369312</v>
      </c>
      <c r="C296" s="191">
        <f t="shared" si="31"/>
        <v>8871764.4519538563</v>
      </c>
      <c r="D296" s="191">
        <f t="shared" si="27"/>
        <v>8769891.571771903</v>
      </c>
      <c r="E296" s="191">
        <f t="shared" si="28"/>
        <v>148079.98670254718</v>
      </c>
      <c r="F296" s="191">
        <f t="shared" si="29"/>
        <v>46207.106520593865</v>
      </c>
      <c r="G296" s="191">
        <f t="shared" si="30"/>
        <v>101872.88018195331</v>
      </c>
    </row>
    <row r="297" spans="1:7">
      <c r="A297" s="192">
        <f t="shared" si="32"/>
        <v>290</v>
      </c>
      <c r="B297" s="193">
        <f>B296+31</f>
        <v>5997.9949119369312</v>
      </c>
      <c r="C297" s="191">
        <f t="shared" si="31"/>
        <v>8769891.571771903</v>
      </c>
      <c r="D297" s="191">
        <f t="shared" si="27"/>
        <v>8667488.1036723349</v>
      </c>
      <c r="E297" s="191">
        <f t="shared" si="28"/>
        <v>148079.98670254718</v>
      </c>
      <c r="F297" s="191">
        <f t="shared" si="29"/>
        <v>45676.518602979137</v>
      </c>
      <c r="G297" s="191">
        <f t="shared" si="30"/>
        <v>102403.46809956804</v>
      </c>
    </row>
    <row r="298" spans="1:7">
      <c r="A298" s="192">
        <f t="shared" si="32"/>
        <v>291</v>
      </c>
      <c r="B298" s="193">
        <f>B297+30</f>
        <v>6027.9949119369312</v>
      </c>
      <c r="C298" s="191">
        <f t="shared" si="31"/>
        <v>8667488.1036723349</v>
      </c>
      <c r="D298" s="191">
        <f t="shared" si="27"/>
        <v>8564551.2841764167</v>
      </c>
      <c r="E298" s="191">
        <f t="shared" si="28"/>
        <v>148079.98670254718</v>
      </c>
      <c r="F298" s="191">
        <f t="shared" si="29"/>
        <v>45143.167206628947</v>
      </c>
      <c r="G298" s="191">
        <f t="shared" si="30"/>
        <v>102936.81949591823</v>
      </c>
    </row>
    <row r="299" spans="1:7">
      <c r="A299" s="192">
        <f t="shared" si="32"/>
        <v>292</v>
      </c>
      <c r="B299" s="193">
        <f>B298+31</f>
        <v>6058.9949119369312</v>
      </c>
      <c r="C299" s="191">
        <f t="shared" si="31"/>
        <v>8564551.2841764167</v>
      </c>
      <c r="D299" s="191">
        <f t="shared" si="27"/>
        <v>8461078.3354122881</v>
      </c>
      <c r="E299" s="191">
        <f t="shared" si="28"/>
        <v>148079.98670254718</v>
      </c>
      <c r="F299" s="191">
        <f t="shared" si="29"/>
        <v>44607.037938418565</v>
      </c>
      <c r="G299" s="191">
        <f t="shared" si="30"/>
        <v>103472.94876412861</v>
      </c>
    </row>
    <row r="300" spans="1:7">
      <c r="A300" s="192">
        <f t="shared" si="32"/>
        <v>293</v>
      </c>
      <c r="B300" s="193">
        <f>B299+31</f>
        <v>6089.9949119369312</v>
      </c>
      <c r="C300" s="191">
        <f t="shared" si="31"/>
        <v>8461078.3354122881</v>
      </c>
      <c r="D300" s="191">
        <f t="shared" si="27"/>
        <v>8357066.4650400141</v>
      </c>
      <c r="E300" s="191">
        <f t="shared" si="28"/>
        <v>148079.98670254718</v>
      </c>
      <c r="F300" s="191">
        <f t="shared" si="29"/>
        <v>44068.116330273217</v>
      </c>
      <c r="G300" s="191">
        <f t="shared" si="30"/>
        <v>104011.87037227396</v>
      </c>
    </row>
    <row r="301" spans="1:7">
      <c r="A301" s="192">
        <f t="shared" si="32"/>
        <v>294</v>
      </c>
      <c r="B301" s="193">
        <f>B300+28</f>
        <v>6117.9949119369312</v>
      </c>
      <c r="C301" s="191">
        <f t="shared" si="31"/>
        <v>8357066.4650400141</v>
      </c>
      <c r="D301" s="191">
        <f t="shared" si="27"/>
        <v>8252512.8661762159</v>
      </c>
      <c r="E301" s="191">
        <f t="shared" si="28"/>
        <v>148079.98670254718</v>
      </c>
      <c r="F301" s="191">
        <f t="shared" si="29"/>
        <v>43526.387838748982</v>
      </c>
      <c r="G301" s="191">
        <f t="shared" si="30"/>
        <v>104553.59886379819</v>
      </c>
    </row>
    <row r="302" spans="1:7">
      <c r="A302" s="192">
        <f t="shared" si="32"/>
        <v>295</v>
      </c>
      <c r="B302" s="193">
        <f>B301+31</f>
        <v>6148.9949119369312</v>
      </c>
      <c r="C302" s="191">
        <f t="shared" si="31"/>
        <v>8252512.8661762159</v>
      </c>
      <c r="D302" s="191">
        <f t="shared" si="27"/>
        <v>8147414.7173183393</v>
      </c>
      <c r="E302" s="191">
        <f t="shared" si="28"/>
        <v>148079.98670254718</v>
      </c>
      <c r="F302" s="191">
        <f t="shared" si="29"/>
        <v>42981.837844670517</v>
      </c>
      <c r="G302" s="191">
        <f t="shared" si="30"/>
        <v>105098.14885787666</v>
      </c>
    </row>
    <row r="303" spans="1:7">
      <c r="A303" s="192">
        <f t="shared" si="32"/>
        <v>296</v>
      </c>
      <c r="B303" s="193">
        <f>B302+30</f>
        <v>6178.9949119369312</v>
      </c>
      <c r="C303" s="191">
        <f t="shared" si="31"/>
        <v>8147414.7173183393</v>
      </c>
      <c r="D303" s="191">
        <f t="shared" si="27"/>
        <v>8041769.1822684938</v>
      </c>
      <c r="E303" s="191">
        <f t="shared" si="28"/>
        <v>148079.98670254718</v>
      </c>
      <c r="F303" s="191">
        <f t="shared" si="29"/>
        <v>42434.451652701711</v>
      </c>
      <c r="G303" s="191">
        <f t="shared" si="30"/>
        <v>105645.53504984546</v>
      </c>
    </row>
    <row r="304" spans="1:7">
      <c r="A304" s="192">
        <f t="shared" si="32"/>
        <v>297</v>
      </c>
      <c r="B304" s="193">
        <f>B303+31</f>
        <v>6209.9949119369312</v>
      </c>
      <c r="C304" s="191">
        <f t="shared" si="31"/>
        <v>8041769.1822684938</v>
      </c>
      <c r="D304" s="191">
        <f t="shared" si="27"/>
        <v>7935573.41005693</v>
      </c>
      <c r="E304" s="191">
        <f t="shared" si="28"/>
        <v>148079.98670254718</v>
      </c>
      <c r="F304" s="191">
        <f t="shared" si="29"/>
        <v>41884.214490983402</v>
      </c>
      <c r="G304" s="191">
        <f t="shared" si="30"/>
        <v>106195.77221156377</v>
      </c>
    </row>
    <row r="305" spans="1:7">
      <c r="A305" s="192">
        <f t="shared" si="32"/>
        <v>298</v>
      </c>
      <c r="B305" s="193">
        <f>B304+30</f>
        <v>6239.9949119369312</v>
      </c>
      <c r="C305" s="191">
        <f t="shared" si="31"/>
        <v>7935573.41005693</v>
      </c>
      <c r="D305" s="191">
        <f t="shared" si="27"/>
        <v>7828824.5348650962</v>
      </c>
      <c r="E305" s="191">
        <f t="shared" si="28"/>
        <v>148079.98670254718</v>
      </c>
      <c r="F305" s="191">
        <f t="shared" si="29"/>
        <v>41331.111510713352</v>
      </c>
      <c r="G305" s="191">
        <f t="shared" si="30"/>
        <v>106748.87519183382</v>
      </c>
    </row>
    <row r="306" spans="1:7">
      <c r="A306" s="192">
        <f t="shared" si="32"/>
        <v>299</v>
      </c>
      <c r="B306" s="193">
        <f>B305+31</f>
        <v>6270.9949119369312</v>
      </c>
      <c r="C306" s="191">
        <f t="shared" si="31"/>
        <v>7828824.5348650962</v>
      </c>
      <c r="D306" s="191">
        <f t="shared" si="27"/>
        <v>7721519.6759483041</v>
      </c>
      <c r="E306" s="191">
        <f t="shared" si="28"/>
        <v>148079.98670254718</v>
      </c>
      <c r="F306" s="191">
        <f t="shared" si="29"/>
        <v>40775.127785755089</v>
      </c>
      <c r="G306" s="191">
        <f t="shared" si="30"/>
        <v>107304.85891679209</v>
      </c>
    </row>
    <row r="307" spans="1:7">
      <c r="A307" s="192">
        <f t="shared" si="32"/>
        <v>300</v>
      </c>
      <c r="B307" s="193">
        <f>B306+31</f>
        <v>6301.9949119369312</v>
      </c>
      <c r="C307" s="191">
        <f t="shared" si="31"/>
        <v>7721519.6759483041</v>
      </c>
      <c r="D307" s="191">
        <f t="shared" si="27"/>
        <v>7613655.9375579907</v>
      </c>
      <c r="E307" s="191">
        <f t="shared" si="28"/>
        <v>148079.98670254718</v>
      </c>
      <c r="F307" s="191">
        <f t="shared" si="29"/>
        <v>40216.248312233714</v>
      </c>
      <c r="G307" s="191">
        <f t="shared" si="30"/>
        <v>107863.73839031346</v>
      </c>
    </row>
    <row r="308" spans="1:7">
      <c r="A308" s="192">
        <f t="shared" si="32"/>
        <v>301</v>
      </c>
      <c r="B308" s="193">
        <f>B307+30</f>
        <v>6331.9949119369312</v>
      </c>
      <c r="C308" s="191">
        <f t="shared" si="31"/>
        <v>7613655.9375579907</v>
      </c>
      <c r="D308" s="191">
        <f t="shared" si="27"/>
        <v>7505230.4088635556</v>
      </c>
      <c r="E308" s="191">
        <f t="shared" si="28"/>
        <v>148079.98670254718</v>
      </c>
      <c r="F308" s="191">
        <f t="shared" si="29"/>
        <v>39654.458008112153</v>
      </c>
      <c r="G308" s="191">
        <f t="shared" si="30"/>
        <v>108425.52869443502</v>
      </c>
    </row>
    <row r="309" spans="1:7">
      <c r="A309" s="192">
        <f t="shared" si="32"/>
        <v>302</v>
      </c>
      <c r="B309" s="193">
        <f>B308+31</f>
        <v>6362.9949119369312</v>
      </c>
      <c r="C309" s="191">
        <f t="shared" si="31"/>
        <v>7505230.4088635556</v>
      </c>
      <c r="D309" s="191">
        <f t="shared" si="27"/>
        <v>7396240.163873842</v>
      </c>
      <c r="E309" s="191">
        <f t="shared" si="28"/>
        <v>148079.98670254718</v>
      </c>
      <c r="F309" s="191">
        <f t="shared" si="29"/>
        <v>39089.741712833522</v>
      </c>
      <c r="G309" s="191">
        <f t="shared" si="30"/>
        <v>108990.24498971365</v>
      </c>
    </row>
    <row r="310" spans="1:7">
      <c r="A310" s="192">
        <f t="shared" si="32"/>
        <v>303</v>
      </c>
      <c r="B310" s="193">
        <f>B309+30</f>
        <v>6392.9949119369312</v>
      </c>
      <c r="C310" s="191">
        <f t="shared" si="31"/>
        <v>7396240.163873842</v>
      </c>
      <c r="D310" s="191">
        <f t="shared" si="27"/>
        <v>7286682.2613581382</v>
      </c>
      <c r="E310" s="191">
        <f t="shared" si="28"/>
        <v>148079.98670254718</v>
      </c>
      <c r="F310" s="191">
        <f t="shared" si="29"/>
        <v>38522.084186843364</v>
      </c>
      <c r="G310" s="191">
        <f t="shared" si="30"/>
        <v>109557.90251570381</v>
      </c>
    </row>
    <row r="311" spans="1:7">
      <c r="A311" s="192">
        <f t="shared" si="32"/>
        <v>304</v>
      </c>
      <c r="B311" s="193">
        <f>B310+31</f>
        <v>6423.9949119369312</v>
      </c>
      <c r="C311" s="191">
        <f t="shared" si="31"/>
        <v>7286682.2613581382</v>
      </c>
      <c r="D311" s="191">
        <f t="shared" si="27"/>
        <v>7176553.7447668342</v>
      </c>
      <c r="E311" s="191">
        <f t="shared" si="28"/>
        <v>148079.98670254718</v>
      </c>
      <c r="F311" s="191">
        <f t="shared" si="29"/>
        <v>37951.470111243194</v>
      </c>
      <c r="G311" s="191">
        <f t="shared" si="30"/>
        <v>110128.51659130398</v>
      </c>
    </row>
    <row r="312" spans="1:7">
      <c r="A312" s="192">
        <f t="shared" si="32"/>
        <v>305</v>
      </c>
      <c r="B312" s="193">
        <f>B311+31</f>
        <v>6454.9949119369312</v>
      </c>
      <c r="C312" s="191">
        <f t="shared" si="31"/>
        <v>7176553.7447668342</v>
      </c>
      <c r="D312" s="191">
        <f t="shared" si="27"/>
        <v>7065851.6421516165</v>
      </c>
      <c r="E312" s="191">
        <f t="shared" si="28"/>
        <v>148079.98670254718</v>
      </c>
      <c r="F312" s="191">
        <f t="shared" si="29"/>
        <v>37377.884087329498</v>
      </c>
      <c r="G312" s="191">
        <f t="shared" si="30"/>
        <v>110702.10261521768</v>
      </c>
    </row>
    <row r="313" spans="1:7">
      <c r="A313" s="192">
        <f t="shared" si="32"/>
        <v>306</v>
      </c>
      <c r="B313" s="193">
        <f>B312+28</f>
        <v>6482.9949119369312</v>
      </c>
      <c r="C313" s="191">
        <f t="shared" si="31"/>
        <v>7065851.6421516165</v>
      </c>
      <c r="D313" s="191">
        <f t="shared" si="27"/>
        <v>6954572.9660852756</v>
      </c>
      <c r="E313" s="191">
        <f t="shared" si="28"/>
        <v>148079.98670254718</v>
      </c>
      <c r="F313" s="191">
        <f t="shared" si="29"/>
        <v>36801.310636206297</v>
      </c>
      <c r="G313" s="191">
        <f t="shared" si="30"/>
        <v>111278.67606634088</v>
      </c>
    </row>
    <row r="314" spans="1:7">
      <c r="A314" s="192">
        <f t="shared" si="32"/>
        <v>307</v>
      </c>
      <c r="B314" s="193">
        <f>B313+31</f>
        <v>6513.9949119369312</v>
      </c>
      <c r="C314" s="191">
        <f t="shared" si="31"/>
        <v>6954572.9660852756</v>
      </c>
      <c r="D314" s="191">
        <f t="shared" si="27"/>
        <v>6842714.7135810852</v>
      </c>
      <c r="E314" s="191">
        <f t="shared" si="28"/>
        <v>148079.98670254718</v>
      </c>
      <c r="F314" s="191">
        <f t="shared" si="29"/>
        <v>36221.734198356746</v>
      </c>
      <c r="G314" s="191">
        <f t="shared" si="30"/>
        <v>111858.25250419043</v>
      </c>
    </row>
    <row r="315" spans="1:7">
      <c r="A315" s="192">
        <f t="shared" si="32"/>
        <v>308</v>
      </c>
      <c r="B315" s="193">
        <f>B314+30</f>
        <v>6543.9949119369312</v>
      </c>
      <c r="C315" s="191">
        <f t="shared" si="31"/>
        <v>6842714.7135810852</v>
      </c>
      <c r="D315" s="191">
        <f t="shared" si="27"/>
        <v>6730273.866011777</v>
      </c>
      <c r="E315" s="191">
        <f t="shared" si="28"/>
        <v>148079.98670254718</v>
      </c>
      <c r="F315" s="191">
        <f t="shared" si="29"/>
        <v>35639.139133238932</v>
      </c>
      <c r="G315" s="191">
        <f t="shared" si="30"/>
        <v>112440.84756930824</v>
      </c>
    </row>
    <row r="316" spans="1:7">
      <c r="A316" s="192">
        <f t="shared" si="32"/>
        <v>309</v>
      </c>
      <c r="B316" s="193">
        <f>B315+31</f>
        <v>6574.9949119369312</v>
      </c>
      <c r="C316" s="191">
        <f t="shared" si="31"/>
        <v>6730273.866011777</v>
      </c>
      <c r="D316" s="191">
        <f t="shared" si="27"/>
        <v>6617247.3890280435</v>
      </c>
      <c r="E316" s="191">
        <f t="shared" si="28"/>
        <v>148079.98670254718</v>
      </c>
      <c r="F316" s="191">
        <f t="shared" si="29"/>
        <v>35053.509718813701</v>
      </c>
      <c r="G316" s="191">
        <f t="shared" si="30"/>
        <v>113026.47698373348</v>
      </c>
    </row>
    <row r="317" spans="1:7">
      <c r="A317" s="192">
        <f t="shared" si="32"/>
        <v>310</v>
      </c>
      <c r="B317" s="193">
        <f>B316+30</f>
        <v>6604.9949119369312</v>
      </c>
      <c r="C317" s="191">
        <f t="shared" si="31"/>
        <v>6617247.3890280435</v>
      </c>
      <c r="D317" s="191">
        <f t="shared" si="27"/>
        <v>6503632.2324766843</v>
      </c>
      <c r="E317" s="191">
        <f t="shared" si="28"/>
        <v>148079.98670254718</v>
      </c>
      <c r="F317" s="191">
        <f t="shared" si="29"/>
        <v>34464.830151187954</v>
      </c>
      <c r="G317" s="191">
        <f t="shared" si="30"/>
        <v>113615.15655135922</v>
      </c>
    </row>
    <row r="318" spans="1:7">
      <c r="A318" s="192">
        <f t="shared" si="32"/>
        <v>311</v>
      </c>
      <c r="B318" s="193">
        <f>B317+31</f>
        <v>6635.9949119369312</v>
      </c>
      <c r="C318" s="191">
        <f t="shared" si="31"/>
        <v>6503632.2324766843</v>
      </c>
      <c r="D318" s="191">
        <f t="shared" si="27"/>
        <v>6389425.3303182889</v>
      </c>
      <c r="E318" s="191">
        <f t="shared" si="28"/>
        <v>148079.98670254718</v>
      </c>
      <c r="F318" s="191">
        <f t="shared" si="29"/>
        <v>33873.084544151789</v>
      </c>
      <c r="G318" s="191">
        <f t="shared" si="30"/>
        <v>114206.90215839539</v>
      </c>
    </row>
    <row r="319" spans="1:7">
      <c r="A319" s="192">
        <f t="shared" si="32"/>
        <v>312</v>
      </c>
      <c r="B319" s="193">
        <f>B318+31</f>
        <v>6666.9949119369312</v>
      </c>
      <c r="C319" s="191">
        <f t="shared" si="31"/>
        <v>6389425.3303182889</v>
      </c>
      <c r="D319" s="191">
        <f t="shared" si="27"/>
        <v>6274623.6005444815</v>
      </c>
      <c r="E319" s="191">
        <f t="shared" si="28"/>
        <v>148079.98670254718</v>
      </c>
      <c r="F319" s="191">
        <f t="shared" si="29"/>
        <v>33278.256928739836</v>
      </c>
      <c r="G319" s="191">
        <f t="shared" si="30"/>
        <v>114801.72977380734</v>
      </c>
    </row>
    <row r="320" spans="1:7">
      <c r="A320" s="192">
        <f t="shared" si="32"/>
        <v>313</v>
      </c>
      <c r="B320" s="193">
        <f>B319+30</f>
        <v>6696.9949119369312</v>
      </c>
      <c r="C320" s="191">
        <f t="shared" si="31"/>
        <v>6274623.6005444815</v>
      </c>
      <c r="D320" s="191">
        <f t="shared" si="27"/>
        <v>6159223.9450947773</v>
      </c>
      <c r="E320" s="191">
        <f t="shared" si="28"/>
        <v>148079.98670254718</v>
      </c>
      <c r="F320" s="191">
        <f t="shared" si="29"/>
        <v>32680.331252842909</v>
      </c>
      <c r="G320" s="191">
        <f t="shared" si="30"/>
        <v>115399.65544970427</v>
      </c>
    </row>
    <row r="321" spans="1:7">
      <c r="A321" s="192">
        <f t="shared" si="32"/>
        <v>314</v>
      </c>
      <c r="B321" s="193">
        <f>B320+31</f>
        <v>6727.9949119369312</v>
      </c>
      <c r="C321" s="191">
        <f t="shared" si="31"/>
        <v>6159223.9450947773</v>
      </c>
      <c r="D321" s="191">
        <f t="shared" si="27"/>
        <v>6043223.2497729324</v>
      </c>
      <c r="E321" s="191">
        <f t="shared" si="28"/>
        <v>148079.98670254718</v>
      </c>
      <c r="F321" s="191">
        <f t="shared" si="29"/>
        <v>32079.291380702285</v>
      </c>
      <c r="G321" s="191">
        <f t="shared" si="30"/>
        <v>116000.69532184489</v>
      </c>
    </row>
    <row r="322" spans="1:7">
      <c r="A322" s="192">
        <f t="shared" si="32"/>
        <v>315</v>
      </c>
      <c r="B322" s="193">
        <f>B321+30</f>
        <v>6757.9949119369312</v>
      </c>
      <c r="C322" s="191">
        <f t="shared" si="31"/>
        <v>6043223.2497729324</v>
      </c>
      <c r="D322" s="191">
        <f t="shared" si="27"/>
        <v>5926618.3841629466</v>
      </c>
      <c r="E322" s="191">
        <f t="shared" si="28"/>
        <v>148079.98670254718</v>
      </c>
      <c r="F322" s="191">
        <f t="shared" si="29"/>
        <v>31475.1210925614</v>
      </c>
      <c r="G322" s="191">
        <f t="shared" si="30"/>
        <v>116604.86560998578</v>
      </c>
    </row>
    <row r="323" spans="1:7">
      <c r="A323" s="192">
        <f t="shared" si="32"/>
        <v>316</v>
      </c>
      <c r="B323" s="193">
        <f>B322+31</f>
        <v>6788.9949119369312</v>
      </c>
      <c r="C323" s="191">
        <f t="shared" si="31"/>
        <v>5926618.3841629466</v>
      </c>
      <c r="D323" s="191">
        <f t="shared" si="27"/>
        <v>5809406.2015445875</v>
      </c>
      <c r="E323" s="191">
        <f t="shared" si="28"/>
        <v>148079.98670254718</v>
      </c>
      <c r="F323" s="191">
        <f t="shared" si="29"/>
        <v>30867.804084188072</v>
      </c>
      <c r="G323" s="191">
        <f t="shared" si="30"/>
        <v>117212.1826183591</v>
      </c>
    </row>
    <row r="324" spans="1:7">
      <c r="A324" s="192">
        <f t="shared" si="32"/>
        <v>317</v>
      </c>
      <c r="B324" s="193">
        <f>B323+31</f>
        <v>6819.9949119369312</v>
      </c>
      <c r="C324" s="191">
        <f t="shared" si="31"/>
        <v>5809406.2015445875</v>
      </c>
      <c r="D324" s="191">
        <f t="shared" si="27"/>
        <v>5691583.5388084156</v>
      </c>
      <c r="E324" s="191">
        <f t="shared" si="28"/>
        <v>148079.98670254718</v>
      </c>
      <c r="F324" s="191">
        <f t="shared" si="29"/>
        <v>30257.323966375319</v>
      </c>
      <c r="G324" s="191">
        <f t="shared" si="30"/>
        <v>117822.66273617186</v>
      </c>
    </row>
    <row r="325" spans="1:7">
      <c r="A325" s="192">
        <f t="shared" si="32"/>
        <v>318</v>
      </c>
      <c r="B325" s="193">
        <f>B324+29</f>
        <v>6848.9949119369312</v>
      </c>
      <c r="C325" s="191">
        <f t="shared" si="31"/>
        <v>5691583.5388084156</v>
      </c>
      <c r="D325" s="191">
        <f t="shared" si="27"/>
        <v>5573147.2163705016</v>
      </c>
      <c r="E325" s="191">
        <f t="shared" si="28"/>
        <v>148079.98670254718</v>
      </c>
      <c r="F325" s="191">
        <f t="shared" si="29"/>
        <v>29643.664264633087</v>
      </c>
      <c r="G325" s="191">
        <f t="shared" si="30"/>
        <v>118436.32243791409</v>
      </c>
    </row>
    <row r="326" spans="1:7">
      <c r="A326" s="192">
        <f t="shared" si="32"/>
        <v>319</v>
      </c>
      <c r="B326" s="193">
        <f>B325+31</f>
        <v>6879.9949119369312</v>
      </c>
      <c r="C326" s="191">
        <f t="shared" si="31"/>
        <v>5573147.2163705016</v>
      </c>
      <c r="D326" s="191">
        <f t="shared" si="27"/>
        <v>5454094.0380865484</v>
      </c>
      <c r="E326" s="191">
        <f t="shared" si="28"/>
        <v>148079.98670254718</v>
      </c>
      <c r="F326" s="191">
        <f t="shared" si="29"/>
        <v>29026.808418594068</v>
      </c>
      <c r="G326" s="191">
        <f t="shared" si="30"/>
        <v>119053.17828395311</v>
      </c>
    </row>
    <row r="327" spans="1:7">
      <c r="A327" s="192">
        <f t="shared" si="32"/>
        <v>320</v>
      </c>
      <c r="B327" s="193">
        <f>B326+30</f>
        <v>6909.9949119369312</v>
      </c>
      <c r="C327" s="191">
        <f t="shared" si="31"/>
        <v>5454094.0380865484</v>
      </c>
      <c r="D327" s="191">
        <f t="shared" si="27"/>
        <v>5334420.7911657048</v>
      </c>
      <c r="E327" s="191">
        <f t="shared" si="28"/>
        <v>148079.98670254718</v>
      </c>
      <c r="F327" s="191">
        <f t="shared" si="29"/>
        <v>28406.739781703567</v>
      </c>
      <c r="G327" s="191">
        <f t="shared" si="30"/>
        <v>119673.24692084361</v>
      </c>
    </row>
    <row r="328" spans="1:7">
      <c r="A328" s="192">
        <f t="shared" si="32"/>
        <v>321</v>
      </c>
      <c r="B328" s="193">
        <f>B327+31</f>
        <v>6940.9949119369312</v>
      </c>
      <c r="C328" s="191">
        <f t="shared" si="31"/>
        <v>5334420.7911657048</v>
      </c>
      <c r="D328" s="191">
        <f t="shared" ref="D328:D367" si="33">PV($D$3/12,($D$4-A328),-$D$5)</f>
        <v>5214124.2460838147</v>
      </c>
      <c r="E328" s="191">
        <f t="shared" ref="E328:E367" si="34">IF(C328=0,0,$D$5)</f>
        <v>148079.98670254718</v>
      </c>
      <c r="F328" s="191">
        <f t="shared" ref="F328:F367" si="35">E328-(C328-D328)</f>
        <v>27783.441620656988</v>
      </c>
      <c r="G328" s="191">
        <f t="shared" ref="G328:G367" si="36">E328-F328</f>
        <v>120296.54508189019</v>
      </c>
    </row>
    <row r="329" spans="1:7">
      <c r="A329" s="192">
        <f t="shared" si="32"/>
        <v>322</v>
      </c>
      <c r="B329" s="193">
        <f>B328+30</f>
        <v>6970.9949119369312</v>
      </c>
      <c r="C329" s="191">
        <f t="shared" ref="C329:C367" si="37">D328</f>
        <v>5214124.2460838147</v>
      </c>
      <c r="D329" s="191">
        <f t="shared" si="33"/>
        <v>5093201.1564962883</v>
      </c>
      <c r="E329" s="191">
        <f t="shared" si="34"/>
        <v>148079.98670254718</v>
      </c>
      <c r="F329" s="191">
        <f t="shared" si="35"/>
        <v>27156.89711502078</v>
      </c>
      <c r="G329" s="191">
        <f t="shared" si="36"/>
        <v>120923.0895875264</v>
      </c>
    </row>
    <row r="330" spans="1:7">
      <c r="A330" s="192">
        <f t="shared" si="32"/>
        <v>323</v>
      </c>
      <c r="B330" s="193">
        <f>B329+31</f>
        <v>7001.9949119369312</v>
      </c>
      <c r="C330" s="191">
        <f t="shared" si="37"/>
        <v>5093201.1564962883</v>
      </c>
      <c r="D330" s="191">
        <f t="shared" si="33"/>
        <v>4971648.2591504911</v>
      </c>
      <c r="E330" s="191">
        <f t="shared" si="34"/>
        <v>148079.98670254718</v>
      </c>
      <c r="F330" s="191">
        <f t="shared" si="35"/>
        <v>26527.089356750017</v>
      </c>
      <c r="G330" s="191">
        <f t="shared" si="36"/>
        <v>121552.89734579716</v>
      </c>
    </row>
    <row r="331" spans="1:7">
      <c r="A331" s="192">
        <f t="shared" si="32"/>
        <v>324</v>
      </c>
      <c r="B331" s="193">
        <f>B330+31</f>
        <v>7032.9949119369312</v>
      </c>
      <c r="C331" s="191">
        <f t="shared" si="37"/>
        <v>4971648.2591504911</v>
      </c>
      <c r="D331" s="191">
        <f t="shared" si="33"/>
        <v>4849462.2737976871</v>
      </c>
      <c r="E331" s="191">
        <f t="shared" si="34"/>
        <v>148079.98670254718</v>
      </c>
      <c r="F331" s="191">
        <f t="shared" si="35"/>
        <v>25894.001349743223</v>
      </c>
      <c r="G331" s="191">
        <f t="shared" si="36"/>
        <v>122185.98535280395</v>
      </c>
    </row>
    <row r="332" spans="1:7">
      <c r="A332" s="192">
        <f t="shared" si="32"/>
        <v>325</v>
      </c>
      <c r="B332" s="193">
        <f>B331+30</f>
        <v>7062.9949119369312</v>
      </c>
      <c r="C332" s="191">
        <f t="shared" si="37"/>
        <v>4849462.2737976871</v>
      </c>
      <c r="D332" s="191">
        <f t="shared" si="33"/>
        <v>4726639.9031045046</v>
      </c>
      <c r="E332" s="191">
        <f t="shared" si="34"/>
        <v>148079.98670254718</v>
      </c>
      <c r="F332" s="191">
        <f t="shared" si="35"/>
        <v>25257.616009364603</v>
      </c>
      <c r="G332" s="191">
        <f t="shared" si="36"/>
        <v>122822.37069318257</v>
      </c>
    </row>
    <row r="333" spans="1:7">
      <c r="A333" s="192">
        <f t="shared" si="32"/>
        <v>326</v>
      </c>
      <c r="B333" s="193">
        <f>B332+31</f>
        <v>7093.9949119369312</v>
      </c>
      <c r="C333" s="191">
        <f t="shared" si="37"/>
        <v>4726639.9031045046</v>
      </c>
      <c r="D333" s="191">
        <f t="shared" si="33"/>
        <v>4603177.8325639647</v>
      </c>
      <c r="E333" s="191">
        <f t="shared" si="34"/>
        <v>148079.98670254718</v>
      </c>
      <c r="F333" s="191">
        <f t="shared" si="35"/>
        <v>24617.916162007255</v>
      </c>
      <c r="G333" s="191">
        <f t="shared" si="36"/>
        <v>123462.07054053992</v>
      </c>
    </row>
    <row r="334" spans="1:7">
      <c r="A334" s="192">
        <f t="shared" si="32"/>
        <v>327</v>
      </c>
      <c r="B334" s="193">
        <f>B333+30</f>
        <v>7123.9949119369312</v>
      </c>
      <c r="C334" s="191">
        <f t="shared" si="37"/>
        <v>4603177.8325639647</v>
      </c>
      <c r="D334" s="191">
        <f t="shared" si="33"/>
        <v>4479072.730406018</v>
      </c>
      <c r="E334" s="191">
        <f t="shared" si="34"/>
        <v>148079.98670254718</v>
      </c>
      <c r="F334" s="191">
        <f t="shared" si="35"/>
        <v>23974.8845446005</v>
      </c>
      <c r="G334" s="191">
        <f t="shared" si="36"/>
        <v>124105.10215794668</v>
      </c>
    </row>
    <row r="335" spans="1:7">
      <c r="A335" s="192">
        <f t="shared" si="32"/>
        <v>328</v>
      </c>
      <c r="B335" s="193">
        <f>B334+31</f>
        <v>7154.9949119369312</v>
      </c>
      <c r="C335" s="191">
        <f t="shared" si="37"/>
        <v>4479072.730406018</v>
      </c>
      <c r="D335" s="191">
        <f t="shared" si="33"/>
        <v>4354321.2475076718</v>
      </c>
      <c r="E335" s="191">
        <f t="shared" si="34"/>
        <v>148079.98670254718</v>
      </c>
      <c r="F335" s="191">
        <f t="shared" si="35"/>
        <v>23328.503804201027</v>
      </c>
      <c r="G335" s="191">
        <f t="shared" si="36"/>
        <v>124751.48289834615</v>
      </c>
    </row>
    <row r="336" spans="1:7">
      <c r="A336" s="192">
        <f t="shared" si="32"/>
        <v>329</v>
      </c>
      <c r="B336" s="193">
        <f>B335+31</f>
        <v>7185.9949119369312</v>
      </c>
      <c r="C336" s="191">
        <f t="shared" si="37"/>
        <v>4354321.2475076718</v>
      </c>
      <c r="D336" s="191">
        <f t="shared" si="33"/>
        <v>4228920.0173025625</v>
      </c>
      <c r="E336" s="191">
        <f t="shared" si="34"/>
        <v>148079.98670254718</v>
      </c>
      <c r="F336" s="191">
        <f t="shared" si="35"/>
        <v>22678.756497437833</v>
      </c>
      <c r="G336" s="191">
        <f t="shared" si="36"/>
        <v>125401.23020510934</v>
      </c>
    </row>
    <row r="337" spans="1:7">
      <c r="A337" s="192">
        <f t="shared" ref="A337:A367" si="38">A336+1</f>
        <v>330</v>
      </c>
      <c r="B337" s="193">
        <f>B336+28</f>
        <v>7213.9949119369312</v>
      </c>
      <c r="C337" s="191">
        <f t="shared" si="37"/>
        <v>4228920.0173025625</v>
      </c>
      <c r="D337" s="191">
        <f t="shared" si="33"/>
        <v>4102865.6556901331</v>
      </c>
      <c r="E337" s="191">
        <f t="shared" si="34"/>
        <v>148079.98670254718</v>
      </c>
      <c r="F337" s="191">
        <f t="shared" si="35"/>
        <v>22025.625090117799</v>
      </c>
      <c r="G337" s="191">
        <f t="shared" si="36"/>
        <v>126054.36161242938</v>
      </c>
    </row>
    <row r="338" spans="1:7">
      <c r="A338" s="192">
        <f t="shared" si="38"/>
        <v>331</v>
      </c>
      <c r="B338" s="193">
        <f>B337+31</f>
        <v>7244.9949119369312</v>
      </c>
      <c r="C338" s="191">
        <f t="shared" si="37"/>
        <v>4102865.6556901331</v>
      </c>
      <c r="D338" s="191">
        <f t="shared" si="33"/>
        <v>3976154.7609443045</v>
      </c>
      <c r="E338" s="191">
        <f t="shared" si="34"/>
        <v>148079.98670254718</v>
      </c>
      <c r="F338" s="191">
        <f t="shared" si="35"/>
        <v>21369.091956718592</v>
      </c>
      <c r="G338" s="191">
        <f t="shared" si="36"/>
        <v>126710.89474582858</v>
      </c>
    </row>
    <row r="339" spans="1:7">
      <c r="A339" s="192">
        <f t="shared" si="38"/>
        <v>332</v>
      </c>
      <c r="B339" s="193">
        <f>B338+30</f>
        <v>7274.9949119369312</v>
      </c>
      <c r="C339" s="191">
        <f t="shared" si="37"/>
        <v>3976154.7609443045</v>
      </c>
      <c r="D339" s="191">
        <f t="shared" si="33"/>
        <v>3848783.9136216813</v>
      </c>
      <c r="E339" s="191">
        <f t="shared" si="34"/>
        <v>148079.98670254718</v>
      </c>
      <c r="F339" s="191">
        <f t="shared" si="35"/>
        <v>20709.13937992393</v>
      </c>
      <c r="G339" s="191">
        <f t="shared" si="36"/>
        <v>127370.84732262325</v>
      </c>
    </row>
    <row r="340" spans="1:7">
      <c r="A340" s="192">
        <f t="shared" si="38"/>
        <v>333</v>
      </c>
      <c r="B340" s="193">
        <f>B339+31</f>
        <v>7305.9949119369312</v>
      </c>
      <c r="C340" s="191">
        <f t="shared" si="37"/>
        <v>3848783.9136216813</v>
      </c>
      <c r="D340" s="191">
        <f t="shared" si="33"/>
        <v>3720749.6764692422</v>
      </c>
      <c r="E340" s="191">
        <f t="shared" si="34"/>
        <v>148079.98670254718</v>
      </c>
      <c r="F340" s="191">
        <f t="shared" si="35"/>
        <v>20045.749550108099</v>
      </c>
      <c r="G340" s="191">
        <f t="shared" si="36"/>
        <v>128034.23715243908</v>
      </c>
    </row>
    <row r="341" spans="1:7">
      <c r="A341" s="192">
        <f t="shared" si="38"/>
        <v>334</v>
      </c>
      <c r="B341" s="193">
        <f>B340+30</f>
        <v>7335.9949119369312</v>
      </c>
      <c r="C341" s="191">
        <f t="shared" si="37"/>
        <v>3720749.6764692422</v>
      </c>
      <c r="D341" s="191">
        <f t="shared" si="33"/>
        <v>3592048.594331644</v>
      </c>
      <c r="E341" s="191">
        <f t="shared" si="34"/>
        <v>148079.98670254718</v>
      </c>
      <c r="F341" s="191">
        <f t="shared" si="35"/>
        <v>19378.904564948985</v>
      </c>
      <c r="G341" s="191">
        <f t="shared" si="36"/>
        <v>128701.08213759819</v>
      </c>
    </row>
    <row r="342" spans="1:7">
      <c r="A342" s="192">
        <f t="shared" si="38"/>
        <v>335</v>
      </c>
      <c r="B342" s="193">
        <f>B341+31</f>
        <v>7366.9949119369312</v>
      </c>
      <c r="C342" s="191">
        <f t="shared" si="37"/>
        <v>3592048.594331644</v>
      </c>
      <c r="D342" s="191">
        <f t="shared" si="33"/>
        <v>3462677.1940579065</v>
      </c>
      <c r="E342" s="191">
        <f t="shared" si="34"/>
        <v>148079.98670254718</v>
      </c>
      <c r="F342" s="191">
        <f t="shared" si="35"/>
        <v>18708.586428809678</v>
      </c>
      <c r="G342" s="191">
        <f t="shared" si="36"/>
        <v>129371.4002737375</v>
      </c>
    </row>
    <row r="343" spans="1:7">
      <c r="A343" s="192">
        <f t="shared" si="38"/>
        <v>336</v>
      </c>
      <c r="B343" s="193">
        <f>B342+31</f>
        <v>7397.9949119369312</v>
      </c>
      <c r="C343" s="191">
        <f t="shared" si="37"/>
        <v>3462677.1940579065</v>
      </c>
      <c r="D343" s="191">
        <f t="shared" si="33"/>
        <v>3332631.9844077467</v>
      </c>
      <c r="E343" s="191">
        <f t="shared" si="34"/>
        <v>148079.98670254718</v>
      </c>
      <c r="F343" s="191">
        <f t="shared" si="35"/>
        <v>18034.777052387362</v>
      </c>
      <c r="G343" s="191">
        <f t="shared" si="36"/>
        <v>130045.20965015981</v>
      </c>
    </row>
    <row r="344" spans="1:7">
      <c r="A344" s="192">
        <f t="shared" si="38"/>
        <v>337</v>
      </c>
      <c r="B344" s="193">
        <f>B343+30</f>
        <v>7427.9949119369312</v>
      </c>
      <c r="C344" s="191">
        <f t="shared" si="37"/>
        <v>3332631.9844077467</v>
      </c>
      <c r="D344" s="191">
        <f t="shared" si="33"/>
        <v>3201909.4559573261</v>
      </c>
      <c r="E344" s="191">
        <f t="shared" si="34"/>
        <v>148079.98670254718</v>
      </c>
      <c r="F344" s="191">
        <f t="shared" si="35"/>
        <v>17357.458252126584</v>
      </c>
      <c r="G344" s="191">
        <f t="shared" si="36"/>
        <v>130722.52845042059</v>
      </c>
    </row>
    <row r="345" spans="1:7">
      <c r="A345" s="192">
        <f t="shared" si="38"/>
        <v>338</v>
      </c>
      <c r="B345" s="193">
        <f>B344+31</f>
        <v>7458.9949119369312</v>
      </c>
      <c r="C345" s="191">
        <f t="shared" si="37"/>
        <v>3201909.4559573261</v>
      </c>
      <c r="D345" s="191">
        <f t="shared" si="33"/>
        <v>3070506.0810045586</v>
      </c>
      <c r="E345" s="191">
        <f t="shared" si="34"/>
        <v>148079.98670254718</v>
      </c>
      <c r="F345" s="191">
        <f t="shared" si="35"/>
        <v>16676.611749779666</v>
      </c>
      <c r="G345" s="191">
        <f t="shared" si="36"/>
        <v>131403.37495276751</v>
      </c>
    </row>
    <row r="346" spans="1:7">
      <c r="A346" s="192">
        <f t="shared" si="38"/>
        <v>339</v>
      </c>
      <c r="B346" s="193">
        <f>B345+30</f>
        <v>7488.9949119369312</v>
      </c>
      <c r="C346" s="191">
        <f t="shared" si="37"/>
        <v>3070506.0810045586</v>
      </c>
      <c r="D346" s="191">
        <f t="shared" si="33"/>
        <v>2938418.3134739068</v>
      </c>
      <c r="E346" s="191">
        <f t="shared" si="34"/>
        <v>148079.98670254718</v>
      </c>
      <c r="F346" s="191">
        <f t="shared" si="35"/>
        <v>15992.219171895413</v>
      </c>
      <c r="G346" s="191">
        <f t="shared" si="36"/>
        <v>132087.76753065176</v>
      </c>
    </row>
    <row r="347" spans="1:7">
      <c r="A347" s="192">
        <f t="shared" si="38"/>
        <v>340</v>
      </c>
      <c r="B347" s="193">
        <f>B346+31</f>
        <v>7519.9949119369312</v>
      </c>
      <c r="C347" s="191">
        <f t="shared" si="37"/>
        <v>2938418.3134739068</v>
      </c>
      <c r="D347" s="191">
        <f t="shared" si="33"/>
        <v>2805642.5888207052</v>
      </c>
      <c r="E347" s="191">
        <f t="shared" si="34"/>
        <v>148079.98670254718</v>
      </c>
      <c r="F347" s="191">
        <f t="shared" si="35"/>
        <v>15304.262049345532</v>
      </c>
      <c r="G347" s="191">
        <f t="shared" si="36"/>
        <v>132775.72465320164</v>
      </c>
    </row>
    <row r="348" spans="1:7">
      <c r="A348" s="192">
        <f t="shared" si="38"/>
        <v>341</v>
      </c>
      <c r="B348" s="193">
        <f>B347+31</f>
        <v>7550.9949119369312</v>
      </c>
      <c r="C348" s="191">
        <f t="shared" si="37"/>
        <v>2805642.5888207052</v>
      </c>
      <c r="D348" s="191">
        <f t="shared" si="33"/>
        <v>2672175.3239349364</v>
      </c>
      <c r="E348" s="191">
        <f t="shared" si="34"/>
        <v>148079.98670254718</v>
      </c>
      <c r="F348" s="191">
        <f t="shared" si="35"/>
        <v>14612.721816778416</v>
      </c>
      <c r="G348" s="191">
        <f t="shared" si="36"/>
        <v>133467.26488576876</v>
      </c>
    </row>
    <row r="349" spans="1:7">
      <c r="A349" s="192">
        <f t="shared" si="38"/>
        <v>342</v>
      </c>
      <c r="B349" s="193">
        <f>B348+28</f>
        <v>7578.9949119369312</v>
      </c>
      <c r="C349" s="191">
        <f t="shared" si="37"/>
        <v>2672175.3239349364</v>
      </c>
      <c r="D349" s="191">
        <f t="shared" si="33"/>
        <v>2538012.9170445492</v>
      </c>
      <c r="E349" s="191">
        <f t="shared" si="34"/>
        <v>148079.98670254718</v>
      </c>
      <c r="F349" s="191">
        <f t="shared" si="35"/>
        <v>13917.579812159995</v>
      </c>
      <c r="G349" s="191">
        <f t="shared" si="36"/>
        <v>134162.40689038718</v>
      </c>
    </row>
    <row r="350" spans="1:7">
      <c r="A350" s="192">
        <f t="shared" si="38"/>
        <v>343</v>
      </c>
      <c r="B350" s="193">
        <f>B349+31</f>
        <v>7609.9949119369312</v>
      </c>
      <c r="C350" s="191">
        <f t="shared" si="37"/>
        <v>2538012.9170445492</v>
      </c>
      <c r="D350" s="191">
        <f t="shared" si="33"/>
        <v>2403151.7476182799</v>
      </c>
      <c r="E350" s="191">
        <f t="shared" si="34"/>
        <v>148079.98670254718</v>
      </c>
      <c r="F350" s="191">
        <f t="shared" si="35"/>
        <v>13218.817276277812</v>
      </c>
      <c r="G350" s="191">
        <f t="shared" si="36"/>
        <v>134861.16942626936</v>
      </c>
    </row>
    <row r="351" spans="1:7">
      <c r="A351" s="192">
        <f t="shared" si="38"/>
        <v>344</v>
      </c>
      <c r="B351" s="193">
        <f>B350+30</f>
        <v>7639.9949119369312</v>
      </c>
      <c r="C351" s="191">
        <f t="shared" si="37"/>
        <v>2403151.7476182799</v>
      </c>
      <c r="D351" s="191">
        <f t="shared" si="33"/>
        <v>2267588.1762679112</v>
      </c>
      <c r="E351" s="191">
        <f t="shared" si="34"/>
        <v>148079.98670254718</v>
      </c>
      <c r="F351" s="191">
        <f t="shared" si="35"/>
        <v>12516.415352178505</v>
      </c>
      <c r="G351" s="191">
        <f t="shared" si="36"/>
        <v>135563.57135036867</v>
      </c>
    </row>
    <row r="352" spans="1:7">
      <c r="A352" s="192">
        <f t="shared" si="38"/>
        <v>345</v>
      </c>
      <c r="B352" s="193">
        <f>B351+31</f>
        <v>7670.9949119369312</v>
      </c>
      <c r="C352" s="191">
        <f t="shared" si="37"/>
        <v>2267588.1762679112</v>
      </c>
      <c r="D352" s="191">
        <f t="shared" si="33"/>
        <v>2131318.5446500974</v>
      </c>
      <c r="E352" s="191">
        <f t="shared" si="34"/>
        <v>148079.98670254718</v>
      </c>
      <c r="F352" s="191">
        <f t="shared" si="35"/>
        <v>11810.355084733339</v>
      </c>
      <c r="G352" s="191">
        <f t="shared" si="36"/>
        <v>136269.63161781384</v>
      </c>
    </row>
    <row r="353" spans="1:7">
      <c r="A353" s="192">
        <f t="shared" si="38"/>
        <v>346</v>
      </c>
      <c r="B353" s="193">
        <f>B352+30</f>
        <v>7700.9949119369312</v>
      </c>
      <c r="C353" s="191">
        <f t="shared" si="37"/>
        <v>2131318.5446500974</v>
      </c>
      <c r="D353" s="191">
        <f t="shared" si="33"/>
        <v>1994339.1753676019</v>
      </c>
      <c r="E353" s="191">
        <f t="shared" si="34"/>
        <v>148079.98670254718</v>
      </c>
      <c r="F353" s="191">
        <f t="shared" si="35"/>
        <v>11100.617420051713</v>
      </c>
      <c r="G353" s="191">
        <f t="shared" si="36"/>
        <v>136979.36928249546</v>
      </c>
    </row>
    <row r="354" spans="1:7">
      <c r="A354" s="192">
        <f t="shared" si="38"/>
        <v>347</v>
      </c>
      <c r="B354" s="193">
        <f>B353+31</f>
        <v>7731.9949119369312</v>
      </c>
      <c r="C354" s="191">
        <f t="shared" si="37"/>
        <v>1994339.1753676019</v>
      </c>
      <c r="D354" s="191">
        <f t="shared" si="33"/>
        <v>1856646.3718700917</v>
      </c>
      <c r="E354" s="191">
        <f t="shared" si="34"/>
        <v>148079.98670254718</v>
      </c>
      <c r="F354" s="191">
        <f t="shared" si="35"/>
        <v>10387.183205036912</v>
      </c>
      <c r="G354" s="191">
        <f t="shared" si="36"/>
        <v>137692.80349751026</v>
      </c>
    </row>
    <row r="355" spans="1:7">
      <c r="A355" s="192">
        <f t="shared" si="38"/>
        <v>348</v>
      </c>
      <c r="B355" s="193">
        <f>B354+31</f>
        <v>7762.9949119369312</v>
      </c>
      <c r="C355" s="191">
        <f t="shared" si="37"/>
        <v>1856646.3718700917</v>
      </c>
      <c r="D355" s="191">
        <f t="shared" si="33"/>
        <v>1718236.4183543739</v>
      </c>
      <c r="E355" s="191">
        <f t="shared" si="34"/>
        <v>148079.98670254718</v>
      </c>
      <c r="F355" s="191">
        <f t="shared" si="35"/>
        <v>9670.0331868294161</v>
      </c>
      <c r="G355" s="191">
        <f t="shared" si="36"/>
        <v>138409.95351571776</v>
      </c>
    </row>
    <row r="356" spans="1:7">
      <c r="A356" s="192">
        <f t="shared" si="38"/>
        <v>349</v>
      </c>
      <c r="B356" s="193">
        <f>B355+30</f>
        <v>7792.9949119369312</v>
      </c>
      <c r="C356" s="191">
        <f t="shared" si="37"/>
        <v>1718236.4183543739</v>
      </c>
      <c r="D356" s="191">
        <f t="shared" si="33"/>
        <v>1579105.5796640874</v>
      </c>
      <c r="E356" s="191">
        <f t="shared" si="34"/>
        <v>148079.98670254718</v>
      </c>
      <c r="F356" s="191">
        <f t="shared" si="35"/>
        <v>8949.1480122606736</v>
      </c>
      <c r="G356" s="191">
        <f t="shared" si="36"/>
        <v>139130.8386902865</v>
      </c>
    </row>
    <row r="357" spans="1:7">
      <c r="A357" s="192">
        <f t="shared" si="38"/>
        <v>350</v>
      </c>
      <c r="B357" s="193">
        <f>B356+31</f>
        <v>7823.9949119369312</v>
      </c>
      <c r="C357" s="191">
        <f t="shared" si="37"/>
        <v>1579105.5796640874</v>
      </c>
      <c r="D357" s="191">
        <f t="shared" si="33"/>
        <v>1439250.101188963</v>
      </c>
      <c r="E357" s="191">
        <f t="shared" si="34"/>
        <v>148079.98670254718</v>
      </c>
      <c r="F357" s="191">
        <f t="shared" si="35"/>
        <v>8224.5082274228334</v>
      </c>
      <c r="G357" s="191">
        <f t="shared" si="36"/>
        <v>139855.47847512434</v>
      </c>
    </row>
    <row r="358" spans="1:7">
      <c r="A358" s="192">
        <f t="shared" si="38"/>
        <v>351</v>
      </c>
      <c r="B358" s="193">
        <f>B357+30</f>
        <v>7853.9949119369312</v>
      </c>
      <c r="C358" s="191">
        <f t="shared" si="37"/>
        <v>1439250.101188963</v>
      </c>
      <c r="D358" s="191">
        <f t="shared" si="33"/>
        <v>1298666.2087634387</v>
      </c>
      <c r="E358" s="191">
        <f t="shared" si="34"/>
        <v>148079.98670254718</v>
      </c>
      <c r="F358" s="191">
        <f t="shared" si="35"/>
        <v>7496.0942770228721</v>
      </c>
      <c r="G358" s="191">
        <f t="shared" si="36"/>
        <v>140583.8924255243</v>
      </c>
    </row>
    <row r="359" spans="1:7">
      <c r="A359" s="192">
        <f t="shared" si="38"/>
        <v>352</v>
      </c>
      <c r="B359" s="193">
        <f>B358+31</f>
        <v>7884.9949119369312</v>
      </c>
      <c r="C359" s="191">
        <f t="shared" si="37"/>
        <v>1298666.2087634387</v>
      </c>
      <c r="D359" s="191">
        <f t="shared" si="33"/>
        <v>1157350.1085648711</v>
      </c>
      <c r="E359" s="191">
        <f t="shared" si="34"/>
        <v>148079.98670254718</v>
      </c>
      <c r="F359" s="191">
        <f t="shared" si="35"/>
        <v>6763.8865039795637</v>
      </c>
      <c r="G359" s="191">
        <f t="shared" si="36"/>
        <v>141316.10019856761</v>
      </c>
    </row>
    <row r="360" spans="1:7">
      <c r="A360" s="192">
        <f t="shared" si="38"/>
        <v>353</v>
      </c>
      <c r="B360" s="193">
        <f>B359+31</f>
        <v>7915.9949119369312</v>
      </c>
      <c r="C360" s="191">
        <f t="shared" si="37"/>
        <v>1157350.1085648711</v>
      </c>
      <c r="D360" s="191">
        <f t="shared" si="33"/>
        <v>1015297.9870111016</v>
      </c>
      <c r="E360" s="191">
        <f t="shared" si="34"/>
        <v>148079.98670254718</v>
      </c>
      <c r="F360" s="191">
        <f t="shared" si="35"/>
        <v>6027.8651487776078</v>
      </c>
      <c r="G360" s="191">
        <f t="shared" si="36"/>
        <v>142052.12155376957</v>
      </c>
    </row>
    <row r="361" spans="1:7">
      <c r="A361" s="192">
        <f t="shared" si="38"/>
        <v>354</v>
      </c>
      <c r="B361" s="193">
        <f>B360+28</f>
        <v>7943.9949119369312</v>
      </c>
      <c r="C361" s="191">
        <f t="shared" si="37"/>
        <v>1015297.9870111016</v>
      </c>
      <c r="D361" s="191">
        <f t="shared" si="33"/>
        <v>872506.01065756998</v>
      </c>
      <c r="E361" s="191">
        <f t="shared" si="34"/>
        <v>148079.98670254718</v>
      </c>
      <c r="F361" s="191">
        <f t="shared" si="35"/>
        <v>5288.0103490155889</v>
      </c>
      <c r="G361" s="191">
        <f t="shared" si="36"/>
        <v>142791.97635353159</v>
      </c>
    </row>
    <row r="362" spans="1:7">
      <c r="A362" s="192">
        <f t="shared" si="38"/>
        <v>355</v>
      </c>
      <c r="B362" s="193">
        <f>B361+31</f>
        <v>7974.9949119369312</v>
      </c>
      <c r="C362" s="191">
        <f t="shared" si="37"/>
        <v>872506.01065756998</v>
      </c>
      <c r="D362" s="191">
        <f t="shared" si="33"/>
        <v>728970.32609386428</v>
      </c>
      <c r="E362" s="191">
        <f t="shared" si="34"/>
        <v>148079.98670254718</v>
      </c>
      <c r="F362" s="191">
        <f t="shared" si="35"/>
        <v>4544.3021388414782</v>
      </c>
      <c r="G362" s="191">
        <f t="shared" si="36"/>
        <v>143535.6845637057</v>
      </c>
    </row>
    <row r="363" spans="1:7">
      <c r="A363" s="192">
        <f t="shared" si="38"/>
        <v>356</v>
      </c>
      <c r="B363" s="193">
        <f>B362+30</f>
        <v>8004.9949119369312</v>
      </c>
      <c r="C363" s="191">
        <f t="shared" si="37"/>
        <v>728970.32609386428</v>
      </c>
      <c r="D363" s="191">
        <f t="shared" si="33"/>
        <v>584687.05983972515</v>
      </c>
      <c r="E363" s="191">
        <f t="shared" si="34"/>
        <v>148079.98670254718</v>
      </c>
      <c r="F363" s="191">
        <f t="shared" si="35"/>
        <v>3796.720448408043</v>
      </c>
      <c r="G363" s="191">
        <f t="shared" si="36"/>
        <v>144283.26625413913</v>
      </c>
    </row>
    <row r="364" spans="1:7">
      <c r="A364" s="192">
        <f t="shared" si="38"/>
        <v>357</v>
      </c>
      <c r="B364" s="193">
        <f>B363+31</f>
        <v>8035.9949119369312</v>
      </c>
      <c r="C364" s="191">
        <f t="shared" si="37"/>
        <v>584687.05983972515</v>
      </c>
      <c r="D364" s="191">
        <f t="shared" si="33"/>
        <v>439652.3182405124</v>
      </c>
      <c r="E364" s="191">
        <f t="shared" si="34"/>
        <v>148079.98670254718</v>
      </c>
      <c r="F364" s="191">
        <f t="shared" si="35"/>
        <v>3045.2451033344259</v>
      </c>
      <c r="G364" s="191">
        <f t="shared" si="36"/>
        <v>145034.74159921275</v>
      </c>
    </row>
    <row r="365" spans="1:7">
      <c r="A365" s="192">
        <f t="shared" si="38"/>
        <v>358</v>
      </c>
      <c r="B365" s="193">
        <f>B364+30</f>
        <v>8065.9949119369312</v>
      </c>
      <c r="C365" s="191">
        <f t="shared" si="37"/>
        <v>439652.3182405124</v>
      </c>
      <c r="D365" s="191">
        <f t="shared" si="33"/>
        <v>293862.1873621355</v>
      </c>
      <c r="E365" s="191">
        <f t="shared" si="34"/>
        <v>148079.98670254718</v>
      </c>
      <c r="F365" s="191">
        <f t="shared" si="35"/>
        <v>2289.8558241702849</v>
      </c>
      <c r="G365" s="191">
        <f t="shared" si="36"/>
        <v>145790.13087837689</v>
      </c>
    </row>
    <row r="366" spans="1:7">
      <c r="A366" s="192">
        <f t="shared" si="38"/>
        <v>359</v>
      </c>
      <c r="B366" s="193">
        <f>B365+31</f>
        <v>8096.9949119369312</v>
      </c>
      <c r="C366" s="191">
        <f t="shared" si="37"/>
        <v>293862.1873621355</v>
      </c>
      <c r="D366" s="191">
        <f t="shared" si="33"/>
        <v>147312.73288543345</v>
      </c>
      <c r="E366" s="191">
        <f t="shared" si="34"/>
        <v>148079.98670254718</v>
      </c>
      <c r="F366" s="191">
        <f t="shared" si="35"/>
        <v>1530.5322258451197</v>
      </c>
      <c r="G366" s="191">
        <f t="shared" si="36"/>
        <v>146549.45447670206</v>
      </c>
    </row>
    <row r="367" spans="1:7" ht="13.5" thickBot="1">
      <c r="A367" s="202">
        <f t="shared" si="38"/>
        <v>360</v>
      </c>
      <c r="B367" s="203">
        <f>B366+31</f>
        <v>8127.9949119369312</v>
      </c>
      <c r="C367" s="204">
        <f t="shared" si="37"/>
        <v>147312.73288543345</v>
      </c>
      <c r="D367" s="204">
        <f t="shared" si="33"/>
        <v>0</v>
      </c>
      <c r="E367" s="204">
        <f t="shared" si="34"/>
        <v>148079.98670254718</v>
      </c>
      <c r="F367" s="204">
        <f t="shared" si="35"/>
        <v>767.25381711372756</v>
      </c>
      <c r="G367" s="204">
        <f t="shared" si="36"/>
        <v>147312.73288543345</v>
      </c>
    </row>
    <row r="368" spans="1:7">
      <c r="B368" s="205"/>
    </row>
    <row r="369" spans="2:2">
      <c r="B369" s="205"/>
    </row>
    <row r="370" spans="2:2">
      <c r="B370" s="205"/>
    </row>
    <row r="371" spans="2:2">
      <c r="B371" s="205"/>
    </row>
    <row r="372" spans="2:2">
      <c r="B372" s="205"/>
    </row>
    <row r="373" spans="2:2">
      <c r="B373" s="205"/>
    </row>
    <row r="374" spans="2:2">
      <c r="B374" s="205"/>
    </row>
    <row r="375" spans="2:2">
      <c r="B375" s="205"/>
    </row>
    <row r="376" spans="2:2">
      <c r="B376" s="205"/>
    </row>
    <row r="377" spans="2:2">
      <c r="B377" s="205"/>
    </row>
    <row r="378" spans="2:2">
      <c r="B378" s="205"/>
    </row>
    <row r="379" spans="2:2">
      <c r="B379" s="205"/>
    </row>
    <row r="380" spans="2:2">
      <c r="B380" s="205"/>
    </row>
    <row r="381" spans="2:2">
      <c r="B381" s="205"/>
    </row>
    <row r="382" spans="2:2">
      <c r="B382" s="205"/>
    </row>
    <row r="383" spans="2:2">
      <c r="B383" s="205"/>
    </row>
    <row r="384" spans="2:2">
      <c r="B384" s="205"/>
    </row>
    <row r="385" spans="2:2">
      <c r="B385" s="205"/>
    </row>
    <row r="386" spans="2:2">
      <c r="B386" s="205"/>
    </row>
    <row r="387" spans="2:2">
      <c r="B387" s="205"/>
    </row>
    <row r="388" spans="2:2">
      <c r="B388" s="205"/>
    </row>
    <row r="389" spans="2:2">
      <c r="B389" s="205"/>
    </row>
    <row r="390" spans="2:2">
      <c r="B390" s="205"/>
    </row>
    <row r="391" spans="2:2">
      <c r="B391" s="205"/>
    </row>
    <row r="392" spans="2:2">
      <c r="B392" s="205"/>
    </row>
    <row r="393" spans="2:2">
      <c r="B393" s="205"/>
    </row>
    <row r="394" spans="2:2">
      <c r="B394" s="205"/>
    </row>
    <row r="395" spans="2:2">
      <c r="B395" s="205"/>
    </row>
    <row r="396" spans="2:2">
      <c r="B396" s="205"/>
    </row>
    <row r="397" spans="2:2">
      <c r="B397" s="205"/>
    </row>
    <row r="398" spans="2:2">
      <c r="B398" s="205"/>
    </row>
    <row r="399" spans="2:2">
      <c r="B399" s="205"/>
    </row>
    <row r="400" spans="2:2">
      <c r="B400" s="205"/>
    </row>
    <row r="401" spans="2:2">
      <c r="B401" s="205"/>
    </row>
    <row r="402" spans="2:2">
      <c r="B402" s="205"/>
    </row>
    <row r="403" spans="2:2">
      <c r="B403" s="205"/>
    </row>
    <row r="404" spans="2:2">
      <c r="B404" s="205"/>
    </row>
    <row r="405" spans="2:2">
      <c r="B405" s="205"/>
    </row>
    <row r="406" spans="2:2">
      <c r="B406" s="205"/>
    </row>
    <row r="407" spans="2:2">
      <c r="B407" s="205"/>
    </row>
    <row r="408" spans="2:2">
      <c r="B408" s="205"/>
    </row>
    <row r="409" spans="2:2">
      <c r="B409" s="205"/>
    </row>
    <row r="410" spans="2:2">
      <c r="B410" s="205"/>
    </row>
    <row r="411" spans="2:2">
      <c r="B411" s="205"/>
    </row>
    <row r="412" spans="2:2">
      <c r="B412" s="205"/>
    </row>
    <row r="413" spans="2:2">
      <c r="B413" s="205"/>
    </row>
    <row r="414" spans="2:2">
      <c r="B414" s="205"/>
    </row>
    <row r="415" spans="2:2">
      <c r="B415" s="205"/>
    </row>
    <row r="416" spans="2:2">
      <c r="B416" s="205"/>
    </row>
    <row r="417" spans="2:2">
      <c r="B417" s="205"/>
    </row>
    <row r="418" spans="2:2">
      <c r="B418" s="205"/>
    </row>
    <row r="419" spans="2:2">
      <c r="B419" s="205"/>
    </row>
    <row r="420" spans="2:2">
      <c r="B420" s="205"/>
    </row>
    <row r="421" spans="2:2">
      <c r="B421" s="205"/>
    </row>
    <row r="422" spans="2:2">
      <c r="B422" s="205"/>
    </row>
    <row r="423" spans="2:2">
      <c r="B423" s="205"/>
    </row>
    <row r="424" spans="2:2">
      <c r="B424" s="205"/>
    </row>
    <row r="425" spans="2:2">
      <c r="B425" s="205"/>
    </row>
    <row r="426" spans="2:2">
      <c r="B426" s="205"/>
    </row>
    <row r="427" spans="2:2">
      <c r="B427" s="205"/>
    </row>
    <row r="428" spans="2:2">
      <c r="B428" s="205"/>
    </row>
    <row r="429" spans="2:2">
      <c r="B429" s="205"/>
    </row>
    <row r="430" spans="2:2">
      <c r="B430" s="205"/>
    </row>
    <row r="431" spans="2:2">
      <c r="B431" s="205"/>
    </row>
    <row r="432" spans="2:2">
      <c r="B432" s="205"/>
    </row>
    <row r="433" spans="2:2">
      <c r="B433" s="205"/>
    </row>
    <row r="434" spans="2:2">
      <c r="B434" s="205"/>
    </row>
    <row r="435" spans="2:2">
      <c r="B435" s="205"/>
    </row>
    <row r="436" spans="2:2">
      <c r="B436" s="205"/>
    </row>
    <row r="437" spans="2:2">
      <c r="B437" s="205"/>
    </row>
    <row r="438" spans="2:2">
      <c r="B438" s="205"/>
    </row>
    <row r="439" spans="2:2">
      <c r="B439" s="205"/>
    </row>
    <row r="440" spans="2:2">
      <c r="B440" s="205"/>
    </row>
    <row r="441" spans="2:2">
      <c r="B441" s="205"/>
    </row>
    <row r="442" spans="2:2">
      <c r="B442" s="205"/>
    </row>
    <row r="443" spans="2:2">
      <c r="B443" s="205"/>
    </row>
    <row r="444" spans="2:2">
      <c r="B444" s="205"/>
    </row>
    <row r="445" spans="2:2">
      <c r="B445" s="205"/>
    </row>
    <row r="446" spans="2:2">
      <c r="B446" s="205"/>
    </row>
    <row r="447" spans="2:2">
      <c r="B447" s="205"/>
    </row>
    <row r="448" spans="2:2">
      <c r="B448" s="205"/>
    </row>
    <row r="449" spans="2:2">
      <c r="B449" s="205"/>
    </row>
    <row r="450" spans="2:2">
      <c r="B450" s="205"/>
    </row>
    <row r="451" spans="2:2">
      <c r="B451" s="205"/>
    </row>
    <row r="452" spans="2:2">
      <c r="B452" s="205"/>
    </row>
    <row r="453" spans="2:2">
      <c r="B453" s="205"/>
    </row>
    <row r="454" spans="2:2">
      <c r="B454" s="205"/>
    </row>
    <row r="455" spans="2:2">
      <c r="B455" s="205"/>
    </row>
    <row r="456" spans="2:2">
      <c r="B456" s="205"/>
    </row>
    <row r="457" spans="2:2">
      <c r="B457" s="205"/>
    </row>
    <row r="458" spans="2:2">
      <c r="B458" s="205"/>
    </row>
    <row r="459" spans="2:2">
      <c r="B459" s="205"/>
    </row>
    <row r="460" spans="2:2">
      <c r="B460" s="205"/>
    </row>
    <row r="461" spans="2:2">
      <c r="B461" s="205"/>
    </row>
    <row r="462" spans="2:2">
      <c r="B462" s="205"/>
    </row>
    <row r="463" spans="2:2">
      <c r="B463" s="205"/>
    </row>
    <row r="464" spans="2:2">
      <c r="B464" s="205"/>
    </row>
    <row r="465" spans="2:2">
      <c r="B465" s="205"/>
    </row>
    <row r="466" spans="2:2">
      <c r="B466" s="205"/>
    </row>
    <row r="467" spans="2:2">
      <c r="B467" s="205"/>
    </row>
    <row r="468" spans="2:2">
      <c r="B468" s="205"/>
    </row>
    <row r="469" spans="2:2">
      <c r="B469" s="205"/>
    </row>
    <row r="470" spans="2:2">
      <c r="B470" s="205"/>
    </row>
    <row r="471" spans="2:2">
      <c r="B471" s="205"/>
    </row>
    <row r="472" spans="2:2">
      <c r="B472" s="205"/>
    </row>
    <row r="473" spans="2:2">
      <c r="B473" s="205"/>
    </row>
    <row r="474" spans="2:2">
      <c r="B474" s="205"/>
    </row>
    <row r="475" spans="2:2">
      <c r="B475" s="205"/>
    </row>
    <row r="476" spans="2:2">
      <c r="B476" s="205"/>
    </row>
    <row r="477" spans="2:2">
      <c r="B477" s="205"/>
    </row>
    <row r="478" spans="2:2">
      <c r="B478" s="205"/>
    </row>
    <row r="479" spans="2:2">
      <c r="B479" s="205"/>
    </row>
    <row r="480" spans="2:2">
      <c r="B480" s="205"/>
    </row>
    <row r="481" spans="2:2">
      <c r="B481" s="205"/>
    </row>
    <row r="482" spans="2:2">
      <c r="B482" s="205"/>
    </row>
    <row r="483" spans="2:2">
      <c r="B483" s="205"/>
    </row>
    <row r="484" spans="2:2">
      <c r="B484" s="205"/>
    </row>
    <row r="485" spans="2:2">
      <c r="B485" s="205"/>
    </row>
    <row r="486" spans="2:2">
      <c r="B486" s="205"/>
    </row>
    <row r="487" spans="2:2">
      <c r="B487" s="205"/>
    </row>
    <row r="488" spans="2:2">
      <c r="B488" s="205"/>
    </row>
    <row r="489" spans="2:2">
      <c r="B489" s="205"/>
    </row>
    <row r="490" spans="2:2">
      <c r="B490" s="205"/>
    </row>
    <row r="491" spans="2:2">
      <c r="B491" s="205"/>
    </row>
    <row r="492" spans="2:2">
      <c r="B492" s="205"/>
    </row>
    <row r="493" spans="2:2">
      <c r="B493" s="205"/>
    </row>
    <row r="494" spans="2:2">
      <c r="B494" s="205"/>
    </row>
    <row r="495" spans="2:2">
      <c r="B495" s="205"/>
    </row>
    <row r="496" spans="2:2">
      <c r="B496" s="205"/>
    </row>
    <row r="497" spans="2:2">
      <c r="B497" s="205"/>
    </row>
    <row r="498" spans="2:2">
      <c r="B498" s="205"/>
    </row>
    <row r="499" spans="2:2">
      <c r="B499" s="205"/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1992a17-f442-4f39-8d0b-30c0173c04a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470D22066072A42BE3024D6D616E7E3" ma:contentTypeVersion="16" ma:contentTypeDescription="Create a new document." ma:contentTypeScope="" ma:versionID="c743684451d6232b5b94ffb66f92a01d">
  <xsd:schema xmlns:xsd="http://www.w3.org/2001/XMLSchema" xmlns:xs="http://www.w3.org/2001/XMLSchema" xmlns:p="http://schemas.microsoft.com/office/2006/metadata/properties" xmlns:ns3="b1992a17-f442-4f39-8d0b-30c0173c04a0" xmlns:ns4="8a6a849f-1496-4b1c-b22c-4e8dd62727a5" targetNamespace="http://schemas.microsoft.com/office/2006/metadata/properties" ma:root="true" ma:fieldsID="4bd1ef9e15e8bc1daddd0fbb205ffd7a" ns3:_="" ns4:_="">
    <xsd:import namespace="b1992a17-f442-4f39-8d0b-30c0173c04a0"/>
    <xsd:import namespace="8a6a849f-1496-4b1c-b22c-4e8dd62727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992a17-f442-4f39-8d0b-30c0173c04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6a849f-1496-4b1c-b22c-4e8dd62727a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53F749-FCDA-4F20-BA75-93EA6EC507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3025D-FC6A-4AA8-9DF5-C4E9A465B34A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  <ds:schemaRef ds:uri="b1992a17-f442-4f39-8d0b-30c0173c04a0"/>
    <ds:schemaRef ds:uri="http://schemas.microsoft.com/office/infopath/2007/PartnerControls"/>
    <ds:schemaRef ds:uri="8a6a849f-1496-4b1c-b22c-4e8dd62727a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6191A98-D6E8-4F77-802D-DBA7FA4C80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992a17-f442-4f39-8d0b-30c0173c04a0"/>
    <ds:schemaRef ds:uri="8a6a849f-1496-4b1c-b22c-4e8dd62727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HHA Benefits Analysis</vt:lpstr>
      <vt:lpstr>Benefits Analysis</vt:lpstr>
      <vt:lpstr>SOURCES and USES of FUNDS</vt:lpstr>
      <vt:lpstr>P&amp;L</vt:lpstr>
      <vt:lpstr>Cash Flow + Debt</vt:lpstr>
      <vt:lpstr>Mixed Rent</vt:lpstr>
      <vt:lpstr>10 Years Mixed</vt:lpstr>
      <vt:lpstr>Project</vt:lpstr>
      <vt:lpstr>Amort Schedule </vt:lpstr>
      <vt:lpstr>'Amort Schedule '!Print_Area</vt:lpstr>
      <vt:lpstr>Project!Print_Area</vt:lpstr>
      <vt:lpstr>'Amort Schedule 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Gilliam</dc:creator>
  <cp:lastModifiedBy>Kennedy, Steven</cp:lastModifiedBy>
  <cp:lastPrinted>2022-09-08T13:33:22Z</cp:lastPrinted>
  <dcterms:created xsi:type="dcterms:W3CDTF">2020-06-10T03:28:38Z</dcterms:created>
  <dcterms:modified xsi:type="dcterms:W3CDTF">2026-01-21T14:55:45Z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0x010100E470D22066072A42BE3024D6D616E7E3</vt:lpwstr>
  </property>
</Properties>
</file>