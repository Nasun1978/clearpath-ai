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tevenkennedy/Downloads/clearpath-ai/"/>
    </mc:Choice>
  </mc:AlternateContent>
  <xr:revisionPtr revIDLastSave="0" documentId="8_{2F994B61-D012-154B-80E8-CD603351DB2F}" xr6:coauthVersionLast="47" xr6:coauthVersionMax="47" xr10:uidLastSave="{00000000-0000-0000-0000-000000000000}"/>
  <bookViews>
    <workbookView xWindow="4420" yWindow="1780" windowWidth="25820" windowHeight="16420" tabRatio="500" firstSheet="8" activeTab="13" xr2:uid="{00000000-000D-0000-FFFF-FFFF00000000}"/>
  </bookViews>
  <sheets>
    <sheet name="READ ME — TEMPLATE" sheetId="1" r:id="rId1"/>
    <sheet name="Inputs" sheetId="2" state="hidden" r:id="rId2"/>
    <sheet name="Constr Sources-Uses" sheetId="17" r:id="rId3"/>
    <sheet name="Perm Sources-Uses" sheetId="18" r:id="rId4"/>
    <sheet name="Amortization Table" sheetId="19" r:id="rId5"/>
    <sheet name="DDF Note" sheetId="20" r:id="rId6"/>
    <sheet name="Development Budget" sheetId="6" r:id="rId7"/>
    <sheet name="Rent Schedule" sheetId="7" r:id="rId8"/>
    <sheet name="Operating Expense" sheetId="8" r:id="rId9"/>
    <sheet name="20yr Proforma" sheetId="9" r:id="rId10"/>
    <sheet name="Credit Delivery &amp; Pay-Ins" sheetId="10" r:id="rId11"/>
    <sheet name="Flow of Funds" sheetId="11" r:id="rId12"/>
    <sheet name="Developer Fee Schedule" sheetId="12" r:id="rId13"/>
    <sheet name="25% Test" sheetId="13" r:id="rId14"/>
    <sheet name="Income (2)" sheetId="14" state="hidden" r:id="rId15"/>
    <sheet name="Income" sheetId="15" state="hidden" r:id="rId16"/>
    <sheet name="Construction Sources-Uses" sheetId="16" state="hidden" r:id="rId17"/>
  </sheets>
  <externalReferences>
    <externalReference r:id="rId18"/>
  </externalReferences>
  <definedNames>
    <definedName name="AddRevY1">'Rent Schedule'!$K$34</definedName>
    <definedName name="CommRent">Inputs!$E$58</definedName>
    <definedName name="CommSqFt">Inputs!$C$58</definedName>
    <definedName name="ExpInfl">Inputs!$C$36</definedName>
    <definedName name="ExpTotalY1">'Operating Expense'!$E$20</definedName>
    <definedName name="GrossOpEx">'Operating Expense'!$E$20</definedName>
    <definedName name="GrossRentIncomeY1">'Rent Schedule'!$K$26</definedName>
    <definedName name="LIUnits">'Rent Schedule'!$D$26</definedName>
    <definedName name="NetIncomeY1">'Rent Schedule'!$K$42</definedName>
    <definedName name="NOI">'20yr Proforma'!$F$24</definedName>
    <definedName name="ProjName" localSheetId="2">'Constr Sources-Uses'!$A$2</definedName>
    <definedName name="ProjName" localSheetId="3">'Perm Sources-Uses'!$A$2</definedName>
    <definedName name="ProjName">"'Summary_Sources-Uses'!$A$2"</definedName>
    <definedName name="PropTaxes">'Operating Expense'!$E$133</definedName>
    <definedName name="ReplRes">'Operating Expense'!$E$21</definedName>
    <definedName name="ReplReserve">Inputs!$C$37</definedName>
    <definedName name="RevInfl">Inputs!$C$35</definedName>
    <definedName name="Tenancy">1-Inputs!$C$34</definedName>
    <definedName name="TotalUnitCount">Inputs!$C$2</definedName>
    <definedName name="TtlUnits">'Rent Schedule'!$D$26</definedName>
    <definedName name="Vacancy">Inputs!$C$34</definedName>
    <definedName name="VacRate">Inputs!$C$34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4" i="12" l="1"/>
  <c r="K23" i="12"/>
  <c r="I24" i="12"/>
  <c r="I23" i="12"/>
  <c r="H24" i="12"/>
  <c r="H23" i="12"/>
  <c r="G24" i="12"/>
  <c r="G23" i="12"/>
  <c r="F24" i="12"/>
  <c r="F23" i="12"/>
  <c r="E24" i="12"/>
  <c r="E23" i="12"/>
  <c r="K21" i="12"/>
  <c r="K20" i="12"/>
  <c r="I21" i="12"/>
  <c r="I20" i="12"/>
  <c r="H21" i="12"/>
  <c r="H20" i="12"/>
  <c r="G21" i="12"/>
  <c r="G20" i="12"/>
  <c r="F21" i="12"/>
  <c r="F20" i="12"/>
  <c r="E21" i="12"/>
  <c r="E20" i="12"/>
  <c r="K18" i="12"/>
  <c r="I18" i="12"/>
  <c r="H18" i="12"/>
  <c r="G18" i="12"/>
  <c r="F18" i="12"/>
  <c r="E18" i="12"/>
  <c r="K16" i="12"/>
  <c r="K15" i="12"/>
  <c r="K13" i="12"/>
  <c r="K9" i="12"/>
  <c r="K7" i="12"/>
  <c r="I9" i="12"/>
  <c r="H9" i="12"/>
  <c r="G9" i="12"/>
  <c r="F9" i="12"/>
  <c r="E9" i="12"/>
  <c r="F101" i="11"/>
  <c r="F100" i="11"/>
  <c r="AW100" i="11" s="1"/>
  <c r="F102" i="11"/>
  <c r="F99" i="11"/>
  <c r="F97" i="11"/>
  <c r="F96" i="11"/>
  <c r="F95" i="11"/>
  <c r="F94" i="11"/>
  <c r="F93" i="11"/>
  <c r="F91" i="11"/>
  <c r="F90" i="11"/>
  <c r="F89" i="11"/>
  <c r="F88" i="11"/>
  <c r="F86" i="11"/>
  <c r="F85" i="11"/>
  <c r="F84" i="11"/>
  <c r="F83" i="11"/>
  <c r="F82" i="11"/>
  <c r="F81" i="11"/>
  <c r="F79" i="11"/>
  <c r="F78" i="11"/>
  <c r="F77" i="11"/>
  <c r="F76" i="11"/>
  <c r="F75" i="11"/>
  <c r="F73" i="11"/>
  <c r="F72" i="11"/>
  <c r="F71" i="11"/>
  <c r="F70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5" i="11"/>
  <c r="F54" i="11"/>
  <c r="F53" i="11"/>
  <c r="F52" i="11"/>
  <c r="F51" i="11"/>
  <c r="F50" i="11"/>
  <c r="F49" i="11"/>
  <c r="F48" i="11"/>
  <c r="F47" i="11"/>
  <c r="F45" i="11"/>
  <c r="F44" i="11"/>
  <c r="F43" i="11"/>
  <c r="F42" i="11"/>
  <c r="F41" i="11"/>
  <c r="F40" i="11"/>
  <c r="F32" i="11"/>
  <c r="F31" i="11"/>
  <c r="F30" i="11"/>
  <c r="F29" i="11"/>
  <c r="F28" i="11"/>
  <c r="F27" i="11"/>
  <c r="F26" i="11"/>
  <c r="F25" i="11"/>
  <c r="F24" i="11"/>
  <c r="F21" i="11"/>
  <c r="D15" i="11"/>
  <c r="D14" i="11"/>
  <c r="D13" i="11"/>
  <c r="D12" i="11"/>
  <c r="D11" i="11"/>
  <c r="D10" i="11"/>
  <c r="D9" i="11"/>
  <c r="D8" i="11"/>
  <c r="F15" i="11"/>
  <c r="F14" i="11"/>
  <c r="F13" i="11"/>
  <c r="F12" i="11"/>
  <c r="F11" i="11"/>
  <c r="F16" i="11" s="1"/>
  <c r="F10" i="11"/>
  <c r="AW10" i="11" s="1"/>
  <c r="F9" i="11"/>
  <c r="F8" i="11"/>
  <c r="F7" i="11"/>
  <c r="F6" i="11"/>
  <c r="B7" i="11"/>
  <c r="H108" i="11"/>
  <c r="H106" i="11"/>
  <c r="H105" i="11"/>
  <c r="H104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J108" i="11"/>
  <c r="AK108" i="11"/>
  <c r="AL108" i="11"/>
  <c r="AM108" i="11"/>
  <c r="AN108" i="11"/>
  <c r="AO108" i="11"/>
  <c r="AP108" i="11"/>
  <c r="AQ108" i="11"/>
  <c r="AR108" i="11"/>
  <c r="AS108" i="11"/>
  <c r="AT108" i="11"/>
  <c r="AU108" i="11"/>
  <c r="J105" i="11"/>
  <c r="J106" i="11" s="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J104" i="11"/>
  <c r="AK104" i="11"/>
  <c r="AL104" i="11"/>
  <c r="AM104" i="11"/>
  <c r="AN104" i="11"/>
  <c r="AO104" i="11"/>
  <c r="AP104" i="11"/>
  <c r="AQ104" i="11"/>
  <c r="AR104" i="11"/>
  <c r="AS104" i="11"/>
  <c r="AT104" i="11"/>
  <c r="AU104" i="11"/>
  <c r="I108" i="11"/>
  <c r="I105" i="11"/>
  <c r="I106" i="11" s="1"/>
  <c r="I104" i="11"/>
  <c r="C111" i="11"/>
  <c r="C110" i="11"/>
  <c r="C108" i="11"/>
  <c r="H160" i="11"/>
  <c r="H159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J158" i="11"/>
  <c r="AK158" i="11"/>
  <c r="AL158" i="11"/>
  <c r="AM158" i="11"/>
  <c r="AN158" i="11"/>
  <c r="AO158" i="11"/>
  <c r="AP158" i="11"/>
  <c r="AQ158" i="11"/>
  <c r="AR158" i="11"/>
  <c r="AS158" i="11"/>
  <c r="AT158" i="11"/>
  <c r="AU158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J157" i="11"/>
  <c r="AK157" i="11"/>
  <c r="AL157" i="11"/>
  <c r="AM157" i="11"/>
  <c r="AN157" i="11"/>
  <c r="AO157" i="11"/>
  <c r="AP157" i="11"/>
  <c r="AQ157" i="11"/>
  <c r="AR157" i="11"/>
  <c r="AS157" i="11"/>
  <c r="AT157" i="11"/>
  <c r="AU157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J156" i="11"/>
  <c r="AK156" i="11"/>
  <c r="AL156" i="11"/>
  <c r="AM156" i="11"/>
  <c r="AN156" i="11"/>
  <c r="AO156" i="11"/>
  <c r="AP156" i="11"/>
  <c r="AQ156" i="11"/>
  <c r="AR156" i="11"/>
  <c r="AS156" i="11"/>
  <c r="AT156" i="11"/>
  <c r="AU156" i="11"/>
  <c r="I158" i="11"/>
  <c r="I157" i="11"/>
  <c r="I156" i="11"/>
  <c r="H153" i="11"/>
  <c r="H152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J151" i="11"/>
  <c r="AK151" i="11"/>
  <c r="AL151" i="11"/>
  <c r="AM151" i="11"/>
  <c r="AN151" i="11"/>
  <c r="AO151" i="11"/>
  <c r="AP151" i="11"/>
  <c r="AQ151" i="11"/>
  <c r="AR151" i="11"/>
  <c r="AS151" i="11"/>
  <c r="AT151" i="11"/>
  <c r="AU151" i="11"/>
  <c r="J150" i="11"/>
  <c r="K150" i="11"/>
  <c r="L150" i="11"/>
  <c r="M150" i="11"/>
  <c r="N150" i="11"/>
  <c r="O150" i="11"/>
  <c r="P150" i="11"/>
  <c r="Q150" i="11" s="1"/>
  <c r="R150" i="11" s="1"/>
  <c r="S150" i="11" s="1"/>
  <c r="T150" i="11" s="1"/>
  <c r="U150" i="11" s="1"/>
  <c r="V150" i="11" s="1"/>
  <c r="W150" i="11" s="1"/>
  <c r="X150" i="11" s="1"/>
  <c r="Y150" i="11" s="1"/>
  <c r="Z150" i="11" s="1"/>
  <c r="AA150" i="11" s="1"/>
  <c r="AB150" i="11" s="1"/>
  <c r="AC150" i="11" s="1"/>
  <c r="AD150" i="11" s="1"/>
  <c r="AE150" i="11" s="1"/>
  <c r="AF150" i="11" s="1"/>
  <c r="AG150" i="11" s="1"/>
  <c r="AH150" i="11" s="1"/>
  <c r="AI150" i="11" s="1"/>
  <c r="AJ150" i="11" s="1"/>
  <c r="AK150" i="11" s="1"/>
  <c r="AL150" i="11" s="1"/>
  <c r="AM150" i="11" s="1"/>
  <c r="AN150" i="11" s="1"/>
  <c r="AO150" i="11" s="1"/>
  <c r="AP150" i="11" s="1"/>
  <c r="AQ150" i="11" s="1"/>
  <c r="AR150" i="11" s="1"/>
  <c r="AS150" i="11" s="1"/>
  <c r="AT150" i="11" s="1"/>
  <c r="AU150" i="11" s="1"/>
  <c r="I151" i="11"/>
  <c r="I150" i="11"/>
  <c r="H145" i="11"/>
  <c r="H144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J143" i="11"/>
  <c r="AK143" i="11"/>
  <c r="AL143" i="11"/>
  <c r="AM143" i="11"/>
  <c r="AN143" i="11"/>
  <c r="AO143" i="11"/>
  <c r="AP143" i="11"/>
  <c r="AQ143" i="11"/>
  <c r="AR143" i="11"/>
  <c r="AS143" i="11"/>
  <c r="AT143" i="11"/>
  <c r="AU143" i="11"/>
  <c r="J142" i="11"/>
  <c r="K142" i="11"/>
  <c r="L142" i="11"/>
  <c r="M142" i="11"/>
  <c r="N142" i="11"/>
  <c r="O142" i="11"/>
  <c r="P142" i="11"/>
  <c r="Q142" i="1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AG142" i="11" s="1"/>
  <c r="AH142" i="11" s="1"/>
  <c r="AI142" i="11" s="1"/>
  <c r="AJ142" i="11" s="1"/>
  <c r="AK142" i="11" s="1"/>
  <c r="AL142" i="11" s="1"/>
  <c r="AM142" i="11" s="1"/>
  <c r="AN142" i="11" s="1"/>
  <c r="AO142" i="11" s="1"/>
  <c r="AP142" i="11" s="1"/>
  <c r="AQ142" i="11" s="1"/>
  <c r="AR142" i="11" s="1"/>
  <c r="AS142" i="11" s="1"/>
  <c r="AT142" i="11" s="1"/>
  <c r="AU142" i="11" s="1"/>
  <c r="I143" i="11"/>
  <c r="I142" i="11"/>
  <c r="H137" i="11"/>
  <c r="H136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J135" i="11"/>
  <c r="AK135" i="11"/>
  <c r="AL135" i="11"/>
  <c r="AM135" i="11"/>
  <c r="AN135" i="11"/>
  <c r="AO135" i="11"/>
  <c r="AP135" i="11"/>
  <c r="AQ135" i="11"/>
  <c r="AR135" i="11"/>
  <c r="AS135" i="11"/>
  <c r="AT135" i="11"/>
  <c r="AU135" i="11"/>
  <c r="J134" i="11"/>
  <c r="K134" i="11"/>
  <c r="K125" i="11" s="1"/>
  <c r="K126" i="11" s="1"/>
  <c r="K127" i="11" s="1"/>
  <c r="L134" i="11"/>
  <c r="M134" i="11" s="1"/>
  <c r="I135" i="11"/>
  <c r="I134" i="11"/>
  <c r="J125" i="11"/>
  <c r="J126" i="11" s="1"/>
  <c r="J127" i="11" s="1"/>
  <c r="I125" i="11"/>
  <c r="I126" i="11" s="1"/>
  <c r="I127" i="11" s="1"/>
  <c r="H122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J121" i="11"/>
  <c r="AK121" i="11"/>
  <c r="AL121" i="11"/>
  <c r="AM121" i="11"/>
  <c r="AN121" i="11"/>
  <c r="AO121" i="11"/>
  <c r="AP121" i="11"/>
  <c r="AQ121" i="11"/>
  <c r="AR121" i="11"/>
  <c r="AS121" i="11"/>
  <c r="AT121" i="11"/>
  <c r="AU121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J120" i="11"/>
  <c r="AK120" i="11"/>
  <c r="AL120" i="11"/>
  <c r="AM120" i="11"/>
  <c r="AN120" i="11"/>
  <c r="AO120" i="11"/>
  <c r="AP120" i="11"/>
  <c r="AQ120" i="11"/>
  <c r="AR120" i="11"/>
  <c r="AS120" i="11"/>
  <c r="AT120" i="11"/>
  <c r="AU120" i="11"/>
  <c r="I121" i="11"/>
  <c r="I120" i="11"/>
  <c r="H117" i="11"/>
  <c r="H116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J115" i="11"/>
  <c r="AK115" i="11"/>
  <c r="AL115" i="11"/>
  <c r="AM115" i="11"/>
  <c r="AN115" i="11"/>
  <c r="AO115" i="11"/>
  <c r="AP115" i="11"/>
  <c r="AQ115" i="11"/>
  <c r="AR115" i="11"/>
  <c r="AS115" i="11"/>
  <c r="AT115" i="11"/>
  <c r="AU115" i="11"/>
  <c r="J114" i="11"/>
  <c r="K114" i="1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AG114" i="11" s="1"/>
  <c r="AH114" i="11" s="1"/>
  <c r="AI114" i="11" s="1"/>
  <c r="AJ114" i="11" s="1"/>
  <c r="AK114" i="11" s="1"/>
  <c r="AL114" i="11" s="1"/>
  <c r="AM114" i="11" s="1"/>
  <c r="AN114" i="11" s="1"/>
  <c r="AO114" i="11" s="1"/>
  <c r="AP114" i="11" s="1"/>
  <c r="AQ114" i="11" s="1"/>
  <c r="AR114" i="11" s="1"/>
  <c r="AS114" i="11" s="1"/>
  <c r="AT114" i="11" s="1"/>
  <c r="AU114" i="11" s="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J113" i="11"/>
  <c r="AK113" i="11"/>
  <c r="AL113" i="11"/>
  <c r="AM113" i="11"/>
  <c r="AN113" i="11"/>
  <c r="AO113" i="11"/>
  <c r="AP113" i="11"/>
  <c r="AQ113" i="11"/>
  <c r="AR113" i="11"/>
  <c r="AS113" i="11"/>
  <c r="AT113" i="11"/>
  <c r="AU113" i="11"/>
  <c r="I115" i="11"/>
  <c r="I114" i="11"/>
  <c r="I113" i="11"/>
  <c r="AW102" i="11"/>
  <c r="AV102" i="11"/>
  <c r="AW101" i="11"/>
  <c r="AV101" i="11"/>
  <c r="AV100" i="11"/>
  <c r="AW99" i="11"/>
  <c r="AV99" i="11"/>
  <c r="AW97" i="11"/>
  <c r="AV97" i="11"/>
  <c r="AW96" i="11"/>
  <c r="AV96" i="11"/>
  <c r="AW95" i="11"/>
  <c r="AV95" i="11"/>
  <c r="AW94" i="11"/>
  <c r="AV94" i="11"/>
  <c r="AW93" i="11"/>
  <c r="AV93" i="11"/>
  <c r="AW91" i="11"/>
  <c r="AV91" i="11"/>
  <c r="AW90" i="11"/>
  <c r="AV90" i="11"/>
  <c r="AW89" i="11"/>
  <c r="AV89" i="11"/>
  <c r="AW88" i="11"/>
  <c r="AV88" i="11"/>
  <c r="AW86" i="11"/>
  <c r="AV86" i="11"/>
  <c r="AW85" i="11"/>
  <c r="AV85" i="11"/>
  <c r="AW84" i="11"/>
  <c r="AV84" i="11"/>
  <c r="AW83" i="11"/>
  <c r="AV83" i="11"/>
  <c r="AW82" i="11"/>
  <c r="AV82" i="11"/>
  <c r="AW81" i="11"/>
  <c r="AV81" i="11"/>
  <c r="AW79" i="11"/>
  <c r="AV79" i="11"/>
  <c r="AW78" i="11"/>
  <c r="AV78" i="11"/>
  <c r="AW77" i="11"/>
  <c r="AV77" i="11"/>
  <c r="AW76" i="11"/>
  <c r="AV76" i="11"/>
  <c r="AW75" i="11"/>
  <c r="AV75" i="11"/>
  <c r="AW73" i="11"/>
  <c r="AV73" i="11"/>
  <c r="AW72" i="11"/>
  <c r="AV72" i="11"/>
  <c r="AW71" i="11"/>
  <c r="AV71" i="11"/>
  <c r="AW70" i="11"/>
  <c r="AV70" i="11"/>
  <c r="AW68" i="11"/>
  <c r="AV68" i="11"/>
  <c r="AW67" i="11"/>
  <c r="AV67" i="11"/>
  <c r="AW66" i="11"/>
  <c r="AV66" i="11"/>
  <c r="AW65" i="11"/>
  <c r="AV65" i="11"/>
  <c r="AW64" i="11"/>
  <c r="AV64" i="11"/>
  <c r="AW63" i="11"/>
  <c r="AV63" i="11"/>
  <c r="AW62" i="11"/>
  <c r="AV62" i="11"/>
  <c r="AW61" i="11"/>
  <c r="AV61" i="11"/>
  <c r="AW60" i="11"/>
  <c r="AV60" i="11"/>
  <c r="AW59" i="11"/>
  <c r="AV59" i="11"/>
  <c r="AW58" i="11"/>
  <c r="AV58" i="11"/>
  <c r="AW57" i="11"/>
  <c r="AV57" i="11"/>
  <c r="AW55" i="11"/>
  <c r="AV55" i="11"/>
  <c r="AW54" i="11"/>
  <c r="AV54" i="11"/>
  <c r="AW53" i="11"/>
  <c r="AV53" i="11"/>
  <c r="AW52" i="11"/>
  <c r="AV52" i="11"/>
  <c r="AW51" i="11"/>
  <c r="AV51" i="11"/>
  <c r="AW50" i="11"/>
  <c r="AV50" i="11"/>
  <c r="AW49" i="11"/>
  <c r="AV49" i="11"/>
  <c r="AW48" i="11"/>
  <c r="AV48" i="11"/>
  <c r="AW47" i="11"/>
  <c r="AV47" i="11"/>
  <c r="AW45" i="11"/>
  <c r="AV45" i="11"/>
  <c r="AW44" i="11"/>
  <c r="AV44" i="11"/>
  <c r="AW43" i="11"/>
  <c r="AV43" i="11"/>
  <c r="AW42" i="11"/>
  <c r="AV42" i="11"/>
  <c r="AW41" i="11"/>
  <c r="AV41" i="11"/>
  <c r="AW40" i="11"/>
  <c r="AV40" i="11"/>
  <c r="AW35" i="11"/>
  <c r="AV35" i="11"/>
  <c r="AW34" i="11"/>
  <c r="AV34" i="11"/>
  <c r="AW33" i="11"/>
  <c r="AV33" i="11"/>
  <c r="AW32" i="11"/>
  <c r="AV32" i="11"/>
  <c r="AW31" i="11"/>
  <c r="AV31" i="11"/>
  <c r="AW30" i="11"/>
  <c r="AV30" i="11"/>
  <c r="AW29" i="11"/>
  <c r="AV29" i="11"/>
  <c r="AW28" i="11"/>
  <c r="AV28" i="11"/>
  <c r="AW27" i="11"/>
  <c r="AV27" i="11"/>
  <c r="AW26" i="11"/>
  <c r="AV26" i="11"/>
  <c r="AW25" i="11"/>
  <c r="AV25" i="11"/>
  <c r="AW24" i="11"/>
  <c r="AV24" i="11"/>
  <c r="AW21" i="11"/>
  <c r="AV21" i="11"/>
  <c r="AW15" i="11"/>
  <c r="AV15" i="11"/>
  <c r="AW14" i="11"/>
  <c r="AV14" i="11"/>
  <c r="AW13" i="11"/>
  <c r="AV13" i="11"/>
  <c r="AW12" i="11"/>
  <c r="AV12" i="11"/>
  <c r="AV11" i="11"/>
  <c r="AV10" i="11"/>
  <c r="AW9" i="11"/>
  <c r="AV9" i="11"/>
  <c r="AW8" i="11"/>
  <c r="AV8" i="11"/>
  <c r="AW7" i="11"/>
  <c r="AV7" i="11"/>
  <c r="AU103" i="11"/>
  <c r="AT103" i="11"/>
  <c r="AS103" i="11"/>
  <c r="AR103" i="11"/>
  <c r="AQ103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103" i="11"/>
  <c r="G103" i="11"/>
  <c r="H37" i="11"/>
  <c r="G37" i="11"/>
  <c r="F37" i="11"/>
  <c r="F103" i="11" s="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AV16" i="11"/>
  <c r="H16" i="11"/>
  <c r="G16" i="11"/>
  <c r="U6" i="7"/>
  <c r="U3" i="7"/>
  <c r="U2" i="7"/>
  <c r="R10" i="7" a="1"/>
  <c r="R10" i="7" s="1"/>
  <c r="R8" i="7"/>
  <c r="E57" i="7"/>
  <c r="E56" i="7"/>
  <c r="D57" i="7"/>
  <c r="D56" i="7" a="1"/>
  <c r="D56" i="7" s="1"/>
  <c r="C57" i="7"/>
  <c r="C56" i="7"/>
  <c r="D42" i="7"/>
  <c r="D41" i="7"/>
  <c r="D40" i="7"/>
  <c r="D39" i="7"/>
  <c r="C42" i="7"/>
  <c r="C41" i="7" a="1"/>
  <c r="C41" i="7" s="1"/>
  <c r="C40" i="7" a="1"/>
  <c r="C40" i="7" s="1"/>
  <c r="C39" i="7" a="1"/>
  <c r="C39" i="7" s="1"/>
  <c r="F52" i="7"/>
  <c r="D52" i="7"/>
  <c r="C52" i="7"/>
  <c r="I51" i="7"/>
  <c r="I49" i="7"/>
  <c r="I48" i="7"/>
  <c r="I47" i="7"/>
  <c r="I46" i="7"/>
  <c r="I45" i="7"/>
  <c r="H51" i="7"/>
  <c r="H50" i="7"/>
  <c r="H49" i="7"/>
  <c r="H48" i="7"/>
  <c r="H47" i="7"/>
  <c r="H46" i="7"/>
  <c r="H45" i="7"/>
  <c r="F51" i="7"/>
  <c r="D51" i="7"/>
  <c r="C51" i="7"/>
  <c r="F50" i="7"/>
  <c r="F49" i="7"/>
  <c r="F48" i="7"/>
  <c r="F47" i="7"/>
  <c r="F46" i="7"/>
  <c r="F45" i="7"/>
  <c r="D46" i="7" a="1"/>
  <c r="D46" i="7" s="1"/>
  <c r="D45" i="7" a="1"/>
  <c r="D45" i="7" s="1"/>
  <c r="C46" i="7" a="1"/>
  <c r="C46" i="7" s="1"/>
  <c r="C45" i="7" a="1"/>
  <c r="C45" i="7" s="1"/>
  <c r="K42" i="7"/>
  <c r="K41" i="7"/>
  <c r="K40" i="7"/>
  <c r="K39" i="7"/>
  <c r="K38" i="7"/>
  <c r="K34" i="7"/>
  <c r="H34" i="7"/>
  <c r="K33" i="7"/>
  <c r="K32" i="7"/>
  <c r="K31" i="7"/>
  <c r="K30" i="7"/>
  <c r="K29" i="7"/>
  <c r="J94" i="6"/>
  <c r="J93" i="6"/>
  <c r="J92" i="6"/>
  <c r="J91" i="6"/>
  <c r="J90" i="6"/>
  <c r="J88" i="6"/>
  <c r="J87" i="6"/>
  <c r="J86" i="6"/>
  <c r="J85" i="6"/>
  <c r="J84" i="6"/>
  <c r="J83" i="6"/>
  <c r="J81" i="6"/>
  <c r="J80" i="6"/>
  <c r="J79" i="6"/>
  <c r="J78" i="6"/>
  <c r="J77" i="6"/>
  <c r="J75" i="6"/>
  <c r="J74" i="6"/>
  <c r="J73" i="6"/>
  <c r="J72" i="6"/>
  <c r="J71" i="6"/>
  <c r="J70" i="6"/>
  <c r="J69" i="6"/>
  <c r="J67" i="6"/>
  <c r="J66" i="6"/>
  <c r="J65" i="6"/>
  <c r="J64" i="6"/>
  <c r="J63" i="6"/>
  <c r="J62" i="6"/>
  <c r="J60" i="6"/>
  <c r="J59" i="6"/>
  <c r="J58" i="6"/>
  <c r="J57" i="6"/>
  <c r="J56" i="6"/>
  <c r="J54" i="6"/>
  <c r="J51" i="6"/>
  <c r="J49" i="6"/>
  <c r="J46" i="6"/>
  <c r="J43" i="6"/>
  <c r="J42" i="6"/>
  <c r="J40" i="6"/>
  <c r="J39" i="6"/>
  <c r="J38" i="6"/>
  <c r="J37" i="6"/>
  <c r="J36" i="6"/>
  <c r="J35" i="6"/>
  <c r="J33" i="6"/>
  <c r="J32" i="6"/>
  <c r="J29" i="6"/>
  <c r="J27" i="6"/>
  <c r="J26" i="6"/>
  <c r="J25" i="6"/>
  <c r="J24" i="6"/>
  <c r="J21" i="6"/>
  <c r="J20" i="6"/>
  <c r="J15" i="6"/>
  <c r="J13" i="6"/>
  <c r="J12" i="6"/>
  <c r="J10" i="6"/>
  <c r="J9" i="6"/>
  <c r="I94" i="6"/>
  <c r="I93" i="6"/>
  <c r="I92" i="6"/>
  <c r="H92" i="6"/>
  <c r="G92" i="6"/>
  <c r="H91" i="6"/>
  <c r="G91" i="6"/>
  <c r="H88" i="6"/>
  <c r="G88" i="6"/>
  <c r="H81" i="6"/>
  <c r="G81" i="6"/>
  <c r="H75" i="6"/>
  <c r="G75" i="6"/>
  <c r="H67" i="6"/>
  <c r="G67" i="6"/>
  <c r="H60" i="6"/>
  <c r="G60" i="6"/>
  <c r="H54" i="6"/>
  <c r="G54" i="6"/>
  <c r="H40" i="6"/>
  <c r="G40" i="6"/>
  <c r="H29" i="6"/>
  <c r="G29" i="6"/>
  <c r="H21" i="6"/>
  <c r="G21" i="6"/>
  <c r="H10" i="6"/>
  <c r="G10" i="6"/>
  <c r="G93" i="6"/>
  <c r="G94" i="6" s="1"/>
  <c r="H94" i="6" s="1"/>
  <c r="G90" i="6"/>
  <c r="G87" i="6"/>
  <c r="G86" i="6"/>
  <c r="G85" i="6"/>
  <c r="G84" i="6"/>
  <c r="G83" i="6"/>
  <c r="G80" i="6"/>
  <c r="G79" i="6"/>
  <c r="G78" i="6"/>
  <c r="G77" i="6"/>
  <c r="G74" i="6"/>
  <c r="G73" i="6"/>
  <c r="G72" i="6"/>
  <c r="G71" i="6"/>
  <c r="G70" i="6"/>
  <c r="G69" i="6"/>
  <c r="G66" i="6"/>
  <c r="G65" i="6"/>
  <c r="G64" i="6"/>
  <c r="G63" i="6"/>
  <c r="G62" i="6"/>
  <c r="G59" i="6"/>
  <c r="G58" i="6"/>
  <c r="G57" i="6"/>
  <c r="G56" i="6"/>
  <c r="G53" i="6"/>
  <c r="G52" i="6"/>
  <c r="G51" i="6"/>
  <c r="G50" i="6"/>
  <c r="G49" i="6"/>
  <c r="G48" i="6"/>
  <c r="G47" i="6"/>
  <c r="G46" i="6"/>
  <c r="G45" i="6"/>
  <c r="G44" i="6"/>
  <c r="G43" i="6"/>
  <c r="G42" i="6"/>
  <c r="G39" i="6"/>
  <c r="G38" i="6"/>
  <c r="G37" i="6"/>
  <c r="G36" i="6"/>
  <c r="G35" i="6"/>
  <c r="G34" i="6"/>
  <c r="G33" i="6"/>
  <c r="G32" i="6"/>
  <c r="G31" i="6"/>
  <c r="G28" i="6"/>
  <c r="G27" i="6"/>
  <c r="G26" i="6"/>
  <c r="G25" i="6"/>
  <c r="G24" i="6"/>
  <c r="G23" i="6"/>
  <c r="G20" i="6"/>
  <c r="G19" i="6"/>
  <c r="G18" i="6"/>
  <c r="G17" i="6"/>
  <c r="G16" i="6"/>
  <c r="G15" i="6"/>
  <c r="G14" i="6"/>
  <c r="G13" i="6"/>
  <c r="G12" i="6"/>
  <c r="G9" i="6"/>
  <c r="G3" i="6"/>
  <c r="A42" i="19"/>
  <c r="C17" i="19"/>
  <c r="C9" i="19"/>
  <c r="C8" i="19"/>
  <c r="C7" i="19"/>
  <c r="A2" i="19"/>
  <c r="C6" i="9"/>
  <c r="C5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H82" i="9"/>
  <c r="I82" i="9" s="1"/>
  <c r="H23" i="9"/>
  <c r="I23" i="9" s="1"/>
  <c r="J23" i="9" s="1"/>
  <c r="K23" i="9" s="1"/>
  <c r="L23" i="9" s="1"/>
  <c r="M23" i="9" s="1"/>
  <c r="N23" i="9" s="1"/>
  <c r="O23" i="9" s="1"/>
  <c r="P23" i="9" s="1"/>
  <c r="Q23" i="9" s="1"/>
  <c r="R23" i="9" s="1"/>
  <c r="S23" i="9" s="1"/>
  <c r="T23" i="9" s="1"/>
  <c r="U23" i="9" s="1"/>
  <c r="V23" i="9" s="1"/>
  <c r="W23" i="9" s="1"/>
  <c r="X23" i="9" s="1"/>
  <c r="Y23" i="9" s="1"/>
  <c r="H21" i="9"/>
  <c r="I21" i="9" s="1"/>
  <c r="J21" i="9" s="1"/>
  <c r="K21" i="9" s="1"/>
  <c r="L21" i="9" s="1"/>
  <c r="M21" i="9" s="1"/>
  <c r="N21" i="9" s="1"/>
  <c r="O21" i="9" s="1"/>
  <c r="P21" i="9" s="1"/>
  <c r="Q21" i="9" s="1"/>
  <c r="R21" i="9" s="1"/>
  <c r="S21" i="9" s="1"/>
  <c r="T21" i="9" s="1"/>
  <c r="U21" i="9" s="1"/>
  <c r="V21" i="9" s="1"/>
  <c r="W21" i="9" s="1"/>
  <c r="X21" i="9" s="1"/>
  <c r="Y21" i="9" s="1"/>
  <c r="H12" i="9"/>
  <c r="I12" i="9" s="1"/>
  <c r="J12" i="9" s="1"/>
  <c r="K12" i="9" s="1"/>
  <c r="L12" i="9" s="1"/>
  <c r="M12" i="9" s="1"/>
  <c r="N12" i="9" s="1"/>
  <c r="O12" i="9" s="1"/>
  <c r="P12" i="9" s="1"/>
  <c r="Q12" i="9" s="1"/>
  <c r="R12" i="9" s="1"/>
  <c r="S12" i="9" s="1"/>
  <c r="T12" i="9" s="1"/>
  <c r="U12" i="9" s="1"/>
  <c r="V12" i="9" s="1"/>
  <c r="W12" i="9" s="1"/>
  <c r="X12" i="9" s="1"/>
  <c r="Y12" i="9" s="1"/>
  <c r="G92" i="9"/>
  <c r="G83" i="9"/>
  <c r="G82" i="9"/>
  <c r="G41" i="9"/>
  <c r="G23" i="9"/>
  <c r="G21" i="9"/>
  <c r="G12" i="9"/>
  <c r="E68" i="9"/>
  <c r="F92" i="9"/>
  <c r="F83" i="9"/>
  <c r="F68" i="9"/>
  <c r="G68" i="9" s="1"/>
  <c r="H68" i="9" s="1"/>
  <c r="I68" i="9" s="1"/>
  <c r="J68" i="9" s="1"/>
  <c r="K68" i="9" s="1"/>
  <c r="L68" i="9" s="1"/>
  <c r="M68" i="9" s="1"/>
  <c r="N68" i="9" s="1"/>
  <c r="O68" i="9" s="1"/>
  <c r="P68" i="9" s="1"/>
  <c r="Q68" i="9" s="1"/>
  <c r="R68" i="9" s="1"/>
  <c r="S68" i="9" s="1"/>
  <c r="T68" i="9" s="1"/>
  <c r="U68" i="9" s="1"/>
  <c r="V68" i="9" s="1"/>
  <c r="W68" i="9" s="1"/>
  <c r="X68" i="9" s="1"/>
  <c r="Y68" i="9" s="1"/>
  <c r="F63" i="9"/>
  <c r="F54" i="9" s="1"/>
  <c r="F47" i="9"/>
  <c r="G47" i="9" s="1"/>
  <c r="H47" i="9" s="1"/>
  <c r="I47" i="9" s="1"/>
  <c r="J47" i="9" s="1"/>
  <c r="K47" i="9" s="1"/>
  <c r="L47" i="9" s="1"/>
  <c r="M47" i="9" s="1"/>
  <c r="N47" i="9" s="1"/>
  <c r="O47" i="9" s="1"/>
  <c r="P47" i="9" s="1"/>
  <c r="Q47" i="9" s="1"/>
  <c r="R47" i="9" s="1"/>
  <c r="S47" i="9" s="1"/>
  <c r="T47" i="9" s="1"/>
  <c r="U47" i="9" s="1"/>
  <c r="V47" i="9" s="1"/>
  <c r="W47" i="9" s="1"/>
  <c r="X47" i="9" s="1"/>
  <c r="Y47" i="9" s="1"/>
  <c r="F41" i="9"/>
  <c r="F31" i="9"/>
  <c r="G31" i="9" s="1"/>
  <c r="H31" i="9" s="1"/>
  <c r="I31" i="9" s="1"/>
  <c r="J31" i="9" s="1"/>
  <c r="K31" i="9" s="1"/>
  <c r="L31" i="9" s="1"/>
  <c r="M31" i="9" s="1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X31" i="9" s="1"/>
  <c r="Y31" i="9" s="1"/>
  <c r="F30" i="9"/>
  <c r="G30" i="9" s="1"/>
  <c r="H30" i="9" s="1"/>
  <c r="I30" i="9" s="1"/>
  <c r="J30" i="9" s="1"/>
  <c r="K30" i="9" s="1"/>
  <c r="L30" i="9" s="1"/>
  <c r="M30" i="9" s="1"/>
  <c r="N30" i="9" s="1"/>
  <c r="O30" i="9" s="1"/>
  <c r="P30" i="9" s="1"/>
  <c r="Q30" i="9" s="1"/>
  <c r="R30" i="9" s="1"/>
  <c r="S30" i="9" s="1"/>
  <c r="T30" i="9" s="1"/>
  <c r="U30" i="9" s="1"/>
  <c r="V30" i="9" s="1"/>
  <c r="W30" i="9" s="1"/>
  <c r="X30" i="9" s="1"/>
  <c r="Y30" i="9" s="1"/>
  <c r="F29" i="9"/>
  <c r="G29" i="9" s="1"/>
  <c r="H29" i="9" s="1"/>
  <c r="I29" i="9" s="1"/>
  <c r="J29" i="9" s="1"/>
  <c r="K29" i="9" s="1"/>
  <c r="F28" i="9"/>
  <c r="G28" i="9" s="1"/>
  <c r="F27" i="9"/>
  <c r="F37" i="9" s="1"/>
  <c r="F23" i="9"/>
  <c r="F21" i="9"/>
  <c r="F12" i="9"/>
  <c r="E29" i="9"/>
  <c r="E28" i="9"/>
  <c r="E38" i="9" s="1"/>
  <c r="E27" i="9"/>
  <c r="E37" i="9" s="1"/>
  <c r="E51" i="9" s="1"/>
  <c r="E23" i="9"/>
  <c r="E21" i="9"/>
  <c r="E12" i="9"/>
  <c r="E140" i="8"/>
  <c r="P18" i="7"/>
  <c r="K19" i="7"/>
  <c r="I19" i="7"/>
  <c r="H19" i="7"/>
  <c r="K18" i="7"/>
  <c r="I18" i="7"/>
  <c r="H18" i="7"/>
  <c r="K17" i="7"/>
  <c r="I17" i="7"/>
  <c r="H17" i="7"/>
  <c r="K16" i="7"/>
  <c r="I16" i="7"/>
  <c r="H16" i="7"/>
  <c r="K15" i="7"/>
  <c r="I15" i="7"/>
  <c r="H15" i="7"/>
  <c r="K14" i="7"/>
  <c r="I14" i="7"/>
  <c r="H14" i="7"/>
  <c r="K13" i="7"/>
  <c r="I13" i="7"/>
  <c r="H13" i="7"/>
  <c r="K12" i="7"/>
  <c r="I12" i="7"/>
  <c r="H12" i="7"/>
  <c r="K11" i="7"/>
  <c r="I11" i="7"/>
  <c r="H11" i="7"/>
  <c r="K10" i="7"/>
  <c r="I10" i="7"/>
  <c r="H10" i="7"/>
  <c r="K9" i="7"/>
  <c r="I9" i="7"/>
  <c r="H9" i="7"/>
  <c r="K8" i="7"/>
  <c r="I8" i="7"/>
  <c r="H8" i="7"/>
  <c r="K7" i="7"/>
  <c r="I7" i="7"/>
  <c r="H7" i="7"/>
  <c r="P16" i="7" a="1"/>
  <c r="P16" i="7" s="1"/>
  <c r="P15" i="7" a="1"/>
  <c r="P15" i="7" s="1"/>
  <c r="P14" i="7" a="1"/>
  <c r="P14" i="7" s="1"/>
  <c r="D26" i="7"/>
  <c r="E26" i="7" s="1"/>
  <c r="AW37" i="11" l="1"/>
  <c r="AW103" i="11"/>
  <c r="AW11" i="11"/>
  <c r="AW16" i="11" s="1"/>
  <c r="K105" i="11"/>
  <c r="N134" i="11"/>
  <c r="M125" i="11"/>
  <c r="M126" i="11" s="1"/>
  <c r="M127" i="11" s="1"/>
  <c r="L125" i="11"/>
  <c r="L126" i="11" s="1"/>
  <c r="L127" i="11" s="1"/>
  <c r="AV37" i="11"/>
  <c r="AV103" i="11" s="1"/>
  <c r="F38" i="9"/>
  <c r="G27" i="9"/>
  <c r="H27" i="9" s="1"/>
  <c r="F51" i="9"/>
  <c r="Q49" i="18" s="1"/>
  <c r="H28" i="9"/>
  <c r="G38" i="9"/>
  <c r="I27" i="9"/>
  <c r="H37" i="9"/>
  <c r="G37" i="9"/>
  <c r="G51" i="9" s="1"/>
  <c r="I41" i="9"/>
  <c r="J82" i="9"/>
  <c r="H41" i="9"/>
  <c r="L29" i="9"/>
  <c r="M29" i="9" s="1"/>
  <c r="N29" i="9" s="1"/>
  <c r="O29" i="9" s="1"/>
  <c r="P29" i="9" s="1"/>
  <c r="Q29" i="9" s="1"/>
  <c r="R29" i="9" s="1"/>
  <c r="S29" i="9" s="1"/>
  <c r="T29" i="9" s="1"/>
  <c r="U29" i="9" s="1"/>
  <c r="V29" i="9" s="1"/>
  <c r="W29" i="9" s="1"/>
  <c r="X29" i="9" s="1"/>
  <c r="Y29" i="9" s="1"/>
  <c r="E13" i="9"/>
  <c r="K26" i="7"/>
  <c r="H26" i="7"/>
  <c r="L26" i="7"/>
  <c r="Y50" i="18"/>
  <c r="R34" i="18"/>
  <c r="R35" i="18" s="1"/>
  <c r="Q35" i="18" s="1"/>
  <c r="R33" i="18"/>
  <c r="N55" i="18"/>
  <c r="N53" i="18"/>
  <c r="L55" i="18"/>
  <c r="L53" i="18"/>
  <c r="L51" i="18"/>
  <c r="N51" i="18" s="1"/>
  <c r="L20" i="18"/>
  <c r="L14" i="18"/>
  <c r="L13" i="18"/>
  <c r="L3" i="18"/>
  <c r="K18" i="18"/>
  <c r="K17" i="18"/>
  <c r="K16" i="18"/>
  <c r="L16" i="18" s="1"/>
  <c r="K15" i="18"/>
  <c r="L15" i="18" s="1"/>
  <c r="K14" i="18"/>
  <c r="K13" i="18"/>
  <c r="K12" i="18"/>
  <c r="L12" i="18" s="1"/>
  <c r="K11" i="18"/>
  <c r="K10" i="18"/>
  <c r="L10" i="18" s="1"/>
  <c r="K9" i="18"/>
  <c r="L9" i="18" s="1"/>
  <c r="K8" i="18"/>
  <c r="L8" i="18" s="1"/>
  <c r="H68" i="18"/>
  <c r="F14" i="18"/>
  <c r="F13" i="18"/>
  <c r="F12" i="18"/>
  <c r="F11" i="18"/>
  <c r="F10" i="18"/>
  <c r="E29" i="18"/>
  <c r="E32" i="18" s="1"/>
  <c r="E33" i="18" s="1"/>
  <c r="E35" i="18" s="1"/>
  <c r="E36" i="18" s="1"/>
  <c r="E37" i="18" s="1"/>
  <c r="E17" i="18"/>
  <c r="D45" i="18"/>
  <c r="D32" i="18"/>
  <c r="D11" i="18"/>
  <c r="Y50" i="17"/>
  <c r="R35" i="17"/>
  <c r="Q35" i="17" s="1"/>
  <c r="R34" i="17"/>
  <c r="R29" i="17"/>
  <c r="R30" i="17" s="1"/>
  <c r="Q30" i="17" s="1"/>
  <c r="Q49" i="17"/>
  <c r="N53" i="17"/>
  <c r="N51" i="17"/>
  <c r="L55" i="17"/>
  <c r="N55" i="17" s="1"/>
  <c r="L53" i="17"/>
  <c r="L51" i="17"/>
  <c r="L20" i="17"/>
  <c r="L12" i="17"/>
  <c r="L3" i="17"/>
  <c r="K18" i="17"/>
  <c r="L18" i="17" s="1"/>
  <c r="K17" i="17"/>
  <c r="L17" i="17" s="1"/>
  <c r="K16" i="17"/>
  <c r="L16" i="17" s="1"/>
  <c r="K15" i="17"/>
  <c r="L15" i="17" s="1"/>
  <c r="K14" i="17"/>
  <c r="L14" i="17" s="1"/>
  <c r="K13" i="17"/>
  <c r="L13" i="17" s="1"/>
  <c r="K12" i="17"/>
  <c r="K11" i="17"/>
  <c r="L11" i="17" s="1"/>
  <c r="K10" i="17"/>
  <c r="L10" i="17" s="1"/>
  <c r="K9" i="17"/>
  <c r="L9" i="17" s="1"/>
  <c r="K8" i="17"/>
  <c r="L8" i="17" s="1"/>
  <c r="H68" i="17"/>
  <c r="F17" i="17"/>
  <c r="F14" i="17"/>
  <c r="F13" i="17"/>
  <c r="F12" i="17"/>
  <c r="F11" i="17"/>
  <c r="F10" i="17"/>
  <c r="E29" i="17"/>
  <c r="E32" i="17" s="1"/>
  <c r="E33" i="17" s="1"/>
  <c r="E35" i="17" s="1"/>
  <c r="E36" i="17" s="1"/>
  <c r="E37" i="17" s="1"/>
  <c r="E17" i="17"/>
  <c r="D20" i="17" s="1"/>
  <c r="D45" i="17"/>
  <c r="D32" i="17"/>
  <c r="D11" i="17"/>
  <c r="E18" i="20"/>
  <c r="E17" i="20"/>
  <c r="E16" i="20"/>
  <c r="C11" i="20"/>
  <c r="C10" i="20"/>
  <c r="C8" i="20"/>
  <c r="C35" i="20" s="1"/>
  <c r="C6" i="20"/>
  <c r="L105" i="11" l="1"/>
  <c r="K106" i="11"/>
  <c r="N125" i="11"/>
  <c r="N126" i="11" s="1"/>
  <c r="N127" i="11" s="1"/>
  <c r="O134" i="11"/>
  <c r="J27" i="9"/>
  <c r="I37" i="9"/>
  <c r="I28" i="9"/>
  <c r="H38" i="9"/>
  <c r="H51" i="9" s="1"/>
  <c r="J41" i="9"/>
  <c r="K82" i="9"/>
  <c r="F13" i="9"/>
  <c r="E15" i="9"/>
  <c r="L11" i="18"/>
  <c r="K23" i="17"/>
  <c r="M17" i="17" s="1"/>
  <c r="E40" i="17"/>
  <c r="E41" i="17" s="1"/>
  <c r="E16" i="17" s="1"/>
  <c r="E38" i="17"/>
  <c r="E39" i="17" s="1"/>
  <c r="R12" i="17"/>
  <c r="R13" i="17" s="1"/>
  <c r="R12" i="18"/>
  <c r="R13" i="18" s="1"/>
  <c r="E40" i="18"/>
  <c r="E41" i="18" s="1"/>
  <c r="E16" i="18" s="1"/>
  <c r="E38" i="18"/>
  <c r="E39" i="18" s="1"/>
  <c r="K23" i="18"/>
  <c r="M9" i="18" s="1"/>
  <c r="R29" i="18"/>
  <c r="R30" i="18" s="1"/>
  <c r="Q30" i="18" s="1"/>
  <c r="D20" i="18"/>
  <c r="F17" i="18"/>
  <c r="L17" i="18"/>
  <c r="L18" i="18"/>
  <c r="C9" i="20"/>
  <c r="B16" i="20"/>
  <c r="C16" i="20"/>
  <c r="E19" i="20"/>
  <c r="M105" i="11" l="1"/>
  <c r="L106" i="11"/>
  <c r="O125" i="11"/>
  <c r="O126" i="11" s="1"/>
  <c r="O127" i="11" s="1"/>
  <c r="P134" i="11"/>
  <c r="J28" i="9"/>
  <c r="I38" i="9"/>
  <c r="I51" i="9"/>
  <c r="K27" i="9"/>
  <c r="J37" i="9"/>
  <c r="L82" i="9"/>
  <c r="K41" i="9"/>
  <c r="E17" i="9"/>
  <c r="E19" i="9" s="1"/>
  <c r="E24" i="9" s="1"/>
  <c r="E36" i="9" s="1"/>
  <c r="E39" i="9" s="1"/>
  <c r="E49" i="9" s="1"/>
  <c r="F15" i="9"/>
  <c r="G13" i="9"/>
  <c r="M8" i="17"/>
  <c r="L23" i="17"/>
  <c r="M18" i="17"/>
  <c r="M13" i="17"/>
  <c r="M9" i="17"/>
  <c r="M14" i="17"/>
  <c r="M15" i="17"/>
  <c r="M10" i="17"/>
  <c r="M11" i="17"/>
  <c r="M20" i="17"/>
  <c r="M16" i="17"/>
  <c r="M11" i="18"/>
  <c r="M10" i="18"/>
  <c r="M18" i="18"/>
  <c r="M8" i="18"/>
  <c r="M17" i="18"/>
  <c r="M12" i="17"/>
  <c r="E43" i="18"/>
  <c r="E15" i="18"/>
  <c r="F16" i="18"/>
  <c r="E15" i="17"/>
  <c r="E43" i="17"/>
  <c r="M13" i="18"/>
  <c r="M20" i="18"/>
  <c r="M16" i="18"/>
  <c r="M15" i="18"/>
  <c r="M12" i="18"/>
  <c r="L23" i="18"/>
  <c r="M14" i="18"/>
  <c r="F16" i="17"/>
  <c r="E20" i="20"/>
  <c r="N105" i="11" l="1"/>
  <c r="M106" i="11"/>
  <c r="P125" i="11"/>
  <c r="P126" i="11" s="1"/>
  <c r="P127" i="11" s="1"/>
  <c r="Q134" i="11"/>
  <c r="L27" i="9"/>
  <c r="K37" i="9"/>
  <c r="K28" i="9"/>
  <c r="J38" i="9"/>
  <c r="J51" i="9" s="1"/>
  <c r="L41" i="9"/>
  <c r="M82" i="9"/>
  <c r="H13" i="9"/>
  <c r="G15" i="9"/>
  <c r="F17" i="9"/>
  <c r="F19" i="9"/>
  <c r="F15" i="17"/>
  <c r="R16" i="17"/>
  <c r="R17" i="17" s="1"/>
  <c r="R16" i="18"/>
  <c r="R17" i="18" s="1"/>
  <c r="F15" i="18"/>
  <c r="E21" i="20"/>
  <c r="O105" i="11" l="1"/>
  <c r="N106" i="11"/>
  <c r="Q125" i="11"/>
  <c r="Q126" i="11" s="1"/>
  <c r="Q127" i="11" s="1"/>
  <c r="R134" i="11"/>
  <c r="M27" i="9"/>
  <c r="L37" i="9"/>
  <c r="L28" i="9"/>
  <c r="K38" i="9"/>
  <c r="K51" i="9" s="1"/>
  <c r="N82" i="9"/>
  <c r="M41" i="9"/>
  <c r="I13" i="9"/>
  <c r="H15" i="9"/>
  <c r="F88" i="9"/>
  <c r="F91" i="9" s="1"/>
  <c r="F94" i="9" s="1"/>
  <c r="F95" i="9" s="1"/>
  <c r="F24" i="9"/>
  <c r="G21" i="19" s="1"/>
  <c r="G17" i="9"/>
  <c r="G19" i="9" s="1"/>
  <c r="E22" i="20"/>
  <c r="P105" i="11" l="1"/>
  <c r="O106" i="11"/>
  <c r="R125" i="11"/>
  <c r="R126" i="11" s="1"/>
  <c r="R127" i="11" s="1"/>
  <c r="S134" i="11"/>
  <c r="F36" i="9"/>
  <c r="F39" i="9" s="1"/>
  <c r="C14" i="19"/>
  <c r="C16" i="19" s="1"/>
  <c r="M28" i="9"/>
  <c r="L38" i="9"/>
  <c r="L51" i="9" s="1"/>
  <c r="N27" i="9"/>
  <c r="M37" i="9"/>
  <c r="O82" i="9"/>
  <c r="N41" i="9"/>
  <c r="G88" i="9"/>
  <c r="G91" i="9" s="1"/>
  <c r="G94" i="9" s="1"/>
  <c r="G95" i="9" s="1"/>
  <c r="G24" i="9"/>
  <c r="F33" i="9"/>
  <c r="F49" i="9"/>
  <c r="F42" i="9"/>
  <c r="H17" i="9"/>
  <c r="H19" i="9" s="1"/>
  <c r="J13" i="9"/>
  <c r="I15" i="9"/>
  <c r="E23" i="20"/>
  <c r="Q105" i="11" l="1"/>
  <c r="P106" i="11"/>
  <c r="T134" i="11"/>
  <c r="S125" i="11"/>
  <c r="S126" i="11" s="1"/>
  <c r="S127" i="11" s="1"/>
  <c r="G36" i="9"/>
  <c r="G39" i="9" s="1"/>
  <c r="G49" i="9" s="1"/>
  <c r="G22" i="19"/>
  <c r="H24" i="9"/>
  <c r="H88" i="9"/>
  <c r="H91" i="9" s="1"/>
  <c r="H94" i="9" s="1"/>
  <c r="H95" i="9" s="1"/>
  <c r="O27" i="9"/>
  <c r="N37" i="9"/>
  <c r="N28" i="9"/>
  <c r="M38" i="9"/>
  <c r="M51" i="9" s="1"/>
  <c r="P82" i="9"/>
  <c r="O41" i="9"/>
  <c r="I17" i="9"/>
  <c r="I19" i="9" s="1"/>
  <c r="G42" i="9"/>
  <c r="G33" i="9"/>
  <c r="K13" i="9"/>
  <c r="J15" i="9"/>
  <c r="F52" i="9"/>
  <c r="F69" i="9"/>
  <c r="F65" i="9"/>
  <c r="G63" i="9" s="1"/>
  <c r="E24" i="20"/>
  <c r="R105" i="11" l="1"/>
  <c r="Q106" i="11"/>
  <c r="U134" i="11"/>
  <c r="T125" i="11"/>
  <c r="T126" i="11" s="1"/>
  <c r="T127" i="11" s="1"/>
  <c r="H36" i="9"/>
  <c r="H39" i="9" s="1"/>
  <c r="H42" i="9" s="1"/>
  <c r="G23" i="19"/>
  <c r="I24" i="9"/>
  <c r="I88" i="9"/>
  <c r="I91" i="9" s="1"/>
  <c r="I94" i="9" s="1"/>
  <c r="I95" i="9" s="1"/>
  <c r="O28" i="9"/>
  <c r="N38" i="9"/>
  <c r="N51" i="9"/>
  <c r="P27" i="9"/>
  <c r="O37" i="9"/>
  <c r="G54" i="9"/>
  <c r="C54" i="9" s="1"/>
  <c r="D21" i="18" s="1"/>
  <c r="H49" i="9"/>
  <c r="P41" i="9"/>
  <c r="Q82" i="9"/>
  <c r="J17" i="9"/>
  <c r="J19" i="9" s="1"/>
  <c r="L13" i="9"/>
  <c r="K15" i="9"/>
  <c r="G52" i="9"/>
  <c r="G69" i="9"/>
  <c r="G65" i="9"/>
  <c r="H63" i="9" s="1"/>
  <c r="E25" i="20"/>
  <c r="S105" i="11" l="1"/>
  <c r="R106" i="11"/>
  <c r="V134" i="11"/>
  <c r="U125" i="11"/>
  <c r="U126" i="11" s="1"/>
  <c r="U127" i="11" s="1"/>
  <c r="H33" i="9"/>
  <c r="I36" i="9"/>
  <c r="I39" i="9" s="1"/>
  <c r="I42" i="9" s="1"/>
  <c r="G24" i="19"/>
  <c r="D21" i="17"/>
  <c r="J24" i="9"/>
  <c r="J88" i="9"/>
  <c r="J91" i="9" s="1"/>
  <c r="J94" i="9" s="1"/>
  <c r="J95" i="9" s="1"/>
  <c r="Q27" i="9"/>
  <c r="P37" i="9"/>
  <c r="H54" i="9"/>
  <c r="I63" i="9"/>
  <c r="P28" i="9"/>
  <c r="O38" i="9"/>
  <c r="O51" i="9" s="1"/>
  <c r="H52" i="9"/>
  <c r="H65" i="9"/>
  <c r="H69" i="9"/>
  <c r="Q41" i="9"/>
  <c r="R82" i="9"/>
  <c r="K17" i="9"/>
  <c r="K19" i="9"/>
  <c r="M13" i="9"/>
  <c r="L15" i="9"/>
  <c r="E26" i="20"/>
  <c r="T105" i="11" l="1"/>
  <c r="S106" i="11"/>
  <c r="W134" i="11"/>
  <c r="V125" i="11"/>
  <c r="V126" i="11" s="1"/>
  <c r="V127" i="11" s="1"/>
  <c r="I33" i="9"/>
  <c r="I49" i="9"/>
  <c r="J36" i="9"/>
  <c r="J39" i="9" s="1"/>
  <c r="G25" i="19"/>
  <c r="Q28" i="9"/>
  <c r="P38" i="9"/>
  <c r="P51" i="9" s="1"/>
  <c r="I54" i="9"/>
  <c r="I52" i="9"/>
  <c r="I69" i="9"/>
  <c r="I65" i="9"/>
  <c r="J63" i="9" s="1"/>
  <c r="R27" i="9"/>
  <c r="Q37" i="9"/>
  <c r="K24" i="9"/>
  <c r="K88" i="9"/>
  <c r="K91" i="9" s="1"/>
  <c r="K94" i="9" s="1"/>
  <c r="K95" i="9" s="1"/>
  <c r="J49" i="9"/>
  <c r="J42" i="9"/>
  <c r="J33" i="9"/>
  <c r="R41" i="9"/>
  <c r="S82" i="9"/>
  <c r="L17" i="9"/>
  <c r="L19" i="9"/>
  <c r="N13" i="9"/>
  <c r="M15" i="9"/>
  <c r="E27" i="20"/>
  <c r="U105" i="11" l="1"/>
  <c r="T106" i="11"/>
  <c r="X134" i="11"/>
  <c r="W125" i="11"/>
  <c r="W126" i="11" s="1"/>
  <c r="W127" i="11" s="1"/>
  <c r="K36" i="9"/>
  <c r="K39" i="9" s="1"/>
  <c r="G26" i="19"/>
  <c r="J54" i="9"/>
  <c r="S27" i="9"/>
  <c r="R37" i="9"/>
  <c r="J52" i="9"/>
  <c r="J65" i="9"/>
  <c r="K63" i="9" s="1"/>
  <c r="J69" i="9"/>
  <c r="L24" i="9"/>
  <c r="L88" i="9"/>
  <c r="L91" i="9" s="1"/>
  <c r="L94" i="9" s="1"/>
  <c r="L95" i="9" s="1"/>
  <c r="K42" i="9"/>
  <c r="K49" i="9"/>
  <c r="K33" i="9"/>
  <c r="R28" i="9"/>
  <c r="Q38" i="9"/>
  <c r="Q51" i="9" s="1"/>
  <c r="S41" i="9"/>
  <c r="T82" i="9"/>
  <c r="O13" i="9"/>
  <c r="N15" i="9"/>
  <c r="M17" i="9"/>
  <c r="M19" i="9"/>
  <c r="E28" i="20"/>
  <c r="V105" i="11" l="1"/>
  <c r="U106" i="11"/>
  <c r="X125" i="11"/>
  <c r="X126" i="11" s="1"/>
  <c r="X127" i="11" s="1"/>
  <c r="Y134" i="11"/>
  <c r="L36" i="9"/>
  <c r="L39" i="9" s="1"/>
  <c r="L42" i="9" s="1"/>
  <c r="G27" i="19"/>
  <c r="K54" i="9"/>
  <c r="S28" i="9"/>
  <c r="R38" i="9"/>
  <c r="R51" i="9" s="1"/>
  <c r="M24" i="9"/>
  <c r="M88" i="9"/>
  <c r="M91" i="9" s="1"/>
  <c r="M94" i="9" s="1"/>
  <c r="M95" i="9" s="1"/>
  <c r="T27" i="9"/>
  <c r="S37" i="9"/>
  <c r="K52" i="9"/>
  <c r="K69" i="9"/>
  <c r="K65" i="9"/>
  <c r="L63" i="9" s="1"/>
  <c r="T41" i="9"/>
  <c r="U82" i="9"/>
  <c r="N17" i="9"/>
  <c r="N19" i="9" s="1"/>
  <c r="P13" i="9"/>
  <c r="O15" i="9"/>
  <c r="E29" i="20"/>
  <c r="D3" i="13"/>
  <c r="D4" i="13" s="1"/>
  <c r="W105" i="11" l="1"/>
  <c r="V106" i="11"/>
  <c r="Y125" i="11"/>
  <c r="Y126" i="11" s="1"/>
  <c r="Y127" i="11" s="1"/>
  <c r="Z134" i="11"/>
  <c r="M36" i="9"/>
  <c r="M39" i="9" s="1"/>
  <c r="G28" i="19"/>
  <c r="L33" i="9"/>
  <c r="L49" i="9"/>
  <c r="N24" i="9"/>
  <c r="N88" i="9"/>
  <c r="N91" i="9" s="1"/>
  <c r="N94" i="9" s="1"/>
  <c r="N95" i="9" s="1"/>
  <c r="L54" i="9"/>
  <c r="M42" i="9"/>
  <c r="M49" i="9"/>
  <c r="M33" i="9"/>
  <c r="T28" i="9"/>
  <c r="S38" i="9"/>
  <c r="S51" i="9" s="1"/>
  <c r="L52" i="9"/>
  <c r="L69" i="9"/>
  <c r="L65" i="9"/>
  <c r="M63" i="9" s="1"/>
  <c r="U27" i="9"/>
  <c r="T37" i="9"/>
  <c r="U41" i="9"/>
  <c r="V82" i="9"/>
  <c r="O17" i="9"/>
  <c r="O19" i="9" s="1"/>
  <c r="Q13" i="9"/>
  <c r="P15" i="9"/>
  <c r="F4" i="13"/>
  <c r="F5" i="13"/>
  <c r="E30" i="20"/>
  <c r="X105" i="11" l="1"/>
  <c r="W106" i="11"/>
  <c r="Z125" i="11"/>
  <c r="Z126" i="11" s="1"/>
  <c r="Z127" i="11" s="1"/>
  <c r="AA134" i="11"/>
  <c r="N36" i="9"/>
  <c r="N39" i="9" s="1"/>
  <c r="G29" i="19"/>
  <c r="M54" i="9"/>
  <c r="V27" i="9"/>
  <c r="U37" i="9"/>
  <c r="U28" i="9"/>
  <c r="T38" i="9"/>
  <c r="T51" i="9"/>
  <c r="M52" i="9"/>
  <c r="M65" i="9"/>
  <c r="N63" i="9" s="1"/>
  <c r="M69" i="9"/>
  <c r="O24" i="9"/>
  <c r="O88" i="9"/>
  <c r="O91" i="9" s="1"/>
  <c r="O94" i="9" s="1"/>
  <c r="O95" i="9" s="1"/>
  <c r="N42" i="9"/>
  <c r="N49" i="9"/>
  <c r="N33" i="9"/>
  <c r="W82" i="9"/>
  <c r="V41" i="9"/>
  <c r="P17" i="9"/>
  <c r="P19" i="9" s="1"/>
  <c r="R13" i="9"/>
  <c r="Q15" i="9"/>
  <c r="E8" i="17"/>
  <c r="E8" i="18"/>
  <c r="K67" i="18"/>
  <c r="K67" i="17"/>
  <c r="D6" i="13"/>
  <c r="D10" i="13" s="1"/>
  <c r="D17" i="20"/>
  <c r="F17" i="20" s="1"/>
  <c r="D19" i="20"/>
  <c r="F19" i="20" s="1"/>
  <c r="D18" i="20"/>
  <c r="F18" i="20" s="1"/>
  <c r="Y105" i="11" l="1"/>
  <c r="X106" i="11"/>
  <c r="AA125" i="11"/>
  <c r="AA126" i="11" s="1"/>
  <c r="AA127" i="11" s="1"/>
  <c r="AB134" i="11"/>
  <c r="O36" i="9"/>
  <c r="O39" i="9" s="1"/>
  <c r="O49" i="9" s="1"/>
  <c r="G30" i="19"/>
  <c r="N54" i="9"/>
  <c r="R49" i="17"/>
  <c r="R49" i="18"/>
  <c r="V28" i="9"/>
  <c r="U38" i="9"/>
  <c r="U51" i="9" s="1"/>
  <c r="N52" i="9"/>
  <c r="N69" i="9"/>
  <c r="N65" i="9"/>
  <c r="O63" i="9" s="1"/>
  <c r="W27" i="9"/>
  <c r="V37" i="9"/>
  <c r="O42" i="9"/>
  <c r="P24" i="9"/>
  <c r="P88" i="9"/>
  <c r="P91" i="9" s="1"/>
  <c r="P94" i="9" s="1"/>
  <c r="P95" i="9" s="1"/>
  <c r="X82" i="9"/>
  <c r="W41" i="9"/>
  <c r="S13" i="9"/>
  <c r="R15" i="9"/>
  <c r="Q17" i="9"/>
  <c r="Q19" i="9" s="1"/>
  <c r="K69" i="18"/>
  <c r="K69" i="17"/>
  <c r="F8" i="18"/>
  <c r="K49" i="18"/>
  <c r="R24" i="18"/>
  <c r="R25" i="18" s="1"/>
  <c r="Q25" i="18" s="1"/>
  <c r="E9" i="18"/>
  <c r="F8" i="17"/>
  <c r="R24" i="17"/>
  <c r="R25" i="17" s="1"/>
  <c r="Q25" i="17" s="1"/>
  <c r="K49" i="17"/>
  <c r="L49" i="17" s="1"/>
  <c r="E9" i="17"/>
  <c r="E23" i="17" s="1"/>
  <c r="G8" i="17" s="1"/>
  <c r="D16" i="20"/>
  <c r="F16" i="20" s="1"/>
  <c r="G16" i="20" s="1"/>
  <c r="Z105" i="11" l="1"/>
  <c r="Y106" i="11"/>
  <c r="AB125" i="11"/>
  <c r="AB126" i="11" s="1"/>
  <c r="AB127" i="11" s="1"/>
  <c r="AC134" i="11"/>
  <c r="L49" i="18"/>
  <c r="N49" i="18" s="1"/>
  <c r="C6" i="19"/>
  <c r="P36" i="9"/>
  <c r="P39" i="9" s="1"/>
  <c r="G31" i="19"/>
  <c r="O33" i="9"/>
  <c r="O54" i="9"/>
  <c r="P42" i="9"/>
  <c r="P49" i="9"/>
  <c r="P33" i="9"/>
  <c r="O52" i="9"/>
  <c r="O69" i="9"/>
  <c r="O65" i="9"/>
  <c r="P63" i="9" s="1"/>
  <c r="X27" i="9"/>
  <c r="W37" i="9"/>
  <c r="W28" i="9"/>
  <c r="V38" i="9"/>
  <c r="Q24" i="9"/>
  <c r="Q88" i="9"/>
  <c r="Q91" i="9" s="1"/>
  <c r="Q94" i="9" s="1"/>
  <c r="Q95" i="9" s="1"/>
  <c r="V51" i="9"/>
  <c r="Y82" i="9"/>
  <c r="Y41" i="9" s="1"/>
  <c r="X41" i="9"/>
  <c r="R17" i="9"/>
  <c r="R19" i="9" s="1"/>
  <c r="T13" i="9"/>
  <c r="S15" i="9"/>
  <c r="F9" i="18"/>
  <c r="E23" i="18"/>
  <c r="G9" i="17"/>
  <c r="F9" i="17"/>
  <c r="G14" i="17"/>
  <c r="G16" i="17"/>
  <c r="E25" i="17"/>
  <c r="F25" i="17" s="1"/>
  <c r="G15" i="17"/>
  <c r="G11" i="17"/>
  <c r="G12" i="17"/>
  <c r="G10" i="17"/>
  <c r="G18" i="17"/>
  <c r="G17" i="17"/>
  <c r="G13" i="17"/>
  <c r="F23" i="17"/>
  <c r="L63" i="17"/>
  <c r="N49" i="17"/>
  <c r="D20" i="20"/>
  <c r="F20" i="20" s="1"/>
  <c r="I16" i="20"/>
  <c r="H16" i="20"/>
  <c r="AA105" i="11" l="1"/>
  <c r="Z106" i="11"/>
  <c r="AD134" i="11"/>
  <c r="AC125" i="11"/>
  <c r="AC126" i="11" s="1"/>
  <c r="AC127" i="11" s="1"/>
  <c r="C33" i="19"/>
  <c r="H33" i="19" s="1"/>
  <c r="C32" i="19"/>
  <c r="H32" i="19" s="1"/>
  <c r="C23" i="19"/>
  <c r="H23" i="19" s="1"/>
  <c r="C31" i="19"/>
  <c r="H31" i="19" s="1"/>
  <c r="C30" i="19"/>
  <c r="H30" i="19" s="1"/>
  <c r="C21" i="19"/>
  <c r="C29" i="19"/>
  <c r="H29" i="19" s="1"/>
  <c r="B21" i="19"/>
  <c r="C38" i="19"/>
  <c r="H38" i="19" s="1"/>
  <c r="C28" i="19"/>
  <c r="H28" i="19" s="1"/>
  <c r="C10" i="19"/>
  <c r="C11" i="19" s="1"/>
  <c r="C34" i="19"/>
  <c r="H34" i="19" s="1"/>
  <c r="C27" i="19"/>
  <c r="H27" i="19" s="1"/>
  <c r="C22" i="19"/>
  <c r="C35" i="19"/>
  <c r="H35" i="19" s="1"/>
  <c r="C37" i="19"/>
  <c r="H37" i="19" s="1"/>
  <c r="C36" i="19"/>
  <c r="H36" i="19" s="1"/>
  <c r="C25" i="19"/>
  <c r="H25" i="19" s="1"/>
  <c r="C24" i="19"/>
  <c r="C26" i="19"/>
  <c r="H26" i="19" s="1"/>
  <c r="L63" i="18"/>
  <c r="Q36" i="9"/>
  <c r="Q39" i="9" s="1"/>
  <c r="G32" i="19"/>
  <c r="P54" i="9"/>
  <c r="Y27" i="9"/>
  <c r="Y37" i="9" s="1"/>
  <c r="X37" i="9"/>
  <c r="P52" i="9"/>
  <c r="P69" i="9"/>
  <c r="P65" i="9"/>
  <c r="Q63" i="9" s="1"/>
  <c r="R24" i="9"/>
  <c r="R88" i="9"/>
  <c r="R91" i="9" s="1"/>
  <c r="R94" i="9" s="1"/>
  <c r="R95" i="9" s="1"/>
  <c r="X28" i="9"/>
  <c r="W38" i="9"/>
  <c r="W51" i="9" s="1"/>
  <c r="Q49" i="9"/>
  <c r="Q42" i="9"/>
  <c r="Q33" i="9"/>
  <c r="S17" i="9"/>
  <c r="S19" i="9" s="1"/>
  <c r="U13" i="9"/>
  <c r="T15" i="9"/>
  <c r="G18" i="18"/>
  <c r="G16" i="18"/>
  <c r="F23" i="18"/>
  <c r="G14" i="18"/>
  <c r="G11" i="18"/>
  <c r="G17" i="18"/>
  <c r="G15" i="18"/>
  <c r="E25" i="18"/>
  <c r="F25" i="18" s="1"/>
  <c r="G12" i="18"/>
  <c r="G10" i="18"/>
  <c r="G13" i="18"/>
  <c r="G8" i="18"/>
  <c r="G9" i="18"/>
  <c r="D22" i="20"/>
  <c r="F22" i="20" s="1"/>
  <c r="D21" i="20"/>
  <c r="F21" i="20" s="1"/>
  <c r="B17" i="20"/>
  <c r="AB105" i="11" l="1"/>
  <c r="AA106" i="11"/>
  <c r="AE134" i="11"/>
  <c r="AD125" i="11"/>
  <c r="AD126" i="11" s="1"/>
  <c r="AD127" i="11" s="1"/>
  <c r="K68" i="18"/>
  <c r="K68" i="17"/>
  <c r="H24" i="19"/>
  <c r="F21" i="19"/>
  <c r="B22" i="19" s="1"/>
  <c r="D21" i="19"/>
  <c r="E21" i="19"/>
  <c r="H21" i="19"/>
  <c r="C40" i="19"/>
  <c r="C46" i="19" s="1"/>
  <c r="H22" i="19"/>
  <c r="R36" i="9"/>
  <c r="R39" i="9" s="1"/>
  <c r="G33" i="19"/>
  <c r="Q54" i="9"/>
  <c r="S24" i="9"/>
  <c r="S88" i="9"/>
  <c r="S91" i="9" s="1"/>
  <c r="S94" i="9" s="1"/>
  <c r="S95" i="9" s="1"/>
  <c r="Q52" i="9"/>
  <c r="Q69" i="9"/>
  <c r="Q65" i="9"/>
  <c r="R63" i="9" s="1"/>
  <c r="Y28" i="9"/>
  <c r="Y38" i="9" s="1"/>
  <c r="Y51" i="9" s="1"/>
  <c r="X38" i="9"/>
  <c r="X51" i="9" s="1"/>
  <c r="R49" i="9"/>
  <c r="R42" i="9"/>
  <c r="R33" i="9"/>
  <c r="V13" i="9"/>
  <c r="U15" i="9"/>
  <c r="T17" i="9"/>
  <c r="T19" i="9" s="1"/>
  <c r="C17" i="20"/>
  <c r="G17" i="20" s="1"/>
  <c r="AC105" i="11" l="1"/>
  <c r="AB106" i="11"/>
  <c r="AF134" i="11"/>
  <c r="AE125" i="11"/>
  <c r="AE126" i="11" s="1"/>
  <c r="AE127" i="11" s="1"/>
  <c r="D22" i="19"/>
  <c r="E22" i="19" s="1"/>
  <c r="F22" i="19" s="1"/>
  <c r="B23" i="19" s="1"/>
  <c r="S36" i="9"/>
  <c r="S39" i="9" s="1"/>
  <c r="G34" i="19"/>
  <c r="S49" i="18"/>
  <c r="S49" i="17"/>
  <c r="R54" i="9"/>
  <c r="T24" i="9"/>
  <c r="T88" i="9"/>
  <c r="T91" i="9" s="1"/>
  <c r="T94" i="9" s="1"/>
  <c r="T95" i="9" s="1"/>
  <c r="R52" i="9"/>
  <c r="R69" i="9"/>
  <c r="R65" i="9"/>
  <c r="S63" i="9" s="1"/>
  <c r="S49" i="9"/>
  <c r="S42" i="9"/>
  <c r="S33" i="9"/>
  <c r="U17" i="9"/>
  <c r="U19" i="9" s="1"/>
  <c r="W13" i="9"/>
  <c r="V15" i="9"/>
  <c r="I17" i="20"/>
  <c r="D23" i="20"/>
  <c r="F23" i="20" s="1"/>
  <c r="H17" i="20"/>
  <c r="AD105" i="11" l="1"/>
  <c r="AC106" i="11"/>
  <c r="AG134" i="11"/>
  <c r="AF125" i="11"/>
  <c r="AF126" i="11" s="1"/>
  <c r="AF127" i="11" s="1"/>
  <c r="D23" i="19"/>
  <c r="E23" i="19" s="1"/>
  <c r="T36" i="9"/>
  <c r="T39" i="9" s="1"/>
  <c r="T49" i="9" s="1"/>
  <c r="G35" i="19"/>
  <c r="S54" i="9"/>
  <c r="T42" i="9"/>
  <c r="U24" i="9"/>
  <c r="U88" i="9"/>
  <c r="U91" i="9" s="1"/>
  <c r="U94" i="9" s="1"/>
  <c r="U95" i="9" s="1"/>
  <c r="S52" i="9"/>
  <c r="S65" i="9"/>
  <c r="T63" i="9" s="1"/>
  <c r="S69" i="9"/>
  <c r="V17" i="9"/>
  <c r="V19" i="9" s="1"/>
  <c r="X13" i="9"/>
  <c r="W15" i="9"/>
  <c r="D24" i="20"/>
  <c r="F24" i="20" s="1"/>
  <c r="B18" i="20"/>
  <c r="AE105" i="11" l="1"/>
  <c r="AD106" i="11"/>
  <c r="AH134" i="11"/>
  <c r="AG125" i="11"/>
  <c r="AG126" i="11" s="1"/>
  <c r="AG127" i="11" s="1"/>
  <c r="F23" i="19"/>
  <c r="B24" i="19" s="1"/>
  <c r="D24" i="19" s="1"/>
  <c r="E24" i="19" s="1"/>
  <c r="F24" i="19" s="1"/>
  <c r="B25" i="19" s="1"/>
  <c r="D25" i="19" s="1"/>
  <c r="E25" i="19" s="1"/>
  <c r="F25" i="19" s="1"/>
  <c r="B26" i="19" s="1"/>
  <c r="D26" i="19" s="1"/>
  <c r="E26" i="19" s="1"/>
  <c r="F26" i="19" s="1"/>
  <c r="B27" i="19" s="1"/>
  <c r="U36" i="9"/>
  <c r="U39" i="9" s="1"/>
  <c r="G36" i="19"/>
  <c r="T33" i="9"/>
  <c r="T54" i="9"/>
  <c r="U42" i="9"/>
  <c r="U49" i="9"/>
  <c r="U33" i="9"/>
  <c r="T52" i="9"/>
  <c r="T65" i="9"/>
  <c r="U63" i="9" s="1"/>
  <c r="T69" i="9"/>
  <c r="V24" i="9"/>
  <c r="V88" i="9"/>
  <c r="V91" i="9" s="1"/>
  <c r="V94" i="9" s="1"/>
  <c r="V95" i="9" s="1"/>
  <c r="W17" i="9"/>
  <c r="W19" i="9" s="1"/>
  <c r="Y13" i="9"/>
  <c r="Y15" i="9" s="1"/>
  <c r="X15" i="9"/>
  <c r="D25" i="20"/>
  <c r="F25" i="20" s="1"/>
  <c r="C18" i="20"/>
  <c r="G18" i="20" s="1"/>
  <c r="H18" i="20" s="1"/>
  <c r="AF105" i="11" l="1"/>
  <c r="AE106" i="11"/>
  <c r="AH125" i="11"/>
  <c r="AH126" i="11" s="1"/>
  <c r="AH127" i="11" s="1"/>
  <c r="AI134" i="11"/>
  <c r="D27" i="19"/>
  <c r="E27" i="19" s="1"/>
  <c r="F27" i="19" s="1"/>
  <c r="B28" i="19" s="1"/>
  <c r="V36" i="9"/>
  <c r="V39" i="9" s="1"/>
  <c r="G37" i="19"/>
  <c r="U54" i="9"/>
  <c r="U52" i="9"/>
  <c r="U69" i="9"/>
  <c r="U65" i="9"/>
  <c r="V63" i="9" s="1"/>
  <c r="V49" i="9"/>
  <c r="V42" i="9"/>
  <c r="V33" i="9"/>
  <c r="W24" i="9"/>
  <c r="W88" i="9"/>
  <c r="W91" i="9" s="1"/>
  <c r="W94" i="9" s="1"/>
  <c r="W95" i="9" s="1"/>
  <c r="X17" i="9"/>
  <c r="X19" i="9" s="1"/>
  <c r="Y17" i="9"/>
  <c r="Y19" i="9" s="1"/>
  <c r="I18" i="20"/>
  <c r="D26" i="20"/>
  <c r="F26" i="20" s="1"/>
  <c r="B19" i="20"/>
  <c r="AG105" i="11" l="1"/>
  <c r="AF106" i="11"/>
  <c r="AI125" i="11"/>
  <c r="AI126" i="11" s="1"/>
  <c r="AI127" i="11" s="1"/>
  <c r="AJ134" i="11"/>
  <c r="D28" i="19"/>
  <c r="E28" i="19" s="1"/>
  <c r="F28" i="19" s="1"/>
  <c r="B29" i="19" s="1"/>
  <c r="D29" i="19" s="1"/>
  <c r="E29" i="19" s="1"/>
  <c r="F29" i="19" s="1"/>
  <c r="B30" i="19" s="1"/>
  <c r="D30" i="19" s="1"/>
  <c r="E30" i="19" s="1"/>
  <c r="F30" i="19" s="1"/>
  <c r="B31" i="19" s="1"/>
  <c r="W36" i="9"/>
  <c r="W39" i="9" s="1"/>
  <c r="G38" i="19"/>
  <c r="V54" i="9"/>
  <c r="W42" i="9"/>
  <c r="W49" i="9"/>
  <c r="W33" i="9"/>
  <c r="V65" i="9"/>
  <c r="W63" i="9" s="1"/>
  <c r="V69" i="9"/>
  <c r="V52" i="9"/>
  <c r="Y24" i="9"/>
  <c r="Y36" i="9" s="1"/>
  <c r="Y39" i="9" s="1"/>
  <c r="Y88" i="9"/>
  <c r="Y91" i="9" s="1"/>
  <c r="Y94" i="9" s="1"/>
  <c r="Y95" i="9" s="1"/>
  <c r="X24" i="9"/>
  <c r="X36" i="9" s="1"/>
  <c r="X39" i="9" s="1"/>
  <c r="X88" i="9"/>
  <c r="X91" i="9" s="1"/>
  <c r="X94" i="9" s="1"/>
  <c r="X95" i="9" s="1"/>
  <c r="D27" i="20"/>
  <c r="F27" i="20" s="1"/>
  <c r="C19" i="20"/>
  <c r="AH105" i="11" l="1"/>
  <c r="AG106" i="11"/>
  <c r="AJ125" i="11"/>
  <c r="AJ126" i="11" s="1"/>
  <c r="AJ127" i="11" s="1"/>
  <c r="AK134" i="11"/>
  <c r="D31" i="19"/>
  <c r="E31" i="19" s="1"/>
  <c r="F31" i="19"/>
  <c r="B32" i="19" s="1"/>
  <c r="D32" i="19" s="1"/>
  <c r="E32" i="19" s="1"/>
  <c r="F32" i="19" s="1"/>
  <c r="B33" i="19" s="1"/>
  <c r="W54" i="9"/>
  <c r="Y42" i="9"/>
  <c r="Y49" i="9"/>
  <c r="Y33" i="9"/>
  <c r="W52" i="9"/>
  <c r="W69" i="9"/>
  <c r="W65" i="9"/>
  <c r="X63" i="9" s="1"/>
  <c r="X42" i="9"/>
  <c r="X49" i="9"/>
  <c r="X33" i="9"/>
  <c r="D28" i="20"/>
  <c r="F28" i="20" s="1"/>
  <c r="G19" i="20"/>
  <c r="I19" i="20" s="1"/>
  <c r="AI105" i="11" l="1"/>
  <c r="AH106" i="11"/>
  <c r="AK125" i="11"/>
  <c r="AK126" i="11" s="1"/>
  <c r="AK127" i="11" s="1"/>
  <c r="AL134" i="11"/>
  <c r="D33" i="19"/>
  <c r="E33" i="19" s="1"/>
  <c r="F33" i="19" s="1"/>
  <c r="B34" i="19" s="1"/>
  <c r="D34" i="19" s="1"/>
  <c r="E34" i="19" s="1"/>
  <c r="F34" i="19" s="1"/>
  <c r="B35" i="19" s="1"/>
  <c r="X54" i="9"/>
  <c r="Y52" i="9"/>
  <c r="Y69" i="9"/>
  <c r="Y65" i="9"/>
  <c r="X52" i="9"/>
  <c r="X69" i="9"/>
  <c r="X65" i="9"/>
  <c r="Y63" i="9" s="1"/>
  <c r="Y54" i="9" s="1"/>
  <c r="H19" i="20"/>
  <c r="B20" i="20" s="1"/>
  <c r="D30" i="20"/>
  <c r="F30" i="20" s="1"/>
  <c r="D29" i="20"/>
  <c r="F29" i="20" s="1"/>
  <c r="AJ105" i="11" l="1"/>
  <c r="AI106" i="11"/>
  <c r="AL125" i="11"/>
  <c r="AL126" i="11" s="1"/>
  <c r="AL127" i="11" s="1"/>
  <c r="AM134" i="11"/>
  <c r="D35" i="19"/>
  <c r="E35" i="19" s="1"/>
  <c r="F35" i="19"/>
  <c r="B36" i="19" s="1"/>
  <c r="D36" i="19" s="1"/>
  <c r="E36" i="19" s="1"/>
  <c r="F36" i="19" s="1"/>
  <c r="B37" i="19" s="1"/>
  <c r="C20" i="20"/>
  <c r="AK105" i="11" l="1"/>
  <c r="AJ106" i="11"/>
  <c r="AN134" i="11"/>
  <c r="AM125" i="11"/>
  <c r="AM126" i="11" s="1"/>
  <c r="AM127" i="11" s="1"/>
  <c r="D37" i="19"/>
  <c r="E37" i="19" s="1"/>
  <c r="F37" i="19"/>
  <c r="B38" i="19" s="1"/>
  <c r="D38" i="19" s="1"/>
  <c r="G20" i="20"/>
  <c r="H20" i="20" s="1"/>
  <c r="AL105" i="11" l="1"/>
  <c r="AK106" i="11"/>
  <c r="AO134" i="11"/>
  <c r="AN125" i="11"/>
  <c r="AN126" i="11" s="1"/>
  <c r="AN127" i="11" s="1"/>
  <c r="E38" i="19"/>
  <c r="D40" i="19"/>
  <c r="C44" i="19" s="1"/>
  <c r="I20" i="20"/>
  <c r="B21" i="20"/>
  <c r="AM105" i="11" l="1"/>
  <c r="AL106" i="11"/>
  <c r="AP134" i="11"/>
  <c r="AO125" i="11"/>
  <c r="AO126" i="11" s="1"/>
  <c r="AO127" i="11" s="1"/>
  <c r="F38" i="19"/>
  <c r="C42" i="19" s="1"/>
  <c r="E40" i="19"/>
  <c r="C45" i="19" s="1"/>
  <c r="C21" i="20"/>
  <c r="G21" i="20" s="1"/>
  <c r="AN105" i="11" l="1"/>
  <c r="AM106" i="11"/>
  <c r="AQ134" i="11"/>
  <c r="AP125" i="11"/>
  <c r="AP126" i="11" s="1"/>
  <c r="AP127" i="11" s="1"/>
  <c r="I21" i="20"/>
  <c r="H21" i="20"/>
  <c r="B22" i="20" s="1"/>
  <c r="AO105" i="11" l="1"/>
  <c r="AN106" i="11"/>
  <c r="AR134" i="11"/>
  <c r="AQ125" i="11"/>
  <c r="AQ126" i="11" s="1"/>
  <c r="AQ127" i="11" s="1"/>
  <c r="C22" i="20"/>
  <c r="G22" i="20" s="1"/>
  <c r="AP105" i="11" l="1"/>
  <c r="AO106" i="11"/>
  <c r="AR125" i="11"/>
  <c r="AR126" i="11" s="1"/>
  <c r="AR127" i="11" s="1"/>
  <c r="AS134" i="11"/>
  <c r="H22" i="20"/>
  <c r="B23" i="20" s="1"/>
  <c r="C23" i="20" s="1"/>
  <c r="I22" i="20"/>
  <c r="AQ105" i="11" l="1"/>
  <c r="AP106" i="11"/>
  <c r="AS125" i="11"/>
  <c r="AS126" i="11" s="1"/>
  <c r="AS127" i="11" s="1"/>
  <c r="AT134" i="11"/>
  <c r="G23" i="20"/>
  <c r="I23" i="20" s="1"/>
  <c r="AR105" i="11" l="1"/>
  <c r="AQ106" i="11"/>
  <c r="AT125" i="11"/>
  <c r="AT126" i="11" s="1"/>
  <c r="AT127" i="11" s="1"/>
  <c r="AU134" i="11"/>
  <c r="AU125" i="11" s="1"/>
  <c r="AU126" i="11" s="1"/>
  <c r="AU127" i="11" s="1"/>
  <c r="H128" i="11" s="1"/>
  <c r="H23" i="20"/>
  <c r="B24" i="20" s="1"/>
  <c r="C24" i="20" s="1"/>
  <c r="G24" i="20" s="1"/>
  <c r="I24" i="20" s="1"/>
  <c r="AS105" i="11" l="1"/>
  <c r="AR106" i="11"/>
  <c r="H24" i="20"/>
  <c r="B25" i="20" s="1"/>
  <c r="C25" i="20" s="1"/>
  <c r="G25" i="20" s="1"/>
  <c r="I25" i="20" s="1"/>
  <c r="AT105" i="11" l="1"/>
  <c r="AS106" i="11"/>
  <c r="H25" i="20"/>
  <c r="B26" i="20" s="1"/>
  <c r="AU105" i="11" l="1"/>
  <c r="AU106" i="11" s="1"/>
  <c r="AT106" i="11"/>
  <c r="C26" i="20"/>
  <c r="G26" i="20" s="1"/>
  <c r="I26" i="20" l="1"/>
  <c r="H26" i="20"/>
  <c r="B27" i="20" s="1"/>
  <c r="C27" i="20" l="1"/>
  <c r="G27" i="20" s="1"/>
  <c r="H27" i="20" s="1"/>
  <c r="B28" i="20" s="1"/>
  <c r="I27" i="20" l="1"/>
  <c r="C28" i="20"/>
  <c r="G28" i="20"/>
  <c r="H28" i="20" s="1"/>
  <c r="B29" i="20" s="1"/>
  <c r="I28" i="20" l="1"/>
  <c r="C29" i="20"/>
  <c r="G29" i="20" s="1"/>
  <c r="I29" i="20" l="1"/>
  <c r="H29" i="20"/>
  <c r="B30" i="20" s="1"/>
  <c r="C30" i="20" l="1"/>
  <c r="G30" i="20" l="1"/>
  <c r="H30" i="20" s="1"/>
  <c r="C41" i="20" s="1"/>
  <c r="C32" i="20"/>
  <c r="C36" i="20" s="1"/>
  <c r="I30" i="20" l="1"/>
  <c r="G32" i="20"/>
  <c r="C37" i="20" s="1"/>
  <c r="C39" i="20" s="1"/>
  <c r="C7" i="20"/>
  <c r="C38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4" authorId="0" shapeId="0" xr:uid="{00000000-0006-0000-0100-000001000000}">
      <text>
        <r>
          <rPr>
            <sz val="10"/>
            <rFont val="Arial"/>
            <family val="2"/>
          </rPr>
          <t>NOTE:  2022 rents from Novogradac and CR Compliance</t>
        </r>
      </text>
    </comment>
    <comment ref="L15" authorId="0" shapeId="0" xr:uid="{00000000-0006-0000-0100-000003000000}">
      <text>
        <r>
          <rPr>
            <sz val="10"/>
            <rFont val="Arial"/>
            <family val="2"/>
          </rPr>
          <t xml:space="preserve">NOTE: utility allowances based on HHA standards - all electric and furnished (12/2021)
</t>
        </r>
      </text>
    </comment>
    <comment ref="G16" authorId="0" shapeId="0" xr:uid="{00000000-0006-0000-0100-000002000000}">
      <text>
        <r>
          <rPr>
            <sz val="10"/>
            <rFont val="Arial"/>
            <family val="2"/>
          </rPr>
          <t>NOTE:  rents on PBV units shown at 110% FMR -HAP contract from HHA;  all units 30%/50% AMI and half of 60% AMI units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30" authorId="0" shapeId="0" xr:uid="{00000000-0006-0000-0900-000001000000}">
      <text>
        <r>
          <rPr>
            <sz val="10"/>
            <rFont val="Arial"/>
            <family val="2"/>
          </rPr>
          <t>J Compton:
Use most recent Gross Program Rents; If GPR are adjusted after App Accept Period but prior to releash of Report, you may adjust with the new GPR #'s</t>
        </r>
      </text>
    </comment>
    <comment ref="J33" authorId="0" shapeId="0" xr:uid="{00000000-0006-0000-0900-000002000000}">
      <text>
        <r>
          <rPr>
            <sz val="10"/>
            <rFont val="Arial"/>
            <family val="2"/>
          </rPr>
          <t>TBullard:
If requesting RPP, sub-50% AMI units restricted to lesser of Targeting % for points, Low HOME, or FMR rents.</t>
        </r>
      </text>
    </comment>
    <comment ref="J35" authorId="0" shapeId="0" xr:uid="{00000000-0006-0000-0900-000003000000}">
      <text>
        <r>
          <rPr>
            <sz val="10"/>
            <rFont val="Arial"/>
            <family val="2"/>
          </rPr>
          <t>TBullard:
If requesting RPP, sub-50% AMI units restricted to lesser of Targeting % for points, Low HOME, or FMR rents.</t>
        </r>
      </text>
    </comment>
    <comment ref="J37" authorId="0" shapeId="0" xr:uid="{00000000-0006-0000-0900-000004000000}">
      <text>
        <r>
          <rPr>
            <sz val="10"/>
            <rFont val="Arial"/>
            <family val="2"/>
          </rPr>
          <t>TBullard:
If requesting RPP, sub-50% AMI units restricted to lesser of Targeting % for points, Low HOME, or FMR rents.</t>
        </r>
      </text>
    </comment>
    <comment ref="J39" authorId="0" shapeId="0" xr:uid="{00000000-0006-0000-0900-000005000000}">
      <text>
        <r>
          <rPr>
            <sz val="10"/>
            <rFont val="Arial"/>
            <family val="2"/>
          </rPr>
          <t>TBullard:
If requesting RPP, 60% AMI units restricted to lesser of AMI, High HOME, or FMR rents.</t>
        </r>
      </text>
    </comment>
    <comment ref="J41" authorId="0" shapeId="0" xr:uid="{00000000-0006-0000-0900-000006000000}">
      <text>
        <r>
          <rPr>
            <sz val="10"/>
            <rFont val="Arial"/>
            <family val="2"/>
          </rPr>
          <t>TBullard:
If requesting RPP, 60% AMI units restricted to lesser of AMI, High HOME, or FMR rents.</t>
        </r>
      </text>
    </comment>
    <comment ref="J43" authorId="0" shapeId="0" xr:uid="{00000000-0006-0000-0900-000007000000}">
      <text>
        <r>
          <rPr>
            <sz val="10"/>
            <rFont val="Arial"/>
            <family val="2"/>
          </rPr>
          <t>TBullard:
If requesting RPP, 60% AMI units restricted to lesser of AMI, High HOME, or FMR rents.</t>
        </r>
      </text>
    </comment>
    <comment ref="J45" authorId="0" shapeId="0" xr:uid="{00000000-0006-0000-0900-000008000000}">
      <text>
        <r>
          <rPr>
            <sz val="10"/>
            <rFont val="Arial"/>
            <family val="2"/>
          </rPr>
          <t>TBullard:
If requesting RPP, 60% AMI units restricted to lesser of AMI, High HOME, or FMR rents.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32" authorId="0" shapeId="0" xr:uid="{00000000-0006-0000-0A00-000001000000}">
      <text>
        <r>
          <rPr>
            <sz val="10"/>
            <rFont val="Arial"/>
            <family val="2"/>
          </rPr>
          <t>J Compton:
Use most recent Gross Program Rents; If GPR are adjusted after App Accept Period but prior to releash of Report, you may adjust with the new GPR #'s</t>
        </r>
      </text>
    </comment>
    <comment ref="J35" authorId="0" shapeId="0" xr:uid="{00000000-0006-0000-0A00-000002000000}">
      <text>
        <r>
          <rPr>
            <sz val="10"/>
            <rFont val="Arial"/>
            <family val="2"/>
          </rPr>
          <t>TBullard:
If requesting RPP, sub-50% AMI units restricted to lesser of Targeting % for points, Low HOME, or FMR rents.</t>
        </r>
      </text>
    </comment>
    <comment ref="J37" authorId="0" shapeId="0" xr:uid="{00000000-0006-0000-0A00-000003000000}">
      <text>
        <r>
          <rPr>
            <sz val="10"/>
            <rFont val="Arial"/>
            <family val="2"/>
          </rPr>
          <t>TBullard:
If requesting RPP, sub-50% AMI units restricted to lesser of Targeting % for points, Low HOME, or FMR rents.</t>
        </r>
      </text>
    </comment>
    <comment ref="J39" authorId="0" shapeId="0" xr:uid="{00000000-0006-0000-0A00-000004000000}">
      <text>
        <r>
          <rPr>
            <sz val="10"/>
            <rFont val="Arial"/>
            <family val="2"/>
          </rPr>
          <t>TBullard:
If requesting RPP, sub-50% AMI units restricted to lesser of Targeting % for points, Low HOME, or FMR rents.</t>
        </r>
      </text>
    </comment>
    <comment ref="J41" authorId="0" shapeId="0" xr:uid="{00000000-0006-0000-0A00-000005000000}">
      <text>
        <r>
          <rPr>
            <sz val="10"/>
            <rFont val="Arial"/>
            <family val="2"/>
          </rPr>
          <t>TBullard:
If requesting RPP, 60% AMI units restricted to lesser of AMI, High HOME, or FMR rents.</t>
        </r>
      </text>
    </comment>
    <comment ref="J43" authorId="0" shapeId="0" xr:uid="{00000000-0006-0000-0A00-000006000000}">
      <text>
        <r>
          <rPr>
            <sz val="10"/>
            <rFont val="Arial"/>
            <family val="2"/>
          </rPr>
          <t>TBullard:
If requesting RPP, 60% AMI units restricted to lesser of AMI, High HOME, or FMR rents.</t>
        </r>
      </text>
    </comment>
    <comment ref="J45" authorId="0" shapeId="0" xr:uid="{00000000-0006-0000-0A00-000007000000}">
      <text>
        <r>
          <rPr>
            <sz val="10"/>
            <rFont val="Arial"/>
            <family val="2"/>
          </rPr>
          <t>TBullard:
If requesting RPP, 60% AMI units restricted to lesser of AMI, High HOME, or FMR rents.</t>
        </r>
      </text>
    </comment>
    <comment ref="J47" authorId="0" shapeId="0" xr:uid="{00000000-0006-0000-0A00-000008000000}">
      <text>
        <r>
          <rPr>
            <sz val="10"/>
            <rFont val="Arial"/>
            <family val="2"/>
          </rPr>
          <t>TBullard:
If requesting RPP, 60% AMI units restricted to lesser of AMI, High HOME, or FMR rents.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<sst xmlns="http://schemas.openxmlformats.org/spreadsheetml/2006/main" count="1688" uniqueCount="946">
  <si>
    <t>REO, LLC — LIHTC UNDERWRITING MODEL TEMPLATE</t>
  </si>
  <si>
    <t>Based on Columbia at Independence Heights II Structure</t>
  </si>
  <si>
    <t>HOW TO USE THIS TEMPLATE</t>
  </si>
  <si>
    <t>1. Save a copy of this file with your new project name before editing.</t>
  </si>
  <si>
    <t>2. Start on the INPUTS sheet — fill in all blue-highlighted cells with your deal assumptions.</t>
  </si>
  <si>
    <t>3. Move to RENT SCHEDULE — enter your unit mix, set-asides, and projected rents.</t>
  </si>
  <si>
    <t>4. Complete DEVELOPMENT BUDGET — enter all line-item costs and basis eligibility.</t>
  </si>
  <si>
    <t>5. Complete OPERATING EXPENSE — enter your projected operating budget.</t>
  </si>
  <si>
    <t>6. Update SUMMARY SOURCES-USES — enter debt terms, equity pricing, source names.</t>
  </si>
  <si>
    <t>7. Complete CREDIT DELIVERY &amp; PAY-INS — enter lease-up schedule and equity pay-in timing.</t>
  </si>
  <si>
    <t>8. Complete FLOW OF FUNDS — enter monthly construction draw percentages.</t>
  </si>
  <si>
    <t>9. Update DEVELOPER FEE SCHEDULE — enter partner entities and split percentages.</t>
  </si>
  <si>
    <t>SHEET INVENTORY (13 Sheets)</t>
  </si>
  <si>
    <t>Inputs: Project assumptions, rents, set-asides, vacancy, inflation, timeline, hard costs</t>
  </si>
  <si>
    <t>Summary Sources-Uses: Capital stack, LIHTC equity calculation, debt terms, gap analysis</t>
  </si>
  <si>
    <t>Development Budget: Line-item budget matching TDHCA core application format</t>
  </si>
  <si>
    <t>Rent Schedule: Full rent roll: PBV, LIHTC, Market units by bedroom type with UAs</t>
  </si>
  <si>
    <t>Operating Expense: Detailed OpEx budget with comparable property analysis</t>
  </si>
  <si>
    <t>20yr Proforma: 20-year cash flow waterfall with debt service, DDF, LP/GP splits, DSCR</t>
  </si>
  <si>
    <t>Credit Delivery &amp; Pay-Ins: Monthly lease-up and credit delivery schedule, equity pay-in timing</t>
  </si>
  <si>
    <t>Flow of Funds: Monthly construction period flow of funds with draw schedule</t>
  </si>
  <si>
    <t>Developer Fee Schedule: Fee split structure between GP, developer entities, and LP</t>
  </si>
  <si>
    <t>Income / Income (2): Unit mix worksheets with AMI limits and utility allowances</t>
  </si>
  <si>
    <t>Construction Sources-Uses: Construction-period sources and uses breakdown</t>
  </si>
  <si>
    <t>KEY CONVENTIONS</t>
  </si>
  <si>
    <t>Blue text = Hardcoded input (you change these)</t>
  </si>
  <si>
    <t>Black text = Formula / calculation (do not overwrite)</t>
  </si>
  <si>
    <t>Green text = Cross-sheet link (do not overwrite)</t>
  </si>
  <si>
    <t>Yellow highlight = Key assumption requiring attention</t>
  </si>
  <si>
    <t>NAMED RANGES</t>
  </si>
  <si>
    <t>This model uses 100+ named ranges. Key ones: ProjName, TotalUnitCount, VacancyRate,</t>
  </si>
  <si>
    <t>RevInfl, ExpInfl, ReplReserve, TypeAlloc, ApplFrac, HardCostUnit, ConstDur, DevFeeInt.</t>
  </si>
  <si>
    <t>Do NOT rename sheets or move cells referenced by named ranges.</t>
  </si>
  <si>
    <t>COMPATIBLE WITH</t>
  </si>
  <si>
    <t>TDHCA 4% Bond + LIHTC applications (primary)</t>
  </si>
  <si>
    <t>TDHCA 9% LIHTC applications (change TypeAlloc on Inputs sheet)</t>
  </si>
  <si>
    <t>LHC (Louisiana) applications with minor modifications to scoring/compliance sheets</t>
  </si>
  <si>
    <t>Project</t>
  </si>
  <si>
    <t>[Version]</t>
  </si>
  <si>
    <t>apex apartments with ext detention</t>
  </si>
  <si>
    <t>Number of Units</t>
  </si>
  <si>
    <t>buildable NRSF per JHP</t>
  </si>
  <si>
    <t>Acres</t>
  </si>
  <si>
    <t>avg unit SF</t>
  </si>
  <si>
    <t>Units/Acre</t>
  </si>
  <si>
    <t>Acquisition Price</t>
  </si>
  <si>
    <t>per unit</t>
  </si>
  <si>
    <t>Type of Allocation</t>
  </si>
  <si>
    <t>Max Credit Allocation</t>
  </si>
  <si>
    <t>GA: $950,000; TX: $1,500,000</t>
  </si>
  <si>
    <t>Max Dev. Fee Allowable</t>
  </si>
  <si>
    <t>GA: $1.8MM for 9%, $2.5MM for 4%</t>
  </si>
  <si>
    <t>Rents</t>
  </si>
  <si>
    <t>2023 FMR+10%</t>
  </si>
  <si>
    <t>30% LIHTC</t>
  </si>
  <si>
    <t>50% LIHTC</t>
  </si>
  <si>
    <t>60% LIHTC</t>
  </si>
  <si>
    <t>30% PBV</t>
  </si>
  <si>
    <t>50% PBV</t>
  </si>
  <si>
    <t>80% LIHTC</t>
  </si>
  <si>
    <t>Market</t>
  </si>
  <si>
    <t>    FMR</t>
  </si>
  <si>
    <t>UA</t>
  </si>
  <si>
    <t>SF</t>
  </si>
  <si>
    <t>Mix</t>
  </si>
  <si>
    <t>Market Rate/SF</t>
  </si>
  <si>
    <t>1 BR</t>
  </si>
  <si>
    <t>2 BR</t>
  </si>
  <si>
    <t>3 BR</t>
  </si>
  <si>
    <t>4 BR</t>
  </si>
  <si>
    <t>UA's</t>
  </si>
  <si>
    <t>Y</t>
  </si>
  <si>
    <t>y</t>
  </si>
  <si>
    <t>N</t>
  </si>
  <si>
    <t>*asssume $20/unit savings</t>
  </si>
  <si>
    <t>Set Asides</t>
  </si>
  <si>
    <t>Income Limits</t>
  </si>
  <si>
    <t>Total Mix</t>
  </si>
  <si>
    <t>Of</t>
  </si>
  <si>
    <t>Less</t>
  </si>
  <si>
    <t>of Total</t>
  </si>
  <si>
    <t>Tax Abatement</t>
  </si>
  <si>
    <t>Plug</t>
  </si>
  <si>
    <t>None</t>
  </si>
  <si>
    <t>income avg</t>
  </si>
  <si>
    <t>Vacancy Rate</t>
  </si>
  <si>
    <t>Revenue Inflation</t>
  </si>
  <si>
    <t>Expense Inflation</t>
  </si>
  <si>
    <t>Replacement Reserve</t>
  </si>
  <si>
    <t>per units</t>
  </si>
  <si>
    <t>Start Year</t>
  </si>
  <si>
    <t>Month</t>
  </si>
  <si>
    <t>Equity Schedule</t>
  </si>
  <si>
    <t>Fee Schedule</t>
  </si>
  <si>
    <t>Start</t>
  </si>
  <si>
    <t>Application</t>
  </si>
  <si>
    <t>Closing</t>
  </si>
  <si>
    <t>months from app date</t>
  </si>
  <si>
    <t>Completion</t>
  </si>
  <si>
    <t>Stabilization</t>
  </si>
  <si>
    <t>Units/month</t>
  </si>
  <si>
    <t>months</t>
  </si>
  <si>
    <t>8609's</t>
  </si>
  <si>
    <t>Hard Cost Per Unit</t>
  </si>
  <si>
    <t>*Incl. comm SF</t>
  </si>
  <si>
    <t>const contract per unit</t>
  </si>
  <si>
    <t>per NRSF</t>
  </si>
  <si>
    <t>Contingency</t>
  </si>
  <si>
    <t>total const contract</t>
  </si>
  <si>
    <t>deferred fee target</t>
  </si>
  <si>
    <t>Developer Fee Interest</t>
  </si>
  <si>
    <t>target const contract</t>
  </si>
  <si>
    <t>target per unit cost</t>
  </si>
  <si>
    <t>need to cut</t>
  </si>
  <si>
    <t>Construction Duration</t>
  </si>
  <si>
    <t>need to cut per unit</t>
  </si>
  <si>
    <t>Rent</t>
  </si>
  <si>
    <t>Commercial SF</t>
  </si>
  <si>
    <t>/sf/year</t>
  </si>
  <si>
    <t>Parking</t>
  </si>
  <si>
    <t>per 1000</t>
  </si>
  <si>
    <t>spaces</t>
  </si>
  <si>
    <t>average</t>
  </si>
  <si>
    <t>Total SF</t>
  </si>
  <si>
    <t>acres</t>
  </si>
  <si>
    <t>Cost per SF</t>
  </si>
  <si>
    <t>total cost</t>
  </si>
  <si>
    <t>units</t>
  </si>
  <si>
    <t>Sources:</t>
  </si>
  <si>
    <t>Per Unit</t>
  </si>
  <si>
    <t>Uses:</t>
  </si>
  <si>
    <t>Total</t>
  </si>
  <si>
    <t>First Mortgage</t>
  </si>
  <si>
    <t xml:space="preserve">Acquisition Costs </t>
  </si>
  <si>
    <t>2nd Mortgage</t>
  </si>
  <si>
    <t xml:space="preserve">Construction Costs </t>
  </si>
  <si>
    <t>CHANGES to SOURCES</t>
  </si>
  <si>
    <t>3rd Mortgage</t>
  </si>
  <si>
    <t>Predevelopment Costs</t>
  </si>
  <si>
    <t>4th Mortgage</t>
  </si>
  <si>
    <t>Financing</t>
  </si>
  <si>
    <t xml:space="preserve"> </t>
  </si>
  <si>
    <t>QCT Credits</t>
  </si>
  <si>
    <t>Professional Services</t>
  </si>
  <si>
    <t>noQCT</t>
  </si>
  <si>
    <t>Other Equity</t>
  </si>
  <si>
    <t>Local Government Fees</t>
  </si>
  <si>
    <t>Loss in credits</t>
  </si>
  <si>
    <t>Other grant/loan</t>
  </si>
  <si>
    <t>Permanent Financing Fees</t>
  </si>
  <si>
    <t>LIHTC Equity (4%)-Fed</t>
  </si>
  <si>
    <t>Tax Credit Costs</t>
  </si>
  <si>
    <t>QCT Equity</t>
  </si>
  <si>
    <t>LIHTC Equity (4%)-State</t>
  </si>
  <si>
    <t>[State Investor]</t>
  </si>
  <si>
    <t>Equity Costs</t>
  </si>
  <si>
    <t>Deferred Devel Fee</t>
  </si>
  <si>
    <t>developer</t>
  </si>
  <si>
    <t>Start Up and Reserves</t>
  </si>
  <si>
    <t>Loss in Equity</t>
  </si>
  <si>
    <t>Earnings on GIC (set equal to interest exp)</t>
  </si>
  <si>
    <t>Other Costs</t>
  </si>
  <si>
    <t>percent of fee deferred</t>
  </si>
  <si>
    <t>Developer Fee</t>
  </si>
  <si>
    <t>Payback period</t>
  </si>
  <si>
    <t>Permanent Debt</t>
  </si>
  <si>
    <t>Total Sources:</t>
  </si>
  <si>
    <t>Total Uses:</t>
  </si>
  <si>
    <t>QCT Perm Debt</t>
  </si>
  <si>
    <t>Increase in debt</t>
  </si>
  <si>
    <t>Deferred Developer Fee</t>
  </si>
  <si>
    <t>LIHTC Equity</t>
  </si>
  <si>
    <t>QCT DDF</t>
  </si>
  <si>
    <t>Total Eligible Costs</t>
  </si>
  <si>
    <t>Percentage Low Income</t>
  </si>
  <si>
    <t>Increase in DDF</t>
  </si>
  <si>
    <t>Eligible Basis Acquis.</t>
  </si>
  <si>
    <t>Eligible Basis-Dev. Cost</t>
  </si>
  <si>
    <t>FEMA Allocation</t>
  </si>
  <si>
    <t>Combined Basis</t>
  </si>
  <si>
    <t xml:space="preserve">QCT FEMA </t>
  </si>
  <si>
    <t>Boost</t>
  </si>
  <si>
    <t>Qualified Basis:</t>
  </si>
  <si>
    <t>Increase in FEMA</t>
  </si>
  <si>
    <t>Eligible Annual Credit:</t>
  </si>
  <si>
    <t xml:space="preserve">LIHTC allocation </t>
  </si>
  <si>
    <t>Federal Equity Pricing ($/credit)</t>
  </si>
  <si>
    <t>Total Federal LIHTC Equity</t>
  </si>
  <si>
    <t>99.99% to LP investor</t>
  </si>
  <si>
    <t>State Equity Pricing ($/credit)</t>
  </si>
  <si>
    <t>Total State LIHTC Equity</t>
  </si>
  <si>
    <t>Total Equity Yield</t>
  </si>
  <si>
    <t xml:space="preserve">45L Credits </t>
  </si>
  <si>
    <t>Total Funds</t>
  </si>
  <si>
    <t>Debt Sources:</t>
  </si>
  <si>
    <t>rate</t>
  </si>
  <si>
    <t>amortiz</t>
  </si>
  <si>
    <t>term</t>
  </si>
  <si>
    <t>principal</t>
  </si>
  <si>
    <t>annual DS</t>
  </si>
  <si>
    <t>annual DS/unit</t>
  </si>
  <si>
    <t>DSCR Y1</t>
  </si>
  <si>
    <t>DSCR Y15</t>
  </si>
  <si>
    <t>DSCR Y20</t>
  </si>
  <si>
    <t>1st Mortgage:</t>
  </si>
  <si>
    <t>*10yr (4.05%) + 184bp spread + 25bp cushion</t>
  </si>
  <si>
    <t>Wells Portion</t>
  </si>
  <si>
    <t>Soft Loan</t>
  </si>
  <si>
    <t>cash flow-interest only</t>
  </si>
  <si>
    <t>Soft Loan B</t>
  </si>
  <si>
    <t>n.a.</t>
  </si>
  <si>
    <t>5th Mortgage</t>
  </si>
  <si>
    <t>6th Mortgage</t>
  </si>
  <si>
    <t>n. a.</t>
  </si>
  <si>
    <t>totals:</t>
  </si>
  <si>
    <t>Bond Allocation:</t>
  </si>
  <si>
    <t>Construction Loan (Taxable)</t>
  </si>
  <si>
    <t>*</t>
  </si>
  <si>
    <t>*  rate is 30-day SOFR 4.00% + 245bp with 15 bps hedge</t>
  </si>
  <si>
    <t>Development Costs &amp; Tax Treatment</t>
  </si>
  <si>
    <t>Construction:</t>
  </si>
  <si>
    <t xml:space="preserve">Total </t>
  </si>
  <si>
    <t>Section 42</t>
  </si>
  <si>
    <t>Notes</t>
  </si>
  <si>
    <t xml:space="preserve">Basis Eligible </t>
  </si>
  <si>
    <t>Land/Ground Lease Prepayment</t>
  </si>
  <si>
    <t xml:space="preserve">Hard Costs </t>
  </si>
  <si>
    <t>Sitework &amp; Related Fees</t>
  </si>
  <si>
    <t>Structured Parking</t>
  </si>
  <si>
    <t>GC Overhead</t>
  </si>
  <si>
    <t>GC Profit</t>
  </si>
  <si>
    <t>Builders Risk Insurance</t>
  </si>
  <si>
    <t>Payment and Performance Bond</t>
  </si>
  <si>
    <t>Construction Contingency  (5%)</t>
  </si>
  <si>
    <t>Property Appraisal</t>
  </si>
  <si>
    <t>Market Study</t>
  </si>
  <si>
    <t>Environmental Report(s)</t>
  </si>
  <si>
    <t>Soil Borings</t>
  </si>
  <si>
    <t>Boundary and Topographical Survey</t>
  </si>
  <si>
    <t>Zoning/Site Plan Fees</t>
  </si>
  <si>
    <t>Construction Financing and Placement Fees</t>
  </si>
  <si>
    <t xml:space="preserve">Construction Loan Interest </t>
  </si>
  <si>
    <t>Bond Interst (Fully Drawn)</t>
  </si>
  <si>
    <t>Bond issuer Fee (APV)</t>
  </si>
  <si>
    <t>Lender's Legal Fees</t>
  </si>
  <si>
    <t>Construction Period Real Estate Tax</t>
  </si>
  <si>
    <t>GL Insurance &amp; BR Security during construction</t>
  </si>
  <si>
    <t>Freddie TEL legal &amp; Associated Fees</t>
  </si>
  <si>
    <t>Architectural Fee - Design</t>
  </si>
  <si>
    <t>Architectural Fee - Reimbursables</t>
  </si>
  <si>
    <t>Landscape Architect</t>
  </si>
  <si>
    <t>Engineering</t>
  </si>
  <si>
    <t>Accounting</t>
  </si>
  <si>
    <t>Green Building Certification/Registration</t>
  </si>
  <si>
    <t>Construction Inspection Fees</t>
  </si>
  <si>
    <t>Accessibility Consulting</t>
  </si>
  <si>
    <t>Construction Materials Testing</t>
  </si>
  <si>
    <t>Building Permits</t>
  </si>
  <si>
    <t>Impact Fees</t>
  </si>
  <si>
    <t>Plan review</t>
  </si>
  <si>
    <t>Other local fees</t>
  </si>
  <si>
    <t>Permanent Loan Fees</t>
  </si>
  <si>
    <t>Permanent Loan Legal Fees</t>
  </si>
  <si>
    <t>Title and Recording Fees</t>
  </si>
  <si>
    <t>As-Built Survey</t>
  </si>
  <si>
    <t>Conversion Fee</t>
  </si>
  <si>
    <t>Application Fee</t>
  </si>
  <si>
    <t>Pre-application Fee</t>
  </si>
  <si>
    <t>Commitment Fee</t>
  </si>
  <si>
    <t>of annual LIHTC</t>
  </si>
  <si>
    <t>Bond Development Determination Fee</t>
  </si>
  <si>
    <t>LIHTC Allocation Processing Fee</t>
  </si>
  <si>
    <t>LIHTC Compliance Monitoring Fee</t>
  </si>
  <si>
    <t>per tax credit unit</t>
  </si>
  <si>
    <t>Partnership Organization Fees</t>
  </si>
  <si>
    <t>Tax Credit Legal Opinion</t>
  </si>
  <si>
    <t>Syndicator Legal Fees</t>
  </si>
  <si>
    <t>Syndicator Due Diligence Fee</t>
  </si>
  <si>
    <t>Marketing</t>
  </si>
  <si>
    <t>Rent-Up Reserves</t>
  </si>
  <si>
    <t>Operating Deficit Reserve</t>
  </si>
  <si>
    <t>Furniture, Fixtures and Equipment</t>
  </si>
  <si>
    <t>Soft Cost Contingency</t>
  </si>
  <si>
    <t>Total, Excluding Developer Fee</t>
  </si>
  <si>
    <t>Total, With Developer Fee</t>
  </si>
  <si>
    <t xml:space="preserve">Page 3 </t>
  </si>
  <si>
    <t>Maximum Eligible &amp; Projected Rents</t>
  </si>
  <si>
    <t>PBV rents are 110% of 2025 FMR Rents</t>
  </si>
  <si>
    <t>RENT ROLL</t>
  </si>
  <si>
    <t>LIHTC rents are 2025 rents per Novogradac</t>
  </si>
  <si>
    <t>Unit Type</t>
  </si>
  <si>
    <t>Set-Aside</t>
  </si>
  <si>
    <t>Income Limit</t>
  </si>
  <si>
    <t>Avg NRSF</t>
  </si>
  <si>
    <t>Max Eligible Gross Rent</t>
  </si>
  <si>
    <t>Net Rent</t>
  </si>
  <si>
    <t>$/NRSF</t>
  </si>
  <si>
    <t>Annual Rent</t>
  </si>
  <si>
    <t>Total Required HAP Vouchers from HHA</t>
  </si>
  <si>
    <t>60% PBV</t>
  </si>
  <si>
    <t>HAP Voucher Payment Standard</t>
  </si>
  <si>
    <t>of HUD FMR rent</t>
  </si>
  <si>
    <t>Total Affordable Units below 60% AMI</t>
  </si>
  <si>
    <t>market</t>
  </si>
  <si>
    <t>TOTAL</t>
  </si>
  <si>
    <t>Target Total Distribution</t>
  </si>
  <si>
    <t>Actual Distribution by Unit Type</t>
  </si>
  <si>
    <t>Variance</t>
  </si>
  <si>
    <t>Other Income</t>
  </si>
  <si>
    <t>Per Unit/Mo.</t>
  </si>
  <si>
    <t>All Units/Mo.</t>
  </si>
  <si>
    <t>Annual Revenue</t>
  </si>
  <si>
    <t>Laundry Machine Collections</t>
  </si>
  <si>
    <t xml:space="preserve">Late Fees </t>
  </si>
  <si>
    <t>Application Fees</t>
  </si>
  <si>
    <t>Security Deposit Forfeitures</t>
  </si>
  <si>
    <t xml:space="preserve">Other </t>
  </si>
  <si>
    <t>Commerical Space</t>
  </si>
  <si>
    <t>Monthly</t>
  </si>
  <si>
    <t>per SF/mo</t>
  </si>
  <si>
    <t>per year</t>
  </si>
  <si>
    <t>Commercial Space</t>
  </si>
  <si>
    <t>Subsidy Type</t>
  </si>
  <si>
    <t>Units</t>
  </si>
  <si>
    <t>Share</t>
  </si>
  <si>
    <t>Gross Potential Income</t>
  </si>
  <si>
    <t>PHA Sec 8 PBV-HAP</t>
  </si>
  <si>
    <t>LIHTC</t>
  </si>
  <si>
    <t>Commercial Income per year</t>
  </si>
  <si>
    <t>Market Rate</t>
  </si>
  <si>
    <t>Vacancy</t>
  </si>
  <si>
    <t>Net Income</t>
  </si>
  <si>
    <t>Unit Count</t>
  </si>
  <si>
    <t>% of Total</t>
  </si>
  <si>
    <t>% of LI</t>
  </si>
  <si>
    <t>Unit Mix</t>
  </si>
  <si>
    <t>Utility</t>
  </si>
  <si>
    <t>Who Pays</t>
  </si>
  <si>
    <t>Energy Source</t>
  </si>
  <si>
    <t>0-BR</t>
  </si>
  <si>
    <t>1-BR</t>
  </si>
  <si>
    <t>2-BR</t>
  </si>
  <si>
    <t>3BR</t>
  </si>
  <si>
    <t>4BR</t>
  </si>
  <si>
    <t>Source of Utility Allowance &amp; Effective Date</t>
  </si>
  <si>
    <t>Heating</t>
  </si>
  <si>
    <t>Tenant</t>
  </si>
  <si>
    <t>Electric</t>
  </si>
  <si>
    <t>Cooking</t>
  </si>
  <si>
    <t>Other Electric</t>
  </si>
  <si>
    <t>Air Conditioning</t>
  </si>
  <si>
    <t>Water Heater</t>
  </si>
  <si>
    <t>Water</t>
  </si>
  <si>
    <t>Sewer</t>
  </si>
  <si>
    <t>Trash</t>
  </si>
  <si>
    <t>Landlord</t>
  </si>
  <si>
    <t>Flat Fee</t>
  </si>
  <si>
    <t>Other</t>
  </si>
  <si>
    <t>Total Paid by Tenant</t>
  </si>
  <si>
    <t xml:space="preserve">$         -   </t>
  </si>
  <si>
    <t xml:space="preserve"> $         -   </t>
  </si>
  <si>
    <t>OPERATING BUDGET / EXPENSES</t>
  </si>
  <si>
    <t>Average of Comparable Properties</t>
  </si>
  <si>
    <t>EXPENSES</t>
  </si>
  <si>
    <t> OPERATING EXPENSES</t>
  </si>
  <si>
    <t>bad debt</t>
  </si>
  <si>
    <t>other admin</t>
  </si>
  <si>
    <t>TOTAL ADMINISTRATIVE EXPENSES</t>
  </si>
  <si>
    <t>TOTAL MARKETING EXPENSES</t>
  </si>
  <si>
    <t>TOTAL PAYROLL EXPENSES</t>
  </si>
  <si>
    <t>TOTAL MAINTENANCE EXPENSES</t>
  </si>
  <si>
    <t>TOTAL CONTRACT EXPENSES</t>
  </si>
  <si>
    <t>* adjusted for security expense</t>
  </si>
  <si>
    <t>TOTAL UTILITY EXPENSES</t>
  </si>
  <si>
    <t>*adjusted for tenant paid utilities</t>
  </si>
  <si>
    <t>TOTAL MANAGEMENT AND PROFESSIONAL EXPENSES</t>
  </si>
  <si>
    <t>TOTAL TAXES AND INSURANCE</t>
  </si>
  <si>
    <t>*adjusted for flood insurance where applicable</t>
  </si>
  <si>
    <t>TOTAL EXPENSE</t>
  </si>
  <si>
    <t>Replacement Reserves</t>
  </si>
  <si>
    <t>TOTAL EXPENSE + Repl Res.</t>
  </si>
  <si>
    <t>Property Taxes</t>
  </si>
  <si>
    <t>W/o Property Taxes or replacement reserves</t>
  </si>
  <si>
    <t>Net Revenue</t>
  </si>
  <si>
    <t>Expense Ratio</t>
  </si>
  <si>
    <t>&lt;- may not exceed 65% per TDHCA</t>
  </si>
  <si>
    <t>NOI/Net Revenue</t>
  </si>
  <si>
    <t>Bad Debt Expense</t>
  </si>
  <si>
    <t>All Other Admin Expense</t>
  </si>
  <si>
    <t> TOTAL ADMINISTRATIVE EXPENSES</t>
  </si>
  <si>
    <t> TOTAL MARKETING EXPENSES</t>
  </si>
  <si>
    <t> TOTAL PAYROLL EXPENSES</t>
  </si>
  <si>
    <t> TOTAL MAINTENANCE EXPENSES</t>
  </si>
  <si>
    <t> TOTAL CONTRACT EXPENSES</t>
  </si>
  <si>
    <t> TOTAL UTILITY EXPENSES</t>
  </si>
  <si>
    <t>net of water/sewer collection</t>
  </si>
  <si>
    <t> TOTAL MANAGEMENT &amp; PROFESSIONAL EXPENSES</t>
  </si>
  <si>
    <t> TOTAL TAX &amp; INSURANCE EXPENSES*</t>
  </si>
  <si>
    <t>* includes anticipated tax abatement for RAD/PBV</t>
  </si>
  <si>
    <t>TOTAL EXPENSES:</t>
  </si>
  <si>
    <t>TOTAL OPERATING EXPENSES</t>
  </si>
  <si>
    <t>includes full property tax; regional mgr charges</t>
  </si>
  <si>
    <t>no property tax payment; social services costs ($95K/yr); high w&amp;s cost; high security cost</t>
  </si>
  <si>
    <t>combined two phases in single office; high contract labor; short-staffed</t>
  </si>
  <si>
    <t>low taxation; water &amp; sewer paid by property; operates as combined site; insurance seems incorrect</t>
  </si>
  <si>
    <t>Full taxation; contract leasing &amp; maint added into payroll; some shared cost with Ren II</t>
  </si>
  <si>
    <t>water/sewer indiv billed; very high contract expenses; lower turn costs; PILOT taxes; very high insurance</t>
  </si>
  <si>
    <t>OPERATING EXPENSES</t>
  </si>
  <si>
    <t xml:space="preserve">Annual </t>
  </si>
  <si>
    <t>ADMINISTRATIVE EXPENSES</t>
  </si>
  <si>
    <t>Office Supplies / Postage</t>
  </si>
  <si>
    <t>Equipment Rental</t>
  </si>
  <si>
    <t>Travel</t>
  </si>
  <si>
    <t xml:space="preserve">Uniforms </t>
  </si>
  <si>
    <t>Employee Education/Training</t>
  </si>
  <si>
    <t>Cable/Internet Expense</t>
  </si>
  <si>
    <t>Telephones</t>
  </si>
  <si>
    <t>Computer Equipment</t>
  </si>
  <si>
    <t>Reports / Screening</t>
  </si>
  <si>
    <t>Social Entertainment</t>
  </si>
  <si>
    <t xml:space="preserve"> TOTAL ADMINISTRATIVE EXPENSES</t>
  </si>
  <si>
    <t>MARKETING EXPENSES</t>
  </si>
  <si>
    <t>Apartment Guide/Blue Book</t>
  </si>
  <si>
    <t>Promotional/Other Marketing</t>
  </si>
  <si>
    <t>PAYROLL EXPENSES</t>
  </si>
  <si>
    <t>Manager</t>
  </si>
  <si>
    <t>Leasing Consultant</t>
  </si>
  <si>
    <t>Assistant Manager</t>
  </si>
  <si>
    <t>Resident Services</t>
  </si>
  <si>
    <t>Maintenance</t>
  </si>
  <si>
    <t>Grounds/Porter</t>
  </si>
  <si>
    <t>Benefits/Taxes</t>
  </si>
  <si>
    <t>INTERIOR SUPPLIES &amp; REPAIRS</t>
  </si>
  <si>
    <t>Cleaning/Painting</t>
  </si>
  <si>
    <t>Fire Inspection/Repairs</t>
  </si>
  <si>
    <t>Dryer Vent Cleaning</t>
  </si>
  <si>
    <t>EXTERIOR SUPPLIES &amp; REPAIRS</t>
  </si>
  <si>
    <t>Grounds Supplies</t>
  </si>
  <si>
    <t>Landscape Supplies</t>
  </si>
  <si>
    <t>Maintenance Equipment/Supplies</t>
  </si>
  <si>
    <t>CONTRACT EXPENSES</t>
  </si>
  <si>
    <t>Landscaping</t>
  </si>
  <si>
    <t>Pest Control</t>
  </si>
  <si>
    <t>Sanitation</t>
  </si>
  <si>
    <t>Elevator</t>
  </si>
  <si>
    <t>Security Services</t>
  </si>
  <si>
    <t>UTILITY EXPENSES</t>
  </si>
  <si>
    <t>Water / Sewer</t>
  </si>
  <si>
    <t>Vacant Electricity</t>
  </si>
  <si>
    <t xml:space="preserve">Common Electricity </t>
  </si>
  <si>
    <t>Trash Collection</t>
  </si>
  <si>
    <t>MANAGEMENT &amp; PROFESSIONAL EXPENSES</t>
  </si>
  <si>
    <t>Management Fee</t>
  </si>
  <si>
    <t>Computer Software/Network</t>
  </si>
  <si>
    <t>Accounting Fees</t>
  </si>
  <si>
    <t>Legal Fees</t>
  </si>
  <si>
    <t>update based on Apt Life quote</t>
  </si>
  <si>
    <t>Misc. Professional Fees</t>
  </si>
  <si>
    <t>TAX &amp; INSURANCE EXPENSES</t>
  </si>
  <si>
    <t>Property Tax</t>
  </si>
  <si>
    <t>Insurance Expenses</t>
  </si>
  <si>
    <t>Added Insuarnce Expense</t>
  </si>
  <si>
    <t> TOTAL TAX &amp; INSURANCE EXPENSES</t>
  </si>
  <si>
    <t>ANNUAL ISSUER FEE</t>
  </si>
  <si>
    <t>TOTAL EXPENSES</t>
  </si>
  <si>
    <t>SUMMARY PROFORMA</t>
  </si>
  <si>
    <t>Development Name:</t>
  </si>
  <si>
    <t>Year</t>
  </si>
  <si>
    <t>Units:</t>
  </si>
  <si>
    <t>Annual Income Growth Rate:</t>
  </si>
  <si>
    <t>Vacancy Loss</t>
  </si>
  <si>
    <t>Annual Operating Expense/unit</t>
  </si>
  <si>
    <t>* on sqr. foot basis</t>
  </si>
  <si>
    <t>LP Investor Asset Mgmt Fee:</t>
  </si>
  <si>
    <t>fee increases 3% per annum</t>
  </si>
  <si>
    <t>Total Rentable SF:</t>
  </si>
  <si>
    <t>Annual Expense Growth Rate:</t>
  </si>
  <si>
    <t>Annual Replacement Reserve/unit</t>
  </si>
  <si>
    <t>Other Asset Mgmt. Fee:</t>
  </si>
  <si>
    <t>Stabilized Year 1 =</t>
  </si>
  <si>
    <t>SLP Asset Mgt fee</t>
  </si>
  <si>
    <t>Year 16</t>
  </si>
  <si>
    <t>Year 17</t>
  </si>
  <si>
    <t>Year 18</t>
  </si>
  <si>
    <t>Year 19</t>
  </si>
  <si>
    <t>Year 20</t>
  </si>
  <si>
    <t>baseline</t>
  </si>
  <si>
    <t>* note that rents/expenses are trended from current levels</t>
  </si>
  <si>
    <t>Total Potential Rent Income</t>
  </si>
  <si>
    <t>ADD:</t>
  </si>
  <si>
    <t>Commercial + Other Income</t>
  </si>
  <si>
    <t>LESS:</t>
  </si>
  <si>
    <t>Vacancy Allowance/Bad Debts/Concessions</t>
  </si>
  <si>
    <t>Stabilized Income</t>
  </si>
  <si>
    <t>Operating Expenses</t>
  </si>
  <si>
    <t>ADD:  Property Tax Reduction</t>
  </si>
  <si>
    <t>Net Operating Income</t>
  </si>
  <si>
    <t>SCHEDULED DEBT SERVICE:</t>
  </si>
  <si>
    <t>Debt Service 1st</t>
  </si>
  <si>
    <t>Debt Service 2nd</t>
  </si>
  <si>
    <t>Debt Service 3rd</t>
  </si>
  <si>
    <t>Debt Service 4th</t>
  </si>
  <si>
    <t>Debt Service 5th</t>
  </si>
  <si>
    <t>Debt Service 6th</t>
  </si>
  <si>
    <t>deferred fee note</t>
  </si>
  <si>
    <t>Operating Cash Flow Waterfall:</t>
  </si>
  <si>
    <t>Net Operating Income:</t>
  </si>
  <si>
    <t>(less)  First mortgage debt</t>
  </si>
  <si>
    <t>(less)  Second mortgage debt_HHA</t>
  </si>
  <si>
    <t>Cash Flow after 1st Mortg Debt:</t>
  </si>
  <si>
    <t>(less)  Investor LP Asset Mgmt fee</t>
  </si>
  <si>
    <t xml:space="preserve">from cash flow </t>
  </si>
  <si>
    <t>(less) payment to DDF</t>
  </si>
  <si>
    <t>from cash flow -to P&amp;I</t>
  </si>
  <si>
    <t>(less)  SLP Asset Mgmt fee-Columbia SLP</t>
  </si>
  <si>
    <t>(less) Cash Flow to Investor LP</t>
  </si>
  <si>
    <t>(less) Cashflow to GP/SLP</t>
  </si>
  <si>
    <t>(less) Incentive Mgmt Fee to GP/SLP</t>
  </si>
  <si>
    <t>(less) 2nd mortgage debt-HHA</t>
  </si>
  <si>
    <t xml:space="preserve">(less) </t>
  </si>
  <si>
    <t>Net Cash Flow</t>
  </si>
  <si>
    <t>DSC - 1st &amp; 2nd Mrgt</t>
  </si>
  <si>
    <t>DSC 1st &amp; subordinate mortgages+DDF</t>
  </si>
  <si>
    <t>Total Cash Flow to AHA (prior to residual CF split):</t>
  </si>
  <si>
    <t xml:space="preserve">  (incl A/M fee; share of DDF; cash flow loan) </t>
  </si>
  <si>
    <t>Total Cash Flow to ELHC (prior to residual CF split):</t>
  </si>
  <si>
    <t>DDF Balance &amp; Payments</t>
  </si>
  <si>
    <t>Interest</t>
  </si>
  <si>
    <t>Payments</t>
  </si>
  <si>
    <t>HHA Share of Paid Devel Fee:</t>
  </si>
  <si>
    <t>HHA Share of Deferred Devel Fee:</t>
  </si>
  <si>
    <t>HHA 2nd Mortgage Loan Pmts (HHA Soft):</t>
  </si>
  <si>
    <t>HHA 3rd Mortgage Loan Pmts (FEMA):</t>
  </si>
  <si>
    <t>HHA Share of Net Cash Flow:</t>
  </si>
  <si>
    <t>15 Year Total:</t>
  </si>
  <si>
    <t>HHA Loan Info-2nd and 3rd Combined</t>
  </si>
  <si>
    <t>Principal</t>
  </si>
  <si>
    <t>Cummulative Balance</t>
  </si>
  <si>
    <t>Asset Mgmt Fees projection;</t>
  </si>
  <si>
    <t>Incentive Management Fee</t>
  </si>
  <si>
    <t>Potential Incentive Mgmt Fee</t>
  </si>
  <si>
    <t>Max Incentive Mgmt Fee*</t>
  </si>
  <si>
    <t>Incentive Mgmt Fee Paid</t>
  </si>
  <si>
    <t>***Sum of Incentive Management Fee, management fees (assumed 6%) and asset management fee may not exceed 12% of effective gross income.</t>
  </si>
  <si>
    <t>Mgmt Fee (6% of Stabilized Income):</t>
  </si>
  <si>
    <t>Asset Mgmt Fee</t>
  </si>
  <si>
    <t>Incentive Mgmt Fee</t>
  </si>
  <si>
    <t>Total:</t>
  </si>
  <si>
    <t>Reduction in IMF (Max-Total):</t>
  </si>
  <si>
    <t>Credit Allocation (annual):</t>
  </si>
  <si>
    <t>Annual Credits (allocation):</t>
  </si>
  <si>
    <t>Total Units:</t>
  </si>
  <si>
    <t>Syndicator Percentage:</t>
  </si>
  <si>
    <t>Construction</t>
  </si>
  <si>
    <t>LIHTC Units:</t>
  </si>
  <si>
    <t>Equity Pricing (per credit):</t>
  </si>
  <si>
    <t>Cred Factor</t>
  </si>
  <si>
    <t>Total Equity Pay-In</t>
  </si>
  <si>
    <t>Absorbtion Rate</t>
  </si>
  <si>
    <t>LEASE-UP / CREDIT DELIVERY SCHEDULE</t>
  </si>
  <si>
    <t>LIHTC Units Only</t>
  </si>
  <si>
    <t>Units Leased</t>
  </si>
  <si>
    <t>Cumulative</t>
  </si>
  <si>
    <t>Tax Credit</t>
  </si>
  <si>
    <t>EQUITY PAY-IN SCHEDULE</t>
  </si>
  <si>
    <t>In Month</t>
  </si>
  <si>
    <t>Leased</t>
  </si>
  <si>
    <t>Factor</t>
  </si>
  <si>
    <t>Credits</t>
  </si>
  <si>
    <t>Milestone</t>
  </si>
  <si>
    <t>% complete</t>
  </si>
  <si>
    <t>Federal</t>
  </si>
  <si>
    <t>State</t>
  </si>
  <si>
    <t>total</t>
  </si>
  <si>
    <t>% of total</t>
  </si>
  <si>
    <t>January</t>
  </si>
  <si>
    <t>February</t>
  </si>
  <si>
    <t>March</t>
  </si>
  <si>
    <t>April</t>
  </si>
  <si>
    <t xml:space="preserve">April </t>
  </si>
  <si>
    <t xml:space="preserve">May </t>
  </si>
  <si>
    <t>May</t>
  </si>
  <si>
    <t>June</t>
  </si>
  <si>
    <t>July</t>
  </si>
  <si>
    <t>August</t>
  </si>
  <si>
    <t xml:space="preserve">August </t>
  </si>
  <si>
    <t>September</t>
  </si>
  <si>
    <t>October</t>
  </si>
  <si>
    <t>November</t>
  </si>
  <si>
    <t>CLOSING</t>
  </si>
  <si>
    <t>December</t>
  </si>
  <si>
    <t>Totals:</t>
  </si>
  <si>
    <t>50% complete</t>
  </si>
  <si>
    <t>100% completion-CO</t>
  </si>
  <si>
    <t>22 month construction period per GC contract</t>
  </si>
  <si>
    <t xml:space="preserve">  </t>
  </si>
  <si>
    <t>TOTAL:</t>
  </si>
  <si>
    <t>FLOW OF FUNDS</t>
  </si>
  <si>
    <t>Expended</t>
  </si>
  <si>
    <t>Construction Start----------&gt;</t>
  </si>
  <si>
    <t>50% Completion</t>
  </si>
  <si>
    <t>100% Complete</t>
  </si>
  <si>
    <t>Constr Completion</t>
  </si>
  <si>
    <t>Total Drawn</t>
  </si>
  <si>
    <t>SOURCES</t>
  </si>
  <si>
    <t>2nd Installment</t>
  </si>
  <si>
    <t>3rd Installment</t>
  </si>
  <si>
    <t>Tax Exempt Bonds</t>
  </si>
  <si>
    <t xml:space="preserve">L.P. Capital Contribution </t>
  </si>
  <si>
    <t>GAP</t>
  </si>
  <si>
    <t>Bond Arbitrage Earnings</t>
  </si>
  <si>
    <t>45L Credits</t>
  </si>
  <si>
    <t>% of Equity Capital</t>
  </si>
  <si>
    <t>USES</t>
  </si>
  <si>
    <t>Warehouse key</t>
  </si>
  <si>
    <t>Multivista Documentation Allowance</t>
  </si>
  <si>
    <t>Parking lot rental allowance</t>
  </si>
  <si>
    <t xml:space="preserve"> Construction Cost Subtotals</t>
  </si>
  <si>
    <t xml:space="preserve">Construction Period Financing  </t>
  </si>
  <si>
    <t>Developer Fee - Overhead (30%)</t>
  </si>
  <si>
    <t>Developer Fee - Net Fee (80%)</t>
  </si>
  <si>
    <t>Return of Capital/Special Distribution</t>
  </si>
  <si>
    <t>Paid fee</t>
  </si>
  <si>
    <t>% of Paid Developer Fee</t>
  </si>
  <si>
    <t>Deferred Fee</t>
  </si>
  <si>
    <t>Bond Interest Expense</t>
  </si>
  <si>
    <t>Cumulative Draw</t>
  </si>
  <si>
    <t>Bond Interest Accrued</t>
  </si>
  <si>
    <t>Total Interest:</t>
  </si>
  <si>
    <t>Bond Construction Period Interest</t>
  </si>
  <si>
    <t>Trustee Investment Earnings</t>
  </si>
  <si>
    <t>Investment Earnings</t>
  </si>
  <si>
    <t>Total Earnings:</t>
  </si>
  <si>
    <t>Investment Earnings on Bond Proceeds</t>
  </si>
  <si>
    <t>Cumulative Construction Loan Amount</t>
  </si>
  <si>
    <t>Trustee Outstanding Bond Balance</t>
  </si>
  <si>
    <t>Total Investment Earnings:</t>
  </si>
  <si>
    <t>Taxable Construction Loan</t>
  </si>
  <si>
    <t>Current Draw Amount</t>
  </si>
  <si>
    <t>Interest Accrued</t>
  </si>
  <si>
    <t>Construction Period Interest</t>
  </si>
  <si>
    <t>Total Current Draw:</t>
  </si>
  <si>
    <t>Total Cumulative Draw:</t>
  </si>
  <si>
    <t>Cumulative Interest Accrued:</t>
  </si>
  <si>
    <t>Total Construction Period Interest:</t>
  </si>
  <si>
    <t>I. Closing</t>
  </si>
  <si>
    <t>II. Completion</t>
  </si>
  <si>
    <t>III. Stabilization</t>
  </si>
  <si>
    <t>IV. Final Install</t>
  </si>
  <si>
    <t>deferred fee</t>
  </si>
  <si>
    <t>investor LPA- % of paid fee</t>
  </si>
  <si>
    <t>from</t>
  </si>
  <si>
    <t>cash flow</t>
  </si>
  <si>
    <t>sum totals</t>
  </si>
  <si>
    <t>Fee Scheduled to be Paid*</t>
  </si>
  <si>
    <t>Total Development Fee</t>
  </si>
  <si>
    <t>(actual paid fee) -------&gt;</t>
  </si>
  <si>
    <t>20% Developer Overhead:</t>
  </si>
  <si>
    <t>remaining to pay out</t>
  </si>
  <si>
    <t>split to SDK Independence LLC</t>
  </si>
  <si>
    <t>split to New AHP LLC</t>
  </si>
  <si>
    <t>Total Fee Splits</t>
  </si>
  <si>
    <t>SDK Independence LLC</t>
  </si>
  <si>
    <t>New AHP LLC</t>
  </si>
  <si>
    <t xml:space="preserve">* Development Fee is paid upon satisfaction of benchmarks as set out in the Limited Partnership Agreement and Development Services Agreement of Independence Heights Apartments II, Limited Partnership. </t>
  </si>
  <si>
    <t xml:space="preserve">Payment dates are estimated based on when we believe benchmarks will be met, but are subject to change.  In addition, paid fee amounts are projected assuming a succesful project.  </t>
  </si>
  <si>
    <t>HHA</t>
  </si>
  <si>
    <t xml:space="preserve">The amount of paid fee could change depending on how successful the project is.  </t>
  </si>
  <si>
    <t>Uses from Development Budget:</t>
  </si>
  <si>
    <t>Aggregate Basis</t>
  </si>
  <si>
    <t>Total Bonds</t>
  </si>
  <si>
    <t>Total Bond Proceeds</t>
  </si>
  <si>
    <t>Unit Mix Set-Asides, County AMI and Rent Limits, and Utility Allowances</t>
  </si>
  <si>
    <t>Average Income Targeting:</t>
  </si>
  <si>
    <t>Stabilized Net
Operating Income</t>
  </si>
  <si>
    <t>AMI
Set-Asides</t>
  </si>
  <si>
    <t>Targeted /</t>
  </si>
  <si>
    <t>Unit Style</t>
  </si>
  <si>
    <t>Number</t>
  </si>
  <si>
    <t>Net</t>
  </si>
  <si>
    <t>Max Net</t>
  </si>
  <si>
    <t>Min BR</t>
  </si>
  <si>
    <t>Hourly</t>
  </si>
  <si>
    <t>Actual</t>
  </si>
  <si>
    <t>BR</t>
  </si>
  <si>
    <t>Type</t>
  </si>
  <si>
    <t>BA</t>
  </si>
  <si>
    <t>of Units</t>
  </si>
  <si>
    <t>Area</t>
  </si>
  <si>
    <t>SqFt</t>
  </si>
  <si>
    <t>p/Unit</t>
  </si>
  <si>
    <t>Rent/Mo</t>
  </si>
  <si>
    <t>p/SqFt</t>
  </si>
  <si>
    <t>Income</t>
  </si>
  <si>
    <t>Wages</t>
  </si>
  <si>
    <t>Rental Inc.</t>
  </si>
  <si>
    <t>Advantage</t>
  </si>
  <si>
    <t>% RA</t>
  </si>
  <si>
    <t>A</t>
  </si>
  <si>
    <t>Garage/Comm.</t>
  </si>
  <si>
    <t>B</t>
  </si>
  <si>
    <t>Other Inc.</t>
  </si>
  <si>
    <t>C</t>
  </si>
  <si>
    <t>Gross Potential</t>
  </si>
  <si>
    <t>D</t>
  </si>
  <si>
    <t>E</t>
  </si>
  <si>
    <t>Effective Gross</t>
  </si>
  <si>
    <t>F</t>
  </si>
  <si>
    <t>Net OpEx</t>
  </si>
  <si>
    <t>G</t>
  </si>
  <si>
    <t>H</t>
  </si>
  <si>
    <t>Repl. Res.</t>
  </si>
  <si>
    <t>Total OpEx</t>
  </si>
  <si>
    <t>Net Oper. Inc.</t>
  </si>
  <si>
    <t>Houston-The Woodlands-Sugar Land, TX HUD Metro FMR Area</t>
  </si>
  <si>
    <t>NNMMI</t>
  </si>
  <si>
    <t>Harris County</t>
  </si>
  <si>
    <t>Per Unit Type Income Averaging</t>
  </si>
  <si>
    <t>Totals</t>
  </si>
  <si>
    <t>Average Income</t>
  </si>
  <si>
    <t>Utilities</t>
  </si>
  <si>
    <t>Per BR Type Income Averaging</t>
  </si>
  <si>
    <t>Max Rent</t>
  </si>
  <si>
    <t>Building:</t>
  </si>
  <si>
    <t>LowRise</t>
  </si>
  <si>
    <t>Utility Allowances</t>
  </si>
  <si>
    <t>Houston Housing Authority</t>
  </si>
  <si>
    <t>Effective:</t>
  </si>
  <si>
    <t>Use</t>
  </si>
  <si>
    <t>Tenant Pd?</t>
  </si>
  <si>
    <t>Heating - Electric</t>
  </si>
  <si>
    <t>Cooking - Electric</t>
  </si>
  <si>
    <t>Other:</t>
  </si>
  <si>
    <t>A/C</t>
  </si>
  <si>
    <t>Hot Water - Electric</t>
  </si>
  <si>
    <t>FMR</t>
  </si>
  <si>
    <t>Low HOME</t>
  </si>
  <si>
    <t>High HOME</t>
  </si>
  <si>
    <t>Sum "Y" =</t>
  </si>
  <si>
    <t>Houston-The Woolands-Sugar Land</t>
  </si>
  <si>
    <t>Bond Proceeds</t>
  </si>
  <si>
    <t>Tax-Exempt</t>
  </si>
  <si>
    <t>Taxable</t>
  </si>
  <si>
    <t>(Construction)</t>
  </si>
  <si>
    <t>DEVELOPMENT SOURCES</t>
  </si>
  <si>
    <t>DEVELOPMENT USES</t>
  </si>
  <si>
    <t>ACQUISITION</t>
  </si>
  <si>
    <t>Building</t>
  </si>
  <si>
    <t>Land</t>
  </si>
  <si>
    <t>HARD COST CONSTRUCTION</t>
  </si>
  <si>
    <t>Demo/Abatement Contract</t>
  </si>
  <si>
    <t>Demo/Abatement Contingency</t>
  </si>
  <si>
    <t>Construction Hard Costs</t>
  </si>
  <si>
    <t>Sitework</t>
  </si>
  <si>
    <t>GC General Conditions</t>
  </si>
  <si>
    <t>P&amp;P Bond</t>
  </si>
  <si>
    <t>Demolition</t>
  </si>
  <si>
    <t>Site Preparation</t>
  </si>
  <si>
    <t>Site Utilities</t>
  </si>
  <si>
    <t>Retaining walls</t>
  </si>
  <si>
    <t>Fencing and Vehicle Gates</t>
  </si>
  <si>
    <t>Roads</t>
  </si>
  <si>
    <t>Sidewalks</t>
  </si>
  <si>
    <t>Exterior Amenities</t>
  </si>
  <si>
    <t>DEVELOPMENT COSTS</t>
  </si>
  <si>
    <t>Developer Overhead</t>
  </si>
  <si>
    <t>TOTAL DEVELOPMENT USES</t>
  </si>
  <si>
    <t>Equity pays down TEBonds to TEL loan amount</t>
  </si>
  <si>
    <t>AMOUNT</t>
  </si>
  <si>
    <t>DUE DATE</t>
  </si>
  <si>
    <t>50% Test:</t>
  </si>
  <si>
    <t>Initial Cap contribution (Closing)</t>
  </si>
  <si>
    <t>2nd cap contribution</t>
  </si>
  <si>
    <t>meets 50% test</t>
  </si>
  <si>
    <t>3rd cap contribution</t>
  </si>
  <si>
    <t>4th cap contribution</t>
  </si>
  <si>
    <t>6th cap contribution</t>
  </si>
  <si>
    <t>DEVELOPER FEE SCHEDULE</t>
  </si>
  <si>
    <t>Admission/ Closing</t>
  </si>
  <si>
    <t>2nd Capital Contribution</t>
  </si>
  <si>
    <t xml:space="preserve">3rd Capital Contribution </t>
  </si>
  <si>
    <t xml:space="preserve">4th Capital Contribution </t>
  </si>
  <si>
    <t>TOTAL PAID DEVELOPER'S FEE</t>
  </si>
  <si>
    <t>TOTAL DEVELOPER'S FEE</t>
  </si>
  <si>
    <t>Live Oak Manor Residences — Phase 1</t>
  </si>
  <si>
    <t>2025 FY MTSP LIHTC rents</t>
  </si>
  <si>
    <t>Project Management / GC Overhead</t>
  </si>
  <si>
    <t>Performance &amp; Payment Bonds</t>
  </si>
  <si>
    <t>Utility Connection Fees</t>
  </si>
  <si>
    <t>Live Oak Residences</t>
  </si>
  <si>
    <t>FHLB of Dallas AHP</t>
  </si>
  <si>
    <t>TBD — Tax Credit Investor</t>
  </si>
  <si>
    <t>Developer Cash Equity</t>
  </si>
  <si>
    <t>CONSTRUCTION SOURCES &amp; USES — LIVE OAK MANOR PHASE 1</t>
  </si>
  <si>
    <t>61 Homes | Tax-Exempt Bond / 4% LIHTC | Jefferson Parish, LA</t>
  </si>
  <si>
    <t>Jefferson Parish</t>
  </si>
  <si>
    <t>FHLB Dallas</t>
  </si>
  <si>
    <t>(HOME Funds)</t>
  </si>
  <si>
    <t>(AHP Grant)</t>
  </si>
  <si>
    <t>Tax-Exempt Bond Proceeds</t>
  </si>
  <si>
    <t>Jefferson Parish HOME Funds (2nd)</t>
  </si>
  <si>
    <t>LHC Soft Loan / Capital Magnet (3rd)</t>
  </si>
  <si>
    <t>LIHTC Equity (4% - at construction closing)</t>
  </si>
  <si>
    <t>TOTAL CONSTRUCTION SOURCES</t>
  </si>
  <si>
    <t>Funding Gap (Unfunded)</t>
  </si>
  <si>
    <t>Funding Gap (Sources - Uses):</t>
  </si>
  <si>
    <t>GAP Funding (TBD)</t>
  </si>
  <si>
    <t>25% Test</t>
  </si>
  <si>
    <t>Max Bond Amt (50%):</t>
  </si>
  <si>
    <t>Min Bond Amt (25%):</t>
  </si>
  <si>
    <t>Must exceed 25% per IRC §42(h)(4)</t>
  </si>
  <si>
    <t>25% Test Calculation:</t>
  </si>
  <si>
    <t>(LHC, Bond Issuer)</t>
  </si>
  <si>
    <t>10. Review 20YR PROFORMA and 25% TEST — these are formula-driven and auto-calculate.</t>
  </si>
  <si>
    <t>25% Test: Tax-exempt bond 25% test compliance calculation per IRC §42(h)(4)</t>
  </si>
  <si>
    <t>MATCHES LHC CORE APP (4%)</t>
  </si>
  <si>
    <t>Legal (TBD)</t>
  </si>
  <si>
    <t>Developer Attorney</t>
  </si>
  <si>
    <t>Property Name #1</t>
  </si>
  <si>
    <t>Property Name #2</t>
  </si>
  <si>
    <t>Property Name #3</t>
  </si>
  <si>
    <t>Property Name #4</t>
  </si>
  <si>
    <t>Property Name #5</t>
  </si>
  <si>
    <t>Property Name #6</t>
  </si>
  <si>
    <t>2027 Baseline</t>
  </si>
  <si>
    <t>NOTE:  Expenses updated. Do not match LHC application</t>
  </si>
  <si>
    <t>TBDPortion</t>
  </si>
  <si>
    <t>Utility Allowances (UA) are based on JHA 1/25 schedule</t>
  </si>
  <si>
    <t>Gap Funding (TBD Source)</t>
  </si>
  <si>
    <t>Tax-Exempt Bonds (25% Test)</t>
  </si>
  <si>
    <t>CONSTRUCTION SOURCES &amp; USES</t>
  </si>
  <si>
    <t>SOURCES &amp; USES - Construction Period</t>
  </si>
  <si>
    <t>PERMANENT SOURCES &amp; USES</t>
  </si>
  <si>
    <t>SOURCES &amp; USES - Permanent Financing</t>
  </si>
  <si>
    <t>LHC Soft Loan / Capital Magnet / FHLB AHP</t>
  </si>
  <si>
    <t>FHLB of Dallas AHP (included in 3rd Mortgage)</t>
  </si>
  <si>
    <t xml:space="preserve">COMPARABLES </t>
  </si>
  <si>
    <t>AMORTIZATION TABLE — DEBT CAPACITY ANALYSIS</t>
  </si>
  <si>
    <t>LOAN ASSUMPTIONS</t>
  </si>
  <si>
    <t>Loan Amount (1st Mortgage)</t>
  </si>
  <si>
    <t>Interest Rate</t>
  </si>
  <si>
    <t>Amortization (years)</t>
  </si>
  <si>
    <t>Loan Term (years)</t>
  </si>
  <si>
    <t>Monthly Payment</t>
  </si>
  <si>
    <t>Annual Debt Service</t>
  </si>
  <si>
    <t>DEBT CAPACITY ANALYSIS</t>
  </si>
  <si>
    <t>Year 1 NOI</t>
  </si>
  <si>
    <t>Required DSCR (underwriting)</t>
  </si>
  <si>
    <t>Max Annual Debt Service at DSCR</t>
  </si>
  <si>
    <t>Max Supportable Debt</t>
  </si>
  <si>
    <t>AMORTIZATION SCHEDULE</t>
  </si>
  <si>
    <t>Beg. Balance</t>
  </si>
  <si>
    <t>Annual Payment</t>
  </si>
  <si>
    <t>End. Balance</t>
  </si>
  <si>
    <t>NOI</t>
  </si>
  <si>
    <t>DSCR</t>
  </si>
  <si>
    <t>TOTALS</t>
  </si>
  <si>
    <t>Cumulative Interest Paid</t>
  </si>
  <si>
    <t>Cumulative Principal Paid</t>
  </si>
  <si>
    <t>Interest as % of Total Payments</t>
  </si>
  <si>
    <t>50% to Vic Loraso</t>
  </si>
  <si>
    <t>50% to Robert Wolf</t>
  </si>
  <si>
    <t>Vic Loraso</t>
  </si>
  <si>
    <t>Robert Wolf</t>
  </si>
  <si>
    <t>To Robert Wolf</t>
  </si>
  <si>
    <t>To Vic Loraso</t>
  </si>
  <si>
    <t>DEFERRED DEVELOPER FEE NOTE</t>
  </si>
  <si>
    <t>NOTE TERMS</t>
  </si>
  <si>
    <t>Total Developer Fee</t>
  </si>
  <si>
    <t>Deferred Developer Fee (DDF)</t>
  </si>
  <si>
    <t>% of Total Fee Deferred</t>
  </si>
  <si>
    <t>Interest Rate on DDF Note</t>
  </si>
  <si>
    <t>Payback Period (years)</t>
  </si>
  <si>
    <t>Payment Source</t>
  </si>
  <si>
    <t>Available Cash Flow after Debt Service &amp; LP A/M Fee</t>
  </si>
  <si>
    <t>DEFERRED DEVELOPER FEE SCHEDULE</t>
  </si>
  <si>
    <t>Beg. DDF
Balance</t>
  </si>
  <si>
    <t>Interest
Accrued</t>
  </si>
  <si>
    <t>Cash Flow
after DS</t>
  </si>
  <si>
    <t>LP A/M
Fee</t>
  </si>
  <si>
    <t>Available
for DDF</t>
  </si>
  <si>
    <t>DDF
Payment</t>
  </si>
  <si>
    <t>End. DDF
Balance</t>
  </si>
  <si>
    <t>Cumul.
Paid</t>
  </si>
  <si>
    <t>SUMMARY</t>
  </si>
  <si>
    <t>Deferred Developer Fee (original)</t>
  </si>
  <si>
    <t>Total Interest Accrued</t>
  </si>
  <si>
    <t>Total DDF Repaid</t>
  </si>
  <si>
    <t>Remaining Unpaid Balance</t>
  </si>
  <si>
    <t>% of DDF Repaid within Payback Period</t>
  </si>
  <si>
    <t>Year DDF Fully Repaid</t>
  </si>
  <si>
    <t xml:space="preserve">I </t>
  </si>
  <si>
    <t>[Project Name]</t>
  </si>
  <si>
    <t>[Project Description]</t>
  </si>
  <si>
    <t>LOR Feasibility Analysis Template</t>
  </si>
  <si>
    <t>Summary_Sources-Uses'!$A$2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</si>
  <si>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</si>
  <si>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</si>
  <si>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</si>
  <si>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</si>
  <si>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</si>
  <si>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</si>
  <si>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</si>
  <si>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</si>
  <si>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</si>
  <si>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</si>
  <si>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</si>
  <si>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</si>
  <si>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</si>
  <si>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</si>
  <si>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</si>
  <si>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yes</t>
  </si>
  <si>
    <t>Financial Proforma Model 5.5</t>
  </si>
  <si>
    <t>Bond Issuer Closing Fee</t>
  </si>
  <si>
    <t>Construction Loan fee</t>
  </si>
  <si>
    <t>Construction Loan Interest</t>
  </si>
  <si>
    <t>Construction Legal Fees (Lender)</t>
  </si>
  <si>
    <t>Construction loan costs</t>
  </si>
  <si>
    <t>Construction Insurance</t>
  </si>
  <si>
    <t>Bond Issuer Legal</t>
  </si>
  <si>
    <t>Architectural Fee-all services and reimbursables</t>
  </si>
  <si>
    <t>City of Houston Legal</t>
  </si>
  <si>
    <t>HHA Legal</t>
  </si>
  <si>
    <t>Partnership Legal</t>
  </si>
  <si>
    <t>Plan Review</t>
  </si>
  <si>
    <t>Other Local fees</t>
  </si>
  <si>
    <t>TDHCA Application Fees</t>
  </si>
  <si>
    <t>TDHCA Commitment Fee</t>
  </si>
  <si>
    <t>LIHTC Complaince Monitoring Fee</t>
  </si>
  <si>
    <t>Rent -Up Reserves (3mos exp)</t>
  </si>
  <si>
    <t>Relocation</t>
  </si>
  <si>
    <t>Soft cost contingecy</t>
  </si>
  <si>
    <t>[Affordability Mix]</t>
  </si>
  <si>
    <t>(Bond Issuer)</t>
  </si>
  <si>
    <t>Project Type</t>
  </si>
  <si>
    <t>Project Name</t>
  </si>
  <si>
    <t>Bond Issuer Fee (Annually)</t>
  </si>
  <si>
    <t>2026 Full Year</t>
  </si>
  <si>
    <t>-</t>
  </si>
  <si>
    <t>Developer Fee Paid at Milestones (Max Fee)</t>
  </si>
  <si>
    <t>PHA 1/1/2026</t>
  </si>
  <si>
    <t>RipeSpot Feasibility Analysis Template</t>
  </si>
  <si>
    <t xml:space="preserve">First Mortgage </t>
  </si>
  <si>
    <t xml:space="preserve">2nd Mortgage </t>
  </si>
  <si>
    <t xml:space="preserve">3rd Mortgage </t>
  </si>
  <si>
    <t>Soft 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</si>
</sst>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164" formatCode="_(* #,##0.00_);_(* \(#,##0.00\);_(* \-??_);_(@_)"/>
    <numFmt numFmtId="165" formatCode="\ #,##0.00\ ;&quot; (&quot;#,##0.00\);&quot; -&quot;00\ ;\ @\ "/>
    <numFmt numFmtId="166" formatCode="_(\$* #,##0.00_);_(\$* \(#,##0.00\);_(\$* \-??_);_(@_)"/>
    <numFmt numFmtId="167" formatCode="&quot; $&quot;#,##0.00\ ;&quot; $(&quot;#,##0.00\);&quot; $-&quot;00\ ;\ @\ "/>
    <numFmt numFmtId="168" formatCode="_([$€-2]* #,##0.00_);_([$€-2]* \(#,##0.00\);_([$€-2]* \-??_)"/>
    <numFmt numFmtId="169" formatCode="0.00_);[Red]\(0.00\)"/>
    <numFmt numFmtId="170" formatCode="0.000&quot;  &quot;"/>
    <numFmt numFmtId="171" formatCode="m/d/yyyy"/>
    <numFmt numFmtId="172" formatCode="0.0"/>
    <numFmt numFmtId="173" formatCode="\$#,##0_);[Red]&quot;($&quot;#,##0\)"/>
    <numFmt numFmtId="174" formatCode="\$#,##0.00_);[Red]&quot;($&quot;#,##0.00\)"/>
    <numFmt numFmtId="175" formatCode="0.0%"/>
    <numFmt numFmtId="176" formatCode="_(\$* #,##0_);_(\$* \(#,##0\);_(\$* \-_);_(@_)"/>
    <numFmt numFmtId="177" formatCode="_(\$* #,##0_);_(\$* \(#,##0\);_(\$* \-??_);_(@_)"/>
    <numFmt numFmtId="178" formatCode="\$#,##0"/>
    <numFmt numFmtId="179" formatCode="\$#,##0_);&quot;($&quot;#,##0\)"/>
    <numFmt numFmtId="180" formatCode="\$#,##0.00"/>
    <numFmt numFmtId="181" formatCode="#,##0.000_);\(#,##0.000\)"/>
    <numFmt numFmtId="182" formatCode="\$#,##0.000_);&quot;($&quot;#,##0.000\)"/>
    <numFmt numFmtId="183" formatCode="0.0000"/>
    <numFmt numFmtId="184" formatCode="\$#,##0.000_);[Red]&quot;($&quot;#,##0.000\)"/>
    <numFmt numFmtId="185" formatCode="General_);[Red]\-General_)"/>
    <numFmt numFmtId="186" formatCode="\$#,##0.00_);&quot;($&quot;#,##0.00\)"/>
    <numFmt numFmtId="187" formatCode="_(\$* #,##0.0_);_(\$* \(#,##0.0\);_(\$* \-?_);_(@_)"/>
    <numFmt numFmtId="188" formatCode="_(* #,##0_);_(* \(#,##0\);_(* \-??_);_(@_)"/>
    <numFmt numFmtId="189" formatCode="m/d/yy\ h:mm\ AM/PM"/>
    <numFmt numFmtId="190" formatCode="mmm\ yyyy"/>
    <numFmt numFmtId="191" formatCode="#,##0\ ;[Red]\(#,##0\)"/>
    <numFmt numFmtId="192" formatCode="\$#,##0\ ;&quot;($&quot;#,##0\)"/>
    <numFmt numFmtId="193" formatCode="_(\$* #,##0.0000_);_(\$* \(#,##0.0000\);_(\$* \-????_);_(@_)"/>
    <numFmt numFmtId="194" formatCode="mmmm"/>
    <numFmt numFmtId="195" formatCode="[$-409]mmm\-yy;@"/>
    <numFmt numFmtId="196" formatCode="\ #,##0\ ;&quot; (&quot;#,##0\);&quot; -&quot;00\ ;\ @\ "/>
    <numFmt numFmtId="197" formatCode="\ #,##0.0\ ;&quot; (&quot;#,##0.0\);&quot; -&quot;00.0\ ;\ @\ "/>
    <numFmt numFmtId="198" formatCode="_(* #,##0_);_(* \(#,##0\);_(* \-_);_(@_)"/>
    <numFmt numFmtId="199" formatCode="\ #,##0.00\ ;&quot; (&quot;#,##0.00\);&quot; -&quot;00.00\ ;\ @\ "/>
    <numFmt numFmtId="200" formatCode="_(* #,##0.0_);_(* \(#,##0.0\);_(* \-??_);_(@_)"/>
    <numFmt numFmtId="201" formatCode="_(* #,##0.0_);_(* \(#,##0.0\);_(* \-?_);_(@_)"/>
    <numFmt numFmtId="202" formatCode="[$-409]m/d/yy\ h:mm\ AM/PM;@"/>
    <numFmt numFmtId="203" formatCode="0.000000000000000%"/>
    <numFmt numFmtId="204" formatCode="\$#,##0.0"/>
    <numFmt numFmtId="205" formatCode="&quot; $&quot;#,##0\ ;&quot; $(&quot;#,##0\);&quot; $-&quot;00\ ;\ @\ "/>
    <numFmt numFmtId="206" formatCode="0.000%"/>
    <numFmt numFmtId="207" formatCode="0.000"/>
    <numFmt numFmtId="208" formatCode="0%&quot; AMI&quot;"/>
    <numFmt numFmtId="209" formatCode="0.00%&quot; LI Units&quot;"/>
    <numFmt numFmtId="210" formatCode="&quot;R/E Tx Year &quot;#"/>
    <numFmt numFmtId="211" formatCode="_&amp;&quot; County&quot;"/>
    <numFmt numFmtId="212" formatCode="#&quot; Bedroom&quot;"/>
    <numFmt numFmtId="213" formatCode="0&quot; - persons&quot;"/>
    <numFmt numFmtId="214" formatCode="0&quot; BR&quot;"/>
    <numFmt numFmtId="215" formatCode="mm/dd/yy;@"/>
    <numFmt numFmtId="216" formatCode="\$#,##0.000"/>
    <numFmt numFmtId="217" formatCode="_(\$* #,##0.00_);_(\$* \(#,##0.00\);_(\$* \-_);_(@_)"/>
    <numFmt numFmtId="218" formatCode="0.00&quot;x&quot;"/>
    <numFmt numFmtId="222" formatCode="&quot;$&quot;#,##0_);[Red]&quot;($&quot;#,##0\)"/>
    <numFmt numFmtId="223" formatCode="&quot;$&quot;#,##0.00_);[Red]&quot;($&quot;#,##0.00\)"/>
  </numFmts>
  <fonts count="182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sz val="12"/>
      <name val="Times New Roman"/>
      <family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name val="Garamond"/>
      <family val="1"/>
      <charset val="1"/>
    </font>
    <font>
      <sz val="12"/>
      <name val="Arial"/>
      <family val="2"/>
    </font>
    <font>
      <sz val="9"/>
      <name val="Times New Roman"/>
      <family val="1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2"/>
      <color rgb="FFFFFFFF"/>
      <name val="Arial"/>
      <family val="2"/>
    </font>
    <font>
      <u/>
      <sz val="10"/>
      <color rgb="FF0000FF"/>
      <name val="Arial"/>
      <family val="2"/>
      <charset val="1"/>
    </font>
    <font>
      <u/>
      <sz val="8.0500000000000007"/>
      <color rgb="FF0000FF"/>
      <name val="Arial"/>
      <family val="2"/>
      <charset val="1"/>
    </font>
    <font>
      <u/>
      <sz val="8"/>
      <color rgb="FF0000FF"/>
      <name val="Arial"/>
      <family val="2"/>
      <charset val="1"/>
    </font>
    <font>
      <sz val="11"/>
      <color rgb="FF333399"/>
      <name val="Calibri"/>
      <family val="2"/>
      <charset val="1"/>
    </font>
    <font>
      <sz val="12"/>
      <color rgb="FFFFFF00"/>
      <name val="Arial"/>
      <family val="2"/>
    </font>
    <font>
      <sz val="11"/>
      <color rgb="FFFF9900"/>
      <name val="Calibri"/>
      <family val="2"/>
      <charset val="1"/>
    </font>
    <font>
      <sz val="11"/>
      <color rgb="FF993300"/>
      <name val="Calibri"/>
      <family val="2"/>
      <charset val="1"/>
    </font>
    <font>
      <sz val="7"/>
      <name val="Small Fonts"/>
      <family val="2"/>
      <charset val="1"/>
    </font>
    <font>
      <sz val="12"/>
      <name val="Arial"/>
      <family val="2"/>
      <charset val="1"/>
    </font>
    <font>
      <i/>
      <sz val="2"/>
      <color rgb="FFFFFFFF"/>
      <name val="Times New Roman"/>
      <family val="1"/>
    </font>
    <font>
      <b/>
      <sz val="11"/>
      <color rgb="FF333333"/>
      <name val="Calibri"/>
      <family val="2"/>
      <charset val="1"/>
    </font>
    <font>
      <sz val="12"/>
      <color rgb="FF008000"/>
      <name val="Arial"/>
      <family val="2"/>
    </font>
    <font>
      <b/>
      <sz val="18"/>
      <color rgb="FF003366"/>
      <name val="Cambria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6"/>
      <color rgb="FF1B4F72"/>
      <name val="Arial"/>
      <family val="2"/>
    </font>
    <font>
      <i/>
      <sz val="11"/>
      <color rgb="FF808080"/>
      <name val="Arial"/>
      <family val="2"/>
    </font>
    <font>
      <b/>
      <sz val="12"/>
      <color rgb="FF922B2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b/>
      <sz val="11"/>
      <color rgb="FFFF0000"/>
      <name val="Arial"/>
      <family val="2"/>
    </font>
    <font>
      <b/>
      <sz val="11"/>
      <color rgb="FF0033CC"/>
      <name val="Calibri"/>
      <family val="2"/>
      <charset val="1"/>
    </font>
    <font>
      <sz val="11"/>
      <color rgb="FF0033CC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u/>
      <sz val="12"/>
      <name val="Calibri"/>
      <family val="2"/>
      <charset val="1"/>
    </font>
    <font>
      <i/>
      <sz val="9"/>
      <color rgb="FF0033CC"/>
      <name val="Calibri"/>
      <family val="2"/>
      <charset val="1"/>
    </font>
    <font>
      <b/>
      <sz val="14"/>
      <color rgb="FF0033CC"/>
      <name val="Calibri"/>
      <family val="2"/>
      <charset val="1"/>
    </font>
    <font>
      <b/>
      <sz val="11"/>
      <color rgb="FFC00000"/>
      <name val="Calibri"/>
      <family val="2"/>
      <charset val="1"/>
    </font>
    <font>
      <b/>
      <i/>
      <sz val="9"/>
      <color rgb="FFC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i/>
      <sz val="9"/>
      <color theme="1"/>
      <name val="Calibri"/>
      <family val="2"/>
      <charset val="1"/>
    </font>
    <font>
      <i/>
      <sz val="10"/>
      <color theme="1"/>
      <name val="Calibri"/>
      <family val="2"/>
      <charset val="1"/>
    </font>
    <font>
      <u/>
      <sz val="14"/>
      <color theme="1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i/>
      <sz val="8"/>
      <color theme="1"/>
      <name val="Calibri"/>
      <family val="2"/>
      <charset val="1"/>
    </font>
    <font>
      <b/>
      <i/>
      <u/>
      <sz val="9"/>
      <color theme="1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C00000"/>
      <name val="Calibri"/>
      <family val="2"/>
      <charset val="1"/>
    </font>
    <font>
      <i/>
      <sz val="11"/>
      <color theme="1"/>
      <name val="Calibri"/>
      <family val="2"/>
      <charset val="1"/>
    </font>
    <font>
      <b/>
      <i/>
      <sz val="9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i/>
      <sz val="9"/>
      <color rgb="FFC00000"/>
      <name val="Calibri"/>
      <family val="2"/>
      <charset val="1"/>
    </font>
    <font>
      <b/>
      <sz val="14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14"/>
      <color rgb="FF0033CC"/>
      <name val="Arial"/>
      <family val="2"/>
      <charset val="1"/>
    </font>
    <font>
      <b/>
      <i/>
      <sz val="12"/>
      <color rgb="FF0033CC"/>
      <name val="Arial"/>
      <family val="2"/>
      <charset val="1"/>
    </font>
    <font>
      <b/>
      <sz val="12"/>
      <color rgb="FF0033CC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u/>
      <sz val="12"/>
      <name val="Arial"/>
      <family val="2"/>
      <charset val="1"/>
    </font>
    <font>
      <i/>
      <sz val="9"/>
      <name val="Arial"/>
      <family val="2"/>
      <charset val="1"/>
    </font>
    <font>
      <b/>
      <sz val="12"/>
      <color theme="1"/>
      <name val="Arial"/>
      <family val="2"/>
      <charset val="1"/>
    </font>
    <font>
      <b/>
      <i/>
      <sz val="9"/>
      <color rgb="FF0033CC"/>
      <name val="Arial"/>
      <family val="2"/>
      <charset val="1"/>
    </font>
    <font>
      <sz val="12"/>
      <color theme="1"/>
      <name val="Arial"/>
      <family val="2"/>
      <charset val="1"/>
    </font>
    <font>
      <sz val="9"/>
      <name val="Arial"/>
      <family val="2"/>
      <charset val="1"/>
    </font>
    <font>
      <sz val="12"/>
      <color rgb="FF0000FF"/>
      <name val="Arial"/>
      <family val="2"/>
      <charset val="1"/>
    </font>
    <font>
      <u/>
      <sz val="12"/>
      <name val="Arial"/>
      <family val="2"/>
      <charset val="1"/>
    </font>
    <font>
      <sz val="12"/>
      <color rgb="FFFF0000"/>
      <name val="Arial"/>
      <family val="2"/>
      <charset val="1"/>
    </font>
    <font>
      <i/>
      <sz val="9"/>
      <name val="Proxima nova"/>
      <charset val="1"/>
    </font>
    <font>
      <sz val="11"/>
      <name val="Arial"/>
      <family val="2"/>
      <charset val="1"/>
    </font>
    <font>
      <b/>
      <sz val="9"/>
      <color rgb="FF333333"/>
      <name val="Verdana"/>
      <family val="2"/>
      <charset val="1"/>
    </font>
    <font>
      <sz val="12"/>
      <color rgb="FF000000"/>
      <name val="Arial"/>
      <family val="2"/>
      <charset val="1"/>
    </font>
    <font>
      <sz val="12"/>
      <color rgb="FF0000FF"/>
      <name val="Arial"/>
      <family val="2"/>
      <charset val="1"/>
    </font>
    <font>
      <sz val="8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6"/>
      <color theme="1"/>
      <name val="Calibri"/>
      <family val="2"/>
      <charset val="1"/>
    </font>
    <font>
      <b/>
      <i/>
      <sz val="11"/>
      <color rgb="FF0033CC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b/>
      <u/>
      <sz val="14"/>
      <color rgb="FF0033CC"/>
      <name val="Calibri"/>
      <family val="2"/>
      <charset val="1"/>
    </font>
    <font>
      <b/>
      <sz val="14"/>
      <color theme="1"/>
      <name val="Calibri"/>
      <family val="2"/>
      <charset val="1"/>
    </font>
    <font>
      <i/>
      <sz val="11"/>
      <color rgb="FF0033CC"/>
      <name val="Calibri"/>
      <family val="2"/>
      <charset val="1"/>
    </font>
    <font>
      <b/>
      <sz val="12"/>
      <color rgb="FF0033CC"/>
      <name val="Calibri"/>
      <family val="2"/>
      <charset val="1"/>
    </font>
    <font>
      <b/>
      <sz val="10"/>
      <color theme="1"/>
      <name val="Calibri"/>
      <family val="2"/>
      <charset val="1"/>
    </font>
    <font>
      <b/>
      <u/>
      <sz val="10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  <font>
      <i/>
      <u/>
      <sz val="10"/>
      <color theme="1"/>
      <name val="Calibri"/>
      <family val="2"/>
      <charset val="1"/>
    </font>
    <font>
      <sz val="10"/>
      <color rgb="FFC00000"/>
      <name val="Calibri"/>
      <family val="2"/>
      <charset val="1"/>
    </font>
    <font>
      <b/>
      <u/>
      <sz val="10"/>
      <color rgb="FF000000"/>
      <name val="Calibri"/>
      <family val="2"/>
      <charset val="1"/>
    </font>
    <font>
      <i/>
      <u/>
      <sz val="10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i/>
      <u/>
      <sz val="11"/>
      <color theme="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u/>
      <sz val="10"/>
      <color rgb="FF000000"/>
      <name val="Calibri"/>
      <family val="2"/>
      <charset val="1"/>
    </font>
    <font>
      <b/>
      <i/>
      <sz val="10"/>
      <color rgb="FFC00000"/>
      <name val="Calibri"/>
      <family val="2"/>
      <charset val="1"/>
    </font>
    <font>
      <u/>
      <sz val="10"/>
      <color theme="1"/>
      <name val="Calibri"/>
      <family val="2"/>
      <charset val="1"/>
    </font>
    <font>
      <b/>
      <u/>
      <sz val="9"/>
      <color theme="1"/>
      <name val="Calibri"/>
      <family val="2"/>
      <charset val="1"/>
    </font>
    <font>
      <b/>
      <sz val="9"/>
      <color theme="1"/>
      <name val="Arial"/>
      <family val="2"/>
      <charset val="1"/>
    </font>
    <font>
      <sz val="9"/>
      <color theme="1"/>
      <name val="Arial"/>
      <family val="2"/>
      <charset val="1"/>
    </font>
    <font>
      <b/>
      <u/>
      <sz val="9"/>
      <color theme="1"/>
      <name val="Arial"/>
      <family val="2"/>
      <charset val="1"/>
    </font>
    <font>
      <b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color theme="2"/>
      <name val="Calibri"/>
      <family val="2"/>
      <charset val="1"/>
    </font>
    <font>
      <i/>
      <sz val="9"/>
      <color rgb="FF0000CC"/>
      <name val="Calibri"/>
      <family val="2"/>
      <charset val="1"/>
    </font>
    <font>
      <b/>
      <sz val="11"/>
      <color rgb="FF0000CC"/>
      <name val="Calibri"/>
      <family val="2"/>
      <charset val="1"/>
    </font>
    <font>
      <b/>
      <i/>
      <sz val="11"/>
      <color rgb="FFC00000"/>
      <name val="Calibri"/>
      <family val="2"/>
      <charset val="1"/>
    </font>
    <font>
      <i/>
      <sz val="8"/>
      <color rgb="FF000000"/>
      <name val="Calibri"/>
      <family val="2"/>
      <charset val="1"/>
    </font>
    <font>
      <b/>
      <sz val="8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theme="2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0"/>
      <color rgb="FF0000CC"/>
      <name val="Arial"/>
      <family val="2"/>
      <charset val="1"/>
    </font>
    <font>
      <b/>
      <sz val="10"/>
      <color rgb="FFC00000"/>
      <name val="Arial"/>
      <family val="2"/>
      <charset val="1"/>
    </font>
    <font>
      <b/>
      <sz val="14"/>
      <color rgb="FF0000CC"/>
      <name val="Arial"/>
      <family val="2"/>
      <charset val="1"/>
    </font>
    <font>
      <b/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theme="4"/>
      <name val="Arial"/>
      <family val="2"/>
      <charset val="1"/>
    </font>
    <font>
      <b/>
      <sz val="10"/>
      <color theme="4"/>
      <name val="Arial"/>
      <family val="2"/>
      <charset val="1"/>
    </font>
    <font>
      <i/>
      <u/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9"/>
      <name val="Arial"/>
      <family val="2"/>
      <charset val="1"/>
    </font>
    <font>
      <b/>
      <i/>
      <sz val="10"/>
      <color rgb="FF0000CC"/>
      <name val="Arial"/>
      <family val="2"/>
      <charset val="1"/>
    </font>
    <font>
      <i/>
      <sz val="8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/>
      <u/>
      <sz val="10"/>
      <name val="Arial"/>
      <family val="2"/>
      <charset val="1"/>
    </font>
    <font>
      <b/>
      <i/>
      <sz val="10"/>
      <color theme="4"/>
      <name val="Arial"/>
      <family val="2"/>
      <charset val="1"/>
    </font>
    <font>
      <b/>
      <i/>
      <sz val="9"/>
      <color rgb="FF0000FF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9"/>
      <name val="Calibri"/>
      <family val="2"/>
      <charset val="1"/>
    </font>
    <font>
      <b/>
      <u/>
      <sz val="9"/>
      <color rgb="FF000000"/>
      <name val="Calibri"/>
      <family val="2"/>
      <charset val="1"/>
    </font>
    <font>
      <i/>
      <sz val="8"/>
      <color rgb="FF0000FF"/>
      <name val="Calibri"/>
      <family val="2"/>
      <charset val="1"/>
    </font>
    <font>
      <i/>
      <sz val="8"/>
      <name val="Calibri"/>
      <family val="2"/>
      <charset val="1"/>
    </font>
    <font>
      <b/>
      <sz val="10"/>
      <name val="Calibri"/>
      <family val="2"/>
      <charset val="1"/>
    </font>
    <font>
      <i/>
      <sz val="10"/>
      <color rgb="FFFF0000"/>
      <name val="Calibri"/>
      <family val="2"/>
      <charset val="1"/>
    </font>
    <font>
      <b/>
      <sz val="13"/>
      <color rgb="FF000000"/>
      <name val="Calibri"/>
      <family val="2"/>
      <charset val="1"/>
    </font>
    <font>
      <i/>
      <sz val="11"/>
      <color rgb="FFFF0000"/>
      <name val="Calibri"/>
      <family val="2"/>
      <charset val="1"/>
    </font>
    <font>
      <sz val="8"/>
      <name val="Calibri"/>
      <family val="2"/>
      <charset val="1"/>
    </font>
    <font>
      <b/>
      <sz val="8"/>
      <name val="Calibri"/>
      <family val="2"/>
      <charset val="1"/>
    </font>
    <font>
      <sz val="7"/>
      <name val="Calibri"/>
      <family val="2"/>
      <charset val="1"/>
    </font>
    <font>
      <sz val="8"/>
      <color theme="0"/>
      <name val="Calibri"/>
      <family val="2"/>
      <charset val="1"/>
    </font>
    <font>
      <b/>
      <sz val="8"/>
      <color rgb="FFFF0000"/>
      <name val="Calibri"/>
      <family val="2"/>
      <charset val="1"/>
    </font>
    <font>
      <b/>
      <sz val="12"/>
      <color rgb="FF0000CC"/>
      <name val="Arial"/>
      <family val="2"/>
      <charset val="1"/>
    </font>
    <font>
      <b/>
      <sz val="11"/>
      <name val="Arial"/>
      <family val="2"/>
      <charset val="1"/>
    </font>
    <font>
      <b/>
      <i/>
      <sz val="12"/>
      <name val="Arial"/>
      <family val="2"/>
      <charset val="1"/>
    </font>
    <font>
      <sz val="11"/>
      <color theme="1"/>
      <name val="Calibri"/>
      <family val="2"/>
      <charset val="1"/>
    </font>
    <font>
      <i/>
      <sz val="9"/>
      <color rgb="FFFF0000"/>
      <name val="Calibri"/>
      <family val="2"/>
      <charset val="1"/>
    </font>
    <font>
      <b/>
      <u/>
      <sz val="12"/>
      <color theme="1"/>
      <name val="Calibri"/>
      <family val="2"/>
      <charset val="1"/>
    </font>
    <font>
      <b/>
      <sz val="11"/>
      <color rgb="FF00800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4"/>
      <color rgb="FF0000FF"/>
      <name val="Calibri"/>
      <family val="2"/>
      <charset val="1"/>
    </font>
  </fonts>
  <fills count="47">
    <fill>
      <patternFill patternType="none"/>
    </fill>
    <fill>
      <patternFill patternType="gray125"/>
    </fill>
    <fill>
      <patternFill patternType="solid">
        <fgColor rgb="FFCCCCFF"/>
        <bgColor rgb="FFD0CECE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8CBAD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1B4F72"/>
      </patternFill>
    </fill>
    <fill>
      <patternFill patternType="solid">
        <fgColor rgb="FF800080"/>
        <bgColor rgb="FF922B21"/>
      </patternFill>
    </fill>
    <fill>
      <patternFill patternType="solid">
        <fgColor rgb="FF33CCCC"/>
        <bgColor rgb="FF5B9BD5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1B4F72"/>
      </patternFill>
    </fill>
    <fill>
      <patternFill patternType="solid">
        <fgColor rgb="FFFF0000"/>
        <bgColor rgb="FFC00000"/>
      </patternFill>
    </fill>
    <fill>
      <patternFill patternType="solid">
        <fgColor rgb="FF339966"/>
        <bgColor rgb="FF5B9BD5"/>
      </patternFill>
    </fill>
    <fill>
      <patternFill patternType="solid">
        <fgColor rgb="FFFF6600"/>
        <bgColor rgb="FFC55A11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2CC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CC00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7" tint="0.79989013336588644"/>
        <bgColor rgb="FFFFFFCC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9" tint="0.79989013336588644"/>
        <bgColor rgb="FFE7E6E6"/>
      </patternFill>
    </fill>
    <fill>
      <patternFill patternType="solid">
        <fgColor rgb="FFFFC000"/>
        <bgColor rgb="FFFFCC0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0" tint="-0.14999847407452621"/>
        <bgColor rgb="FFDBDBDB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7" tint="0.59987182226020086"/>
        <bgColor rgb="FFFFFF99"/>
      </patternFill>
    </fill>
    <fill>
      <patternFill patternType="solid">
        <fgColor theme="5" tint="0.59987182226020086"/>
        <bgColor rgb="FFFFCC99"/>
      </patternFill>
    </fill>
    <fill>
      <patternFill patternType="solid">
        <fgColor theme="6" tint="0.59987182226020086"/>
        <bgColor rgb="FFD9D9D9"/>
      </patternFill>
    </fill>
    <fill>
      <patternFill patternType="solid">
        <fgColor rgb="FF99FF99"/>
        <bgColor rgb="FFCCFFCC"/>
      </patternFill>
    </fill>
    <fill>
      <patternFill patternType="solid">
        <fgColor theme="2"/>
        <bgColor rgb="FFDEEBF7"/>
      </patternFill>
    </fill>
    <fill>
      <patternFill patternType="solid">
        <fgColor theme="1"/>
        <bgColor rgb="FF333333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9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Dashed">
        <color auto="1"/>
      </top>
      <bottom/>
      <diagonal/>
    </border>
    <border>
      <left style="thin">
        <color auto="1"/>
      </left>
      <right style="thin">
        <color auto="1"/>
      </right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auto="1"/>
      </right>
      <top style="mediumDashed">
        <color auto="1"/>
      </top>
      <bottom/>
      <diagonal/>
    </border>
    <border>
      <left style="thin">
        <color auto="1"/>
      </left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thin">
        <color auto="1"/>
      </right>
      <top/>
      <bottom style="mediumDashed">
        <color auto="1"/>
      </bottom>
      <diagonal/>
    </border>
    <border>
      <left style="medium">
        <color theme="1"/>
      </left>
      <right style="medium">
        <color theme="1"/>
      </right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91">
    <xf numFmtId="0" fontId="0" fillId="0" borderId="0"/>
    <xf numFmtId="164" fontId="176" fillId="0" borderId="0"/>
    <xf numFmtId="166" fontId="176" fillId="0" borderId="0"/>
    <xf numFmtId="9" fontId="176" fillId="0" borderId="0"/>
    <xf numFmtId="0" fontId="21" fillId="0" borderId="0">
      <alignment vertical="top"/>
      <protection locked="0"/>
    </xf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3" borderId="0"/>
    <xf numFmtId="0" fontId="3" fillId="14" borderId="0"/>
    <xf numFmtId="0" fontId="3" fillId="19" borderId="0"/>
    <xf numFmtId="0" fontId="4" fillId="3" borderId="0"/>
    <xf numFmtId="0" fontId="5" fillId="0" borderId="0"/>
    <xf numFmtId="0" fontId="6" fillId="20" borderId="1"/>
    <xf numFmtId="0" fontId="2" fillId="17" borderId="0"/>
    <xf numFmtId="0" fontId="7" fillId="21" borderId="2"/>
    <xf numFmtId="164" fontId="2" fillId="0" borderId="0"/>
    <xf numFmtId="164" fontId="8" fillId="0" borderId="0"/>
    <xf numFmtId="164" fontId="8" fillId="0" borderId="0"/>
    <xf numFmtId="165" fontId="2" fillId="0" borderId="0"/>
    <xf numFmtId="166" fontId="9" fillId="0" borderId="0"/>
    <xf numFmtId="166" fontId="8" fillId="0" borderId="0"/>
    <xf numFmtId="166" fontId="8" fillId="0" borderId="0"/>
    <xf numFmtId="167" fontId="2" fillId="0" borderId="0"/>
    <xf numFmtId="15" fontId="10" fillId="0" borderId="3">
      <alignment horizontal="center"/>
      <protection locked="0"/>
    </xf>
    <xf numFmtId="168" fontId="11" fillId="0" borderId="0"/>
    <xf numFmtId="0" fontId="12" fillId="0" borderId="0"/>
    <xf numFmtId="38" fontId="10" fillId="0" borderId="0"/>
    <xf numFmtId="0" fontId="13" fillId="4" borderId="0"/>
    <xf numFmtId="38" fontId="14" fillId="20" borderId="0"/>
    <xf numFmtId="0" fontId="15" fillId="0" borderId="4">
      <alignment horizontal="left" vertical="center"/>
    </xf>
    <xf numFmtId="0" fontId="15" fillId="0" borderId="5">
      <alignment horizontal="left" vertical="center"/>
    </xf>
    <xf numFmtId="0" fontId="15" fillId="0" borderId="5">
      <alignment horizontal="left" vertical="center"/>
    </xf>
    <xf numFmtId="0" fontId="15" fillId="0" borderId="5">
      <alignment horizontal="left" vertical="center"/>
    </xf>
    <xf numFmtId="0" fontId="16" fillId="0" borderId="6"/>
    <xf numFmtId="0" fontId="17" fillId="0" borderId="7"/>
    <xf numFmtId="0" fontId="18" fillId="0" borderId="8"/>
    <xf numFmtId="0" fontId="18" fillId="0" borderId="0"/>
    <xf numFmtId="169" fontId="19" fillId="0" borderId="0">
      <alignment horizontal="right"/>
    </xf>
    <xf numFmtId="0" fontId="20" fillId="0" borderId="0">
      <alignment vertical="top"/>
      <protection locked="0"/>
    </xf>
    <xf numFmtId="0" fontId="21" fillId="0" borderId="0">
      <alignment vertical="top"/>
      <protection locked="0"/>
    </xf>
    <xf numFmtId="0" fontId="22" fillId="0" borderId="0"/>
    <xf numFmtId="0" fontId="23" fillId="7" borderId="1"/>
    <xf numFmtId="10" fontId="14" fillId="22" borderId="9"/>
    <xf numFmtId="10" fontId="14" fillId="22" borderId="9"/>
    <xf numFmtId="10" fontId="14" fillId="22" borderId="9"/>
    <xf numFmtId="37" fontId="24" fillId="0" borderId="3">
      <alignment horizontal="center" vertical="center"/>
    </xf>
    <xf numFmtId="0" fontId="25" fillId="0" borderId="10"/>
    <xf numFmtId="0" fontId="26" fillId="23" borderId="0"/>
    <xf numFmtId="37" fontId="27" fillId="0" borderId="0"/>
    <xf numFmtId="0" fontId="8" fillId="0" borderId="0"/>
    <xf numFmtId="170" fontId="8" fillId="0" borderId="0"/>
    <xf numFmtId="0" fontId="176" fillId="0" borderId="0"/>
    <xf numFmtId="0" fontId="28" fillId="0" borderId="0"/>
    <xf numFmtId="0" fontId="8" fillId="0" borderId="0"/>
    <xf numFmtId="0" fontId="2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8" fillId="0" borderId="0"/>
    <xf numFmtId="0" fontId="8" fillId="22" borderId="11"/>
    <xf numFmtId="0" fontId="29" fillId="0" borderId="0"/>
    <xf numFmtId="0" fontId="30" fillId="20" borderId="12"/>
    <xf numFmtId="37" fontId="31" fillId="0" borderId="0"/>
    <xf numFmtId="9" fontId="2" fillId="0" borderId="0"/>
    <xf numFmtId="9" fontId="8" fillId="0" borderId="0"/>
    <xf numFmtId="9" fontId="8" fillId="0" borderId="0"/>
    <xf numFmtId="9" fontId="2" fillId="0" borderId="0"/>
    <xf numFmtId="10" fontId="8" fillId="0" borderId="0"/>
    <xf numFmtId="0" fontId="32" fillId="0" borderId="0"/>
    <xf numFmtId="0" fontId="33" fillId="0" borderId="13"/>
    <xf numFmtId="0" fontId="34" fillId="0" borderId="0"/>
  </cellStyleXfs>
  <cellXfs count="1530">
    <xf numFmtId="0" fontId="0" fillId="0" borderId="0" xfId="0"/>
    <xf numFmtId="0" fontId="0" fillId="0" borderId="0" xfId="0" applyAlignment="1">
      <alignment horizontal="right"/>
    </xf>
    <xf numFmtId="0" fontId="63" fillId="0" borderId="0" xfId="0" applyFont="1" applyAlignment="1">
      <alignment horizontal="center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0" fillId="24" borderId="0" xfId="0" applyFill="1"/>
    <xf numFmtId="0" fontId="41" fillId="0" borderId="0" xfId="0" applyFont="1"/>
    <xf numFmtId="0" fontId="42" fillId="0" borderId="0" xfId="0" applyFont="1" applyAlignment="1">
      <alignment horizontal="left"/>
    </xf>
    <xf numFmtId="4" fontId="0" fillId="0" borderId="0" xfId="0" applyNumberFormat="1"/>
    <xf numFmtId="3" fontId="43" fillId="0" borderId="0" xfId="0" applyNumberFormat="1" applyFont="1" applyAlignment="1">
      <alignment horizontal="center"/>
    </xf>
    <xf numFmtId="171" fontId="4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/>
    <xf numFmtId="0" fontId="43" fillId="0" borderId="0" xfId="0" applyFont="1" applyAlignment="1">
      <alignment horizontal="center"/>
    </xf>
    <xf numFmtId="0" fontId="43" fillId="0" borderId="0" xfId="0" applyFont="1"/>
    <xf numFmtId="4" fontId="43" fillId="0" borderId="0" xfId="0" applyNumberFormat="1" applyFont="1" applyAlignment="1">
      <alignment horizontal="center"/>
    </xf>
    <xf numFmtId="9" fontId="43" fillId="0" borderId="0" xfId="0" applyNumberFormat="1" applyFont="1"/>
    <xf numFmtId="172" fontId="0" fillId="0" borderId="0" xfId="0" applyNumberFormat="1"/>
    <xf numFmtId="173" fontId="0" fillId="0" borderId="0" xfId="0" applyNumberFormat="1" applyAlignment="1">
      <alignment horizontal="center"/>
    </xf>
    <xf numFmtId="174" fontId="43" fillId="0" borderId="0" xfId="0" applyNumberFormat="1" applyFont="1" applyAlignment="1">
      <alignment horizontal="right"/>
    </xf>
    <xf numFmtId="174" fontId="0" fillId="0" borderId="0" xfId="0" applyNumberFormat="1"/>
    <xf numFmtId="10" fontId="43" fillId="0" borderId="0" xfId="0" applyNumberFormat="1" applyFont="1"/>
    <xf numFmtId="173" fontId="43" fillId="0" borderId="9" xfId="0" applyNumberFormat="1" applyFont="1" applyBorder="1"/>
    <xf numFmtId="175" fontId="0" fillId="0" borderId="0" xfId="0" applyNumberFormat="1" applyAlignment="1">
      <alignment horizontal="center"/>
    </xf>
    <xf numFmtId="0" fontId="0" fillId="0" borderId="14" xfId="0" applyBorder="1"/>
    <xf numFmtId="0" fontId="0" fillId="0" borderId="9" xfId="0" applyBorder="1" applyAlignment="1">
      <alignment horizontal="center"/>
    </xf>
    <xf numFmtId="10" fontId="0" fillId="0" borderId="0" xfId="0" applyNumberFormat="1"/>
    <xf numFmtId="0" fontId="0" fillId="0" borderId="15" xfId="0" applyBorder="1"/>
    <xf numFmtId="10" fontId="0" fillId="0" borderId="15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/>
    <xf numFmtId="173" fontId="43" fillId="0" borderId="15" xfId="0" applyNumberFormat="1" applyFont="1" applyBorder="1" applyAlignment="1">
      <alignment horizontal="center"/>
    </xf>
    <xf numFmtId="173" fontId="43" fillId="0" borderId="16" xfId="0" applyNumberFormat="1" applyFont="1" applyBorder="1" applyAlignment="1">
      <alignment horizontal="center"/>
    </xf>
    <xf numFmtId="173" fontId="42" fillId="25" borderId="17" xfId="0" applyNumberFormat="1" applyFont="1" applyFill="1" applyBorder="1" applyAlignment="1">
      <alignment horizontal="center"/>
    </xf>
    <xf numFmtId="173" fontId="42" fillId="24" borderId="16" xfId="0" applyNumberFormat="1" applyFont="1" applyFill="1" applyBorder="1" applyAlignment="1">
      <alignment horizontal="center"/>
    </xf>
    <xf numFmtId="173" fontId="43" fillId="0" borderId="0" xfId="0" applyNumberFormat="1" applyFont="1" applyAlignment="1">
      <alignment horizontal="center"/>
    </xf>
    <xf numFmtId="173" fontId="34" fillId="0" borderId="14" xfId="0" applyNumberFormat="1" applyFont="1" applyBorder="1" applyAlignment="1">
      <alignment horizontal="center"/>
    </xf>
    <xf numFmtId="173" fontId="43" fillId="26" borderId="16" xfId="0" applyNumberFormat="1" applyFont="1" applyFill="1" applyBorder="1" applyAlignment="1">
      <alignment horizontal="center"/>
    </xf>
    <xf numFmtId="173" fontId="43" fillId="0" borderId="17" xfId="0" applyNumberFormat="1" applyFont="1" applyBorder="1" applyAlignment="1">
      <alignment horizontal="center"/>
    </xf>
    <xf numFmtId="0" fontId="45" fillId="0" borderId="0" xfId="0" applyFont="1" applyAlignment="1">
      <alignment horizontal="center"/>
    </xf>
    <xf numFmtId="173" fontId="43" fillId="0" borderId="20" xfId="0" applyNumberFormat="1" applyFont="1" applyBorder="1" applyAlignment="1">
      <alignment horizontal="center"/>
    </xf>
    <xf numFmtId="173" fontId="42" fillId="25" borderId="21" xfId="0" applyNumberFormat="1" applyFont="1" applyFill="1" applyBorder="1" applyAlignment="1">
      <alignment horizontal="center"/>
    </xf>
    <xf numFmtId="173" fontId="42" fillId="24" borderId="0" xfId="0" applyNumberFormat="1" applyFont="1" applyFill="1" applyAlignment="1">
      <alignment horizontal="center"/>
    </xf>
    <xf numFmtId="173" fontId="34" fillId="0" borderId="22" xfId="0" applyNumberFormat="1" applyFont="1" applyBorder="1" applyAlignment="1">
      <alignment horizontal="center"/>
    </xf>
    <xf numFmtId="173" fontId="43" fillId="26" borderId="0" xfId="0" applyNumberFormat="1" applyFont="1" applyFill="1" applyAlignment="1">
      <alignment horizontal="center"/>
    </xf>
    <xf numFmtId="173" fontId="43" fillId="0" borderId="21" xfId="0" applyNumberFormat="1" applyFont="1" applyBorder="1" applyAlignment="1">
      <alignment horizontal="center"/>
    </xf>
    <xf numFmtId="173" fontId="43" fillId="0" borderId="22" xfId="0" applyNumberFormat="1" applyFont="1" applyBorder="1" applyAlignment="1">
      <alignment horizontal="center"/>
    </xf>
    <xf numFmtId="0" fontId="0" fillId="0" borderId="23" xfId="0" applyBorder="1"/>
    <xf numFmtId="175" fontId="0" fillId="0" borderId="23" xfId="0" applyNumberFormat="1" applyBorder="1"/>
    <xf numFmtId="0" fontId="0" fillId="0" borderId="24" xfId="0" applyBorder="1"/>
    <xf numFmtId="0" fontId="46" fillId="0" borderId="24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0" fontId="46" fillId="0" borderId="25" xfId="0" applyFont="1" applyBorder="1" applyAlignment="1">
      <alignment horizontal="center"/>
    </xf>
    <xf numFmtId="0" fontId="43" fillId="0" borderId="23" xfId="0" applyFont="1" applyBorder="1" applyAlignment="1">
      <alignment horizontal="center"/>
    </xf>
    <xf numFmtId="0" fontId="43" fillId="0" borderId="2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73" fontId="0" fillId="0" borderId="25" xfId="0" applyNumberFormat="1" applyBorder="1" applyAlignment="1">
      <alignment horizontal="center"/>
    </xf>
    <xf numFmtId="10" fontId="43" fillId="0" borderId="15" xfId="0" applyNumberFormat="1" applyFont="1" applyBorder="1" applyAlignment="1">
      <alignment horizontal="left"/>
    </xf>
    <xf numFmtId="9" fontId="43" fillId="0" borderId="17" xfId="0" applyNumberFormat="1" applyFont="1" applyBorder="1"/>
    <xf numFmtId="175" fontId="0" fillId="0" borderId="0" xfId="0" applyNumberFormat="1"/>
    <xf numFmtId="175" fontId="47" fillId="0" borderId="0" xfId="0" applyNumberFormat="1" applyFont="1" applyAlignment="1">
      <alignment horizontal="center"/>
    </xf>
    <xf numFmtId="9" fontId="0" fillId="0" borderId="0" xfId="0" applyNumberFormat="1"/>
    <xf numFmtId="10" fontId="43" fillId="0" borderId="20" xfId="0" applyNumberFormat="1" applyFont="1" applyBorder="1" applyAlignment="1">
      <alignment horizontal="left"/>
    </xf>
    <xf numFmtId="9" fontId="43" fillId="0" borderId="21" xfId="0" applyNumberFormat="1" applyFont="1" applyBorder="1"/>
    <xf numFmtId="9" fontId="47" fillId="0" borderId="0" xfId="0" applyNumberFormat="1" applyFont="1" applyAlignment="1">
      <alignment horizontal="center"/>
    </xf>
    <xf numFmtId="9" fontId="43" fillId="0" borderId="0" xfId="0" applyNumberFormat="1" applyFont="1" applyAlignment="1">
      <alignment horizontal="center"/>
    </xf>
    <xf numFmtId="176" fontId="0" fillId="0" borderId="0" xfId="0" applyNumberFormat="1"/>
    <xf numFmtId="0" fontId="43" fillId="0" borderId="20" xfId="0" applyFont="1" applyBorder="1" applyAlignment="1">
      <alignment horizontal="left"/>
    </xf>
    <xf numFmtId="0" fontId="43" fillId="0" borderId="21" xfId="0" applyFont="1" applyBorder="1"/>
    <xf numFmtId="0" fontId="0" fillId="0" borderId="24" xfId="0" applyBorder="1" applyAlignment="1">
      <alignment horizontal="left"/>
    </xf>
    <xf numFmtId="0" fontId="0" fillId="0" borderId="25" xfId="0" applyBorder="1"/>
    <xf numFmtId="175" fontId="42" fillId="0" borderId="24" xfId="0" applyNumberFormat="1" applyFont="1" applyBorder="1"/>
    <xf numFmtId="175" fontId="43" fillId="0" borderId="0" xfId="0" applyNumberFormat="1" applyFont="1"/>
    <xf numFmtId="173" fontId="43" fillId="0" borderId="0" xfId="0" applyNumberFormat="1" applyFont="1"/>
    <xf numFmtId="0" fontId="44" fillId="0" borderId="0" xfId="0" applyFont="1"/>
    <xf numFmtId="171" fontId="8" fillId="0" borderId="16" xfId="0" applyNumberFormat="1" applyFont="1" applyBorder="1"/>
    <xf numFmtId="0" fontId="0" fillId="0" borderId="16" xfId="0" applyBorder="1"/>
    <xf numFmtId="171" fontId="8" fillId="0" borderId="17" xfId="0" applyNumberFormat="1" applyFont="1" applyBorder="1"/>
    <xf numFmtId="171" fontId="8" fillId="0" borderId="0" xfId="0" applyNumberFormat="1" applyFont="1"/>
    <xf numFmtId="171" fontId="8" fillId="0" borderId="21" xfId="0" applyNumberFormat="1" applyFont="1" applyBorder="1"/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1" fontId="8" fillId="0" borderId="23" xfId="0" applyNumberFormat="1" applyFont="1" applyBorder="1"/>
    <xf numFmtId="9" fontId="0" fillId="0" borderId="23" xfId="0" applyNumberFormat="1" applyBorder="1" applyAlignment="1">
      <alignment horizontal="center"/>
    </xf>
    <xf numFmtId="171" fontId="8" fillId="0" borderId="25" xfId="0" applyNumberFormat="1" applyFont="1" applyBorder="1"/>
    <xf numFmtId="9" fontId="8" fillId="0" borderId="0" xfId="0" applyNumberFormat="1" applyFont="1"/>
    <xf numFmtId="176" fontId="34" fillId="0" borderId="0" xfId="0" applyNumberFormat="1" applyFont="1"/>
    <xf numFmtId="173" fontId="0" fillId="0" borderId="0" xfId="0" applyNumberFormat="1"/>
    <xf numFmtId="4" fontId="43" fillId="0" borderId="0" xfId="0" applyNumberFormat="1" applyFont="1"/>
    <xf numFmtId="0" fontId="48" fillId="0" borderId="0" xfId="0" applyFont="1"/>
    <xf numFmtId="171" fontId="49" fillId="0" borderId="0" xfId="0" applyNumberFormat="1" applyFont="1" applyAlignment="1">
      <alignment horizontal="right"/>
    </xf>
    <xf numFmtId="0" fontId="50" fillId="0" borderId="0" xfId="0" applyFont="1"/>
    <xf numFmtId="176" fontId="51" fillId="0" borderId="0" xfId="0" applyNumberFormat="1" applyFont="1" applyAlignment="1">
      <alignment horizontal="right"/>
    </xf>
    <xf numFmtId="0" fontId="52" fillId="0" borderId="0" xfId="0" applyFont="1" applyAlignment="1">
      <alignment horizontal="right" indent="1"/>
    </xf>
    <xf numFmtId="0" fontId="53" fillId="0" borderId="0" xfId="0" applyFont="1"/>
    <xf numFmtId="176" fontId="44" fillId="0" borderId="0" xfId="0" applyNumberFormat="1" applyFont="1"/>
    <xf numFmtId="38" fontId="42" fillId="0" borderId="0" xfId="0" applyNumberFormat="1" applyFont="1"/>
    <xf numFmtId="173" fontId="52" fillId="0" borderId="0" xfId="0" applyNumberFormat="1" applyFont="1" applyAlignment="1">
      <alignment horizontal="right" indent="1"/>
    </xf>
    <xf numFmtId="166" fontId="0" fillId="0" borderId="0" xfId="0" applyNumberFormat="1"/>
    <xf numFmtId="176" fontId="44" fillId="0" borderId="23" xfId="0" applyNumberFormat="1" applyFont="1" applyBorder="1"/>
    <xf numFmtId="176" fontId="0" fillId="0" borderId="23" xfId="0" applyNumberFormat="1" applyBorder="1" applyAlignment="1">
      <alignment horizontal="center"/>
    </xf>
    <xf numFmtId="176" fontId="54" fillId="0" borderId="0" xfId="0" applyNumberFormat="1" applyFont="1" applyAlignment="1">
      <alignment horizontal="right"/>
    </xf>
    <xf numFmtId="177" fontId="44" fillId="0" borderId="0" xfId="0" applyNumberFormat="1" applyFont="1"/>
    <xf numFmtId="178" fontId="54" fillId="0" borderId="0" xfId="0" applyNumberFormat="1" applyFont="1"/>
    <xf numFmtId="9" fontId="55" fillId="0" borderId="0" xfId="0" applyNumberFormat="1" applyFont="1"/>
    <xf numFmtId="177" fontId="44" fillId="0" borderId="0" xfId="2" applyNumberFormat="1" applyFont="1"/>
    <xf numFmtId="176" fontId="54" fillId="0" borderId="0" xfId="0" applyNumberFormat="1" applyFont="1"/>
    <xf numFmtId="9" fontId="54" fillId="0" borderId="0" xfId="0" applyNumberFormat="1" applyFont="1"/>
    <xf numFmtId="0" fontId="54" fillId="0" borderId="0" xfId="0" applyFont="1"/>
    <xf numFmtId="175" fontId="55" fillId="0" borderId="0" xfId="0" applyNumberFormat="1" applyFont="1"/>
    <xf numFmtId="177" fontId="0" fillId="0" borderId="0" xfId="0" applyNumberFormat="1"/>
    <xf numFmtId="176" fontId="0" fillId="27" borderId="28" xfId="0" applyNumberFormat="1" applyFill="1" applyBorder="1"/>
    <xf numFmtId="0" fontId="0" fillId="27" borderId="0" xfId="0" applyFill="1"/>
    <xf numFmtId="177" fontId="0" fillId="27" borderId="0" xfId="0" applyNumberFormat="1" applyFill="1"/>
    <xf numFmtId="0" fontId="0" fillId="27" borderId="29" xfId="0" applyFill="1" applyBorder="1"/>
    <xf numFmtId="0" fontId="34" fillId="0" borderId="0" xfId="0" applyFont="1"/>
    <xf numFmtId="176" fontId="47" fillId="0" borderId="0" xfId="0" applyNumberFormat="1" applyFont="1"/>
    <xf numFmtId="0" fontId="0" fillId="27" borderId="28" xfId="0" applyFill="1" applyBorder="1"/>
    <xf numFmtId="10" fontId="176" fillId="27" borderId="0" xfId="3" applyNumberFormat="1" applyFill="1"/>
    <xf numFmtId="177" fontId="0" fillId="27" borderId="23" xfId="0" applyNumberFormat="1" applyFill="1" applyBorder="1"/>
    <xf numFmtId="176" fontId="34" fillId="27" borderId="0" xfId="0" applyNumberFormat="1" applyFont="1" applyFill="1"/>
    <xf numFmtId="176" fontId="54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/>
    </xf>
    <xf numFmtId="176" fontId="0" fillId="27" borderId="0" xfId="0" applyNumberFormat="1" applyFill="1"/>
    <xf numFmtId="176" fontId="0" fillId="27" borderId="29" xfId="0" applyNumberFormat="1" applyFill="1" applyBorder="1"/>
    <xf numFmtId="176" fontId="0" fillId="27" borderId="23" xfId="0" applyNumberFormat="1" applyFill="1" applyBorder="1"/>
    <xf numFmtId="0" fontId="55" fillId="0" borderId="0" xfId="0" applyFont="1"/>
    <xf numFmtId="0" fontId="55" fillId="0" borderId="0" xfId="0" applyFont="1" applyAlignment="1">
      <alignment horizontal="right"/>
    </xf>
    <xf numFmtId="176" fontId="42" fillId="0" borderId="0" xfId="0" applyNumberFormat="1" applyFont="1"/>
    <xf numFmtId="175" fontId="54" fillId="0" borderId="0" xfId="0" applyNumberFormat="1" applyFont="1"/>
    <xf numFmtId="0" fontId="54" fillId="27" borderId="28" xfId="0" applyFont="1" applyFill="1" applyBorder="1"/>
    <xf numFmtId="9" fontId="54" fillId="27" borderId="0" xfId="0" applyNumberFormat="1" applyFont="1" applyFill="1"/>
    <xf numFmtId="0" fontId="54" fillId="27" borderId="0" xfId="0" applyFont="1" applyFill="1"/>
    <xf numFmtId="0" fontId="54" fillId="0" borderId="23" xfId="0" applyFont="1" applyBorder="1"/>
    <xf numFmtId="176" fontId="0" fillId="0" borderId="23" xfId="0" applyNumberFormat="1" applyBorder="1"/>
    <xf numFmtId="178" fontId="0" fillId="0" borderId="23" xfId="0" applyNumberFormat="1" applyBorder="1"/>
    <xf numFmtId="178" fontId="44" fillId="0" borderId="0" xfId="0" applyNumberFormat="1" applyFont="1"/>
    <xf numFmtId="173" fontId="54" fillId="27" borderId="0" xfId="0" applyNumberFormat="1" applyFont="1" applyFill="1"/>
    <xf numFmtId="178" fontId="0" fillId="0" borderId="0" xfId="0" applyNumberFormat="1"/>
    <xf numFmtId="179" fontId="0" fillId="27" borderId="0" xfId="0" applyNumberFormat="1" applyFill="1"/>
    <xf numFmtId="166" fontId="44" fillId="0" borderId="0" xfId="0" applyNumberFormat="1" applyFont="1"/>
    <xf numFmtId="0" fontId="44" fillId="27" borderId="28" xfId="0" applyFont="1" applyFill="1" applyBorder="1"/>
    <xf numFmtId="173" fontId="0" fillId="27" borderId="0" xfId="0" applyNumberFormat="1" applyFill="1"/>
    <xf numFmtId="10" fontId="57" fillId="27" borderId="30" xfId="3" applyNumberFormat="1" applyFont="1" applyFill="1" applyBorder="1"/>
    <xf numFmtId="0" fontId="55" fillId="27" borderId="0" xfId="0" applyFont="1" applyFill="1"/>
    <xf numFmtId="10" fontId="58" fillId="0" borderId="0" xfId="0" applyNumberFormat="1" applyFont="1"/>
    <xf numFmtId="173" fontId="58" fillId="0" borderId="0" xfId="0" applyNumberFormat="1" applyFont="1"/>
    <xf numFmtId="10" fontId="57" fillId="27" borderId="0" xfId="3" applyNumberFormat="1" applyFont="1" applyFill="1"/>
    <xf numFmtId="179" fontId="0" fillId="0" borderId="0" xfId="0" applyNumberFormat="1"/>
    <xf numFmtId="0" fontId="44" fillId="0" borderId="23" xfId="0" applyFont="1" applyBorder="1"/>
    <xf numFmtId="0" fontId="59" fillId="0" borderId="0" xfId="0" applyFont="1"/>
    <xf numFmtId="176" fontId="59" fillId="0" borderId="0" xfId="0" applyNumberFormat="1" applyFont="1"/>
    <xf numFmtId="176" fontId="0" fillId="0" borderId="0" xfId="0" applyNumberFormat="1" applyAlignment="1">
      <alignment horizontal="right"/>
    </xf>
    <xf numFmtId="175" fontId="60" fillId="0" borderId="0" xfId="2" applyNumberFormat="1" applyFont="1"/>
    <xf numFmtId="179" fontId="34" fillId="26" borderId="0" xfId="0" applyNumberFormat="1" applyFont="1" applyFill="1"/>
    <xf numFmtId="175" fontId="61" fillId="0" borderId="0" xfId="2" applyNumberFormat="1" applyFont="1"/>
    <xf numFmtId="179" fontId="62" fillId="26" borderId="0" xfId="0" applyNumberFormat="1" applyFont="1" applyFill="1"/>
    <xf numFmtId="177" fontId="176" fillId="0" borderId="0" xfId="2" applyNumberFormat="1"/>
    <xf numFmtId="9" fontId="51" fillId="28" borderId="0" xfId="3" applyFont="1" applyFill="1"/>
    <xf numFmtId="176" fontId="176" fillId="29" borderId="0" xfId="2" applyNumberFormat="1" applyFill="1"/>
    <xf numFmtId="10" fontId="176" fillId="29" borderId="0" xfId="2" applyNumberFormat="1" applyFill="1"/>
    <xf numFmtId="0" fontId="0" fillId="27" borderId="31" xfId="0" applyFill="1" applyBorder="1"/>
    <xf numFmtId="0" fontId="0" fillId="27" borderId="32" xfId="0" applyFill="1" applyBorder="1"/>
    <xf numFmtId="177" fontId="0" fillId="27" borderId="32" xfId="0" applyNumberFormat="1" applyFill="1" applyBorder="1"/>
    <xf numFmtId="0" fontId="0" fillId="27" borderId="33" xfId="0" applyFill="1" applyBorder="1"/>
    <xf numFmtId="176" fontId="51" fillId="26" borderId="0" xfId="0" applyNumberFormat="1" applyFont="1" applyFill="1"/>
    <xf numFmtId="180" fontId="51" fillId="27" borderId="0" xfId="0" applyNumberFormat="1" applyFont="1" applyFill="1"/>
    <xf numFmtId="180" fontId="51" fillId="0" borderId="0" xfId="0" applyNumberFormat="1" applyFont="1"/>
    <xf numFmtId="176" fontId="44" fillId="0" borderId="0" xfId="2" applyNumberFormat="1" applyFont="1"/>
    <xf numFmtId="181" fontId="61" fillId="0" borderId="0" xfId="0" applyNumberFormat="1" applyFont="1"/>
    <xf numFmtId="0" fontId="63" fillId="0" borderId="0" xfId="0" applyFont="1"/>
    <xf numFmtId="180" fontId="0" fillId="0" borderId="0" xfId="0" applyNumberFormat="1"/>
    <xf numFmtId="176" fontId="176" fillId="0" borderId="0" xfId="2" applyNumberFormat="1"/>
    <xf numFmtId="176" fontId="64" fillId="0" borderId="0" xfId="0" applyNumberFormat="1" applyFont="1"/>
    <xf numFmtId="182" fontId="64" fillId="0" borderId="0" xfId="0" applyNumberFormat="1" applyFont="1"/>
    <xf numFmtId="0" fontId="0" fillId="0" borderId="18" xfId="0" applyBorder="1"/>
    <xf numFmtId="0" fontId="0" fillId="0" borderId="5" xfId="0" applyBorder="1"/>
    <xf numFmtId="176" fontId="0" fillId="0" borderId="5" xfId="0" applyNumberFormat="1" applyBorder="1"/>
    <xf numFmtId="0" fontId="44" fillId="0" borderId="5" xfId="0" applyFont="1" applyBorder="1"/>
    <xf numFmtId="176" fontId="0" fillId="0" borderId="19" xfId="0" applyNumberFormat="1" applyBorder="1"/>
    <xf numFmtId="2" fontId="0" fillId="0" borderId="0" xfId="0" applyNumberFormat="1"/>
    <xf numFmtId="180" fontId="51" fillId="27" borderId="5" xfId="0" applyNumberFormat="1" applyFont="1" applyFill="1" applyBorder="1"/>
    <xf numFmtId="176" fontId="176" fillId="0" borderId="19" xfId="2" applyNumberFormat="1" applyBorder="1"/>
    <xf numFmtId="164" fontId="176" fillId="24" borderId="0" xfId="1" applyFill="1"/>
    <xf numFmtId="0" fontId="59" fillId="0" borderId="0" xfId="0" applyFont="1" applyAlignment="1">
      <alignment horizontal="center"/>
    </xf>
    <xf numFmtId="176" fontId="59" fillId="0" borderId="0" xfId="0" applyNumberFormat="1" applyFont="1" applyAlignment="1">
      <alignment horizontal="center"/>
    </xf>
    <xf numFmtId="176" fontId="61" fillId="0" borderId="0" xfId="0" applyNumberFormat="1" applyFont="1"/>
    <xf numFmtId="10" fontId="51" fillId="27" borderId="0" xfId="0" applyNumberFormat="1" applyFont="1" applyFill="1" applyAlignment="1">
      <alignment horizontal="center"/>
    </xf>
    <xf numFmtId="0" fontId="65" fillId="0" borderId="0" xfId="0" applyFont="1"/>
    <xf numFmtId="178" fontId="63" fillId="0" borderId="0" xfId="0" applyNumberFormat="1" applyFont="1"/>
    <xf numFmtId="2" fontId="0" fillId="24" borderId="0" xfId="0" applyNumberFormat="1" applyFill="1"/>
    <xf numFmtId="2" fontId="47" fillId="0" borderId="0" xfId="0" applyNumberFormat="1" applyFont="1"/>
    <xf numFmtId="164" fontId="176" fillId="0" borderId="0" xfId="1"/>
    <xf numFmtId="0" fontId="66" fillId="0" borderId="0" xfId="0" applyFont="1"/>
    <xf numFmtId="175" fontId="67" fillId="0" borderId="0" xfId="0" applyNumberFormat="1" applyFont="1" applyAlignment="1">
      <alignment horizontal="left"/>
    </xf>
    <xf numFmtId="175" fontId="0" fillId="27" borderId="0" xfId="0" applyNumberFormat="1" applyFill="1" applyAlignment="1">
      <alignment horizontal="center"/>
    </xf>
    <xf numFmtId="0" fontId="68" fillId="0" borderId="0" xfId="0" applyFont="1" applyAlignment="1">
      <alignment horizontal="left" indent="1"/>
    </xf>
    <xf numFmtId="0" fontId="65" fillId="0" borderId="0" xfId="0" applyFont="1" applyAlignment="1">
      <alignment horizontal="right"/>
    </xf>
    <xf numFmtId="173" fontId="65" fillId="0" borderId="0" xfId="0" applyNumberFormat="1" applyFont="1" applyAlignment="1">
      <alignment horizontal="right"/>
    </xf>
    <xf numFmtId="173" fontId="65" fillId="0" borderId="23" xfId="0" applyNumberFormat="1" applyFont="1" applyBorder="1" applyAlignment="1">
      <alignment horizontal="right"/>
    </xf>
    <xf numFmtId="176" fontId="0" fillId="30" borderId="18" xfId="0" applyNumberFormat="1" applyFill="1" applyBorder="1"/>
    <xf numFmtId="176" fontId="0" fillId="30" borderId="5" xfId="0" applyNumberFormat="1" applyFill="1" applyBorder="1"/>
    <xf numFmtId="0" fontId="44" fillId="30" borderId="5" xfId="0" applyFont="1" applyFill="1" applyBorder="1" applyAlignment="1">
      <alignment horizontal="center"/>
    </xf>
    <xf numFmtId="0" fontId="0" fillId="30" borderId="5" xfId="0" applyFill="1" applyBorder="1"/>
    <xf numFmtId="176" fontId="44" fillId="30" borderId="19" xfId="0" applyNumberFormat="1" applyFont="1" applyFill="1" applyBorder="1"/>
    <xf numFmtId="176" fontId="0" fillId="25" borderId="18" xfId="0" applyNumberFormat="1" applyFill="1" applyBorder="1"/>
    <xf numFmtId="176" fontId="0" fillId="25" borderId="5" xfId="0" applyNumberFormat="1" applyFill="1" applyBorder="1"/>
    <xf numFmtId="0" fontId="44" fillId="25" borderId="5" xfId="0" applyFont="1" applyFill="1" applyBorder="1"/>
    <xf numFmtId="10" fontId="51" fillId="31" borderId="5" xfId="0" applyNumberFormat="1" applyFont="1" applyFill="1" applyBorder="1" applyAlignment="1">
      <alignment horizontal="center"/>
    </xf>
    <xf numFmtId="0" fontId="0" fillId="25" borderId="5" xfId="0" applyFill="1" applyBorder="1"/>
    <xf numFmtId="176" fontId="0" fillId="25" borderId="19" xfId="0" applyNumberFormat="1" applyFill="1" applyBorder="1"/>
    <xf numFmtId="176" fontId="0" fillId="28" borderId="18" xfId="0" applyNumberFormat="1" applyFill="1" applyBorder="1"/>
    <xf numFmtId="176" fontId="0" fillId="28" borderId="5" xfId="0" applyNumberFormat="1" applyFill="1" applyBorder="1"/>
    <xf numFmtId="0" fontId="44" fillId="28" borderId="5" xfId="0" applyFont="1" applyFill="1" applyBorder="1"/>
    <xf numFmtId="0" fontId="0" fillId="28" borderId="5" xfId="0" applyFill="1" applyBorder="1"/>
    <xf numFmtId="175" fontId="44" fillId="28" borderId="19" xfId="0" applyNumberFormat="1" applyFont="1" applyFill="1" applyBorder="1" applyAlignment="1">
      <alignment horizontal="center"/>
    </xf>
    <xf numFmtId="183" fontId="0" fillId="0" borderId="0" xfId="0" applyNumberFormat="1"/>
    <xf numFmtId="184" fontId="0" fillId="0" borderId="0" xfId="0" applyNumberFormat="1"/>
    <xf numFmtId="10" fontId="176" fillId="0" borderId="0" xfId="3" applyNumberFormat="1"/>
    <xf numFmtId="0" fontId="28" fillId="0" borderId="34" xfId="71" applyBorder="1" applyProtection="1">
      <protection locked="0"/>
    </xf>
    <xf numFmtId="0" fontId="28" fillId="0" borderId="35" xfId="71" applyBorder="1" applyProtection="1">
      <protection locked="0"/>
    </xf>
    <xf numFmtId="0" fontId="28" fillId="0" borderId="0" xfId="71" applyProtection="1">
      <protection locked="0"/>
    </xf>
    <xf numFmtId="0" fontId="69" fillId="0" borderId="35" xfId="71" applyFont="1" applyBorder="1" applyAlignment="1" applyProtection="1">
      <alignment horizontal="left"/>
      <protection locked="0"/>
    </xf>
    <xf numFmtId="0" fontId="28" fillId="0" borderId="35" xfId="71" applyBorder="1" applyAlignment="1" applyProtection="1">
      <alignment horizontal="center"/>
      <protection locked="0"/>
    </xf>
    <xf numFmtId="176" fontId="70" fillId="0" borderId="36" xfId="71" applyNumberFormat="1" applyFont="1" applyBorder="1" applyAlignment="1" applyProtection="1">
      <alignment horizontal="right"/>
      <protection locked="0"/>
    </xf>
    <xf numFmtId="0" fontId="71" fillId="0" borderId="37" xfId="71" applyFont="1" applyBorder="1" applyAlignment="1" applyProtection="1">
      <alignment horizontal="left"/>
      <protection locked="0"/>
    </xf>
    <xf numFmtId="0" fontId="28" fillId="0" borderId="0" xfId="71" applyAlignment="1" applyProtection="1">
      <alignment horizontal="center"/>
      <protection locked="0"/>
    </xf>
    <xf numFmtId="3" fontId="28" fillId="0" borderId="0" xfId="71" applyNumberFormat="1" applyAlignment="1" applyProtection="1">
      <alignment horizontal="center"/>
      <protection locked="0"/>
    </xf>
    <xf numFmtId="171" fontId="72" fillId="0" borderId="38" xfId="71" applyNumberFormat="1" applyFont="1" applyBorder="1" applyAlignment="1" applyProtection="1">
      <alignment horizontal="right"/>
      <protection locked="0"/>
    </xf>
    <xf numFmtId="0" fontId="28" fillId="0" borderId="37" xfId="71" applyBorder="1" applyProtection="1">
      <protection locked="0"/>
    </xf>
    <xf numFmtId="0" fontId="15" fillId="0" borderId="0" xfId="71" applyFont="1" applyProtection="1">
      <protection locked="0"/>
    </xf>
    <xf numFmtId="0" fontId="15" fillId="0" borderId="0" xfId="71" applyFont="1" applyAlignment="1" applyProtection="1">
      <alignment horizontal="center"/>
      <protection locked="0"/>
    </xf>
    <xf numFmtId="0" fontId="15" fillId="0" borderId="38" xfId="71" applyFont="1" applyBorder="1" applyAlignment="1" applyProtection="1">
      <alignment horizontal="center"/>
      <protection locked="0"/>
    </xf>
    <xf numFmtId="0" fontId="73" fillId="0" borderId="0" xfId="71" applyFont="1" applyAlignment="1" applyProtection="1">
      <alignment horizontal="left" indent="1"/>
      <protection locked="0"/>
    </xf>
    <xf numFmtId="38" fontId="73" fillId="0" borderId="0" xfId="71" applyNumberFormat="1" applyFont="1" applyAlignment="1" applyProtection="1">
      <alignment horizontal="left" indent="1"/>
      <protection locked="0"/>
    </xf>
    <xf numFmtId="185" fontId="74" fillId="16" borderId="15" xfId="78" applyNumberFormat="1" applyFont="1" applyFill="1" applyBorder="1" applyAlignment="1" applyProtection="1">
      <alignment horizontal="center"/>
      <protection locked="0"/>
    </xf>
    <xf numFmtId="185" fontId="74" fillId="16" borderId="16" xfId="78" applyNumberFormat="1" applyFont="1" applyFill="1" applyBorder="1" applyAlignment="1" applyProtection="1">
      <alignment horizontal="center"/>
      <protection locked="0"/>
    </xf>
    <xf numFmtId="185" fontId="74" fillId="16" borderId="17" xfId="78" applyNumberFormat="1" applyFont="1" applyFill="1" applyBorder="1" applyAlignment="1" applyProtection="1">
      <alignment horizontal="center"/>
      <protection locked="0"/>
    </xf>
    <xf numFmtId="185" fontId="74" fillId="16" borderId="20" xfId="78" applyNumberFormat="1" applyFont="1" applyFill="1" applyBorder="1" applyAlignment="1" applyProtection="1">
      <alignment horizontal="center"/>
      <protection locked="0"/>
    </xf>
    <xf numFmtId="185" fontId="74" fillId="16" borderId="0" xfId="78" applyNumberFormat="1" applyFont="1" applyFill="1" applyAlignment="1" applyProtection="1">
      <alignment horizontal="center"/>
      <protection locked="0"/>
    </xf>
    <xf numFmtId="185" fontId="74" fillId="16" borderId="21" xfId="78" applyNumberFormat="1" applyFont="1" applyFill="1" applyBorder="1" applyAlignment="1" applyProtection="1">
      <alignment horizontal="center"/>
      <protection locked="0"/>
    </xf>
    <xf numFmtId="186" fontId="28" fillId="0" borderId="0" xfId="71" applyNumberFormat="1" applyAlignment="1" applyProtection="1">
      <alignment horizontal="left"/>
      <protection locked="0"/>
    </xf>
    <xf numFmtId="38" fontId="28" fillId="0" borderId="0" xfId="71" applyNumberFormat="1" applyAlignment="1" applyProtection="1">
      <alignment horizontal="left"/>
      <protection locked="0"/>
    </xf>
    <xf numFmtId="185" fontId="74" fillId="16" borderId="24" xfId="78" applyNumberFormat="1" applyFont="1" applyFill="1" applyBorder="1" applyAlignment="1" applyProtection="1">
      <alignment horizontal="center"/>
      <protection locked="0"/>
    </xf>
    <xf numFmtId="185" fontId="74" fillId="16" borderId="23" xfId="78" applyNumberFormat="1" applyFont="1" applyFill="1" applyBorder="1" applyAlignment="1" applyProtection="1">
      <alignment horizontal="center"/>
      <protection locked="0"/>
    </xf>
    <xf numFmtId="185" fontId="74" fillId="16" borderId="25" xfId="78" applyNumberFormat="1" applyFont="1" applyFill="1" applyBorder="1" applyAlignment="1" applyProtection="1">
      <alignment horizontal="center"/>
      <protection locked="0"/>
    </xf>
    <xf numFmtId="177" fontId="15" fillId="0" borderId="0" xfId="71" applyNumberFormat="1" applyFont="1" applyAlignment="1" applyProtection="1">
      <alignment horizontal="right"/>
      <protection locked="0"/>
    </xf>
    <xf numFmtId="0" fontId="15" fillId="0" borderId="23" xfId="71" applyFont="1" applyBorder="1" applyProtection="1">
      <protection locked="0"/>
    </xf>
    <xf numFmtId="0" fontId="28" fillId="0" borderId="23" xfId="71" applyBorder="1" applyProtection="1">
      <protection locked="0"/>
    </xf>
    <xf numFmtId="0" fontId="28" fillId="0" borderId="26" xfId="71" applyBorder="1" applyProtection="1">
      <protection locked="0"/>
    </xf>
    <xf numFmtId="0" fontId="75" fillId="0" borderId="38" xfId="71" applyFont="1" applyBorder="1" applyProtection="1">
      <protection locked="0"/>
    </xf>
    <xf numFmtId="1" fontId="28" fillId="30" borderId="22" xfId="71" applyNumberFormat="1" applyFill="1" applyBorder="1" applyProtection="1">
      <protection locked="0"/>
    </xf>
    <xf numFmtId="179" fontId="28" fillId="0" borderId="9" xfId="71" applyNumberFormat="1" applyBorder="1" applyProtection="1">
      <protection locked="0"/>
    </xf>
    <xf numFmtId="179" fontId="28" fillId="0" borderId="22" xfId="71" applyNumberFormat="1" applyBorder="1" applyProtection="1">
      <protection locked="0"/>
    </xf>
    <xf numFmtId="179" fontId="28" fillId="29" borderId="22" xfId="71" applyNumberFormat="1" applyFill="1" applyBorder="1" applyProtection="1">
      <protection locked="0"/>
    </xf>
    <xf numFmtId="179" fontId="76" fillId="0" borderId="38" xfId="71" applyNumberFormat="1" applyFont="1" applyBorder="1" applyAlignment="1" applyProtection="1">
      <alignment horizontal="left" indent="1"/>
      <protection locked="0"/>
    </xf>
    <xf numFmtId="0" fontId="28" fillId="32" borderId="5" xfId="71" applyFill="1" applyBorder="1" applyProtection="1">
      <protection locked="0"/>
    </xf>
    <xf numFmtId="178" fontId="28" fillId="32" borderId="9" xfId="71" applyNumberFormat="1" applyFill="1" applyBorder="1" applyProtection="1">
      <protection locked="0"/>
    </xf>
    <xf numFmtId="179" fontId="77" fillId="32" borderId="26" xfId="71" applyNumberFormat="1" applyFont="1" applyFill="1" applyBorder="1" applyProtection="1">
      <protection locked="0"/>
    </xf>
    <xf numFmtId="177" fontId="70" fillId="0" borderId="23" xfId="71" applyNumberFormat="1" applyFont="1" applyBorder="1" applyProtection="1">
      <protection locked="0"/>
    </xf>
    <xf numFmtId="177" fontId="75" fillId="0" borderId="0" xfId="71" applyNumberFormat="1" applyFont="1" applyAlignment="1" applyProtection="1">
      <alignment horizontal="right"/>
      <protection locked="0"/>
    </xf>
    <xf numFmtId="187" fontId="28" fillId="0" borderId="0" xfId="71" applyNumberFormat="1" applyProtection="1">
      <protection locked="0"/>
    </xf>
    <xf numFmtId="177" fontId="78" fillId="0" borderId="0" xfId="71" applyNumberFormat="1" applyFont="1" applyProtection="1">
      <protection locked="0"/>
    </xf>
    <xf numFmtId="188" fontId="79" fillId="30" borderId="22" xfId="1" applyNumberFormat="1" applyFont="1" applyFill="1" applyBorder="1" applyProtection="1">
      <protection locked="0"/>
    </xf>
    <xf numFmtId="179" fontId="28" fillId="0" borderId="0" xfId="71" applyNumberFormat="1" applyProtection="1">
      <protection locked="0"/>
    </xf>
    <xf numFmtId="188" fontId="28" fillId="29" borderId="22" xfId="1" applyNumberFormat="1" applyFont="1" applyFill="1" applyBorder="1" applyProtection="1">
      <protection locked="0"/>
    </xf>
    <xf numFmtId="186" fontId="80" fillId="0" borderId="38" xfId="71" applyNumberFormat="1" applyFont="1" applyBorder="1" applyAlignment="1" applyProtection="1">
      <alignment horizontal="left" indent="1"/>
      <protection locked="0"/>
    </xf>
    <xf numFmtId="185" fontId="81" fillId="0" borderId="0" xfId="4" applyNumberFormat="1" applyFont="1" applyAlignment="1">
      <protection locked="0"/>
    </xf>
    <xf numFmtId="188" fontId="79" fillId="31" borderId="22" xfId="1" applyNumberFormat="1" applyFont="1" applyFill="1" applyBorder="1" applyProtection="1">
      <protection locked="0"/>
    </xf>
    <xf numFmtId="37" fontId="28" fillId="0" borderId="0" xfId="71" applyNumberFormat="1" applyProtection="1">
      <protection locked="0"/>
    </xf>
    <xf numFmtId="37" fontId="28" fillId="0" borderId="22" xfId="71" applyNumberFormat="1" applyBorder="1" applyProtection="1">
      <protection locked="0"/>
    </xf>
    <xf numFmtId="188" fontId="28" fillId="31" borderId="22" xfId="1" applyNumberFormat="1" applyFont="1" applyFill="1" applyBorder="1" applyProtection="1">
      <protection locked="0"/>
    </xf>
    <xf numFmtId="186" fontId="80" fillId="0" borderId="38" xfId="71" applyNumberFormat="1" applyFont="1" applyBorder="1" applyAlignment="1" applyProtection="1">
      <alignment horizontal="left" indent="2"/>
      <protection locked="0"/>
    </xf>
    <xf numFmtId="177" fontId="28" fillId="0" borderId="0" xfId="71" applyNumberFormat="1" applyProtection="1">
      <protection locked="0"/>
    </xf>
    <xf numFmtId="185" fontId="28" fillId="0" borderId="0" xfId="4" applyNumberFormat="1" applyFont="1" applyAlignment="1">
      <protection locked="0"/>
    </xf>
    <xf numFmtId="166" fontId="28" fillId="0" borderId="0" xfId="2" applyFont="1" applyProtection="1">
      <protection locked="0"/>
    </xf>
    <xf numFmtId="186" fontId="28" fillId="0" borderId="38" xfId="71" applyNumberFormat="1" applyBorder="1" applyProtection="1">
      <protection locked="0"/>
    </xf>
    <xf numFmtId="166" fontId="28" fillId="0" borderId="0" xfId="71" applyNumberFormat="1" applyProtection="1">
      <protection locked="0"/>
    </xf>
    <xf numFmtId="9" fontId="28" fillId="0" borderId="0" xfId="71" applyNumberFormat="1" applyProtection="1">
      <protection locked="0"/>
    </xf>
    <xf numFmtId="0" fontId="82" fillId="0" borderId="0" xfId="71" applyFont="1" applyAlignment="1" applyProtection="1">
      <alignment horizontal="center"/>
      <protection locked="0"/>
    </xf>
    <xf numFmtId="186" fontId="28" fillId="0" borderId="38" xfId="71" applyNumberFormat="1" applyBorder="1" applyAlignment="1" applyProtection="1">
      <alignment horizontal="right"/>
      <protection locked="0"/>
    </xf>
    <xf numFmtId="177" fontId="15" fillId="0" borderId="38" xfId="71" applyNumberFormat="1" applyFont="1" applyBorder="1" applyProtection="1">
      <protection locked="0"/>
    </xf>
    <xf numFmtId="9" fontId="15" fillId="0" borderId="0" xfId="84" applyFont="1" applyProtection="1">
      <protection locked="0"/>
    </xf>
    <xf numFmtId="177" fontId="28" fillId="0" borderId="0" xfId="39" applyNumberFormat="1" applyFont="1" applyProtection="1">
      <protection locked="0"/>
    </xf>
    <xf numFmtId="0" fontId="83" fillId="0" borderId="0" xfId="71" applyFont="1" applyProtection="1">
      <protection locked="0"/>
    </xf>
    <xf numFmtId="188" fontId="79" fillId="0" borderId="22" xfId="1" applyNumberFormat="1" applyFont="1" applyBorder="1" applyProtection="1">
      <protection locked="0"/>
    </xf>
    <xf numFmtId="37" fontId="28" fillId="32" borderId="9" xfId="71" applyNumberFormat="1" applyFill="1" applyBorder="1" applyProtection="1">
      <protection locked="0"/>
    </xf>
    <xf numFmtId="178" fontId="15" fillId="32" borderId="19" xfId="71" applyNumberFormat="1" applyFont="1" applyFill="1" applyBorder="1" applyProtection="1">
      <protection locked="0"/>
    </xf>
    <xf numFmtId="166" fontId="75" fillId="0" borderId="38" xfId="71" applyNumberFormat="1" applyFont="1" applyBorder="1" applyProtection="1">
      <protection locked="0"/>
    </xf>
    <xf numFmtId="10" fontId="28" fillId="0" borderId="0" xfId="71" applyNumberFormat="1" applyProtection="1">
      <protection locked="0"/>
    </xf>
    <xf numFmtId="179" fontId="83" fillId="0" borderId="23" xfId="71" applyNumberFormat="1" applyFont="1" applyBorder="1" applyProtection="1">
      <protection locked="0"/>
    </xf>
    <xf numFmtId="188" fontId="28" fillId="0" borderId="26" xfId="1" applyNumberFormat="1" applyFont="1" applyBorder="1" applyProtection="1">
      <protection locked="0"/>
    </xf>
    <xf numFmtId="9" fontId="15" fillId="0" borderId="0" xfId="71" applyNumberFormat="1" applyFont="1" applyProtection="1">
      <protection locked="0"/>
    </xf>
    <xf numFmtId="188" fontId="28" fillId="0" borderId="22" xfId="1" applyNumberFormat="1" applyFont="1" applyBorder="1" applyProtection="1">
      <protection locked="0"/>
    </xf>
    <xf numFmtId="179" fontId="28" fillId="0" borderId="38" xfId="71" applyNumberFormat="1" applyBorder="1" applyProtection="1">
      <protection locked="0"/>
    </xf>
    <xf numFmtId="37" fontId="28" fillId="0" borderId="38" xfId="71" applyNumberFormat="1" applyBorder="1" applyProtection="1">
      <protection locked="0"/>
    </xf>
    <xf numFmtId="37" fontId="76" fillId="0" borderId="38" xfId="71" applyNumberFormat="1" applyFont="1" applyBorder="1" applyProtection="1">
      <protection locked="0"/>
    </xf>
    <xf numFmtId="3" fontId="28" fillId="0" borderId="0" xfId="71" applyNumberFormat="1" applyProtection="1">
      <protection locked="0"/>
    </xf>
    <xf numFmtId="174" fontId="28" fillId="0" borderId="0" xfId="71" applyNumberFormat="1" applyProtection="1">
      <protection locked="0"/>
    </xf>
    <xf numFmtId="188" fontId="28" fillId="30" borderId="22" xfId="1" applyNumberFormat="1" applyFont="1" applyFill="1" applyBorder="1" applyProtection="1">
      <protection locked="0"/>
    </xf>
    <xf numFmtId="179" fontId="80" fillId="0" borderId="38" xfId="71" applyNumberFormat="1" applyFont="1" applyBorder="1" applyProtection="1">
      <protection locked="0"/>
    </xf>
    <xf numFmtId="0" fontId="28" fillId="27" borderId="0" xfId="71" applyFill="1" applyProtection="1">
      <protection locked="0"/>
    </xf>
    <xf numFmtId="188" fontId="28" fillId="27" borderId="22" xfId="1" applyNumberFormat="1" applyFont="1" applyFill="1" applyBorder="1" applyProtection="1">
      <protection locked="0"/>
    </xf>
    <xf numFmtId="37" fontId="28" fillId="27" borderId="0" xfId="71" applyNumberFormat="1" applyFill="1" applyProtection="1">
      <protection locked="0"/>
    </xf>
    <xf numFmtId="37" fontId="28" fillId="27" borderId="22" xfId="71" applyNumberFormat="1" applyFill="1" applyBorder="1" applyProtection="1">
      <protection locked="0"/>
    </xf>
    <xf numFmtId="37" fontId="76" fillId="27" borderId="38" xfId="71" applyNumberFormat="1" applyFont="1" applyFill="1" applyBorder="1" applyAlignment="1" applyProtection="1">
      <alignment horizontal="left" indent="1"/>
      <protection locked="0"/>
    </xf>
    <xf numFmtId="0" fontId="28" fillId="2" borderId="0" xfId="71" applyFill="1" applyProtection="1">
      <protection locked="0"/>
    </xf>
    <xf numFmtId="188" fontId="28" fillId="2" borderId="22" xfId="1" applyNumberFormat="1" applyFont="1" applyFill="1" applyBorder="1" applyProtection="1">
      <protection locked="0"/>
    </xf>
    <xf numFmtId="37" fontId="28" fillId="2" borderId="0" xfId="71" applyNumberFormat="1" applyFill="1" applyProtection="1">
      <protection locked="0"/>
    </xf>
    <xf numFmtId="37" fontId="28" fillId="2" borderId="22" xfId="71" applyNumberFormat="1" applyFill="1" applyBorder="1" applyProtection="1">
      <protection locked="0"/>
    </xf>
    <xf numFmtId="179" fontId="84" fillId="2" borderId="38" xfId="71" applyNumberFormat="1" applyFont="1" applyFill="1" applyBorder="1" applyAlignment="1" applyProtection="1">
      <alignment horizontal="left" indent="1"/>
      <protection locked="0"/>
    </xf>
    <xf numFmtId="37" fontId="80" fillId="0" borderId="38" xfId="71" applyNumberFormat="1" applyFont="1" applyBorder="1" applyProtection="1">
      <protection locked="0"/>
    </xf>
    <xf numFmtId="175" fontId="28" fillId="0" borderId="0" xfId="71" applyNumberFormat="1" applyProtection="1">
      <protection locked="0"/>
    </xf>
    <xf numFmtId="10" fontId="14" fillId="0" borderId="0" xfId="71" applyNumberFormat="1" applyFont="1" applyProtection="1">
      <protection locked="0"/>
    </xf>
    <xf numFmtId="38" fontId="28" fillId="0" borderId="0" xfId="71" applyNumberFormat="1" applyProtection="1">
      <protection locked="0"/>
    </xf>
    <xf numFmtId="173" fontId="28" fillId="0" borderId="0" xfId="71" applyNumberFormat="1" applyProtection="1">
      <protection locked="0"/>
    </xf>
    <xf numFmtId="4" fontId="28" fillId="0" borderId="0" xfId="71" applyNumberFormat="1" applyProtection="1">
      <protection locked="0"/>
    </xf>
    <xf numFmtId="37" fontId="76" fillId="0" borderId="38" xfId="71" applyNumberFormat="1" applyFont="1" applyBorder="1" applyAlignment="1" applyProtection="1">
      <alignment horizontal="left" indent="1"/>
      <protection locked="0"/>
    </xf>
    <xf numFmtId="179" fontId="14" fillId="0" borderId="38" xfId="71" applyNumberFormat="1" applyFont="1" applyBorder="1" applyProtection="1">
      <protection locked="0"/>
    </xf>
    <xf numFmtId="173" fontId="85" fillId="0" borderId="0" xfId="71" applyNumberFormat="1" applyFont="1" applyProtection="1">
      <protection locked="0"/>
    </xf>
    <xf numFmtId="0" fontId="85" fillId="0" borderId="0" xfId="71" applyFont="1" applyProtection="1">
      <protection locked="0"/>
    </xf>
    <xf numFmtId="0" fontId="86" fillId="0" borderId="0" xfId="0" applyFont="1"/>
    <xf numFmtId="9" fontId="85" fillId="0" borderId="0" xfId="71" applyNumberFormat="1" applyFont="1" applyProtection="1">
      <protection locked="0"/>
    </xf>
    <xf numFmtId="0" fontId="87" fillId="0" borderId="0" xfId="71" applyFont="1" applyProtection="1">
      <protection locked="0"/>
    </xf>
    <xf numFmtId="0" fontId="88" fillId="0" borderId="0" xfId="71" applyFont="1" applyProtection="1">
      <protection locked="0"/>
    </xf>
    <xf numFmtId="37" fontId="28" fillId="0" borderId="26" xfId="71" applyNumberFormat="1" applyBorder="1" applyProtection="1">
      <protection locked="0"/>
    </xf>
    <xf numFmtId="179" fontId="76" fillId="30" borderId="38" xfId="71" applyNumberFormat="1" applyFont="1" applyFill="1" applyBorder="1" applyAlignment="1" applyProtection="1">
      <alignment horizontal="left" indent="1"/>
      <protection locked="0"/>
    </xf>
    <xf numFmtId="37" fontId="83" fillId="32" borderId="9" xfId="71" applyNumberFormat="1" applyFont="1" applyFill="1" applyBorder="1" applyProtection="1">
      <protection locked="0"/>
    </xf>
    <xf numFmtId="179" fontId="28" fillId="0" borderId="23" xfId="71" applyNumberFormat="1" applyBorder="1" applyProtection="1">
      <protection locked="0"/>
    </xf>
    <xf numFmtId="37" fontId="79" fillId="0" borderId="22" xfId="71" applyNumberFormat="1" applyFont="1" applyBorder="1" applyProtection="1">
      <protection locked="0"/>
    </xf>
    <xf numFmtId="179" fontId="15" fillId="0" borderId="26" xfId="71" applyNumberFormat="1" applyFont="1" applyBorder="1" applyProtection="1">
      <protection locked="0"/>
    </xf>
    <xf numFmtId="179" fontId="28" fillId="0" borderId="26" xfId="71" applyNumberFormat="1" applyBorder="1" applyProtection="1">
      <protection locked="0"/>
    </xf>
    <xf numFmtId="179" fontId="75" fillId="0" borderId="38" xfId="71" applyNumberFormat="1" applyFont="1" applyBorder="1" applyProtection="1">
      <protection locked="0"/>
    </xf>
    <xf numFmtId="0" fontId="28" fillId="0" borderId="5" xfId="71" applyBorder="1" applyProtection="1">
      <protection locked="0"/>
    </xf>
    <xf numFmtId="176" fontId="28" fillId="0" borderId="9" xfId="71" applyNumberFormat="1" applyBorder="1" applyProtection="1">
      <protection locked="0"/>
    </xf>
    <xf numFmtId="179" fontId="28" fillId="0" borderId="5" xfId="71" applyNumberFormat="1" applyBorder="1" applyProtection="1">
      <protection locked="0"/>
    </xf>
    <xf numFmtId="179" fontId="28" fillId="29" borderId="9" xfId="71" applyNumberFormat="1" applyFill="1" applyBorder="1" applyProtection="1">
      <protection locked="0"/>
    </xf>
    <xf numFmtId="179" fontId="15" fillId="0" borderId="0" xfId="71" applyNumberFormat="1" applyFont="1" applyProtection="1">
      <protection locked="0"/>
    </xf>
    <xf numFmtId="0" fontId="28" fillId="0" borderId="38" xfId="71" applyBorder="1" applyProtection="1">
      <protection locked="0"/>
    </xf>
    <xf numFmtId="185" fontId="89" fillId="29" borderId="38" xfId="71" applyNumberFormat="1" applyFont="1" applyFill="1" applyBorder="1" applyAlignment="1" applyProtection="1">
      <alignment horizontal="right"/>
      <protection locked="0"/>
    </xf>
    <xf numFmtId="189" fontId="89" fillId="29" borderId="38" xfId="71" applyNumberFormat="1" applyFont="1" applyFill="1" applyBorder="1" applyAlignment="1" applyProtection="1">
      <alignment horizontal="right"/>
      <protection locked="0"/>
    </xf>
    <xf numFmtId="179" fontId="88" fillId="0" borderId="0" xfId="39" applyNumberFormat="1" applyFont="1" applyProtection="1">
      <protection locked="0"/>
    </xf>
    <xf numFmtId="179" fontId="88" fillId="0" borderId="0" xfId="71" applyNumberFormat="1" applyFont="1" applyProtection="1">
      <protection locked="0"/>
    </xf>
    <xf numFmtId="179" fontId="83" fillId="0" borderId="0" xfId="71" applyNumberFormat="1" applyFont="1" applyProtection="1">
      <protection locked="0"/>
    </xf>
    <xf numFmtId="0" fontId="28" fillId="0" borderId="0" xfId="71"/>
    <xf numFmtId="0" fontId="28" fillId="0" borderId="0" xfId="71" applyAlignment="1" applyProtection="1">
      <alignment horizontal="center" wrapText="1"/>
      <protection locked="0"/>
    </xf>
    <xf numFmtId="0" fontId="28" fillId="0" borderId="0" xfId="71" applyAlignment="1" applyProtection="1">
      <alignment wrapText="1"/>
      <protection locked="0"/>
    </xf>
    <xf numFmtId="185" fontId="91" fillId="0" borderId="0" xfId="0" applyNumberFormat="1" applyFont="1"/>
    <xf numFmtId="185" fontId="92" fillId="0" borderId="0" xfId="0" applyNumberFormat="1" applyFont="1" applyAlignment="1">
      <alignment horizontal="right"/>
    </xf>
    <xf numFmtId="171" fontId="0" fillId="0" borderId="0" xfId="0" applyNumberFormat="1"/>
    <xf numFmtId="185" fontId="44" fillId="0" borderId="0" xfId="0" applyNumberFormat="1" applyFont="1"/>
    <xf numFmtId="171" fontId="92" fillId="0" borderId="0" xfId="0" applyNumberFormat="1" applyFont="1" applyAlignment="1">
      <alignment horizontal="right"/>
    </xf>
    <xf numFmtId="0" fontId="44" fillId="0" borderId="23" xfId="0" applyFont="1" applyBorder="1" applyAlignment="1">
      <alignment horizontal="center" wrapText="1"/>
    </xf>
    <xf numFmtId="180" fontId="44" fillId="0" borderId="0" xfId="0" applyNumberFormat="1" applyFont="1"/>
    <xf numFmtId="0" fontId="47" fillId="0" borderId="0" xfId="0" applyFont="1"/>
    <xf numFmtId="0" fontId="0" fillId="31" borderId="0" xfId="0" applyFill="1" applyAlignment="1">
      <alignment horizontal="center"/>
    </xf>
    <xf numFmtId="9" fontId="0" fillId="31" borderId="0" xfId="0" applyNumberFormat="1" applyFill="1" applyAlignment="1">
      <alignment horizontal="center"/>
    </xf>
    <xf numFmtId="3" fontId="44" fillId="31" borderId="0" xfId="0" applyNumberFormat="1" applyFont="1" applyFill="1" applyAlignment="1">
      <alignment horizontal="center"/>
    </xf>
    <xf numFmtId="3" fontId="0" fillId="31" borderId="0" xfId="0" applyNumberFormat="1" applyFill="1" applyAlignment="1">
      <alignment horizontal="center"/>
    </xf>
    <xf numFmtId="173" fontId="44" fillId="31" borderId="0" xfId="0" applyNumberFormat="1" applyFont="1" applyFill="1"/>
    <xf numFmtId="173" fontId="0" fillId="31" borderId="0" xfId="0" applyNumberFormat="1" applyFill="1"/>
    <xf numFmtId="174" fontId="0" fillId="31" borderId="0" xfId="0" applyNumberFormat="1" applyFill="1" applyAlignment="1">
      <alignment horizontal="center"/>
    </xf>
    <xf numFmtId="0" fontId="0" fillId="31" borderId="0" xfId="0" applyFill="1"/>
    <xf numFmtId="0" fontId="93" fillId="31" borderId="0" xfId="0" applyFont="1" applyFill="1" applyAlignment="1">
      <alignment horizontal="left" indent="1"/>
    </xf>
    <xf numFmtId="3" fontId="0" fillId="0" borderId="0" xfId="0" applyNumberFormat="1" applyAlignment="1">
      <alignment horizontal="center"/>
    </xf>
    <xf numFmtId="3" fontId="44" fillId="0" borderId="0" xfId="0" applyNumberFormat="1" applyFont="1" applyAlignment="1">
      <alignment horizontal="center"/>
    </xf>
    <xf numFmtId="9" fontId="44" fillId="0" borderId="0" xfId="0" applyNumberFormat="1" applyFont="1" applyAlignment="1">
      <alignment horizontal="center"/>
    </xf>
    <xf numFmtId="0" fontId="0" fillId="33" borderId="0" xfId="0" applyFill="1" applyAlignment="1">
      <alignment horizontal="center"/>
    </xf>
    <xf numFmtId="9" fontId="0" fillId="33" borderId="0" xfId="0" applyNumberFormat="1" applyFill="1" applyAlignment="1">
      <alignment horizontal="center"/>
    </xf>
    <xf numFmtId="3" fontId="44" fillId="33" borderId="0" xfId="0" applyNumberFormat="1" applyFont="1" applyFill="1" applyAlignment="1">
      <alignment horizontal="center"/>
    </xf>
    <xf numFmtId="3" fontId="0" fillId="33" borderId="0" xfId="0" applyNumberFormat="1" applyFill="1" applyAlignment="1">
      <alignment horizontal="center"/>
    </xf>
    <xf numFmtId="173" fontId="44" fillId="33" borderId="0" xfId="0" applyNumberFormat="1" applyFont="1" applyFill="1"/>
    <xf numFmtId="173" fontId="0" fillId="33" borderId="0" xfId="0" applyNumberFormat="1" applyFill="1"/>
    <xf numFmtId="174" fontId="0" fillId="33" borderId="0" xfId="0" applyNumberFormat="1" applyFill="1" applyAlignment="1">
      <alignment horizontal="center"/>
    </xf>
    <xf numFmtId="0" fontId="0" fillId="33" borderId="0" xfId="0" applyFill="1"/>
    <xf numFmtId="0" fontId="93" fillId="33" borderId="0" xfId="0" applyFont="1" applyFill="1" applyAlignment="1">
      <alignment horizontal="left" indent="1"/>
    </xf>
    <xf numFmtId="173" fontId="44" fillId="0" borderId="0" xfId="0" applyNumberFormat="1" applyFont="1"/>
    <xf numFmtId="173" fontId="0" fillId="29" borderId="0" xfId="0" applyNumberFormat="1" applyFill="1"/>
    <xf numFmtId="174" fontId="0" fillId="0" borderId="0" xfId="0" applyNumberFormat="1" applyAlignment="1">
      <alignment horizontal="center"/>
    </xf>
    <xf numFmtId="0" fontId="93" fillId="0" borderId="0" xfId="0" applyFont="1" applyAlignment="1">
      <alignment horizontal="left" indent="1"/>
    </xf>
    <xf numFmtId="0" fontId="93" fillId="27" borderId="0" xfId="0" applyFont="1" applyFill="1" applyAlignment="1">
      <alignment horizontal="left" indent="1"/>
    </xf>
    <xf numFmtId="9" fontId="61" fillId="0" borderId="0" xfId="0" applyNumberFormat="1" applyFont="1" applyAlignment="1">
      <alignment horizontal="center"/>
    </xf>
    <xf numFmtId="3" fontId="0" fillId="0" borderId="15" xfId="0" applyNumberFormat="1" applyBorder="1" applyAlignment="1">
      <alignment horizontal="right" indent="1"/>
    </xf>
    <xf numFmtId="0" fontId="0" fillId="0" borderId="17" xfId="0" applyBorder="1"/>
    <xf numFmtId="3" fontId="0" fillId="0" borderId="20" xfId="0" applyNumberFormat="1" applyBorder="1" applyAlignment="1">
      <alignment horizontal="right" indent="1"/>
    </xf>
    <xf numFmtId="0" fontId="0" fillId="0" borderId="21" xfId="0" applyBorder="1"/>
    <xf numFmtId="3" fontId="0" fillId="0" borderId="24" xfId="0" applyNumberFormat="1" applyBorder="1" applyAlignment="1">
      <alignment horizontal="right" indent="1"/>
    </xf>
    <xf numFmtId="3" fontId="44" fillId="34" borderId="0" xfId="0" applyNumberFormat="1" applyFont="1" applyFill="1" applyAlignment="1">
      <alignment horizontal="center"/>
    </xf>
    <xf numFmtId="0" fontId="0" fillId="27" borderId="0" xfId="0" applyFill="1" applyAlignment="1">
      <alignment horizontal="center"/>
    </xf>
    <xf numFmtId="9" fontId="61" fillId="27" borderId="0" xfId="0" applyNumberFormat="1" applyFont="1" applyFill="1" applyAlignment="1">
      <alignment horizontal="center"/>
    </xf>
    <xf numFmtId="3" fontId="44" fillId="27" borderId="0" xfId="0" applyNumberFormat="1" applyFont="1" applyFill="1" applyAlignment="1">
      <alignment horizontal="center"/>
    </xf>
    <xf numFmtId="3" fontId="0" fillId="27" borderId="0" xfId="0" applyNumberFormat="1" applyFill="1" applyAlignment="1">
      <alignment horizontal="center"/>
    </xf>
    <xf numFmtId="173" fontId="44" fillId="27" borderId="0" xfId="0" applyNumberFormat="1" applyFont="1" applyFill="1"/>
    <xf numFmtId="174" fontId="0" fillId="27" borderId="0" xfId="0" applyNumberFormat="1" applyFill="1" applyAlignment="1">
      <alignment horizontal="center"/>
    </xf>
    <xf numFmtId="3" fontId="0" fillId="0" borderId="23" xfId="0" applyNumberFormat="1" applyBorder="1" applyAlignment="1">
      <alignment horizontal="center"/>
    </xf>
    <xf numFmtId="173" fontId="0" fillId="0" borderId="23" xfId="0" applyNumberFormat="1" applyBorder="1"/>
    <xf numFmtId="3" fontId="44" fillId="0" borderId="0" xfId="0" applyNumberFormat="1" applyFont="1"/>
    <xf numFmtId="178" fontId="65" fillId="0" borderId="0" xfId="0" applyNumberFormat="1" applyFont="1"/>
    <xf numFmtId="0" fontId="44" fillId="0" borderId="23" xfId="0" applyFont="1" applyBorder="1" applyAlignment="1">
      <alignment horizontal="center"/>
    </xf>
    <xf numFmtId="173" fontId="0" fillId="0" borderId="16" xfId="0" applyNumberFormat="1" applyBorder="1" applyAlignment="1">
      <alignment horizontal="center"/>
    </xf>
    <xf numFmtId="174" fontId="0" fillId="0" borderId="23" xfId="0" applyNumberFormat="1" applyBorder="1" applyAlignment="1">
      <alignment horizontal="center"/>
    </xf>
    <xf numFmtId="173" fontId="0" fillId="0" borderId="23" xfId="0" applyNumberFormat="1" applyBorder="1" applyAlignment="1">
      <alignment horizontal="center"/>
    </xf>
    <xf numFmtId="173" fontId="44" fillId="0" borderId="23" xfId="0" applyNumberFormat="1" applyFont="1" applyBorder="1" applyAlignment="1">
      <alignment horizontal="center"/>
    </xf>
    <xf numFmtId="0" fontId="44" fillId="0" borderId="15" xfId="0" applyFont="1" applyBorder="1"/>
    <xf numFmtId="0" fontId="44" fillId="0" borderId="16" xfId="0" applyFont="1" applyBorder="1"/>
    <xf numFmtId="173" fontId="44" fillId="0" borderId="17" xfId="0" applyNumberFormat="1" applyFont="1" applyBorder="1"/>
    <xf numFmtId="9" fontId="46" fillId="0" borderId="0" xfId="0" applyNumberFormat="1" applyFont="1"/>
    <xf numFmtId="173" fontId="0" fillId="0" borderId="21" xfId="0" applyNumberFormat="1" applyBorder="1"/>
    <xf numFmtId="9" fontId="0" fillId="0" borderId="23" xfId="0" applyNumberFormat="1" applyBorder="1"/>
    <xf numFmtId="3" fontId="0" fillId="0" borderId="23" xfId="0" applyNumberFormat="1" applyBorder="1"/>
    <xf numFmtId="175" fontId="47" fillId="0" borderId="23" xfId="0" applyNumberFormat="1" applyFont="1" applyBorder="1" applyAlignment="1">
      <alignment horizontal="center"/>
    </xf>
    <xf numFmtId="173" fontId="0" fillId="0" borderId="25" xfId="0" applyNumberFormat="1" applyBorder="1"/>
    <xf numFmtId="9" fontId="44" fillId="0" borderId="0" xfId="0" applyNumberFormat="1" applyFont="1"/>
    <xf numFmtId="0" fontId="44" fillId="0" borderId="24" xfId="0" applyFont="1" applyBorder="1"/>
    <xf numFmtId="3" fontId="44" fillId="0" borderId="23" xfId="0" applyNumberFormat="1" applyFont="1" applyBorder="1"/>
    <xf numFmtId="173" fontId="44" fillId="0" borderId="25" xfId="0" applyNumberFormat="1" applyFont="1" applyBorder="1"/>
    <xf numFmtId="0" fontId="44" fillId="29" borderId="23" xfId="0" applyFont="1" applyFill="1" applyBorder="1"/>
    <xf numFmtId="0" fontId="44" fillId="29" borderId="23" xfId="0" applyFont="1" applyFill="1" applyBorder="1" applyAlignment="1">
      <alignment horizontal="center"/>
    </xf>
    <xf numFmtId="4" fontId="44" fillId="29" borderId="23" xfId="0" applyNumberFormat="1" applyFont="1" applyFill="1" applyBorder="1" applyAlignment="1">
      <alignment horizontal="center"/>
    </xf>
    <xf numFmtId="0" fontId="0" fillId="25" borderId="0" xfId="0" applyFill="1"/>
    <xf numFmtId="1" fontId="0" fillId="25" borderId="0" xfId="0" applyNumberFormat="1" applyFill="1" applyAlignment="1">
      <alignment horizontal="center"/>
    </xf>
    <xf numFmtId="3" fontId="0" fillId="25" borderId="0" xfId="0" applyNumberFormat="1" applyFill="1" applyAlignment="1">
      <alignment horizontal="center"/>
    </xf>
    <xf numFmtId="175" fontId="0" fillId="25" borderId="0" xfId="0" applyNumberFormat="1" applyFill="1" applyAlignment="1">
      <alignment horizontal="center"/>
    </xf>
    <xf numFmtId="0" fontId="0" fillId="30" borderId="0" xfId="0" applyFill="1"/>
    <xf numFmtId="1" fontId="0" fillId="30" borderId="0" xfId="0" applyNumberFormat="1" applyFill="1" applyAlignment="1">
      <alignment horizontal="center"/>
    </xf>
    <xf numFmtId="3" fontId="0" fillId="30" borderId="0" xfId="0" applyNumberFormat="1" applyFill="1" applyAlignment="1">
      <alignment horizontal="center"/>
    </xf>
    <xf numFmtId="175" fontId="0" fillId="30" borderId="0" xfId="0" applyNumberFormat="1" applyFill="1" applyAlignment="1">
      <alignment horizontal="center"/>
    </xf>
    <xf numFmtId="0" fontId="0" fillId="29" borderId="0" xfId="0" applyFill="1"/>
    <xf numFmtId="1" fontId="0" fillId="29" borderId="0" xfId="0" applyNumberFormat="1" applyFill="1" applyAlignment="1">
      <alignment horizontal="center"/>
    </xf>
    <xf numFmtId="3" fontId="0" fillId="29" borderId="0" xfId="0" applyNumberFormat="1" applyFill="1" applyAlignment="1">
      <alignment horizontal="center"/>
    </xf>
    <xf numFmtId="175" fontId="0" fillId="29" borderId="0" xfId="0" applyNumberFormat="1" applyFill="1" applyAlignment="1">
      <alignment horizontal="center"/>
    </xf>
    <xf numFmtId="0" fontId="0" fillId="27" borderId="23" xfId="0" applyFill="1" applyBorder="1"/>
    <xf numFmtId="1" fontId="0" fillId="27" borderId="23" xfId="0" applyNumberFormat="1" applyFill="1" applyBorder="1" applyAlignment="1">
      <alignment horizontal="center"/>
    </xf>
    <xf numFmtId="0" fontId="0" fillId="27" borderId="23" xfId="0" applyFill="1" applyBorder="1" applyAlignment="1">
      <alignment horizontal="center"/>
    </xf>
    <xf numFmtId="175" fontId="0" fillId="27" borderId="23" xfId="0" applyNumberFormat="1" applyFill="1" applyBorder="1" applyAlignment="1">
      <alignment horizontal="center"/>
    </xf>
    <xf numFmtId="0" fontId="44" fillId="29" borderId="0" xfId="0" applyFont="1" applyFill="1"/>
    <xf numFmtId="1" fontId="44" fillId="29" borderId="0" xfId="0" applyNumberFormat="1" applyFont="1" applyFill="1" applyAlignment="1">
      <alignment horizontal="center"/>
    </xf>
    <xf numFmtId="0" fontId="44" fillId="29" borderId="0" xfId="0" applyFont="1" applyFill="1" applyAlignment="1">
      <alignment horizontal="center"/>
    </xf>
    <xf numFmtId="9" fontId="44" fillId="29" borderId="0" xfId="0" applyNumberFormat="1" applyFont="1" applyFill="1" applyAlignment="1">
      <alignment horizontal="center"/>
    </xf>
    <xf numFmtId="9" fontId="0" fillId="29" borderId="0" xfId="0" applyNumberFormat="1" applyFill="1" applyAlignment="1">
      <alignment horizontal="center"/>
    </xf>
    <xf numFmtId="1" fontId="44" fillId="0" borderId="0" xfId="0" applyNumberFormat="1" applyFont="1" applyAlignment="1">
      <alignment horizontal="center"/>
    </xf>
    <xf numFmtId="9" fontId="176" fillId="0" borderId="0" xfId="3"/>
    <xf numFmtId="0" fontId="0" fillId="0" borderId="0" xfId="0" applyAlignment="1">
      <alignment vertical="center"/>
    </xf>
    <xf numFmtId="0" fontId="94" fillId="20" borderId="41" xfId="0" applyFont="1" applyFill="1" applyBorder="1" applyAlignment="1">
      <alignment horizontal="center" vertical="center"/>
    </xf>
    <xf numFmtId="0" fontId="94" fillId="20" borderId="42" xfId="0" applyFont="1" applyFill="1" applyBorder="1" applyAlignment="1">
      <alignment horizontal="center" vertical="center"/>
    </xf>
    <xf numFmtId="0" fontId="33" fillId="20" borderId="42" xfId="0" applyFont="1" applyFill="1" applyBorder="1" applyAlignment="1">
      <alignment horizontal="center" vertical="center" wrapText="1"/>
    </xf>
    <xf numFmtId="0" fontId="95" fillId="20" borderId="42" xfId="0" applyFont="1" applyFill="1" applyBorder="1" applyAlignment="1">
      <alignment horizontal="center" vertical="center" wrapText="1"/>
    </xf>
    <xf numFmtId="0" fontId="33" fillId="20" borderId="42" xfId="0" applyFont="1" applyFill="1" applyBorder="1" applyAlignment="1">
      <alignment horizontal="center" vertical="center"/>
    </xf>
    <xf numFmtId="0" fontId="33" fillId="35" borderId="43" xfId="0" applyFont="1" applyFill="1" applyBorder="1" applyAlignment="1">
      <alignment horizontal="center" vertical="center"/>
    </xf>
    <xf numFmtId="0" fontId="33" fillId="20" borderId="31" xfId="0" applyFont="1" applyFill="1" applyBorder="1" applyAlignment="1">
      <alignment horizontal="left" vertical="center" indent="3"/>
    </xf>
    <xf numFmtId="0" fontId="33" fillId="20" borderId="33" xfId="0" applyFont="1" applyFill="1" applyBorder="1" applyAlignment="1">
      <alignment horizontal="right" vertical="center"/>
    </xf>
    <xf numFmtId="0" fontId="96" fillId="22" borderId="33" xfId="0" applyFont="1" applyFill="1" applyBorder="1" applyAlignment="1">
      <alignment horizontal="center" vertical="center"/>
    </xf>
    <xf numFmtId="0" fontId="96" fillId="22" borderId="33" xfId="0" applyFont="1" applyFill="1" applyBorder="1" applyAlignment="1">
      <alignment horizontal="center" vertical="center" wrapText="1"/>
    </xf>
    <xf numFmtId="186" fontId="96" fillId="22" borderId="33" xfId="0" applyNumberFormat="1" applyFont="1" applyFill="1" applyBorder="1" applyAlignment="1">
      <alignment horizontal="center" vertical="center" wrapText="1"/>
    </xf>
    <xf numFmtId="0" fontId="96" fillId="35" borderId="44" xfId="0" applyFont="1" applyFill="1" applyBorder="1" applyAlignment="1">
      <alignment horizontal="center" vertical="center" wrapText="1"/>
    </xf>
    <xf numFmtId="0" fontId="96" fillId="22" borderId="33" xfId="0" applyFont="1" applyFill="1" applyBorder="1" applyAlignment="1">
      <alignment horizontal="left" vertical="center" wrapText="1" indent="1"/>
    </xf>
    <xf numFmtId="0" fontId="96" fillId="20" borderId="33" xfId="0" applyFont="1" applyFill="1" applyBorder="1" applyAlignment="1">
      <alignment horizontal="center" vertical="center"/>
    </xf>
    <xf numFmtId="0" fontId="33" fillId="20" borderId="28" xfId="0" applyFont="1" applyFill="1" applyBorder="1" applyAlignment="1">
      <alignment horizontal="left" vertical="center" indent="3"/>
    </xf>
    <xf numFmtId="0" fontId="33" fillId="20" borderId="29" xfId="0" applyFont="1" applyFill="1" applyBorder="1" applyAlignment="1">
      <alignment horizontal="right" vertical="center"/>
    </xf>
    <xf numFmtId="0" fontId="96" fillId="22" borderId="33" xfId="0" applyFont="1" applyFill="1" applyBorder="1" applyAlignment="1">
      <alignment vertical="center" wrapText="1"/>
    </xf>
    <xf numFmtId="0" fontId="0" fillId="0" borderId="41" xfId="0" applyBorder="1"/>
    <xf numFmtId="0" fontId="33" fillId="0" borderId="27" xfId="0" applyFont="1" applyBorder="1" applyAlignment="1">
      <alignment horizontal="right" vertical="center" indent="2"/>
    </xf>
    <xf numFmtId="0" fontId="2" fillId="0" borderId="33" xfId="0" applyFont="1" applyBorder="1" applyAlignment="1">
      <alignment vertical="center"/>
    </xf>
    <xf numFmtId="186" fontId="33" fillId="0" borderId="33" xfId="0" applyNumberFormat="1" applyFont="1" applyBorder="1" applyAlignment="1">
      <alignment horizontal="center" vertical="center"/>
    </xf>
    <xf numFmtId="0" fontId="2" fillId="35" borderId="45" xfId="0" applyFont="1" applyFill="1" applyBorder="1" applyAlignment="1">
      <alignment horizontal="center" vertical="center"/>
    </xf>
    <xf numFmtId="0" fontId="2" fillId="20" borderId="33" xfId="0" applyFont="1" applyFill="1" applyBorder="1" applyAlignment="1">
      <alignment horizontal="center" vertical="center"/>
    </xf>
    <xf numFmtId="0" fontId="97" fillId="0" borderId="0" xfId="0" applyFont="1"/>
    <xf numFmtId="176" fontId="49" fillId="0" borderId="0" xfId="0" applyNumberFormat="1" applyFont="1" applyAlignment="1">
      <alignment horizontal="right"/>
    </xf>
    <xf numFmtId="176" fontId="47" fillId="0" borderId="0" xfId="0" applyNumberFormat="1" applyFont="1" applyAlignment="1">
      <alignment horizontal="right"/>
    </xf>
    <xf numFmtId="0" fontId="98" fillId="0" borderId="0" xfId="0" applyFont="1"/>
    <xf numFmtId="171" fontId="99" fillId="0" borderId="0" xfId="0" applyNumberFormat="1" applyFont="1" applyAlignment="1">
      <alignment horizontal="right"/>
    </xf>
    <xf numFmtId="190" fontId="99" fillId="0" borderId="0" xfId="0" applyNumberFormat="1" applyFont="1" applyAlignment="1">
      <alignment horizontal="right"/>
    </xf>
    <xf numFmtId="176" fontId="0" fillId="0" borderId="18" xfId="0" applyNumberFormat="1" applyBorder="1"/>
    <xf numFmtId="0" fontId="65" fillId="0" borderId="5" xfId="0" applyFont="1" applyBorder="1"/>
    <xf numFmtId="0" fontId="0" fillId="0" borderId="9" xfId="0" applyBorder="1"/>
    <xf numFmtId="0" fontId="100" fillId="0" borderId="9" xfId="0" applyFont="1" applyBorder="1" applyAlignment="1">
      <alignment horizontal="right" indent="1"/>
    </xf>
    <xf numFmtId="0" fontId="100" fillId="0" borderId="0" xfId="0" applyFont="1" applyAlignment="1">
      <alignment horizontal="right" indent="1"/>
    </xf>
    <xf numFmtId="0" fontId="63" fillId="27" borderId="15" xfId="0" applyFont="1" applyFill="1" applyBorder="1"/>
    <xf numFmtId="0" fontId="63" fillId="27" borderId="17" xfId="0" applyFont="1" applyFill="1" applyBorder="1"/>
    <xf numFmtId="0" fontId="101" fillId="27" borderId="20" xfId="0" applyFont="1" applyFill="1" applyBorder="1" applyAlignment="1">
      <alignment horizontal="left" indent="1"/>
    </xf>
    <xf numFmtId="0" fontId="63" fillId="27" borderId="21" xfId="0" applyFont="1" applyFill="1" applyBorder="1"/>
    <xf numFmtId="0" fontId="102" fillId="0" borderId="0" xfId="0" applyFont="1"/>
    <xf numFmtId="0" fontId="103" fillId="0" borderId="0" xfId="0" applyFont="1" applyAlignment="1">
      <alignment horizontal="center"/>
    </xf>
    <xf numFmtId="0" fontId="104" fillId="0" borderId="0" xfId="0" applyFont="1"/>
    <xf numFmtId="0" fontId="103" fillId="0" borderId="0" xfId="0" applyFont="1" applyAlignment="1">
      <alignment horizontal="left" indent="1"/>
    </xf>
    <xf numFmtId="0" fontId="103" fillId="0" borderId="0" xfId="0" applyFont="1" applyAlignment="1">
      <alignment horizontal="left" vertical="top"/>
    </xf>
    <xf numFmtId="38" fontId="103" fillId="27" borderId="20" xfId="0" applyNumberFormat="1" applyFont="1" applyFill="1" applyBorder="1" applyAlignment="1">
      <alignment horizontal="right" vertical="top"/>
    </xf>
    <xf numFmtId="0" fontId="103" fillId="27" borderId="21" xfId="0" applyFont="1" applyFill="1" applyBorder="1" applyAlignment="1">
      <alignment horizontal="left" vertical="top"/>
    </xf>
    <xf numFmtId="38" fontId="63" fillId="0" borderId="0" xfId="0" applyNumberFormat="1" applyFont="1"/>
    <xf numFmtId="0" fontId="55" fillId="29" borderId="0" xfId="0" applyFont="1" applyFill="1"/>
    <xf numFmtId="191" fontId="103" fillId="0" borderId="0" xfId="0" applyNumberFormat="1" applyFont="1" applyAlignment="1">
      <alignment horizontal="right" vertical="top"/>
    </xf>
    <xf numFmtId="0" fontId="104" fillId="0" borderId="0" xfId="0" applyFont="1" applyAlignment="1">
      <alignment horizontal="left" vertical="top"/>
    </xf>
    <xf numFmtId="0" fontId="105" fillId="27" borderId="21" xfId="0" applyFont="1" applyFill="1" applyBorder="1" applyAlignment="1">
      <alignment horizontal="left"/>
    </xf>
    <xf numFmtId="0" fontId="104" fillId="0" borderId="0" xfId="0" applyFont="1" applyAlignment="1">
      <alignment horizontal="left"/>
    </xf>
    <xf numFmtId="0" fontId="105" fillId="0" borderId="0" xfId="0" applyFont="1" applyAlignment="1">
      <alignment horizontal="left"/>
    </xf>
    <xf numFmtId="0" fontId="105" fillId="27" borderId="20" xfId="0" applyFont="1" applyFill="1" applyBorder="1" applyAlignment="1">
      <alignment horizontal="right" vertical="top"/>
    </xf>
    <xf numFmtId="0" fontId="106" fillId="27" borderId="21" xfId="0" applyFont="1" applyFill="1" applyBorder="1" applyAlignment="1">
      <alignment horizontal="center"/>
    </xf>
    <xf numFmtId="0" fontId="68" fillId="29" borderId="0" xfId="0" applyFont="1" applyFill="1" applyAlignment="1">
      <alignment horizontal="left"/>
    </xf>
    <xf numFmtId="179" fontId="65" fillId="0" borderId="0" xfId="0" applyNumberFormat="1" applyFont="1" applyAlignment="1">
      <alignment horizontal="center"/>
    </xf>
    <xf numFmtId="0" fontId="107" fillId="29" borderId="0" xfId="0" applyFont="1" applyFill="1" applyAlignment="1">
      <alignment horizontal="center"/>
    </xf>
    <xf numFmtId="191" fontId="108" fillId="0" borderId="0" xfId="0" applyNumberFormat="1" applyFont="1" applyAlignment="1">
      <alignment horizontal="right"/>
    </xf>
    <xf numFmtId="0" fontId="109" fillId="0" borderId="0" xfId="0" applyFont="1" applyAlignment="1">
      <alignment horizontal="center"/>
    </xf>
    <xf numFmtId="0" fontId="103" fillId="27" borderId="20" xfId="0" applyFont="1" applyFill="1" applyBorder="1" applyAlignment="1">
      <alignment horizontal="left" vertical="top"/>
    </xf>
    <xf numFmtId="0" fontId="55" fillId="27" borderId="21" xfId="0" applyFont="1" applyFill="1" applyBorder="1"/>
    <xf numFmtId="0" fontId="110" fillId="29" borderId="0" xfId="0" applyFont="1" applyFill="1" applyAlignment="1">
      <alignment horizontal="left" vertical="top"/>
    </xf>
    <xf numFmtId="179" fontId="111" fillId="0" borderId="0" xfId="0" applyNumberFormat="1" applyFont="1" applyAlignment="1">
      <alignment horizontal="center"/>
    </xf>
    <xf numFmtId="0" fontId="104" fillId="29" borderId="0" xfId="0" applyFont="1" applyFill="1" applyAlignment="1">
      <alignment horizontal="center" vertical="top"/>
    </xf>
    <xf numFmtId="0" fontId="105" fillId="0" borderId="0" xfId="0" applyFont="1"/>
    <xf numFmtId="0" fontId="104" fillId="0" borderId="0" xfId="0" applyFont="1" applyAlignment="1">
      <alignment horizontal="left" vertical="top" indent="1"/>
    </xf>
    <xf numFmtId="177" fontId="33" fillId="27" borderId="20" xfId="0" applyNumberFormat="1" applyFont="1" applyFill="1" applyBorder="1" applyAlignment="1">
      <alignment horizontal="right" vertical="top"/>
    </xf>
    <xf numFmtId="179" fontId="105" fillId="27" borderId="21" xfId="0" applyNumberFormat="1" applyFont="1" applyFill="1" applyBorder="1" applyAlignment="1">
      <alignment horizontal="center" vertical="top"/>
    </xf>
    <xf numFmtId="177" fontId="33" fillId="0" borderId="0" xfId="0" applyNumberFormat="1" applyFont="1" applyAlignment="1">
      <alignment horizontal="right" vertical="top"/>
    </xf>
    <xf numFmtId="179" fontId="0" fillId="0" borderId="0" xfId="0" applyNumberFormat="1" applyAlignment="1">
      <alignment horizontal="center"/>
    </xf>
    <xf numFmtId="178" fontId="63" fillId="29" borderId="0" xfId="0" applyNumberFormat="1" applyFont="1" applyFill="1" applyAlignment="1">
      <alignment horizontal="right" vertical="top"/>
    </xf>
    <xf numFmtId="192" fontId="2" fillId="0" borderId="0" xfId="0" applyNumberFormat="1" applyFont="1" applyAlignment="1">
      <alignment horizontal="right" vertical="top"/>
    </xf>
    <xf numFmtId="178" fontId="105" fillId="0" borderId="0" xfId="0" applyNumberFormat="1" applyFont="1" applyAlignment="1">
      <alignment horizontal="center" vertical="top"/>
    </xf>
    <xf numFmtId="3" fontId="63" fillId="0" borderId="0" xfId="0" applyNumberFormat="1" applyFont="1"/>
    <xf numFmtId="179" fontId="63" fillId="0" borderId="0" xfId="0" applyNumberFormat="1" applyFont="1" applyAlignment="1">
      <alignment horizontal="left" indent="1"/>
    </xf>
    <xf numFmtId="0" fontId="110" fillId="0" borderId="0" xfId="0" applyFont="1" applyAlignment="1">
      <alignment horizontal="right" vertical="top" indent="1"/>
    </xf>
    <xf numFmtId="178" fontId="63" fillId="0" borderId="0" xfId="0" applyNumberFormat="1" applyFont="1" applyAlignment="1">
      <alignment horizontal="left" vertical="top" indent="1"/>
    </xf>
    <xf numFmtId="178" fontId="63" fillId="29" borderId="0" xfId="0" applyNumberFormat="1" applyFont="1" applyFill="1" applyAlignment="1">
      <alignment horizontal="left" vertical="top" indent="1"/>
    </xf>
    <xf numFmtId="177" fontId="112" fillId="0" borderId="0" xfId="0" applyNumberFormat="1" applyFont="1" applyAlignment="1">
      <alignment horizontal="right" vertical="top"/>
    </xf>
    <xf numFmtId="179" fontId="62" fillId="0" borderId="0" xfId="0" applyNumberFormat="1" applyFont="1" applyAlignment="1">
      <alignment horizontal="center"/>
    </xf>
    <xf numFmtId="178" fontId="109" fillId="0" borderId="0" xfId="0" applyNumberFormat="1" applyFont="1" applyAlignment="1">
      <alignment horizontal="center" vertical="top"/>
    </xf>
    <xf numFmtId="0" fontId="67" fillId="0" borderId="0" xfId="0" applyFont="1" applyAlignment="1">
      <alignment horizontal="left" indent="4"/>
    </xf>
    <xf numFmtId="179" fontId="33" fillId="27" borderId="20" xfId="0" applyNumberFormat="1" applyFont="1" applyFill="1" applyBorder="1" applyAlignment="1">
      <alignment horizontal="right" vertical="top"/>
    </xf>
    <xf numFmtId="179" fontId="105" fillId="27" borderId="2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79" fontId="104" fillId="29" borderId="0" xfId="0" applyNumberFormat="1" applyFont="1" applyFill="1" applyAlignment="1">
      <alignment horizontal="left"/>
    </xf>
    <xf numFmtId="192" fontId="105" fillId="0" borderId="0" xfId="0" applyNumberFormat="1" applyFont="1" applyAlignment="1">
      <alignment horizontal="left"/>
    </xf>
    <xf numFmtId="179" fontId="63" fillId="0" borderId="0" xfId="0" applyNumberFormat="1" applyFont="1"/>
    <xf numFmtId="0" fontId="101" fillId="0" borderId="0" xfId="0" applyFont="1"/>
    <xf numFmtId="177" fontId="44" fillId="27" borderId="20" xfId="0" applyNumberFormat="1" applyFont="1" applyFill="1" applyBorder="1" applyAlignment="1">
      <alignment horizontal="right"/>
    </xf>
    <xf numFmtId="179" fontId="105" fillId="0" borderId="0" xfId="0" applyNumberFormat="1" applyFont="1" applyAlignment="1">
      <alignment horizontal="center"/>
    </xf>
    <xf numFmtId="179" fontId="101" fillId="29" borderId="0" xfId="0" applyNumberFormat="1" applyFont="1" applyFill="1"/>
    <xf numFmtId="192" fontId="2" fillId="0" borderId="0" xfId="0" applyNumberFormat="1" applyFont="1" applyAlignment="1">
      <alignment horizontal="right"/>
    </xf>
    <xf numFmtId="0" fontId="101" fillId="0" borderId="0" xfId="0" applyFont="1" applyAlignment="1">
      <alignment horizontal="left" indent="1"/>
    </xf>
    <xf numFmtId="179" fontId="44" fillId="27" borderId="20" xfId="0" applyNumberFormat="1" applyFont="1" applyFill="1" applyBorder="1" applyAlignment="1">
      <alignment horizontal="right"/>
    </xf>
    <xf numFmtId="179" fontId="44" fillId="0" borderId="0" xfId="0" applyNumberFormat="1" applyFont="1" applyAlignment="1">
      <alignment horizontal="right"/>
    </xf>
    <xf numFmtId="179" fontId="105" fillId="0" borderId="0" xfId="0" applyNumberFormat="1" applyFont="1" applyAlignment="1">
      <alignment horizontal="center" vertical="top"/>
    </xf>
    <xf numFmtId="0" fontId="63" fillId="34" borderId="0" xfId="0" applyFont="1" applyFill="1"/>
    <xf numFmtId="192" fontId="113" fillId="0" borderId="0" xfId="0" applyNumberFormat="1" applyFont="1" applyAlignment="1">
      <alignment horizontal="right"/>
    </xf>
    <xf numFmtId="178" fontId="109" fillId="0" borderId="0" xfId="0" applyNumberFormat="1" applyFont="1" applyAlignment="1">
      <alignment horizontal="center"/>
    </xf>
    <xf numFmtId="179" fontId="44" fillId="27" borderId="24" xfId="0" applyNumberFormat="1" applyFont="1" applyFill="1" applyBorder="1" applyAlignment="1">
      <alignment horizontal="right"/>
    </xf>
    <xf numFmtId="179" fontId="105" fillId="27" borderId="25" xfId="0" applyNumberFormat="1" applyFont="1" applyFill="1" applyBorder="1" applyAlignment="1">
      <alignment horizontal="center" vertical="top"/>
    </xf>
    <xf numFmtId="177" fontId="101" fillId="0" borderId="0" xfId="0" applyNumberFormat="1" applyFont="1" applyAlignment="1">
      <alignment horizontal="right"/>
    </xf>
    <xf numFmtId="192" fontId="2" fillId="0" borderId="0" xfId="0" applyNumberFormat="1" applyFont="1"/>
    <xf numFmtId="192" fontId="114" fillId="0" borderId="0" xfId="0" applyNumberFormat="1" applyFont="1" applyAlignment="1">
      <alignment horizontal="center"/>
    </xf>
    <xf numFmtId="179" fontId="101" fillId="0" borderId="0" xfId="0" applyNumberFormat="1" applyFont="1" applyAlignment="1">
      <alignment horizontal="right"/>
    </xf>
    <xf numFmtId="186" fontId="63" fillId="0" borderId="0" xfId="0" applyNumberFormat="1" applyFont="1"/>
    <xf numFmtId="188" fontId="0" fillId="0" borderId="0" xfId="0" applyNumberFormat="1"/>
    <xf numFmtId="186" fontId="0" fillId="0" borderId="0" xfId="0" applyNumberFormat="1"/>
    <xf numFmtId="0" fontId="61" fillId="0" borderId="0" xfId="0" applyFont="1" applyAlignment="1">
      <alignment horizontal="left" indent="1"/>
    </xf>
    <xf numFmtId="185" fontId="87" fillId="29" borderId="35" xfId="0" applyNumberFormat="1" applyFont="1" applyFill="1" applyBorder="1" applyAlignment="1" applyProtection="1">
      <alignment horizontal="center"/>
      <protection locked="0"/>
    </xf>
    <xf numFmtId="0" fontId="28" fillId="0" borderId="35" xfId="0" applyFont="1" applyBorder="1" applyAlignment="1" applyProtection="1">
      <alignment horizontal="center"/>
      <protection locked="0"/>
    </xf>
    <xf numFmtId="0" fontId="54" fillId="0" borderId="0" xfId="0" applyFont="1" applyAlignment="1">
      <alignment horizontal="left" indent="1"/>
    </xf>
    <xf numFmtId="179" fontId="43" fillId="0" borderId="0" xfId="0" applyNumberFormat="1" applyFont="1"/>
    <xf numFmtId="0" fontId="0" fillId="26" borderId="0" xfId="0" applyFill="1"/>
    <xf numFmtId="0" fontId="101" fillId="0" borderId="0" xfId="0" applyFont="1" applyAlignment="1">
      <alignment horizontal="left" indent="2"/>
    </xf>
    <xf numFmtId="0" fontId="101" fillId="0" borderId="0" xfId="0" applyFont="1" applyAlignment="1">
      <alignment horizontal="left"/>
    </xf>
    <xf numFmtId="38" fontId="103" fillId="0" borderId="0" xfId="0" applyNumberFormat="1" applyFont="1" applyAlignment="1">
      <alignment horizontal="right" vertical="top"/>
    </xf>
    <xf numFmtId="0" fontId="62" fillId="0" borderId="0" xfId="0" applyFont="1" applyAlignment="1">
      <alignment horizontal="center"/>
    </xf>
    <xf numFmtId="179" fontId="65" fillId="0" borderId="0" xfId="0" applyNumberFormat="1" applyFont="1"/>
    <xf numFmtId="0" fontId="115" fillId="0" borderId="0" xfId="0" applyFont="1" applyAlignment="1">
      <alignment horizontal="left" vertical="top"/>
    </xf>
    <xf numFmtId="0" fontId="62" fillId="0" borderId="0" xfId="0" applyFont="1"/>
    <xf numFmtId="176" fontId="62" fillId="0" borderId="0" xfId="0" applyNumberFormat="1" applyFont="1"/>
    <xf numFmtId="0" fontId="61" fillId="0" borderId="0" xfId="0" applyFont="1"/>
    <xf numFmtId="179" fontId="111" fillId="0" borderId="0" xfId="0" applyNumberFormat="1" applyFont="1"/>
    <xf numFmtId="179" fontId="63" fillId="0" borderId="0" xfId="0" applyNumberFormat="1" applyFont="1" applyAlignment="1">
      <alignment horizontal="left" indent="2"/>
    </xf>
    <xf numFmtId="0" fontId="8" fillId="0" borderId="0" xfId="0" applyFont="1" applyAlignment="1">
      <alignment horizontal="left"/>
    </xf>
    <xf numFmtId="173" fontId="46" fillId="0" borderId="0" xfId="0" applyNumberFormat="1" applyFont="1"/>
    <xf numFmtId="179" fontId="46" fillId="0" borderId="0" xfId="0" applyNumberFormat="1" applyFont="1"/>
    <xf numFmtId="0" fontId="33" fillId="29" borderId="0" xfId="0" applyFont="1" applyFill="1" applyAlignment="1">
      <alignment horizontal="left" vertical="top"/>
    </xf>
    <xf numFmtId="0" fontId="8" fillId="29" borderId="0" xfId="0" applyFont="1" applyFill="1" applyAlignment="1">
      <alignment horizontal="left"/>
    </xf>
    <xf numFmtId="0" fontId="2" fillId="29" borderId="0" xfId="0" applyFont="1" applyFill="1" applyAlignment="1">
      <alignment vertical="top"/>
    </xf>
    <xf numFmtId="0" fontId="2" fillId="29" borderId="0" xfId="0" applyFont="1" applyFill="1" applyAlignment="1">
      <alignment horizontal="left" vertical="top"/>
    </xf>
    <xf numFmtId="0" fontId="2" fillId="29" borderId="0" xfId="0" applyFont="1" applyFill="1" applyAlignment="1">
      <alignment horizontal="left" vertical="top" indent="1"/>
    </xf>
    <xf numFmtId="4" fontId="0" fillId="29" borderId="0" xfId="0" applyNumberFormat="1" applyFill="1"/>
    <xf numFmtId="4" fontId="34" fillId="29" borderId="16" xfId="0" applyNumberFormat="1" applyFont="1" applyFill="1" applyBorder="1" applyAlignment="1">
      <alignment horizontal="right" vertical="top"/>
    </xf>
    <xf numFmtId="4" fontId="2" fillId="29" borderId="0" xfId="0" applyNumberFormat="1" applyFont="1" applyFill="1" applyAlignment="1">
      <alignment horizontal="right" vertical="top"/>
    </xf>
    <xf numFmtId="2" fontId="2" fillId="29" borderId="0" xfId="0" applyNumberFormat="1" applyFont="1" applyFill="1" applyAlignment="1">
      <alignment horizontal="right" vertical="top"/>
    </xf>
    <xf numFmtId="4" fontId="34" fillId="29" borderId="16" xfId="2" applyNumberFormat="1" applyFont="1" applyFill="1" applyBorder="1" applyAlignment="1">
      <alignment horizontal="right" vertical="top"/>
    </xf>
    <xf numFmtId="4" fontId="176" fillId="29" borderId="0" xfId="2" applyNumberFormat="1" applyFill="1" applyAlignment="1">
      <alignment horizontal="right" vertical="top"/>
    </xf>
    <xf numFmtId="4" fontId="34" fillId="29" borderId="0" xfId="2" applyNumberFormat="1" applyFont="1" applyFill="1" applyAlignment="1">
      <alignment horizontal="right" vertical="top"/>
    </xf>
    <xf numFmtId="4" fontId="44" fillId="29" borderId="16" xfId="0" applyNumberFormat="1" applyFont="1" applyFill="1" applyBorder="1" applyAlignment="1">
      <alignment horizontal="right" vertical="top"/>
    </xf>
    <xf numFmtId="174" fontId="0" fillId="29" borderId="0" xfId="0" applyNumberFormat="1" applyFill="1"/>
    <xf numFmtId="173" fontId="0" fillId="24" borderId="0" xfId="0" applyNumberFormat="1" applyFill="1"/>
    <xf numFmtId="0" fontId="0" fillId="0" borderId="0" xfId="0" applyAlignment="1">
      <alignment horizontal="left" indent="1"/>
    </xf>
    <xf numFmtId="171" fontId="116" fillId="0" borderId="0" xfId="0" applyNumberFormat="1" applyFont="1" applyAlignment="1" applyProtection="1">
      <alignment horizontal="left"/>
      <protection locked="0"/>
    </xf>
    <xf numFmtId="38" fontId="0" fillId="0" borderId="0" xfId="0" applyNumberFormat="1"/>
    <xf numFmtId="0" fontId="63" fillId="0" borderId="0" xfId="0" applyFont="1" applyAlignment="1">
      <alignment horizontal="left"/>
    </xf>
    <xf numFmtId="175" fontId="63" fillId="23" borderId="0" xfId="0" applyNumberFormat="1" applyFont="1" applyFill="1" applyAlignment="1">
      <alignment horizontal="center"/>
    </xf>
    <xf numFmtId="175" fontId="107" fillId="23" borderId="0" xfId="0" applyNumberFormat="1" applyFont="1" applyFill="1" applyAlignment="1">
      <alignment horizontal="center"/>
    </xf>
    <xf numFmtId="178" fontId="63" fillId="23" borderId="0" xfId="0" applyNumberFormat="1" applyFont="1" applyFill="1" applyAlignment="1">
      <alignment horizontal="center"/>
    </xf>
    <xf numFmtId="0" fontId="63" fillId="0" borderId="0" xfId="0" applyFont="1" applyAlignment="1">
      <alignment horizontal="left" indent="1"/>
    </xf>
    <xf numFmtId="3" fontId="0" fillId="0" borderId="0" xfId="0" applyNumberFormat="1" applyAlignment="1">
      <alignment horizontal="right"/>
    </xf>
    <xf numFmtId="178" fontId="117" fillId="23" borderId="0" xfId="0" applyNumberFormat="1" applyFont="1" applyFill="1" applyAlignment="1">
      <alignment horizontal="center"/>
    </xf>
    <xf numFmtId="178" fontId="0" fillId="36" borderId="0" xfId="0" applyNumberFormat="1" applyFill="1" applyAlignment="1">
      <alignment horizontal="center"/>
    </xf>
    <xf numFmtId="186" fontId="0" fillId="0" borderId="0" xfId="0" applyNumberFormat="1" applyAlignment="1">
      <alignment horizontal="right"/>
    </xf>
    <xf numFmtId="0" fontId="93" fillId="0" borderId="0" xfId="0" applyFont="1" applyAlignment="1">
      <alignment horizontal="center"/>
    </xf>
    <xf numFmtId="0" fontId="0" fillId="25" borderId="0" xfId="0" applyFill="1" applyAlignment="1">
      <alignment horizontal="center"/>
    </xf>
    <xf numFmtId="0" fontId="118" fillId="0" borderId="0" xfId="0" applyFont="1" applyAlignment="1">
      <alignment horizontal="center"/>
    </xf>
    <xf numFmtId="0" fontId="59" fillId="25" borderId="0" xfId="0" applyFont="1" applyFill="1" applyAlignment="1">
      <alignment horizontal="center"/>
    </xf>
    <xf numFmtId="0" fontId="58" fillId="0" borderId="0" xfId="0" applyFont="1" applyAlignment="1">
      <alignment horizontal="right"/>
    </xf>
    <xf numFmtId="0" fontId="58" fillId="0" borderId="0" xfId="0" applyFont="1" applyAlignment="1">
      <alignment horizontal="center"/>
    </xf>
    <xf numFmtId="0" fontId="58" fillId="25" borderId="0" xfId="0" applyFont="1" applyFill="1" applyAlignment="1">
      <alignment horizontal="center"/>
    </xf>
    <xf numFmtId="0" fontId="119" fillId="0" borderId="0" xfId="0" applyFont="1"/>
    <xf numFmtId="178" fontId="0" fillId="28" borderId="14" xfId="0" applyNumberFormat="1" applyFill="1" applyBorder="1" applyAlignment="1">
      <alignment horizontal="right" indent="1"/>
    </xf>
    <xf numFmtId="179" fontId="176" fillId="0" borderId="19" xfId="2" applyNumberFormat="1" applyBorder="1" applyProtection="1">
      <protection locked="0"/>
    </xf>
    <xf numFmtId="179" fontId="176" fillId="0" borderId="9" xfId="2" applyNumberFormat="1" applyBorder="1" applyProtection="1">
      <protection locked="0"/>
    </xf>
    <xf numFmtId="179" fontId="176" fillId="25" borderId="9" xfId="2" applyNumberFormat="1" applyFill="1" applyBorder="1" applyProtection="1">
      <protection locked="0"/>
    </xf>
    <xf numFmtId="0" fontId="120" fillId="0" borderId="0" xfId="0" applyFont="1" applyAlignment="1">
      <alignment horizontal="left" indent="1"/>
    </xf>
    <xf numFmtId="0" fontId="120" fillId="0" borderId="0" xfId="0" applyFont="1"/>
    <xf numFmtId="178" fontId="62" fillId="28" borderId="22" xfId="0" applyNumberFormat="1" applyFont="1" applyFill="1" applyBorder="1" applyAlignment="1">
      <alignment horizontal="right" indent="1"/>
    </xf>
    <xf numFmtId="0" fontId="0" fillId="28" borderId="22" xfId="0" applyFill="1" applyBorder="1"/>
    <xf numFmtId="179" fontId="176" fillId="37" borderId="22" xfId="2" applyNumberFormat="1" applyFill="1" applyBorder="1"/>
    <xf numFmtId="179" fontId="176" fillId="34" borderId="0" xfId="2" applyNumberFormat="1" applyFill="1"/>
    <xf numFmtId="179" fontId="0" fillId="25" borderId="0" xfId="0" applyNumberFormat="1" applyFill="1"/>
    <xf numFmtId="179" fontId="62" fillId="28" borderId="22" xfId="2" applyNumberFormat="1" applyFont="1" applyFill="1" applyBorder="1" applyProtection="1">
      <protection locked="0"/>
    </xf>
    <xf numFmtId="178" fontId="0" fillId="28" borderId="22" xfId="0" applyNumberFormat="1" applyFill="1" applyBorder="1" applyAlignment="1">
      <alignment horizontal="right" indent="1"/>
    </xf>
    <xf numFmtId="179" fontId="62" fillId="28" borderId="22" xfId="0" applyNumberFormat="1" applyFont="1" applyFill="1" applyBorder="1" applyAlignment="1">
      <alignment horizontal="right" indent="1"/>
    </xf>
    <xf numFmtId="179" fontId="44" fillId="37" borderId="26" xfId="2" applyNumberFormat="1" applyFont="1" applyFill="1" applyBorder="1" applyAlignment="1">
      <alignment horizontal="right" indent="1"/>
    </xf>
    <xf numFmtId="179" fontId="44" fillId="34" borderId="0" xfId="2" applyNumberFormat="1" applyFont="1" applyFill="1"/>
    <xf numFmtId="0" fontId="121" fillId="0" borderId="0" xfId="0" applyFont="1"/>
    <xf numFmtId="0" fontId="120" fillId="0" borderId="15" xfId="0" applyFont="1" applyBorder="1"/>
    <xf numFmtId="176" fontId="120" fillId="0" borderId="16" xfId="0" applyNumberFormat="1" applyFont="1" applyBorder="1"/>
    <xf numFmtId="0" fontId="120" fillId="0" borderId="16" xfId="0" applyFont="1" applyBorder="1"/>
    <xf numFmtId="176" fontId="61" fillId="0" borderId="17" xfId="0" applyNumberFormat="1" applyFont="1" applyBorder="1" applyAlignment="1">
      <alignment horizontal="right" indent="1"/>
    </xf>
    <xf numFmtId="0" fontId="120" fillId="0" borderId="20" xfId="0" applyFont="1" applyBorder="1"/>
    <xf numFmtId="176" fontId="120" fillId="0" borderId="0" xfId="0" applyNumberFormat="1" applyFont="1"/>
    <xf numFmtId="176" fontId="61" fillId="0" borderId="21" xfId="0" applyNumberFormat="1" applyFont="1" applyBorder="1" applyAlignment="1">
      <alignment horizontal="right" indent="1"/>
    </xf>
    <xf numFmtId="175" fontId="61" fillId="0" borderId="21" xfId="0" applyNumberFormat="1" applyFont="1" applyBorder="1" applyAlignment="1">
      <alignment horizontal="right" indent="1"/>
    </xf>
    <xf numFmtId="0" fontId="120" fillId="0" borderId="24" xfId="0" applyFont="1" applyBorder="1"/>
    <xf numFmtId="0" fontId="120" fillId="0" borderId="23" xfId="0" applyFont="1" applyBorder="1"/>
    <xf numFmtId="0" fontId="107" fillId="0" borderId="25" xfId="0" applyFont="1" applyBorder="1"/>
    <xf numFmtId="176" fontId="176" fillId="0" borderId="9" xfId="2" applyNumberFormat="1" applyBorder="1" applyProtection="1">
      <protection locked="0"/>
    </xf>
    <xf numFmtId="166" fontId="176" fillId="25" borderId="9" xfId="2" applyFill="1" applyBorder="1" applyProtection="1">
      <protection locked="0"/>
    </xf>
    <xf numFmtId="166" fontId="176" fillId="0" borderId="9" xfId="2" applyBorder="1" applyProtection="1">
      <protection locked="0"/>
    </xf>
    <xf numFmtId="179" fontId="176" fillId="0" borderId="0" xfId="2" applyNumberFormat="1" applyProtection="1">
      <protection locked="0"/>
    </xf>
    <xf numFmtId="166" fontId="176" fillId="0" borderId="0" xfId="2" applyProtection="1">
      <protection locked="0"/>
    </xf>
    <xf numFmtId="166" fontId="176" fillId="25" borderId="0" xfId="2" applyFill="1" applyProtection="1">
      <protection locked="0"/>
    </xf>
    <xf numFmtId="179" fontId="176" fillId="25" borderId="0" xfId="2" applyNumberFormat="1" applyFill="1" applyProtection="1">
      <protection locked="0"/>
    </xf>
    <xf numFmtId="0" fontId="61" fillId="0" borderId="0" xfId="0" applyFont="1" applyAlignment="1">
      <alignment horizontal="right"/>
    </xf>
    <xf numFmtId="179" fontId="62" fillId="0" borderId="0" xfId="2" applyNumberFormat="1" applyFont="1" applyProtection="1">
      <protection locked="0"/>
    </xf>
    <xf numFmtId="0" fontId="119" fillId="26" borderId="0" xfId="0" applyFont="1" applyFill="1"/>
    <xf numFmtId="0" fontId="93" fillId="26" borderId="0" xfId="0" applyFont="1" applyFill="1"/>
    <xf numFmtId="179" fontId="44" fillId="26" borderId="0" xfId="2" applyNumberFormat="1" applyFont="1" applyFill="1" applyProtection="1">
      <protection locked="0"/>
    </xf>
    <xf numFmtId="9" fontId="120" fillId="0" borderId="0" xfId="0" applyNumberFormat="1" applyFont="1"/>
    <xf numFmtId="179" fontId="46" fillId="29" borderId="0" xfId="0" applyNumberFormat="1" applyFont="1" applyFill="1"/>
    <xf numFmtId="9" fontId="78" fillId="31" borderId="9" xfId="0" applyNumberFormat="1" applyFont="1" applyFill="1" applyBorder="1" applyAlignment="1">
      <alignment horizontal="center"/>
    </xf>
    <xf numFmtId="10" fontId="78" fillId="31" borderId="9" xfId="0" applyNumberFormat="1" applyFont="1" applyFill="1" applyBorder="1" applyAlignment="1">
      <alignment horizontal="center"/>
    </xf>
    <xf numFmtId="9" fontId="78" fillId="27" borderId="9" xfId="0" applyNumberFormat="1" applyFont="1" applyFill="1" applyBorder="1" applyAlignment="1">
      <alignment horizontal="center"/>
    </xf>
    <xf numFmtId="179" fontId="176" fillId="0" borderId="23" xfId="2" applyNumberFormat="1" applyBorder="1" applyProtection="1">
      <protection locked="0"/>
    </xf>
    <xf numFmtId="0" fontId="119" fillId="0" borderId="0" xfId="0" applyFont="1" applyAlignment="1">
      <alignment horizontal="left" indent="3"/>
    </xf>
    <xf numFmtId="179" fontId="44" fillId="0" borderId="0" xfId="0" applyNumberFormat="1" applyFont="1"/>
    <xf numFmtId="2" fontId="44" fillId="2" borderId="0" xfId="0" applyNumberFormat="1" applyFont="1" applyFill="1" applyAlignment="1">
      <alignment horizontal="center"/>
    </xf>
    <xf numFmtId="2" fontId="44" fillId="0" borderId="0" xfId="0" applyNumberFormat="1" applyFont="1" applyAlignment="1">
      <alignment horizontal="center"/>
    </xf>
    <xf numFmtId="39" fontId="44" fillId="0" borderId="0" xfId="0" applyNumberFormat="1" applyFont="1" applyAlignment="1">
      <alignment horizontal="center"/>
    </xf>
    <xf numFmtId="39" fontId="0" fillId="0" borderId="0" xfId="0" applyNumberFormat="1" applyAlignment="1">
      <alignment horizontal="center"/>
    </xf>
    <xf numFmtId="179" fontId="120" fillId="0" borderId="21" xfId="0" applyNumberFormat="1" applyFont="1" applyBorder="1"/>
    <xf numFmtId="179" fontId="120" fillId="0" borderId="15" xfId="0" applyNumberFormat="1" applyFont="1" applyBorder="1"/>
    <xf numFmtId="179" fontId="120" fillId="0" borderId="16" xfId="0" applyNumberFormat="1" applyFont="1" applyBorder="1"/>
    <xf numFmtId="179" fontId="0" fillId="0" borderId="16" xfId="0" applyNumberFormat="1" applyBorder="1"/>
    <xf numFmtId="179" fontId="0" fillId="0" borderId="17" xfId="0" applyNumberFormat="1" applyBorder="1"/>
    <xf numFmtId="179" fontId="61" fillId="0" borderId="21" xfId="0" applyNumberFormat="1" applyFont="1" applyBorder="1"/>
    <xf numFmtId="179" fontId="54" fillId="0" borderId="24" xfId="0" applyNumberFormat="1" applyFont="1" applyBorder="1"/>
    <xf numFmtId="179" fontId="61" fillId="0" borderId="23" xfId="0" applyNumberFormat="1" applyFont="1" applyBorder="1"/>
    <xf numFmtId="179" fontId="61" fillId="0" borderId="25" xfId="0" applyNumberFormat="1" applyFont="1" applyBorder="1"/>
    <xf numFmtId="0" fontId="62" fillId="0" borderId="15" xfId="0" applyFont="1" applyBorder="1" applyAlignment="1">
      <alignment horizontal="left" indent="1"/>
    </xf>
    <xf numFmtId="176" fontId="0" fillId="0" borderId="16" xfId="0" applyNumberFormat="1" applyBorder="1"/>
    <xf numFmtId="0" fontId="0" fillId="0" borderId="20" xfId="0" applyBorder="1" applyAlignment="1">
      <alignment horizontal="left" indent="1"/>
    </xf>
    <xf numFmtId="0" fontId="0" fillId="0" borderId="24" xfId="0" applyBorder="1" applyAlignment="1">
      <alignment horizontal="left" indent="1"/>
    </xf>
    <xf numFmtId="179" fontId="0" fillId="0" borderId="23" xfId="0" applyNumberFormat="1" applyBorder="1"/>
    <xf numFmtId="0" fontId="0" fillId="0" borderId="15" xfId="0" applyBorder="1" applyAlignment="1">
      <alignment horizontal="left" indent="1"/>
    </xf>
    <xf numFmtId="178" fontId="0" fillId="0" borderId="17" xfId="0" applyNumberFormat="1" applyBorder="1" applyAlignment="1">
      <alignment horizontal="right" indent="1"/>
    </xf>
    <xf numFmtId="178" fontId="0" fillId="0" borderId="21" xfId="0" applyNumberFormat="1" applyBorder="1" applyAlignment="1">
      <alignment horizontal="right" indent="1"/>
    </xf>
    <xf numFmtId="178" fontId="61" fillId="0" borderId="0" xfId="0" applyNumberFormat="1" applyFont="1"/>
    <xf numFmtId="179" fontId="61" fillId="0" borderId="0" xfId="0" applyNumberFormat="1" applyFont="1"/>
    <xf numFmtId="179" fontId="54" fillId="0" borderId="0" xfId="0" applyNumberFormat="1" applyFont="1"/>
    <xf numFmtId="178" fontId="62" fillId="0" borderId="21" xfId="0" applyNumberFormat="1" applyFont="1" applyBorder="1" applyAlignment="1">
      <alignment horizontal="right" indent="1"/>
    </xf>
    <xf numFmtId="0" fontId="0" fillId="0" borderId="24" xfId="0" applyBorder="1" applyAlignment="1">
      <alignment horizontal="left" indent="4"/>
    </xf>
    <xf numFmtId="178" fontId="0" fillId="0" borderId="25" xfId="0" applyNumberFormat="1" applyBorder="1" applyAlignment="1">
      <alignment horizontal="right" indent="1"/>
    </xf>
    <xf numFmtId="0" fontId="0" fillId="0" borderId="0" xfId="0" applyAlignment="1">
      <alignment horizontal="left" indent="4"/>
    </xf>
    <xf numFmtId="178" fontId="0" fillId="0" borderId="0" xfId="0" applyNumberFormat="1" applyAlignment="1">
      <alignment horizontal="right" indent="1"/>
    </xf>
    <xf numFmtId="179" fontId="0" fillId="0" borderId="32" xfId="0" applyNumberFormat="1" applyBorder="1"/>
    <xf numFmtId="178" fontId="63" fillId="0" borderId="0" xfId="0" applyNumberFormat="1" applyFont="1" applyAlignment="1">
      <alignment horizontal="center"/>
    </xf>
    <xf numFmtId="0" fontId="122" fillId="0" borderId="0" xfId="0" applyFont="1"/>
    <xf numFmtId="0" fontId="0" fillId="0" borderId="0" xfId="0" applyAlignment="1">
      <alignment horizontal="left" indent="2"/>
    </xf>
    <xf numFmtId="9" fontId="122" fillId="25" borderId="0" xfId="0" applyNumberFormat="1" applyFont="1" applyFill="1" applyAlignment="1">
      <alignment horizontal="center"/>
    </xf>
    <xf numFmtId="9" fontId="122" fillId="29" borderId="0" xfId="0" applyNumberFormat="1" applyFont="1" applyFill="1" applyAlignment="1">
      <alignment horizontal="center"/>
    </xf>
    <xf numFmtId="0" fontId="123" fillId="0" borderId="0" xfId="0" applyFont="1"/>
    <xf numFmtId="186" fontId="61" fillId="0" borderId="0" xfId="0" applyNumberFormat="1" applyFont="1"/>
    <xf numFmtId="0" fontId="61" fillId="0" borderId="23" xfId="0" applyFont="1" applyBorder="1"/>
    <xf numFmtId="179" fontId="46" fillId="0" borderId="23" xfId="0" applyNumberFormat="1" applyFont="1" applyBorder="1"/>
    <xf numFmtId="0" fontId="124" fillId="0" borderId="0" xfId="0" applyFont="1"/>
    <xf numFmtId="0" fontId="98" fillId="0" borderId="0" xfId="76" applyFont="1"/>
    <xf numFmtId="0" fontId="2" fillId="0" borderId="0" xfId="76"/>
    <xf numFmtId="176" fontId="64" fillId="0" borderId="0" xfId="76" applyNumberFormat="1" applyFont="1"/>
    <xf numFmtId="176" fontId="124" fillId="0" borderId="0" xfId="76" applyNumberFormat="1" applyFont="1"/>
    <xf numFmtId="171" fontId="2" fillId="0" borderId="0" xfId="76" applyNumberFormat="1"/>
    <xf numFmtId="0" fontId="95" fillId="0" borderId="0" xfId="76" applyFont="1"/>
    <xf numFmtId="171" fontId="125" fillId="0" borderId="0" xfId="76" applyNumberFormat="1" applyFont="1" applyAlignment="1">
      <alignment horizontal="right"/>
    </xf>
    <xf numFmtId="0" fontId="124" fillId="0" borderId="0" xfId="76" applyFont="1"/>
    <xf numFmtId="0" fontId="42" fillId="0" borderId="18" xfId="76" applyFont="1" applyBorder="1"/>
    <xf numFmtId="0" fontId="42" fillId="0" borderId="5" xfId="76" applyFont="1" applyBorder="1"/>
    <xf numFmtId="176" fontId="126" fillId="0" borderId="0" xfId="76" applyNumberFormat="1" applyFont="1"/>
    <xf numFmtId="176" fontId="2" fillId="0" borderId="0" xfId="76" applyNumberFormat="1"/>
    <xf numFmtId="176" fontId="2" fillId="0" borderId="0" xfId="76" applyNumberFormat="1" applyAlignment="1">
      <alignment horizontal="right"/>
    </xf>
    <xf numFmtId="38" fontId="126" fillId="0" borderId="0" xfId="76" applyNumberFormat="1" applyFont="1" applyAlignment="1">
      <alignment horizontal="center"/>
    </xf>
    <xf numFmtId="10" fontId="2" fillId="0" borderId="0" xfId="76" applyNumberFormat="1"/>
    <xf numFmtId="10" fontId="2" fillId="0" borderId="0" xfId="76" applyNumberFormat="1" applyAlignment="1">
      <alignment horizontal="right"/>
    </xf>
    <xf numFmtId="1" fontId="126" fillId="0" borderId="0" xfId="76" applyNumberFormat="1" applyFont="1" applyAlignment="1">
      <alignment horizontal="center"/>
    </xf>
    <xf numFmtId="193" fontId="126" fillId="24" borderId="0" xfId="76" applyNumberFormat="1" applyFont="1" applyFill="1"/>
    <xf numFmtId="193" fontId="126" fillId="0" borderId="0" xfId="76" applyNumberFormat="1" applyFont="1"/>
    <xf numFmtId="193" fontId="126" fillId="0" borderId="0" xfId="76" applyNumberFormat="1" applyFont="1" applyAlignment="1">
      <alignment horizontal="right"/>
    </xf>
    <xf numFmtId="164" fontId="61" fillId="0" borderId="0" xfId="76" applyNumberFormat="1" applyFont="1" applyAlignment="1">
      <alignment horizontal="left"/>
    </xf>
    <xf numFmtId="0" fontId="2" fillId="0" borderId="0" xfId="76" applyAlignment="1">
      <alignment horizontal="right"/>
    </xf>
    <xf numFmtId="0" fontId="44" fillId="0" borderId="18" xfId="76" applyFont="1" applyBorder="1"/>
    <xf numFmtId="0" fontId="44" fillId="0" borderId="5" xfId="76" applyFont="1" applyBorder="1"/>
    <xf numFmtId="176" fontId="44" fillId="0" borderId="19" xfId="76" applyNumberFormat="1" applyFont="1" applyBorder="1"/>
    <xf numFmtId="176" fontId="44" fillId="0" borderId="20" xfId="76" applyNumberFormat="1" applyFont="1" applyBorder="1"/>
    <xf numFmtId="176" fontId="44" fillId="0" borderId="0" xfId="76" applyNumberFormat="1" applyFont="1" applyAlignment="1">
      <alignment horizontal="right"/>
    </xf>
    <xf numFmtId="0" fontId="44" fillId="34" borderId="41" xfId="76" applyFont="1" applyFill="1" applyBorder="1" applyAlignment="1">
      <alignment horizontal="left" indent="1"/>
    </xf>
    <xf numFmtId="0" fontId="2" fillId="34" borderId="46" xfId="76" applyFill="1" applyBorder="1"/>
    <xf numFmtId="0" fontId="2" fillId="34" borderId="4" xfId="76" applyFill="1" applyBorder="1"/>
    <xf numFmtId="0" fontId="2" fillId="34" borderId="42" xfId="76" applyFill="1" applyBorder="1"/>
    <xf numFmtId="0" fontId="127" fillId="0" borderId="0" xfId="76" applyFont="1"/>
    <xf numFmtId="0" fontId="61" fillId="34" borderId="14" xfId="76" applyFont="1" applyFill="1" applyBorder="1" applyAlignment="1">
      <alignment horizontal="center"/>
    </xf>
    <xf numFmtId="0" fontId="44" fillId="34" borderId="18" xfId="76" applyFont="1" applyFill="1" applyBorder="1" applyAlignment="1">
      <alignment horizontal="left" indent="1"/>
    </xf>
    <xf numFmtId="0" fontId="2" fillId="34" borderId="5" xfId="76" applyFill="1" applyBorder="1"/>
    <xf numFmtId="0" fontId="128" fillId="34" borderId="19" xfId="76" applyFont="1" applyFill="1" applyBorder="1" applyAlignment="1">
      <alignment horizontal="right"/>
    </xf>
    <xf numFmtId="0" fontId="44" fillId="34" borderId="47" xfId="76" applyFont="1" applyFill="1" applyBorder="1" applyAlignment="1">
      <alignment horizontal="center"/>
    </xf>
    <xf numFmtId="0" fontId="61" fillId="34" borderId="47" xfId="76" applyFont="1" applyFill="1" applyBorder="1" applyAlignment="1">
      <alignment horizontal="center"/>
    </xf>
    <xf numFmtId="0" fontId="129" fillId="34" borderId="24" xfId="76" applyFont="1" applyFill="1" applyBorder="1" applyAlignment="1">
      <alignment horizontal="center"/>
    </xf>
    <xf numFmtId="0" fontId="122" fillId="34" borderId="23" xfId="76" applyFont="1" applyFill="1" applyBorder="1" applyAlignment="1">
      <alignment horizontal="center"/>
    </xf>
    <xf numFmtId="0" fontId="122" fillId="34" borderId="18" xfId="76" applyFont="1" applyFill="1" applyBorder="1" applyAlignment="1">
      <alignment horizontal="center"/>
    </xf>
    <xf numFmtId="0" fontId="122" fillId="34" borderId="5" xfId="76" applyFont="1" applyFill="1" applyBorder="1" applyAlignment="1">
      <alignment horizontal="center"/>
    </xf>
    <xf numFmtId="0" fontId="122" fillId="34" borderId="19" xfId="76" applyFont="1" applyFill="1" applyBorder="1" applyAlignment="1">
      <alignment horizontal="center"/>
    </xf>
    <xf numFmtId="0" fontId="122" fillId="34" borderId="9" xfId="76" applyFont="1" applyFill="1" applyBorder="1" applyAlignment="1">
      <alignment horizontal="center"/>
    </xf>
    <xf numFmtId="0" fontId="2" fillId="0" borderId="20" xfId="76" applyBorder="1"/>
    <xf numFmtId="0" fontId="51" fillId="27" borderId="22" xfId="76" applyFont="1" applyFill="1" applyBorder="1" applyAlignment="1">
      <alignment horizontal="center"/>
    </xf>
    <xf numFmtId="0" fontId="2" fillId="0" borderId="0" xfId="76" applyAlignment="1">
      <alignment horizontal="center"/>
    </xf>
    <xf numFmtId="166" fontId="67" fillId="0" borderId="22" xfId="76" applyNumberFormat="1" applyFont="1" applyBorder="1"/>
    <xf numFmtId="176" fontId="2" fillId="0" borderId="21" xfId="76" applyNumberFormat="1" applyBorder="1"/>
    <xf numFmtId="171" fontId="124" fillId="0" borderId="0" xfId="76" applyNumberFormat="1" applyFont="1"/>
    <xf numFmtId="0" fontId="44" fillId="0" borderId="15" xfId="76" applyFont="1" applyBorder="1" applyAlignment="1">
      <alignment horizontal="center"/>
    </xf>
    <xf numFmtId="194" fontId="61" fillId="0" borderId="17" xfId="76" applyNumberFormat="1" applyFont="1" applyBorder="1" applyAlignment="1">
      <alignment horizontal="left"/>
    </xf>
    <xf numFmtId="0" fontId="44" fillId="0" borderId="20" xfId="76" applyFont="1" applyBorder="1" applyAlignment="1">
      <alignment horizontal="center"/>
    </xf>
    <xf numFmtId="194" fontId="61" fillId="0" borderId="21" xfId="76" applyNumberFormat="1" applyFont="1" applyBorder="1" applyAlignment="1">
      <alignment horizontal="left"/>
    </xf>
    <xf numFmtId="0" fontId="0" fillId="0" borderId="22" xfId="0" applyBorder="1"/>
    <xf numFmtId="176" fontId="61" fillId="0" borderId="0" xfId="76" applyNumberFormat="1" applyFont="1"/>
    <xf numFmtId="173" fontId="130" fillId="0" borderId="0" xfId="76" applyNumberFormat="1" applyFont="1"/>
    <xf numFmtId="194" fontId="61" fillId="29" borderId="21" xfId="76" applyNumberFormat="1" applyFont="1" applyFill="1" applyBorder="1" applyAlignment="1">
      <alignment horizontal="left"/>
    </xf>
    <xf numFmtId="0" fontId="0" fillId="29" borderId="20" xfId="0" applyFill="1" applyBorder="1"/>
    <xf numFmtId="0" fontId="0" fillId="29" borderId="21" xfId="0" applyFill="1" applyBorder="1"/>
    <xf numFmtId="173" fontId="47" fillId="29" borderId="0" xfId="0" applyNumberFormat="1" applyFont="1" applyFill="1" applyAlignment="1">
      <alignment horizontal="center"/>
    </xf>
    <xf numFmtId="0" fontId="0" fillId="29" borderId="22" xfId="0" applyFill="1" applyBorder="1"/>
    <xf numFmtId="175" fontId="51" fillId="29" borderId="21" xfId="76" applyNumberFormat="1" applyFont="1" applyFill="1" applyBorder="1" applyAlignment="1">
      <alignment horizontal="center"/>
    </xf>
    <xf numFmtId="0" fontId="93" fillId="0" borderId="20" xfId="0" applyFont="1" applyBorder="1"/>
    <xf numFmtId="194" fontId="61" fillId="0" borderId="0" xfId="76" applyNumberFormat="1" applyFont="1" applyAlignment="1">
      <alignment horizontal="left"/>
    </xf>
    <xf numFmtId="179" fontId="61" fillId="0" borderId="0" xfId="76" applyNumberFormat="1" applyFont="1"/>
    <xf numFmtId="178" fontId="2" fillId="0" borderId="0" xfId="76" applyNumberFormat="1"/>
    <xf numFmtId="180" fontId="2" fillId="0" borderId="0" xfId="76" applyNumberFormat="1"/>
    <xf numFmtId="0" fontId="131" fillId="0" borderId="20" xfId="76" applyFont="1" applyBorder="1" applyAlignment="1">
      <alignment horizontal="left"/>
    </xf>
    <xf numFmtId="173" fontId="47" fillId="0" borderId="0" xfId="0" applyNumberFormat="1" applyFont="1" applyAlignment="1">
      <alignment horizontal="center"/>
    </xf>
    <xf numFmtId="175" fontId="51" fillId="0" borderId="21" xfId="76" applyNumberFormat="1" applyFont="1" applyBorder="1" applyAlignment="1">
      <alignment horizontal="center"/>
    </xf>
    <xf numFmtId="10" fontId="61" fillId="0" borderId="0" xfId="3" applyNumberFormat="1" applyFont="1"/>
    <xf numFmtId="0" fontId="44" fillId="0" borderId="0" xfId="76" applyFont="1"/>
    <xf numFmtId="171" fontId="132" fillId="0" borderId="0" xfId="76" applyNumberFormat="1" applyFont="1"/>
    <xf numFmtId="0" fontId="44" fillId="30" borderId="20" xfId="76" applyFont="1" applyFill="1" applyBorder="1" applyAlignment="1">
      <alignment horizontal="center"/>
    </xf>
    <xf numFmtId="194" fontId="93" fillId="30" borderId="0" xfId="76" applyNumberFormat="1" applyFont="1" applyFill="1" applyAlignment="1">
      <alignment horizontal="left"/>
    </xf>
    <xf numFmtId="0" fontId="44" fillId="30" borderId="20" xfId="0" applyFont="1" applyFill="1" applyBorder="1"/>
    <xf numFmtId="0" fontId="131" fillId="30" borderId="20" xfId="76" applyFont="1" applyFill="1" applyBorder="1" applyAlignment="1">
      <alignment horizontal="left"/>
    </xf>
    <xf numFmtId="9" fontId="131" fillId="30" borderId="21" xfId="76" applyNumberFormat="1" applyFont="1" applyFill="1" applyBorder="1" applyAlignment="1">
      <alignment horizontal="center"/>
    </xf>
    <xf numFmtId="173" fontId="47" fillId="30" borderId="0" xfId="0" applyNumberFormat="1" applyFont="1" applyFill="1" applyAlignment="1">
      <alignment horizontal="center"/>
    </xf>
    <xf numFmtId="0" fontId="33" fillId="30" borderId="0" xfId="76" applyFont="1" applyFill="1" applyAlignment="1">
      <alignment horizontal="center"/>
    </xf>
    <xf numFmtId="0" fontId="33" fillId="30" borderId="22" xfId="76" applyFont="1" applyFill="1" applyBorder="1" applyAlignment="1">
      <alignment horizontal="center"/>
    </xf>
    <xf numFmtId="175" fontId="51" fillId="30" borderId="21" xfId="76" applyNumberFormat="1" applyFont="1" applyFill="1" applyBorder="1" applyAlignment="1">
      <alignment horizontal="center"/>
    </xf>
    <xf numFmtId="0" fontId="2" fillId="0" borderId="48" xfId="76" applyBorder="1"/>
    <xf numFmtId="0" fontId="51" fillId="27" borderId="47" xfId="76" applyFont="1" applyFill="1" applyBorder="1" applyAlignment="1">
      <alignment horizontal="center"/>
    </xf>
    <xf numFmtId="166" fontId="67" fillId="0" borderId="47" xfId="76" applyNumberFormat="1" applyFont="1" applyBorder="1"/>
    <xf numFmtId="176" fontId="2" fillId="0" borderId="49" xfId="76" applyNumberFormat="1" applyBorder="1"/>
    <xf numFmtId="0" fontId="44" fillId="0" borderId="24" xfId="76" applyFont="1" applyBorder="1" applyAlignment="1">
      <alignment horizontal="center"/>
    </xf>
    <xf numFmtId="0" fontId="131" fillId="0" borderId="24" xfId="76" applyFont="1" applyBorder="1" applyAlignment="1">
      <alignment horizontal="left"/>
    </xf>
    <xf numFmtId="9" fontId="130" fillId="0" borderId="25" xfId="76" applyNumberFormat="1" applyFont="1" applyBorder="1" applyAlignment="1">
      <alignment horizontal="center"/>
    </xf>
    <xf numFmtId="173" fontId="33" fillId="0" borderId="23" xfId="76" applyNumberFormat="1" applyFont="1" applyBorder="1" applyAlignment="1">
      <alignment horizontal="center"/>
    </xf>
    <xf numFmtId="0" fontId="2" fillId="0" borderId="23" xfId="76" applyBorder="1" applyAlignment="1">
      <alignment horizontal="center"/>
    </xf>
    <xf numFmtId="0" fontId="2" fillId="0" borderId="26" xfId="76" applyBorder="1" applyAlignment="1">
      <alignment horizontal="center"/>
    </xf>
    <xf numFmtId="175" fontId="51" fillId="0" borderId="26" xfId="76" applyNumberFormat="1" applyFont="1" applyBorder="1" applyAlignment="1">
      <alignment horizontal="center"/>
    </xf>
    <xf numFmtId="0" fontId="44" fillId="0" borderId="24" xfId="76" applyFont="1" applyBorder="1"/>
    <xf numFmtId="0" fontId="44" fillId="0" borderId="26" xfId="76" applyFont="1" applyBorder="1" applyAlignment="1">
      <alignment horizontal="center"/>
    </xf>
    <xf numFmtId="0" fontId="44" fillId="0" borderId="50" xfId="76" applyFont="1" applyBorder="1" applyAlignment="1">
      <alignment horizontal="center"/>
    </xf>
    <xf numFmtId="0" fontId="44" fillId="0" borderId="26" xfId="76" applyFont="1" applyBorder="1"/>
    <xf numFmtId="176" fontId="44" fillId="0" borderId="25" xfId="76" applyNumberFormat="1" applyFont="1" applyBorder="1"/>
    <xf numFmtId="194" fontId="61" fillId="29" borderId="16" xfId="76" applyNumberFormat="1" applyFont="1" applyFill="1" applyBorder="1" applyAlignment="1">
      <alignment horizontal="left"/>
    </xf>
    <xf numFmtId="0" fontId="0" fillId="29" borderId="14" xfId="0" applyFill="1" applyBorder="1"/>
    <xf numFmtId="0" fontId="131" fillId="29" borderId="20" xfId="76" applyFont="1" applyFill="1" applyBorder="1" applyAlignment="1">
      <alignment horizontal="left"/>
    </xf>
    <xf numFmtId="9" fontId="130" fillId="29" borderId="0" xfId="76" applyNumberFormat="1" applyFont="1" applyFill="1" applyAlignment="1">
      <alignment horizontal="center"/>
    </xf>
    <xf numFmtId="173" fontId="47" fillId="29" borderId="15" xfId="76" applyNumberFormat="1" applyFont="1" applyFill="1" applyBorder="1" applyAlignment="1">
      <alignment horizontal="center"/>
    </xf>
    <xf numFmtId="0" fontId="0" fillId="29" borderId="17" xfId="0" applyFill="1" applyBorder="1"/>
    <xf numFmtId="175" fontId="51" fillId="29" borderId="14" xfId="76" applyNumberFormat="1" applyFont="1" applyFill="1" applyBorder="1" applyAlignment="1">
      <alignment horizontal="center"/>
    </xf>
    <xf numFmtId="9" fontId="130" fillId="0" borderId="0" xfId="76" applyNumberFormat="1" applyFont="1" applyAlignment="1">
      <alignment horizontal="center"/>
    </xf>
    <xf numFmtId="173" fontId="2" fillId="0" borderId="21" xfId="76" applyNumberFormat="1" applyBorder="1" applyAlignment="1">
      <alignment horizontal="center"/>
    </xf>
    <xf numFmtId="173" fontId="47" fillId="29" borderId="20" xfId="76" applyNumberFormat="1" applyFont="1" applyFill="1" applyBorder="1" applyAlignment="1">
      <alignment horizontal="center"/>
    </xf>
    <xf numFmtId="175" fontId="51" fillId="29" borderId="22" xfId="76" applyNumberFormat="1" applyFont="1" applyFill="1" applyBorder="1" applyAlignment="1">
      <alignment horizontal="center"/>
    </xf>
    <xf numFmtId="0" fontId="2" fillId="0" borderId="21" xfId="76" applyBorder="1" applyAlignment="1">
      <alignment horizontal="center"/>
    </xf>
    <xf numFmtId="173" fontId="47" fillId="0" borderId="20" xfId="76" applyNumberFormat="1" applyFont="1" applyBorder="1" applyAlignment="1">
      <alignment horizontal="center"/>
    </xf>
    <xf numFmtId="175" fontId="51" fillId="0" borderId="22" xfId="76" applyNumberFormat="1" applyFont="1" applyBorder="1" applyAlignment="1">
      <alignment horizontal="center"/>
    </xf>
    <xf numFmtId="38" fontId="51" fillId="27" borderId="22" xfId="76" applyNumberFormat="1" applyFont="1" applyFill="1" applyBorder="1" applyAlignment="1">
      <alignment horizontal="center"/>
    </xf>
    <xf numFmtId="0" fontId="2" fillId="30" borderId="20" xfId="76" applyFill="1" applyBorder="1" applyAlignment="1">
      <alignment horizontal="center"/>
    </xf>
    <xf numFmtId="194" fontId="61" fillId="30" borderId="0" xfId="76" applyNumberFormat="1" applyFont="1" applyFill="1" applyAlignment="1">
      <alignment horizontal="left"/>
    </xf>
    <xf numFmtId="0" fontId="0" fillId="30" borderId="22" xfId="0" applyFill="1" applyBorder="1"/>
    <xf numFmtId="173" fontId="47" fillId="30" borderId="20" xfId="76" applyNumberFormat="1" applyFont="1" applyFill="1" applyBorder="1" applyAlignment="1">
      <alignment horizontal="center"/>
    </xf>
    <xf numFmtId="0" fontId="0" fillId="30" borderId="21" xfId="0" applyFill="1" applyBorder="1"/>
    <xf numFmtId="175" fontId="51" fillId="30" borderId="22" xfId="76" applyNumberFormat="1" applyFont="1" applyFill="1" applyBorder="1" applyAlignment="1">
      <alignment horizontal="center"/>
    </xf>
    <xf numFmtId="0" fontId="2" fillId="0" borderId="20" xfId="76" applyBorder="1" applyAlignment="1">
      <alignment horizontal="center"/>
    </xf>
    <xf numFmtId="0" fontId="2" fillId="0" borderId="24" xfId="76" applyBorder="1" applyAlignment="1">
      <alignment horizontal="center"/>
    </xf>
    <xf numFmtId="0" fontId="0" fillId="0" borderId="26" xfId="0" applyBorder="1"/>
    <xf numFmtId="0" fontId="131" fillId="29" borderId="24" xfId="76" applyFont="1" applyFill="1" applyBorder="1" applyAlignment="1">
      <alignment horizontal="left"/>
    </xf>
    <xf numFmtId="0" fontId="0" fillId="29" borderId="23" xfId="0" applyFill="1" applyBorder="1"/>
    <xf numFmtId="173" fontId="47" fillId="29" borderId="24" xfId="76" applyNumberFormat="1" applyFont="1" applyFill="1" applyBorder="1" applyAlignment="1">
      <alignment horizontal="center"/>
    </xf>
    <xf numFmtId="0" fontId="0" fillId="29" borderId="25" xfId="0" applyFill="1" applyBorder="1"/>
    <xf numFmtId="175" fontId="51" fillId="29" borderId="26" xfId="76" applyNumberFormat="1" applyFont="1" applyFill="1" applyBorder="1" applyAlignment="1">
      <alignment horizontal="center"/>
    </xf>
    <xf numFmtId="0" fontId="2" fillId="0" borderId="51" xfId="76" applyBorder="1"/>
    <xf numFmtId="38" fontId="51" fillId="27" borderId="52" xfId="76" applyNumberFormat="1" applyFont="1" applyFill="1" applyBorder="1" applyAlignment="1">
      <alignment horizontal="center"/>
    </xf>
    <xf numFmtId="166" fontId="67" fillId="0" borderId="52" xfId="76" applyNumberFormat="1" applyFont="1" applyBorder="1"/>
    <xf numFmtId="176" fontId="2" fillId="0" borderId="54" xfId="76" applyNumberFormat="1" applyBorder="1"/>
    <xf numFmtId="0" fontId="44" fillId="0" borderId="20" xfId="76" applyFont="1" applyBorder="1"/>
    <xf numFmtId="0" fontId="2" fillId="0" borderId="55" xfId="76" applyBorder="1"/>
    <xf numFmtId="38" fontId="51" fillId="27" borderId="56" xfId="76" applyNumberFormat="1" applyFont="1" applyFill="1" applyBorder="1" applyAlignment="1">
      <alignment horizontal="center"/>
    </xf>
    <xf numFmtId="166" fontId="67" fillId="0" borderId="56" xfId="76" applyNumberFormat="1" applyFont="1" applyBorder="1"/>
    <xf numFmtId="176" fontId="2" fillId="0" borderId="58" xfId="76" applyNumberFormat="1" applyBorder="1"/>
    <xf numFmtId="9" fontId="2" fillId="0" borderId="0" xfId="76" applyNumberFormat="1" applyAlignment="1">
      <alignment horizontal="center"/>
    </xf>
    <xf numFmtId="173" fontId="33" fillId="0" borderId="20" xfId="76" applyNumberFormat="1" applyFont="1" applyBorder="1" applyAlignment="1">
      <alignment horizontal="center"/>
    </xf>
    <xf numFmtId="10" fontId="51" fillId="0" borderId="22" xfId="76" applyNumberFormat="1" applyFont="1" applyBorder="1" applyAlignment="1">
      <alignment horizontal="center"/>
    </xf>
    <xf numFmtId="38" fontId="51" fillId="27" borderId="47" xfId="76" applyNumberFormat="1" applyFont="1" applyFill="1" applyBorder="1" applyAlignment="1">
      <alignment horizontal="center"/>
    </xf>
    <xf numFmtId="194" fontId="93" fillId="30" borderId="21" xfId="76" applyNumberFormat="1" applyFont="1" applyFill="1" applyBorder="1" applyAlignment="1">
      <alignment horizontal="left"/>
    </xf>
    <xf numFmtId="0" fontId="44" fillId="30" borderId="22" xfId="0" applyFont="1" applyFill="1" applyBorder="1"/>
    <xf numFmtId="0" fontId="2" fillId="30" borderId="0" xfId="76" applyFill="1" applyAlignment="1">
      <alignment horizontal="center"/>
    </xf>
    <xf numFmtId="173" fontId="2" fillId="30" borderId="21" xfId="76" applyNumberFormat="1" applyFill="1" applyBorder="1" applyAlignment="1">
      <alignment horizontal="center"/>
    </xf>
    <xf numFmtId="173" fontId="0" fillId="30" borderId="0" xfId="0" applyNumberFormat="1" applyFill="1" applyAlignment="1">
      <alignment horizontal="center"/>
    </xf>
    <xf numFmtId="10" fontId="51" fillId="30" borderId="22" xfId="76" applyNumberFormat="1" applyFont="1" applyFill="1" applyBorder="1" applyAlignment="1">
      <alignment horizontal="center"/>
    </xf>
    <xf numFmtId="0" fontId="131" fillId="0" borderId="20" xfId="76" applyFont="1" applyBorder="1" applyAlignment="1">
      <alignment horizontal="center"/>
    </xf>
    <xf numFmtId="173" fontId="101" fillId="0" borderId="20" xfId="76" applyNumberFormat="1" applyFont="1" applyBorder="1" applyAlignment="1">
      <alignment horizontal="center"/>
    </xf>
    <xf numFmtId="176" fontId="101" fillId="0" borderId="21" xfId="76" applyNumberFormat="1" applyFont="1" applyBorder="1" applyAlignment="1">
      <alignment horizontal="center"/>
    </xf>
    <xf numFmtId="176" fontId="101" fillId="0" borderId="0" xfId="76" applyNumberFormat="1" applyFont="1" applyAlignment="1">
      <alignment horizontal="center"/>
    </xf>
    <xf numFmtId="194" fontId="61" fillId="0" borderId="25" xfId="76" applyNumberFormat="1" applyFont="1" applyBorder="1" applyAlignment="1">
      <alignment horizontal="left"/>
    </xf>
    <xf numFmtId="0" fontId="130" fillId="0" borderId="0" xfId="76" applyFont="1"/>
    <xf numFmtId="0" fontId="93" fillId="29" borderId="20" xfId="0" applyFont="1" applyFill="1" applyBorder="1"/>
    <xf numFmtId="175" fontId="133" fillId="29" borderId="22" xfId="76" applyNumberFormat="1" applyFont="1" applyFill="1" applyBorder="1" applyAlignment="1">
      <alignment horizontal="center"/>
    </xf>
    <xf numFmtId="0" fontId="0" fillId="0" borderId="20" xfId="76" applyFont="1" applyBorder="1"/>
    <xf numFmtId="0" fontId="61" fillId="0" borderId="20" xfId="0" applyFont="1" applyBorder="1"/>
    <xf numFmtId="173" fontId="34" fillId="0" borderId="20" xfId="76" applyNumberFormat="1" applyFont="1" applyBorder="1" applyAlignment="1">
      <alignment horizontal="center"/>
    </xf>
    <xf numFmtId="10" fontId="64" fillId="0" borderId="22" xfId="76" applyNumberFormat="1" applyFont="1" applyBorder="1" applyAlignment="1">
      <alignment horizontal="center"/>
    </xf>
    <xf numFmtId="176" fontId="93" fillId="0" borderId="0" xfId="76" applyNumberFormat="1" applyFont="1"/>
    <xf numFmtId="0" fontId="44" fillId="30" borderId="20" xfId="76" applyFont="1" applyFill="1" applyBorder="1"/>
    <xf numFmtId="194" fontId="61" fillId="30" borderId="21" xfId="76" applyNumberFormat="1" applyFont="1" applyFill="1" applyBorder="1" applyAlignment="1">
      <alignment horizontal="left"/>
    </xf>
    <xf numFmtId="0" fontId="93" fillId="30" borderId="20" xfId="0" applyFont="1" applyFill="1" applyBorder="1"/>
    <xf numFmtId="194" fontId="61" fillId="29" borderId="25" xfId="76" applyNumberFormat="1" applyFont="1" applyFill="1" applyBorder="1" applyAlignment="1">
      <alignment horizontal="left"/>
    </xf>
    <xf numFmtId="0" fontId="0" fillId="29" borderId="26" xfId="0" applyFill="1" applyBorder="1"/>
    <xf numFmtId="0" fontId="93" fillId="0" borderId="24" xfId="0" applyFont="1" applyBorder="1"/>
    <xf numFmtId="173" fontId="47" fillId="0" borderId="24" xfId="76" applyNumberFormat="1" applyFont="1" applyBorder="1" applyAlignment="1">
      <alignment horizontal="center"/>
    </xf>
    <xf numFmtId="173" fontId="176" fillId="0" borderId="0" xfId="1" applyNumberFormat="1"/>
    <xf numFmtId="0" fontId="132" fillId="0" borderId="0" xfId="76" applyFont="1"/>
    <xf numFmtId="0" fontId="124" fillId="0" borderId="0" xfId="76" applyFont="1" applyAlignment="1">
      <alignment horizontal="center"/>
    </xf>
    <xf numFmtId="0" fontId="93" fillId="0" borderId="0" xfId="76" applyFont="1"/>
    <xf numFmtId="185" fontId="8" fillId="0" borderId="35" xfId="73" applyNumberFormat="1" applyFont="1" applyBorder="1" applyProtection="1">
      <protection locked="0"/>
    </xf>
    <xf numFmtId="0" fontId="134" fillId="0" borderId="0" xfId="0" applyFont="1"/>
    <xf numFmtId="171" fontId="135" fillId="0" borderId="35" xfId="73" applyNumberFormat="1" applyFont="1" applyBorder="1" applyAlignment="1" applyProtection="1">
      <alignment horizontal="center"/>
      <protection locked="0"/>
    </xf>
    <xf numFmtId="185" fontId="136" fillId="0" borderId="35" xfId="73" applyNumberFormat="1" applyFont="1" applyBorder="1" applyProtection="1">
      <protection locked="0"/>
    </xf>
    <xf numFmtId="185" fontId="8" fillId="0" borderId="36" xfId="73" applyNumberFormat="1" applyFont="1" applyBorder="1" applyProtection="1">
      <protection locked="0"/>
    </xf>
    <xf numFmtId="185" fontId="8" fillId="0" borderId="0" xfId="73" applyNumberFormat="1" applyFont="1" applyProtection="1">
      <protection locked="0"/>
    </xf>
    <xf numFmtId="185" fontId="8" fillId="0" borderId="0" xfId="73" applyNumberFormat="1" applyFont="1" applyAlignment="1" applyProtection="1">
      <alignment horizontal="center"/>
      <protection locked="0"/>
    </xf>
    <xf numFmtId="185" fontId="137" fillId="0" borderId="0" xfId="73" applyNumberFormat="1" applyFont="1" applyProtection="1">
      <protection locked="0"/>
    </xf>
    <xf numFmtId="3" fontId="8" fillId="0" borderId="0" xfId="73" applyNumberFormat="1" applyFont="1" applyAlignment="1" applyProtection="1">
      <alignment horizontal="center"/>
      <protection locked="0"/>
    </xf>
    <xf numFmtId="0" fontId="8" fillId="0" borderId="0" xfId="73" applyFont="1" applyAlignment="1" applyProtection="1">
      <alignment horizontal="center"/>
      <protection locked="0"/>
    </xf>
    <xf numFmtId="185" fontId="8" fillId="0" borderId="38" xfId="73" applyNumberFormat="1" applyFont="1" applyBorder="1" applyAlignment="1" applyProtection="1">
      <alignment horizontal="center"/>
      <protection locked="0"/>
    </xf>
    <xf numFmtId="185" fontId="138" fillId="0" borderId="0" xfId="73" applyNumberFormat="1" applyFont="1" applyAlignment="1" applyProtection="1">
      <alignment horizontal="center"/>
      <protection locked="0"/>
    </xf>
    <xf numFmtId="185" fontId="15" fillId="0" borderId="0" xfId="73" applyNumberFormat="1" applyFont="1" applyProtection="1">
      <protection locked="0"/>
    </xf>
    <xf numFmtId="0" fontId="138" fillId="0" borderId="0" xfId="73" applyFont="1" applyAlignment="1" applyProtection="1">
      <alignment horizontal="center"/>
      <protection locked="0"/>
    </xf>
    <xf numFmtId="195" fontId="138" fillId="0" borderId="0" xfId="73" applyNumberFormat="1" applyFont="1" applyAlignment="1" applyProtection="1">
      <alignment horizontal="center"/>
      <protection locked="0"/>
    </xf>
    <xf numFmtId="0" fontId="139" fillId="29" borderId="0" xfId="73" applyFont="1" applyFill="1" applyAlignment="1" applyProtection="1">
      <alignment horizontal="center"/>
      <protection locked="0"/>
    </xf>
    <xf numFmtId="185" fontId="139" fillId="29" borderId="38" xfId="73" applyNumberFormat="1" applyFont="1" applyFill="1" applyBorder="1" applyAlignment="1" applyProtection="1">
      <alignment horizontal="center"/>
      <protection locked="0"/>
    </xf>
    <xf numFmtId="185" fontId="139" fillId="29" borderId="0" xfId="73" applyNumberFormat="1" applyFont="1" applyFill="1" applyAlignment="1" applyProtection="1">
      <alignment horizontal="center"/>
      <protection locked="0"/>
    </xf>
    <xf numFmtId="0" fontId="104" fillId="0" borderId="0" xfId="0" applyFont="1" applyAlignment="1">
      <alignment horizontal="center"/>
    </xf>
    <xf numFmtId="0" fontId="8" fillId="0" borderId="0" xfId="73" applyFont="1" applyProtection="1">
      <protection locked="0"/>
    </xf>
    <xf numFmtId="185" fontId="8" fillId="0" borderId="21" xfId="73" applyNumberFormat="1" applyFont="1" applyBorder="1" applyProtection="1">
      <protection locked="0"/>
    </xf>
    <xf numFmtId="185" fontId="140" fillId="16" borderId="14" xfId="73" applyNumberFormat="1" applyFont="1" applyFill="1" applyBorder="1" applyAlignment="1" applyProtection="1">
      <alignment horizontal="center"/>
      <protection locked="0"/>
    </xf>
    <xf numFmtId="185" fontId="141" fillId="30" borderId="14" xfId="73" applyNumberFormat="1" applyFont="1" applyFill="1" applyBorder="1" applyAlignment="1" applyProtection="1">
      <alignment horizontal="center"/>
      <protection locked="0"/>
    </xf>
    <xf numFmtId="185" fontId="140" fillId="16" borderId="14" xfId="73" applyNumberFormat="1" applyFont="1" applyFill="1" applyBorder="1" applyAlignment="1" applyProtection="1">
      <alignment horizontal="left"/>
      <protection locked="0"/>
    </xf>
    <xf numFmtId="185" fontId="142" fillId="16" borderId="14" xfId="73" applyNumberFormat="1" applyFont="1" applyFill="1" applyBorder="1" applyAlignment="1" applyProtection="1">
      <alignment horizontal="center"/>
      <protection locked="0"/>
    </xf>
    <xf numFmtId="185" fontId="143" fillId="16" borderId="14" xfId="73" applyNumberFormat="1" applyFont="1" applyFill="1" applyBorder="1" applyAlignment="1" applyProtection="1">
      <alignment horizontal="center"/>
      <protection locked="0"/>
    </xf>
    <xf numFmtId="185" fontId="141" fillId="16" borderId="14" xfId="73" applyNumberFormat="1" applyFont="1" applyFill="1" applyBorder="1" applyAlignment="1" applyProtection="1">
      <alignment horizontal="center"/>
      <protection locked="0"/>
    </xf>
    <xf numFmtId="185" fontId="138" fillId="30" borderId="14" xfId="73" applyNumberFormat="1" applyFont="1" applyFill="1" applyBorder="1" applyAlignment="1" applyProtection="1">
      <alignment horizontal="center"/>
      <protection locked="0"/>
    </xf>
    <xf numFmtId="0" fontId="143" fillId="16" borderId="15" xfId="73" applyFont="1" applyFill="1" applyBorder="1" applyAlignment="1" applyProtection="1">
      <alignment horizontal="center" vertical="center"/>
      <protection locked="0"/>
    </xf>
    <xf numFmtId="0" fontId="141" fillId="0" borderId="9" xfId="73" applyFont="1" applyBorder="1" applyAlignment="1" applyProtection="1">
      <alignment horizontal="center" vertical="center"/>
      <protection locked="0"/>
    </xf>
    <xf numFmtId="185" fontId="15" fillId="0" borderId="23" xfId="73" applyNumberFormat="1" applyFont="1" applyBorder="1" applyProtection="1">
      <protection locked="0"/>
    </xf>
    <xf numFmtId="185" fontId="140" fillId="16" borderId="26" xfId="73" applyNumberFormat="1" applyFont="1" applyFill="1" applyBorder="1" applyAlignment="1" applyProtection="1">
      <alignment horizontal="center"/>
      <protection locked="0"/>
    </xf>
    <xf numFmtId="185" fontId="139" fillId="30" borderId="26" xfId="73" applyNumberFormat="1" applyFont="1" applyFill="1" applyBorder="1" applyAlignment="1" applyProtection="1">
      <alignment horizontal="center"/>
      <protection locked="0"/>
    </xf>
    <xf numFmtId="185" fontId="141" fillId="16" borderId="26" xfId="73" applyNumberFormat="1" applyFont="1" applyFill="1" applyBorder="1" applyAlignment="1" applyProtection="1">
      <alignment horizontal="center"/>
      <protection locked="0"/>
    </xf>
    <xf numFmtId="185" fontId="143" fillId="16" borderId="26" xfId="73" applyNumberFormat="1" applyFont="1" applyFill="1" applyBorder="1" applyAlignment="1" applyProtection="1">
      <alignment horizontal="center"/>
      <protection locked="0"/>
    </xf>
    <xf numFmtId="185" fontId="140" fillId="16" borderId="22" xfId="73" applyNumberFormat="1" applyFont="1" applyFill="1" applyBorder="1" applyAlignment="1" applyProtection="1">
      <alignment horizontal="center"/>
      <protection locked="0"/>
    </xf>
    <xf numFmtId="185" fontId="141" fillId="30" borderId="26" xfId="73" applyNumberFormat="1" applyFont="1" applyFill="1" applyBorder="1" applyAlignment="1" applyProtection="1">
      <alignment horizontal="center"/>
      <protection locked="0"/>
    </xf>
    <xf numFmtId="185" fontId="138" fillId="30" borderId="26" xfId="73" applyNumberFormat="1" applyFont="1" applyFill="1" applyBorder="1" applyAlignment="1" applyProtection="1">
      <alignment horizontal="center"/>
      <protection locked="0"/>
    </xf>
    <xf numFmtId="185" fontId="140" fillId="16" borderId="24" xfId="73" applyNumberFormat="1" applyFont="1" applyFill="1" applyBorder="1" applyAlignment="1" applyProtection="1">
      <alignment horizontal="center"/>
      <protection locked="0"/>
    </xf>
    <xf numFmtId="185" fontId="140" fillId="0" borderId="9" xfId="73" applyNumberFormat="1" applyFont="1" applyBorder="1" applyAlignment="1" applyProtection="1">
      <alignment horizontal="center"/>
      <protection locked="0"/>
    </xf>
    <xf numFmtId="185" fontId="8" fillId="28" borderId="16" xfId="73" applyNumberFormat="1" applyFont="1" applyFill="1" applyBorder="1" applyProtection="1">
      <protection locked="0"/>
    </xf>
    <xf numFmtId="185" fontId="8" fillId="28" borderId="17" xfId="73" applyNumberFormat="1" applyFont="1" applyFill="1" applyBorder="1" applyProtection="1">
      <protection locked="0"/>
    </xf>
    <xf numFmtId="3" fontId="141" fillId="28" borderId="25" xfId="73" applyNumberFormat="1" applyFont="1" applyFill="1" applyBorder="1" applyAlignment="1" applyProtection="1">
      <alignment horizontal="right" vertical="center"/>
      <protection locked="0"/>
    </xf>
    <xf numFmtId="185" fontId="140" fillId="28" borderId="26" xfId="73" applyNumberFormat="1" applyFont="1" applyFill="1" applyBorder="1" applyAlignment="1" applyProtection="1">
      <alignment horizontal="center"/>
      <protection locked="0"/>
    </xf>
    <xf numFmtId="37" fontId="141" fillId="28" borderId="26" xfId="73" applyNumberFormat="1" applyFont="1" applyFill="1" applyBorder="1" applyAlignment="1" applyProtection="1">
      <alignment horizontal="right"/>
      <protection locked="0"/>
    </xf>
    <xf numFmtId="185" fontId="141" fillId="28" borderId="26" xfId="73" applyNumberFormat="1" applyFont="1" applyFill="1" applyBorder="1" applyAlignment="1" applyProtection="1">
      <alignment horizontal="center"/>
      <protection locked="0"/>
    </xf>
    <xf numFmtId="185" fontId="143" fillId="28" borderId="26" xfId="73" applyNumberFormat="1" applyFont="1" applyFill="1" applyBorder="1" applyAlignment="1" applyProtection="1">
      <alignment horizontal="center"/>
      <protection locked="0"/>
    </xf>
    <xf numFmtId="185" fontId="140" fillId="28" borderId="22" xfId="73" applyNumberFormat="1" applyFont="1" applyFill="1" applyBorder="1" applyAlignment="1" applyProtection="1">
      <alignment horizontal="center"/>
      <protection locked="0"/>
    </xf>
    <xf numFmtId="185" fontId="143" fillId="30" borderId="26" xfId="73" applyNumberFormat="1" applyFont="1" applyFill="1" applyBorder="1" applyAlignment="1" applyProtection="1">
      <alignment horizontal="center"/>
      <protection locked="0"/>
    </xf>
    <xf numFmtId="177" fontId="141" fillId="30" borderId="26" xfId="73" applyNumberFormat="1" applyFont="1" applyFill="1" applyBorder="1" applyAlignment="1" applyProtection="1">
      <alignment horizontal="center"/>
      <protection locked="0"/>
    </xf>
    <xf numFmtId="196" fontId="8" fillId="0" borderId="0" xfId="37" applyNumberFormat="1" applyFont="1" applyProtection="1">
      <protection locked="0"/>
    </xf>
    <xf numFmtId="197" fontId="8" fillId="27" borderId="5" xfId="37" applyNumberFormat="1" applyFont="1" applyFill="1" applyBorder="1" applyAlignment="1" applyProtection="1">
      <alignment horizontal="left" vertical="center"/>
      <protection locked="0"/>
    </xf>
    <xf numFmtId="196" fontId="8" fillId="27" borderId="5" xfId="37" applyNumberFormat="1" applyFont="1" applyFill="1" applyBorder="1" applyProtection="1">
      <protection locked="0"/>
    </xf>
    <xf numFmtId="196" fontId="8" fillId="27" borderId="19" xfId="37" applyNumberFormat="1" applyFont="1" applyFill="1" applyBorder="1" applyProtection="1">
      <protection locked="0"/>
    </xf>
    <xf numFmtId="196" fontId="8" fillId="27" borderId="9" xfId="37" applyNumberFormat="1" applyFont="1" applyFill="1" applyBorder="1" applyAlignment="1" applyProtection="1">
      <alignment horizontal="right" vertical="center"/>
      <protection locked="0"/>
    </xf>
    <xf numFmtId="196" fontId="8" fillId="27" borderId="9" xfId="37" applyNumberFormat="1" applyFont="1" applyFill="1" applyBorder="1" applyProtection="1">
      <protection locked="0"/>
    </xf>
    <xf numFmtId="198" fontId="8" fillId="27" borderId="26" xfId="37" applyNumberFormat="1" applyFont="1" applyFill="1" applyBorder="1" applyProtection="1">
      <protection locked="0"/>
    </xf>
    <xf numFmtId="198" fontId="8" fillId="27" borderId="9" xfId="37" applyNumberFormat="1" applyFont="1" applyFill="1" applyBorder="1" applyProtection="1">
      <protection locked="0"/>
    </xf>
    <xf numFmtId="198" fontId="8" fillId="30" borderId="9" xfId="37" applyNumberFormat="1" applyFont="1" applyFill="1" applyBorder="1" applyProtection="1">
      <protection locked="0"/>
    </xf>
    <xf numFmtId="177" fontId="8" fillId="0" borderId="18" xfId="35" applyNumberFormat="1" applyBorder="1" applyProtection="1">
      <protection locked="0"/>
    </xf>
    <xf numFmtId="177" fontId="8" fillId="0" borderId="9" xfId="35" applyNumberFormat="1" applyBorder="1" applyProtection="1">
      <protection locked="0"/>
    </xf>
    <xf numFmtId="196" fontId="8" fillId="0" borderId="38" xfId="37" applyNumberFormat="1" applyFont="1" applyBorder="1" applyProtection="1">
      <protection locked="0"/>
    </xf>
    <xf numFmtId="196" fontId="104" fillId="0" borderId="0" xfId="37" applyNumberFormat="1" applyFont="1"/>
    <xf numFmtId="185" fontId="8" fillId="0" borderId="0" xfId="73" applyNumberFormat="1" applyFont="1" applyAlignment="1" applyProtection="1">
      <alignment horizontal="left"/>
      <protection locked="0"/>
    </xf>
    <xf numFmtId="175" fontId="144" fillId="0" borderId="0" xfId="84" applyNumberFormat="1" applyFont="1" applyProtection="1">
      <protection locked="0"/>
    </xf>
    <xf numFmtId="188" fontId="8" fillId="0" borderId="9" xfId="35" applyNumberFormat="1" applyBorder="1" applyProtection="1">
      <protection locked="0"/>
    </xf>
    <xf numFmtId="188" fontId="8" fillId="30" borderId="9" xfId="35" applyNumberFormat="1" applyFill="1" applyBorder="1" applyProtection="1">
      <protection locked="0"/>
    </xf>
    <xf numFmtId="188" fontId="8" fillId="31" borderId="9" xfId="35" applyNumberFormat="1" applyFill="1" applyBorder="1" applyProtection="1">
      <protection locked="0"/>
    </xf>
    <xf numFmtId="188" fontId="138" fillId="31" borderId="9" xfId="35" applyNumberFormat="1" applyFont="1" applyFill="1" applyBorder="1" applyProtection="1">
      <protection locked="0"/>
    </xf>
    <xf numFmtId="185" fontId="8" fillId="0" borderId="38" xfId="73" applyNumberFormat="1" applyFont="1" applyBorder="1" applyProtection="1">
      <protection locked="0"/>
    </xf>
    <xf numFmtId="199" fontId="8" fillId="0" borderId="0" xfId="37" applyNumberFormat="1" applyFont="1" applyProtection="1">
      <protection locked="0"/>
    </xf>
    <xf numFmtId="175" fontId="144" fillId="0" borderId="0" xfId="37" applyNumberFormat="1" applyFont="1" applyProtection="1">
      <protection locked="0"/>
    </xf>
    <xf numFmtId="196" fontId="8" fillId="0" borderId="9" xfId="37" applyNumberFormat="1" applyFont="1" applyBorder="1" applyProtection="1">
      <protection locked="0"/>
    </xf>
    <xf numFmtId="188" fontId="8" fillId="30" borderId="9" xfId="2" applyNumberFormat="1" applyFont="1" applyFill="1" applyBorder="1" applyProtection="1">
      <protection locked="0"/>
    </xf>
    <xf numFmtId="188" fontId="8" fillId="31" borderId="9" xfId="1" applyNumberFormat="1" applyFont="1" applyFill="1" applyBorder="1" applyProtection="1">
      <protection locked="0"/>
    </xf>
    <xf numFmtId="188" fontId="8" fillId="30" borderId="9" xfId="1" applyNumberFormat="1" applyFont="1" applyFill="1" applyBorder="1" applyProtection="1">
      <protection locked="0"/>
    </xf>
    <xf numFmtId="10" fontId="8" fillId="0" borderId="0" xfId="84" applyNumberFormat="1" applyProtection="1">
      <protection locked="0"/>
    </xf>
    <xf numFmtId="164" fontId="8" fillId="31" borderId="9" xfId="1" applyFont="1" applyFill="1" applyBorder="1" applyProtection="1">
      <protection locked="0"/>
    </xf>
    <xf numFmtId="188" fontId="8" fillId="31" borderId="14" xfId="1" applyNumberFormat="1" applyFont="1" applyFill="1" applyBorder="1" applyProtection="1">
      <protection locked="0"/>
    </xf>
    <xf numFmtId="164" fontId="8" fillId="31" borderId="14" xfId="1" applyFont="1" applyFill="1" applyBorder="1" applyProtection="1">
      <protection locked="0"/>
    </xf>
    <xf numFmtId="188" fontId="8" fillId="30" borderId="14" xfId="1" applyNumberFormat="1" applyFont="1" applyFill="1" applyBorder="1" applyProtection="1">
      <protection locked="0"/>
    </xf>
    <xf numFmtId="188" fontId="138" fillId="31" borderId="14" xfId="1" applyNumberFormat="1" applyFont="1" applyFill="1" applyBorder="1" applyProtection="1">
      <protection locked="0"/>
    </xf>
    <xf numFmtId="188" fontId="138" fillId="0" borderId="9" xfId="35" applyNumberFormat="1" applyFont="1" applyBorder="1" applyProtection="1">
      <protection locked="0"/>
    </xf>
    <xf numFmtId="188" fontId="138" fillId="31" borderId="18" xfId="35" applyNumberFormat="1" applyFont="1" applyFill="1" applyBorder="1" applyProtection="1">
      <protection locked="0"/>
    </xf>
    <xf numFmtId="198" fontId="145" fillId="31" borderId="9" xfId="0" applyNumberFormat="1" applyFont="1" applyFill="1" applyBorder="1"/>
    <xf numFmtId="198" fontId="146" fillId="31" borderId="9" xfId="0" applyNumberFormat="1" applyFont="1" applyFill="1" applyBorder="1"/>
    <xf numFmtId="188" fontId="138" fillId="30" borderId="9" xfId="35" applyNumberFormat="1" applyFont="1" applyFill="1" applyBorder="1" applyProtection="1">
      <protection locked="0"/>
    </xf>
    <xf numFmtId="176" fontId="146" fillId="31" borderId="9" xfId="0" applyNumberFormat="1" applyFont="1" applyFill="1" applyBorder="1"/>
    <xf numFmtId="188" fontId="8" fillId="0" borderId="9" xfId="35" applyNumberFormat="1" applyBorder="1" applyAlignment="1" applyProtection="1">
      <alignment horizontal="right"/>
      <protection locked="0"/>
    </xf>
    <xf numFmtId="185" fontId="138" fillId="38" borderId="0" xfId="73" applyNumberFormat="1" applyFont="1" applyFill="1" applyAlignment="1" applyProtection="1">
      <alignment horizontal="center"/>
      <protection locked="0"/>
    </xf>
    <xf numFmtId="0" fontId="8" fillId="38" borderId="0" xfId="73" applyFont="1" applyFill="1" applyProtection="1">
      <protection locked="0"/>
    </xf>
    <xf numFmtId="177" fontId="138" fillId="38" borderId="0" xfId="39" applyNumberFormat="1" applyFont="1" applyFill="1" applyProtection="1">
      <protection locked="0"/>
    </xf>
    <xf numFmtId="177" fontId="8" fillId="38" borderId="0" xfId="39" applyNumberFormat="1" applyFill="1" applyProtection="1">
      <protection locked="0"/>
    </xf>
    <xf numFmtId="2" fontId="8" fillId="0" borderId="0" xfId="73" applyNumberFormat="1" applyFont="1" applyProtection="1">
      <protection locked="0"/>
    </xf>
    <xf numFmtId="175" fontId="147" fillId="0" borderId="0" xfId="84" applyNumberFormat="1" applyFont="1" applyProtection="1">
      <protection locked="0"/>
    </xf>
    <xf numFmtId="10" fontId="147" fillId="0" borderId="0" xfId="84" applyNumberFormat="1" applyFont="1" applyProtection="1">
      <protection locked="0"/>
    </xf>
    <xf numFmtId="9" fontId="148" fillId="0" borderId="0" xfId="73" applyNumberFormat="1" applyFont="1" applyProtection="1">
      <protection locked="0"/>
    </xf>
    <xf numFmtId="185" fontId="143" fillId="0" borderId="0" xfId="73" applyNumberFormat="1" applyFont="1" applyAlignment="1" applyProtection="1">
      <alignment horizontal="center"/>
      <protection locked="0"/>
    </xf>
    <xf numFmtId="175" fontId="143" fillId="0" borderId="0" xfId="84" applyNumberFormat="1" applyFont="1" applyProtection="1">
      <protection locked="0"/>
    </xf>
    <xf numFmtId="185" fontId="8" fillId="0" borderId="23" xfId="73" applyNumberFormat="1" applyFont="1" applyBorder="1" applyProtection="1">
      <protection locked="0"/>
    </xf>
    <xf numFmtId="195" fontId="139" fillId="29" borderId="0" xfId="73" applyNumberFormat="1" applyFont="1" applyFill="1" applyAlignment="1" applyProtection="1">
      <alignment horizontal="center"/>
      <protection locked="0"/>
    </xf>
    <xf numFmtId="195" fontId="139" fillId="29" borderId="38" xfId="73" applyNumberFormat="1" applyFont="1" applyFill="1" applyBorder="1" applyAlignment="1" applyProtection="1">
      <alignment horizontal="center"/>
      <protection locked="0"/>
    </xf>
    <xf numFmtId="0" fontId="138" fillId="0" borderId="0" xfId="73" applyFont="1" applyProtection="1">
      <protection locked="0"/>
    </xf>
    <xf numFmtId="185" fontId="149" fillId="0" borderId="0" xfId="73" applyNumberFormat="1" applyFont="1" applyAlignment="1" applyProtection="1">
      <alignment horizontal="center"/>
      <protection locked="0"/>
    </xf>
    <xf numFmtId="173" fontId="8" fillId="0" borderId="0" xfId="73" applyNumberFormat="1" applyFont="1" applyProtection="1">
      <protection locked="0"/>
    </xf>
    <xf numFmtId="37" fontId="150" fillId="0" borderId="0" xfId="73" applyNumberFormat="1" applyFont="1" applyProtection="1">
      <protection locked="0"/>
    </xf>
    <xf numFmtId="188" fontId="76" fillId="0" borderId="0" xfId="35" applyNumberFormat="1" applyFont="1" applyProtection="1">
      <protection locked="0"/>
    </xf>
    <xf numFmtId="188" fontId="8" fillId="0" borderId="18" xfId="35" applyNumberFormat="1" applyBorder="1" applyProtection="1">
      <protection locked="0"/>
    </xf>
    <xf numFmtId="166" fontId="8" fillId="0" borderId="9" xfId="35" applyNumberFormat="1" applyBorder="1" applyProtection="1">
      <protection locked="0"/>
    </xf>
    <xf numFmtId="188" fontId="8" fillId="0" borderId="0" xfId="35" applyNumberFormat="1" applyProtection="1">
      <protection locked="0"/>
    </xf>
    <xf numFmtId="188" fontId="138" fillId="0" borderId="0" xfId="35" applyNumberFormat="1" applyFont="1" applyProtection="1">
      <protection locked="0"/>
    </xf>
    <xf numFmtId="9" fontId="8" fillId="0" borderId="0" xfId="35" applyNumberFormat="1" applyProtection="1">
      <protection locked="0"/>
    </xf>
    <xf numFmtId="188" fontId="151" fillId="28" borderId="23" xfId="35" applyNumberFormat="1" applyFont="1" applyFill="1" applyBorder="1" applyProtection="1">
      <protection locked="0"/>
    </xf>
    <xf numFmtId="188" fontId="8" fillId="28" borderId="23" xfId="35" applyNumberFormat="1" applyFill="1" applyBorder="1" applyProtection="1">
      <protection locked="0"/>
    </xf>
    <xf numFmtId="188" fontId="138" fillId="28" borderId="23" xfId="35" applyNumberFormat="1" applyFont="1" applyFill="1" applyBorder="1" applyProtection="1">
      <protection locked="0"/>
    </xf>
    <xf numFmtId="9" fontId="152" fillId="28" borderId="9" xfId="84" applyFont="1" applyFill="1" applyBorder="1" applyAlignment="1" applyProtection="1">
      <alignment horizontal="center"/>
      <protection locked="0"/>
    </xf>
    <xf numFmtId="9" fontId="152" fillId="28" borderId="18" xfId="84" applyFont="1" applyFill="1" applyBorder="1" applyAlignment="1" applyProtection="1">
      <alignment horizontal="center"/>
      <protection locked="0"/>
    </xf>
    <xf numFmtId="9" fontId="152" fillId="28" borderId="5" xfId="84" applyFont="1" applyFill="1" applyBorder="1" applyAlignment="1" applyProtection="1">
      <alignment horizontal="center"/>
      <protection locked="0"/>
    </xf>
    <xf numFmtId="175" fontId="153" fillId="0" borderId="9" xfId="35" applyNumberFormat="1" applyFont="1" applyBorder="1" applyProtection="1">
      <protection locked="0"/>
    </xf>
    <xf numFmtId="175" fontId="153" fillId="0" borderId="0" xfId="35" applyNumberFormat="1" applyFont="1" applyProtection="1">
      <protection locked="0"/>
    </xf>
    <xf numFmtId="9" fontId="8" fillId="0" borderId="0" xfId="84" applyProtection="1">
      <protection locked="0"/>
    </xf>
    <xf numFmtId="188" fontId="8" fillId="0" borderId="26" xfId="35" applyNumberFormat="1" applyBorder="1" applyProtection="1">
      <protection locked="0"/>
    </xf>
    <xf numFmtId="188" fontId="8" fillId="30" borderId="26" xfId="35" applyNumberFormat="1" applyFill="1" applyBorder="1" applyProtection="1">
      <protection locked="0"/>
    </xf>
    <xf numFmtId="198" fontId="8" fillId="31" borderId="26" xfId="35" applyNumberFormat="1" applyFill="1" applyBorder="1" applyProtection="1">
      <protection locked="0"/>
    </xf>
    <xf numFmtId="198" fontId="8" fillId="30" borderId="26" xfId="35" applyNumberFormat="1" applyFill="1" applyBorder="1" applyProtection="1">
      <protection locked="0"/>
    </xf>
    <xf numFmtId="188" fontId="8" fillId="0" borderId="24" xfId="35" applyNumberFormat="1" applyBorder="1" applyProtection="1">
      <protection locked="0"/>
    </xf>
    <xf numFmtId="188" fontId="8" fillId="31" borderId="26" xfId="35" applyNumberFormat="1" applyFill="1" applyBorder="1" applyProtection="1">
      <protection locked="0"/>
    </xf>
    <xf numFmtId="200" fontId="8" fillId="30" borderId="26" xfId="35" applyNumberFormat="1" applyFill="1" applyBorder="1" applyProtection="1">
      <protection locked="0"/>
    </xf>
    <xf numFmtId="188" fontId="8" fillId="34" borderId="9" xfId="35" applyNumberFormat="1" applyFill="1" applyBorder="1" applyProtection="1">
      <protection locked="0"/>
    </xf>
    <xf numFmtId="37" fontId="8" fillId="30" borderId="26" xfId="35" applyNumberFormat="1" applyFill="1" applyBorder="1" applyProtection="1">
      <protection locked="0"/>
    </xf>
    <xf numFmtId="188" fontId="8" fillId="39" borderId="26" xfId="35" applyNumberFormat="1" applyFill="1" applyBorder="1" applyProtection="1">
      <protection locked="0"/>
    </xf>
    <xf numFmtId="188" fontId="8" fillId="25" borderId="26" xfId="35" applyNumberFormat="1" applyFill="1" applyBorder="1" applyProtection="1">
      <protection locked="0"/>
    </xf>
    <xf numFmtId="188" fontId="8" fillId="0" borderId="5" xfId="35" applyNumberFormat="1" applyBorder="1" applyProtection="1">
      <protection locked="0"/>
    </xf>
    <xf numFmtId="0" fontId="138" fillId="0" borderId="0" xfId="73" applyFont="1" applyAlignment="1" applyProtection="1">
      <alignment horizontal="right"/>
      <protection locked="0"/>
    </xf>
    <xf numFmtId="185" fontId="138" fillId="0" borderId="38" xfId="73" applyNumberFormat="1" applyFont="1" applyBorder="1" applyProtection="1">
      <protection locked="0"/>
    </xf>
    <xf numFmtId="185" fontId="138" fillId="0" borderId="0" xfId="73" applyNumberFormat="1" applyFont="1" applyProtection="1">
      <protection locked="0"/>
    </xf>
    <xf numFmtId="0" fontId="103" fillId="0" borderId="0" xfId="0" applyFont="1"/>
    <xf numFmtId="188" fontId="8" fillId="0" borderId="23" xfId="35" applyNumberFormat="1" applyBorder="1" applyProtection="1">
      <protection locked="0"/>
    </xf>
    <xf numFmtId="188" fontId="8" fillId="0" borderId="16" xfId="35" applyNumberFormat="1" applyBorder="1" applyProtection="1">
      <protection locked="0"/>
    </xf>
    <xf numFmtId="0" fontId="8" fillId="0" borderId="0" xfId="71" applyFont="1" applyProtection="1">
      <protection locked="0"/>
    </xf>
    <xf numFmtId="188" fontId="8" fillId="30" borderId="14" xfId="35" applyNumberFormat="1" applyFill="1" applyBorder="1" applyProtection="1">
      <protection locked="0"/>
    </xf>
    <xf numFmtId="188" fontId="8" fillId="31" borderId="19" xfId="35" applyNumberFormat="1" applyFill="1" applyBorder="1" applyProtection="1">
      <protection locked="0"/>
    </xf>
    <xf numFmtId="0" fontId="8" fillId="27" borderId="0" xfId="71" applyFont="1" applyFill="1" applyProtection="1">
      <protection locked="0"/>
    </xf>
    <xf numFmtId="185" fontId="8" fillId="27" borderId="0" xfId="73" applyNumberFormat="1" applyFont="1" applyFill="1" applyProtection="1">
      <protection locked="0"/>
    </xf>
    <xf numFmtId="10" fontId="135" fillId="27" borderId="0" xfId="73" applyNumberFormat="1" applyFont="1" applyFill="1" applyAlignment="1" applyProtection="1">
      <alignment horizontal="center"/>
      <protection locked="0"/>
    </xf>
    <xf numFmtId="188" fontId="8" fillId="27" borderId="9" xfId="35" applyNumberFormat="1" applyFill="1" applyBorder="1" applyProtection="1">
      <protection locked="0"/>
    </xf>
    <xf numFmtId="188" fontId="8" fillId="27" borderId="18" xfId="35" applyNumberFormat="1" applyFill="1" applyBorder="1" applyProtection="1">
      <protection locked="0"/>
    </xf>
    <xf numFmtId="177" fontId="8" fillId="27" borderId="9" xfId="35" applyNumberFormat="1" applyFill="1" applyBorder="1" applyProtection="1">
      <protection locked="0"/>
    </xf>
    <xf numFmtId="0" fontId="8" fillId="2" borderId="0" xfId="71" applyFont="1" applyFill="1" applyProtection="1">
      <protection locked="0"/>
    </xf>
    <xf numFmtId="10" fontId="135" fillId="2" borderId="0" xfId="73" applyNumberFormat="1" applyFont="1" applyFill="1" applyAlignment="1" applyProtection="1">
      <alignment horizontal="center"/>
      <protection locked="0"/>
    </xf>
    <xf numFmtId="188" fontId="8" fillId="2" borderId="9" xfId="35" applyNumberFormat="1" applyFill="1" applyBorder="1" applyProtection="1">
      <protection locked="0"/>
    </xf>
    <xf numFmtId="188" fontId="8" fillId="2" borderId="22" xfId="35" applyNumberFormat="1" applyFill="1" applyBorder="1" applyProtection="1">
      <protection locked="0"/>
    </xf>
    <xf numFmtId="188" fontId="8" fillId="2" borderId="19" xfId="35" applyNumberFormat="1" applyFill="1" applyBorder="1" applyProtection="1">
      <protection locked="0"/>
    </xf>
    <xf numFmtId="188" fontId="8" fillId="2" borderId="18" xfId="35" applyNumberFormat="1" applyFill="1" applyBorder="1" applyProtection="1">
      <protection locked="0"/>
    </xf>
    <xf numFmtId="177" fontId="8" fillId="2" borderId="9" xfId="35" applyNumberFormat="1" applyFill="1" applyBorder="1" applyProtection="1">
      <protection locked="0"/>
    </xf>
    <xf numFmtId="177" fontId="8" fillId="0" borderId="14" xfId="35" applyNumberFormat="1" applyBorder="1" applyProtection="1">
      <protection locked="0"/>
    </xf>
    <xf numFmtId="1" fontId="8" fillId="31" borderId="19" xfId="35" applyNumberFormat="1" applyFill="1" applyBorder="1" applyProtection="1">
      <protection locked="0"/>
    </xf>
    <xf numFmtId="177" fontId="8" fillId="0" borderId="26" xfId="35" applyNumberFormat="1" applyBorder="1" applyProtection="1">
      <protection locked="0"/>
    </xf>
    <xf numFmtId="37" fontId="8" fillId="30" borderId="9" xfId="35" applyNumberFormat="1" applyFill="1" applyBorder="1" applyProtection="1">
      <protection locked="0"/>
    </xf>
    <xf numFmtId="198" fontId="8" fillId="30" borderId="9" xfId="35" applyNumberFormat="1" applyFill="1" applyBorder="1" applyProtection="1">
      <protection locked="0"/>
    </xf>
    <xf numFmtId="3" fontId="8" fillId="31" borderId="9" xfId="35" applyNumberFormat="1" applyFill="1" applyBorder="1" applyProtection="1">
      <protection locked="0"/>
    </xf>
    <xf numFmtId="164" fontId="8" fillId="31" borderId="17" xfId="35" applyFill="1" applyBorder="1" applyProtection="1">
      <protection locked="0"/>
    </xf>
    <xf numFmtId="188" fontId="8" fillId="31" borderId="14" xfId="35" applyNumberFormat="1" applyFill="1" applyBorder="1" applyProtection="1">
      <protection locked="0"/>
    </xf>
    <xf numFmtId="188" fontId="8" fillId="0" borderId="15" xfId="35" applyNumberFormat="1" applyBorder="1" applyProtection="1">
      <protection locked="0"/>
    </xf>
    <xf numFmtId="188" fontId="8" fillId="31" borderId="17" xfId="35" applyNumberFormat="1" applyFill="1" applyBorder="1" applyProtection="1">
      <protection locked="0"/>
    </xf>
    <xf numFmtId="38" fontId="8" fillId="0" borderId="0" xfId="73" applyNumberFormat="1" applyFont="1" applyProtection="1">
      <protection locked="0"/>
    </xf>
    <xf numFmtId="188" fontId="8" fillId="0" borderId="14" xfId="35" applyNumberFormat="1" applyBorder="1" applyProtection="1">
      <protection locked="0"/>
    </xf>
    <xf numFmtId="188" fontId="138" fillId="0" borderId="5" xfId="35" applyNumberFormat="1" applyFont="1" applyBorder="1" applyProtection="1">
      <protection locked="0"/>
    </xf>
    <xf numFmtId="188" fontId="8" fillId="0" borderId="5" xfId="35" applyNumberFormat="1" applyBorder="1" applyAlignment="1" applyProtection="1">
      <alignment horizontal="center"/>
      <protection locked="0"/>
    </xf>
    <xf numFmtId="188" fontId="138" fillId="0" borderId="0" xfId="39" applyNumberFormat="1" applyFont="1" applyProtection="1">
      <protection locked="0"/>
    </xf>
    <xf numFmtId="177" fontId="138" fillId="0" borderId="0" xfId="39" applyNumberFormat="1" applyFont="1" applyProtection="1">
      <protection locked="0"/>
    </xf>
    <xf numFmtId="164" fontId="154" fillId="0" borderId="0" xfId="1" applyFont="1" applyProtection="1">
      <protection locked="0"/>
    </xf>
    <xf numFmtId="39" fontId="155" fillId="0" borderId="0" xfId="39" applyNumberFormat="1" applyFont="1" applyProtection="1">
      <protection locked="0"/>
    </xf>
    <xf numFmtId="0" fontId="154" fillId="0" borderId="0" xfId="73" applyFont="1" applyProtection="1">
      <protection locked="0"/>
    </xf>
    <xf numFmtId="0" fontId="155" fillId="0" borderId="0" xfId="73" applyFont="1" applyProtection="1">
      <protection locked="0"/>
    </xf>
    <xf numFmtId="177" fontId="155" fillId="0" borderId="0" xfId="73" applyNumberFormat="1" applyFont="1" applyProtection="1">
      <protection locked="0"/>
    </xf>
    <xf numFmtId="0" fontId="8" fillId="0" borderId="38" xfId="73" applyFont="1" applyBorder="1" applyProtection="1">
      <protection locked="0"/>
    </xf>
    <xf numFmtId="0" fontId="8" fillId="0" borderId="0" xfId="73" applyFont="1"/>
    <xf numFmtId="188" fontId="8" fillId="0" borderId="0" xfId="73" applyNumberFormat="1" applyFont="1" applyProtection="1">
      <protection locked="0"/>
    </xf>
    <xf numFmtId="201" fontId="8" fillId="0" borderId="0" xfId="73" applyNumberFormat="1" applyFont="1" applyProtection="1">
      <protection locked="0"/>
    </xf>
    <xf numFmtId="179" fontId="8" fillId="0" borderId="0" xfId="73" applyNumberFormat="1" applyFont="1" applyProtection="1">
      <protection locked="0"/>
    </xf>
    <xf numFmtId="185" fontId="8" fillId="40" borderId="16" xfId="73" applyNumberFormat="1" applyFont="1" applyFill="1" applyBorder="1" applyProtection="1">
      <protection locked="0"/>
    </xf>
    <xf numFmtId="0" fontId="8" fillId="40" borderId="16" xfId="73" applyFont="1" applyFill="1" applyBorder="1" applyProtection="1">
      <protection locked="0"/>
    </xf>
    <xf numFmtId="185" fontId="156" fillId="40" borderId="59" xfId="73" applyNumberFormat="1" applyFont="1" applyFill="1" applyBorder="1" applyAlignment="1" applyProtection="1">
      <alignment horizontal="center"/>
      <protection locked="0"/>
    </xf>
    <xf numFmtId="37" fontId="8" fillId="40" borderId="16" xfId="73" applyNumberFormat="1" applyFont="1" applyFill="1" applyBorder="1" applyProtection="1">
      <protection locked="0"/>
    </xf>
    <xf numFmtId="188" fontId="8" fillId="40" borderId="16" xfId="73" applyNumberFormat="1" applyFont="1" applyFill="1" applyBorder="1" applyProtection="1">
      <protection locked="0"/>
    </xf>
    <xf numFmtId="185" fontId="8" fillId="40" borderId="16" xfId="73" applyNumberFormat="1" applyFont="1" applyFill="1" applyBorder="1" applyAlignment="1" applyProtection="1">
      <alignment horizontal="right"/>
      <protection locked="0"/>
    </xf>
    <xf numFmtId="185" fontId="8" fillId="0" borderId="0" xfId="73" applyNumberFormat="1" applyFont="1" applyAlignment="1" applyProtection="1">
      <alignment horizontal="right"/>
      <protection locked="0"/>
    </xf>
    <xf numFmtId="185" fontId="8" fillId="40" borderId="0" xfId="73" applyNumberFormat="1" applyFont="1" applyFill="1" applyProtection="1">
      <protection locked="0"/>
    </xf>
    <xf numFmtId="177" fontId="8" fillId="40" borderId="45" xfId="39" applyNumberFormat="1" applyFill="1" applyBorder="1" applyProtection="1">
      <protection locked="0"/>
    </xf>
    <xf numFmtId="0" fontId="8" fillId="40" borderId="0" xfId="73" applyFont="1" applyFill="1" applyProtection="1">
      <protection locked="0"/>
    </xf>
    <xf numFmtId="175" fontId="8" fillId="40" borderId="0" xfId="84" applyNumberFormat="1" applyFill="1" applyAlignment="1" applyProtection="1">
      <alignment horizontal="center"/>
      <protection locked="0"/>
    </xf>
    <xf numFmtId="175" fontId="148" fillId="40" borderId="0" xfId="84" applyNumberFormat="1" applyFont="1" applyFill="1" applyAlignment="1" applyProtection="1">
      <alignment horizontal="center"/>
      <protection locked="0"/>
    </xf>
    <xf numFmtId="185" fontId="154" fillId="40" borderId="0" xfId="73" applyNumberFormat="1" applyFont="1" applyFill="1" applyAlignment="1" applyProtection="1">
      <alignment horizontal="right"/>
      <protection locked="0"/>
    </xf>
    <xf numFmtId="185" fontId="154" fillId="0" borderId="0" xfId="73" applyNumberFormat="1" applyFont="1" applyAlignment="1" applyProtection="1">
      <alignment horizontal="right"/>
      <protection locked="0"/>
    </xf>
    <xf numFmtId="0" fontId="104" fillId="0" borderId="38" xfId="0" applyFont="1" applyBorder="1"/>
    <xf numFmtId="185" fontId="138" fillId="40" borderId="0" xfId="73" applyNumberFormat="1" applyFont="1" applyFill="1" applyProtection="1">
      <protection locked="0"/>
    </xf>
    <xf numFmtId="185" fontId="8" fillId="40" borderId="0" xfId="73" applyNumberFormat="1" applyFont="1" applyFill="1" applyAlignment="1" applyProtection="1">
      <alignment horizontal="left" indent="2"/>
      <protection locked="0"/>
    </xf>
    <xf numFmtId="37" fontId="8" fillId="40" borderId="0" xfId="73" applyNumberFormat="1" applyFont="1" applyFill="1" applyProtection="1">
      <protection locked="0"/>
    </xf>
    <xf numFmtId="185" fontId="8" fillId="40" borderId="0" xfId="73" applyNumberFormat="1" applyFont="1" applyFill="1" applyAlignment="1" applyProtection="1">
      <alignment horizontal="right"/>
      <protection locked="0"/>
    </xf>
    <xf numFmtId="185" fontId="145" fillId="29" borderId="38" xfId="73" applyNumberFormat="1" applyFont="1" applyFill="1" applyBorder="1" applyAlignment="1" applyProtection="1">
      <alignment horizontal="right" indent="1"/>
      <protection locked="0"/>
    </xf>
    <xf numFmtId="176" fontId="8" fillId="40" borderId="0" xfId="73" applyNumberFormat="1" applyFont="1" applyFill="1" applyProtection="1">
      <protection locked="0"/>
    </xf>
    <xf numFmtId="202" fontId="145" fillId="29" borderId="38" xfId="73" applyNumberFormat="1" applyFont="1" applyFill="1" applyBorder="1" applyAlignment="1" applyProtection="1">
      <alignment horizontal="right" indent="1"/>
      <protection locked="0"/>
    </xf>
    <xf numFmtId="185" fontId="8" fillId="40" borderId="60" xfId="73" applyNumberFormat="1" applyFont="1" applyFill="1" applyBorder="1" applyAlignment="1" applyProtection="1">
      <alignment horizontal="center"/>
      <protection locked="0"/>
    </xf>
    <xf numFmtId="175" fontId="157" fillId="40" borderId="60" xfId="84" applyNumberFormat="1" applyFont="1" applyFill="1" applyBorder="1" applyProtection="1">
      <protection locked="0"/>
    </xf>
    <xf numFmtId="185" fontId="8" fillId="40" borderId="60" xfId="73" applyNumberFormat="1" applyFont="1" applyFill="1" applyBorder="1" applyProtection="1">
      <protection locked="0"/>
    </xf>
    <xf numFmtId="0" fontId="8" fillId="40" borderId="60" xfId="73" applyFont="1" applyFill="1" applyBorder="1" applyAlignment="1" applyProtection="1">
      <alignment horizontal="center"/>
      <protection locked="0"/>
    </xf>
    <xf numFmtId="0" fontId="8" fillId="0" borderId="60" xfId="73" applyFont="1" applyBorder="1" applyAlignment="1" applyProtection="1">
      <alignment horizontal="center"/>
      <protection locked="0"/>
    </xf>
    <xf numFmtId="0" fontId="8" fillId="0" borderId="61" xfId="73" applyFont="1" applyBorder="1" applyAlignment="1" applyProtection="1">
      <alignment horizontal="center"/>
      <protection locked="0"/>
    </xf>
    <xf numFmtId="185" fontId="8" fillId="0" borderId="37" xfId="73" applyNumberFormat="1" applyFont="1" applyBorder="1" applyProtection="1">
      <protection locked="0"/>
    </xf>
    <xf numFmtId="37" fontId="155" fillId="0" borderId="0" xfId="73" applyNumberFormat="1" applyFont="1" applyProtection="1">
      <protection locked="0"/>
    </xf>
    <xf numFmtId="37" fontId="8" fillId="0" borderId="0" xfId="73" applyNumberFormat="1" applyFont="1" applyProtection="1">
      <protection locked="0"/>
    </xf>
    <xf numFmtId="185" fontId="155" fillId="0" borderId="0" xfId="73" applyNumberFormat="1" applyFont="1" applyProtection="1">
      <protection locked="0"/>
    </xf>
    <xf numFmtId="185" fontId="8" fillId="0" borderId="15" xfId="73" applyNumberFormat="1" applyFont="1" applyBorder="1" applyProtection="1">
      <protection locked="0"/>
    </xf>
    <xf numFmtId="185" fontId="8" fillId="0" borderId="16" xfId="73" applyNumberFormat="1" applyFont="1" applyBorder="1" applyProtection="1">
      <protection locked="0"/>
    </xf>
    <xf numFmtId="185" fontId="8" fillId="0" borderId="16" xfId="73" applyNumberFormat="1" applyFont="1" applyBorder="1" applyAlignment="1" applyProtection="1">
      <alignment horizontal="right"/>
      <protection locked="0"/>
    </xf>
    <xf numFmtId="185" fontId="8" fillId="0" borderId="17" xfId="73" applyNumberFormat="1" applyFont="1" applyBorder="1" applyProtection="1">
      <protection locked="0"/>
    </xf>
    <xf numFmtId="177" fontId="8" fillId="0" borderId="0" xfId="1" applyNumberFormat="1" applyFont="1" applyProtection="1">
      <protection locked="0"/>
    </xf>
    <xf numFmtId="185" fontId="8" fillId="0" borderId="20" xfId="73" applyNumberFormat="1" applyFont="1" applyBorder="1" applyProtection="1">
      <protection locked="0"/>
    </xf>
    <xf numFmtId="10" fontId="8" fillId="0" borderId="0" xfId="3" applyNumberFormat="1" applyFont="1" applyProtection="1">
      <protection locked="0"/>
    </xf>
    <xf numFmtId="185" fontId="8" fillId="0" borderId="24" xfId="73" applyNumberFormat="1" applyFont="1" applyBorder="1" applyProtection="1">
      <protection locked="0"/>
    </xf>
    <xf numFmtId="185" fontId="8" fillId="0" borderId="25" xfId="73" applyNumberFormat="1" applyFont="1" applyBorder="1" applyAlignment="1" applyProtection="1">
      <alignment horizontal="right"/>
      <protection locked="0"/>
    </xf>
    <xf numFmtId="177" fontId="8" fillId="30" borderId="19" xfId="1" applyNumberFormat="1" applyFont="1" applyFill="1" applyBorder="1" applyProtection="1">
      <protection locked="0"/>
    </xf>
    <xf numFmtId="177" fontId="8" fillId="0" borderId="0" xfId="73" applyNumberFormat="1" applyFont="1" applyProtection="1">
      <protection locked="0"/>
    </xf>
    <xf numFmtId="177" fontId="8" fillId="24" borderId="9" xfId="73" applyNumberFormat="1" applyFont="1" applyFill="1" applyBorder="1" applyProtection="1">
      <protection locked="0"/>
    </xf>
    <xf numFmtId="177" fontId="144" fillId="0" borderId="0" xfId="73" applyNumberFormat="1" applyFont="1" applyProtection="1">
      <protection locked="0"/>
    </xf>
    <xf numFmtId="10" fontId="8" fillId="0" borderId="0" xfId="73" applyNumberFormat="1" applyFont="1" applyProtection="1">
      <protection locked="0"/>
    </xf>
    <xf numFmtId="185" fontId="8" fillId="0" borderId="23" xfId="73" applyNumberFormat="1" applyFont="1" applyBorder="1" applyAlignment="1" applyProtection="1">
      <alignment horizontal="right"/>
      <protection locked="0"/>
    </xf>
    <xf numFmtId="0" fontId="104" fillId="0" borderId="0" xfId="0" applyFont="1" applyAlignment="1">
      <alignment horizontal="right"/>
    </xf>
    <xf numFmtId="177" fontId="104" fillId="0" borderId="0" xfId="0" applyNumberFormat="1" applyFont="1"/>
    <xf numFmtId="0" fontId="103" fillId="0" borderId="0" xfId="0" applyFont="1" applyAlignment="1">
      <alignment horizontal="right"/>
    </xf>
    <xf numFmtId="177" fontId="103" fillId="30" borderId="9" xfId="0" applyNumberFormat="1" applyFont="1" applyFill="1" applyBorder="1"/>
    <xf numFmtId="177" fontId="103" fillId="24" borderId="9" xfId="0" applyNumberFormat="1" applyFont="1" applyFill="1" applyBorder="1"/>
    <xf numFmtId="180" fontId="134" fillId="0" borderId="0" xfId="0" applyNumberFormat="1" applyFont="1"/>
    <xf numFmtId="172" fontId="0" fillId="0" borderId="0" xfId="0" applyNumberFormat="1" applyAlignment="1">
      <alignment horizontal="center"/>
    </xf>
    <xf numFmtId="176" fontId="125" fillId="0" borderId="0" xfId="0" applyNumberFormat="1" applyFont="1" applyAlignment="1">
      <alignment horizontal="right"/>
    </xf>
    <xf numFmtId="171" fontId="158" fillId="0" borderId="0" xfId="0" applyNumberFormat="1" applyFont="1" applyAlignment="1">
      <alignment horizontal="center"/>
    </xf>
    <xf numFmtId="180" fontId="94" fillId="0" borderId="0" xfId="0" applyNumberFormat="1" applyFont="1"/>
    <xf numFmtId="0" fontId="159" fillId="0" borderId="0" xfId="0" applyFont="1"/>
    <xf numFmtId="0" fontId="125" fillId="0" borderId="0" xfId="0" applyFont="1" applyAlignment="1">
      <alignment horizontal="left" indent="2"/>
    </xf>
    <xf numFmtId="9" fontId="110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3" fillId="36" borderId="0" xfId="0" applyFont="1" applyFill="1" applyAlignment="1">
      <alignment horizontal="center"/>
    </xf>
    <xf numFmtId="0" fontId="52" fillId="0" borderId="18" xfId="0" applyFont="1" applyBorder="1"/>
    <xf numFmtId="175" fontId="52" fillId="36" borderId="5" xfId="0" applyNumberFormat="1" applyFont="1" applyFill="1" applyBorder="1" applyAlignment="1">
      <alignment horizontal="center"/>
    </xf>
    <xf numFmtId="175" fontId="52" fillId="0" borderId="5" xfId="0" applyNumberFormat="1" applyFont="1" applyBorder="1" applyAlignment="1">
      <alignment horizontal="center"/>
    </xf>
    <xf numFmtId="175" fontId="52" fillId="0" borderId="19" xfId="0" applyNumberFormat="1" applyFont="1" applyBorder="1" applyAlignment="1">
      <alignment horizontal="center"/>
    </xf>
    <xf numFmtId="0" fontId="131" fillId="0" borderId="0" xfId="0" applyFont="1" applyAlignment="1">
      <alignment horizontal="center"/>
    </xf>
    <xf numFmtId="17" fontId="131" fillId="36" borderId="0" xfId="0" applyNumberFormat="1" applyFont="1" applyFill="1" applyAlignment="1">
      <alignment horizontal="center"/>
    </xf>
    <xf numFmtId="17" fontId="160" fillId="0" borderId="0" xfId="0" applyNumberFormat="1" applyFont="1" applyAlignment="1">
      <alignment horizontal="center"/>
    </xf>
    <xf numFmtId="17" fontId="131" fillId="0" borderId="0" xfId="0" applyNumberFormat="1" applyFont="1" applyAlignment="1">
      <alignment horizontal="center"/>
    </xf>
    <xf numFmtId="0" fontId="161" fillId="0" borderId="0" xfId="0" applyFont="1" applyAlignment="1">
      <alignment horizontal="center"/>
    </xf>
    <xf numFmtId="178" fontId="45" fillId="36" borderId="0" xfId="41" applyNumberFormat="1" applyFont="1" applyFill="1"/>
    <xf numFmtId="178" fontId="45" fillId="0" borderId="0" xfId="41" applyNumberFormat="1" applyFont="1"/>
    <xf numFmtId="178" fontId="44" fillId="0" borderId="0" xfId="41" applyNumberFormat="1" applyFont="1"/>
    <xf numFmtId="178" fontId="162" fillId="36" borderId="0" xfId="41" applyNumberFormat="1" applyFont="1" applyFill="1" applyAlignment="1">
      <alignment horizontal="right"/>
    </xf>
    <xf numFmtId="195" fontId="162" fillId="0" borderId="0" xfId="41" applyNumberFormat="1" applyFont="1" applyAlignment="1">
      <alignment horizontal="center"/>
    </xf>
    <xf numFmtId="195" fontId="163" fillId="0" borderId="0" xfId="41" applyNumberFormat="1" applyFont="1" applyAlignment="1">
      <alignment horizontal="left" indent="1"/>
    </xf>
    <xf numFmtId="178" fontId="0" fillId="0" borderId="0" xfId="41" applyNumberFormat="1" applyFont="1"/>
    <xf numFmtId="0" fontId="104" fillId="0" borderId="0" xfId="0" applyFont="1" applyAlignment="1">
      <alignment horizontal="left" indent="2"/>
    </xf>
    <xf numFmtId="178" fontId="45" fillId="32" borderId="0" xfId="41" applyNumberFormat="1" applyFont="1" applyFill="1"/>
    <xf numFmtId="178" fontId="45" fillId="34" borderId="0" xfId="41" applyNumberFormat="1" applyFont="1" applyFill="1"/>
    <xf numFmtId="178" fontId="44" fillId="34" borderId="0" xfId="41" applyNumberFormat="1" applyFont="1" applyFill="1"/>
    <xf numFmtId="0" fontId="104" fillId="0" borderId="0" xfId="0" applyFont="1" applyAlignment="1">
      <alignment horizontal="left" indent="1"/>
    </xf>
    <xf numFmtId="0" fontId="104" fillId="0" borderId="0" xfId="0" applyFont="1" applyAlignment="1">
      <alignment horizontal="left" indent="3"/>
    </xf>
    <xf numFmtId="178" fontId="45" fillId="27" borderId="62" xfId="41" applyNumberFormat="1" applyFont="1" applyFill="1" applyBorder="1"/>
    <xf numFmtId="178" fontId="45" fillId="27" borderId="63" xfId="41" applyNumberFormat="1" applyFont="1" applyFill="1" applyBorder="1"/>
    <xf numFmtId="180" fontId="113" fillId="0" borderId="0" xfId="0" applyNumberFormat="1" applyFont="1"/>
    <xf numFmtId="178" fontId="45" fillId="27" borderId="64" xfId="41" applyNumberFormat="1" applyFont="1" applyFill="1" applyBorder="1"/>
    <xf numFmtId="178" fontId="46" fillId="0" borderId="0" xfId="41" applyNumberFormat="1" applyFont="1"/>
    <xf numFmtId="9" fontId="64" fillId="0" borderId="0" xfId="3" applyFont="1"/>
    <xf numFmtId="178" fontId="0" fillId="36" borderId="0" xfId="0" applyNumberFormat="1" applyFill="1"/>
    <xf numFmtId="0" fontId="101" fillId="0" borderId="20" xfId="0" applyFont="1" applyBorder="1" applyAlignment="1">
      <alignment horizontal="left" indent="1"/>
    </xf>
    <xf numFmtId="178" fontId="164" fillId="36" borderId="0" xfId="41" applyNumberFormat="1" applyFont="1" applyFill="1"/>
    <xf numFmtId="178" fontId="101" fillId="0" borderId="0" xfId="41" applyNumberFormat="1" applyFont="1"/>
    <xf numFmtId="178" fontId="101" fillId="0" borderId="21" xfId="41" applyNumberFormat="1" applyFont="1" applyBorder="1"/>
    <xf numFmtId="0" fontId="101" fillId="0" borderId="24" xfId="0" applyFont="1" applyBorder="1" applyAlignment="1">
      <alignment horizontal="left" indent="1"/>
    </xf>
    <xf numFmtId="0" fontId="63" fillId="0" borderId="23" xfId="0" applyFont="1" applyBorder="1"/>
    <xf numFmtId="178" fontId="164" fillId="36" borderId="23" xfId="41" applyNumberFormat="1" applyFont="1" applyFill="1" applyBorder="1"/>
    <xf numFmtId="178" fontId="101" fillId="0" borderId="23" xfId="41" applyNumberFormat="1" applyFont="1" applyBorder="1"/>
    <xf numFmtId="178" fontId="101" fillId="0" borderId="25" xfId="41" applyNumberFormat="1" applyFont="1" applyBorder="1"/>
    <xf numFmtId="0" fontId="67" fillId="0" borderId="0" xfId="0" applyFont="1"/>
    <xf numFmtId="0" fontId="67" fillId="0" borderId="0" xfId="0" applyFont="1" applyAlignment="1">
      <alignment horizontal="left" indent="2"/>
    </xf>
    <xf numFmtId="203" fontId="0" fillId="0" borderId="0" xfId="0" applyNumberFormat="1"/>
    <xf numFmtId="204" fontId="0" fillId="0" borderId="0" xfId="0" applyNumberFormat="1"/>
    <xf numFmtId="204" fontId="0" fillId="0" borderId="23" xfId="0" applyNumberFormat="1" applyBorder="1"/>
    <xf numFmtId="9" fontId="176" fillId="0" borderId="23" xfId="3" applyBorder="1"/>
    <xf numFmtId="0" fontId="33" fillId="0" borderId="9" xfId="76" applyFont="1" applyBorder="1" applyAlignment="1">
      <alignment horizontal="center"/>
    </xf>
    <xf numFmtId="0" fontId="2" fillId="0" borderId="9" xfId="76" applyBorder="1"/>
    <xf numFmtId="196" fontId="0" fillId="0" borderId="9" xfId="37" applyNumberFormat="1" applyFont="1" applyBorder="1"/>
    <xf numFmtId="196" fontId="33" fillId="0" borderId="9" xfId="76" applyNumberFormat="1" applyFont="1" applyBorder="1"/>
    <xf numFmtId="0" fontId="33" fillId="0" borderId="0" xfId="76" applyFont="1"/>
    <xf numFmtId="205" fontId="0" fillId="0" borderId="0" xfId="41" applyNumberFormat="1" applyFont="1"/>
    <xf numFmtId="205" fontId="33" fillId="0" borderId="9" xfId="76" applyNumberFormat="1" applyFont="1" applyBorder="1"/>
    <xf numFmtId="10" fontId="0" fillId="25" borderId="0" xfId="86" applyNumberFormat="1" applyFont="1" applyFill="1"/>
    <xf numFmtId="0" fontId="165" fillId="0" borderId="0" xfId="76" applyFont="1"/>
    <xf numFmtId="0" fontId="166" fillId="0" borderId="0" xfId="76" applyFont="1"/>
    <xf numFmtId="0" fontId="166" fillId="0" borderId="0" xfId="76" applyFont="1" applyAlignment="1">
      <alignment horizontal="center"/>
    </xf>
    <xf numFmtId="0" fontId="167" fillId="0" borderId="0" xfId="76" applyFont="1"/>
    <xf numFmtId="0" fontId="2" fillId="0" borderId="0" xfId="76" applyAlignment="1">
      <alignment horizontal="left" indent="2"/>
    </xf>
    <xf numFmtId="185" fontId="2" fillId="0" borderId="0" xfId="76" applyNumberFormat="1" applyAlignment="1">
      <alignment horizontal="left" indent="2"/>
    </xf>
    <xf numFmtId="178" fontId="33" fillId="0" borderId="0" xfId="41" applyNumberFormat="1" applyFont="1"/>
    <xf numFmtId="0" fontId="168" fillId="0" borderId="0" xfId="77" applyFont="1" applyAlignment="1">
      <alignment vertical="center"/>
    </xf>
    <xf numFmtId="189" fontId="168" fillId="0" borderId="0" xfId="77" applyNumberFormat="1" applyFont="1" applyAlignment="1">
      <alignment horizontal="left" vertical="center"/>
    </xf>
    <xf numFmtId="0" fontId="169" fillId="0" borderId="0" xfId="77" applyFont="1" applyAlignment="1">
      <alignment horizontal="center" vertical="center"/>
    </xf>
    <xf numFmtId="0" fontId="169" fillId="0" borderId="0" xfId="77" applyFont="1" applyAlignment="1">
      <alignment horizontal="right" vertical="center"/>
    </xf>
    <xf numFmtId="206" fontId="169" fillId="32" borderId="39" xfId="77" applyNumberFormat="1" applyFont="1" applyFill="1" applyBorder="1" applyAlignment="1">
      <alignment horizontal="center" vertical="center"/>
    </xf>
    <xf numFmtId="0" fontId="168" fillId="0" borderId="0" xfId="77" applyFont="1" applyAlignment="1">
      <alignment vertical="top"/>
    </xf>
    <xf numFmtId="0" fontId="169" fillId="0" borderId="66" xfId="77" applyFont="1" applyBorder="1" applyAlignment="1">
      <alignment horizontal="center" vertical="center"/>
    </xf>
    <xf numFmtId="0" fontId="169" fillId="0" borderId="35" xfId="77" applyFont="1" applyBorder="1" applyAlignment="1">
      <alignment horizontal="center" vertical="center"/>
    </xf>
    <xf numFmtId="0" fontId="169" fillId="0" borderId="67" xfId="77" applyFont="1" applyBorder="1" applyAlignment="1">
      <alignment horizontal="center" vertical="center"/>
    </xf>
    <xf numFmtId="0" fontId="168" fillId="0" borderId="0" xfId="77" applyFont="1" applyAlignment="1">
      <alignment horizontal="right" vertical="center"/>
    </xf>
    <xf numFmtId="0" fontId="169" fillId="0" borderId="20" xfId="77" applyFont="1" applyBorder="1" applyAlignment="1">
      <alignment horizontal="center" vertical="center"/>
    </xf>
    <xf numFmtId="0" fontId="169" fillId="0" borderId="21" xfId="77" applyFont="1" applyBorder="1" applyAlignment="1">
      <alignment horizontal="center" vertical="center"/>
    </xf>
    <xf numFmtId="0" fontId="169" fillId="0" borderId="68" xfId="77" applyFont="1" applyBorder="1" applyAlignment="1">
      <alignment horizontal="center" vertical="center"/>
    </xf>
    <xf numFmtId="207" fontId="168" fillId="0" borderId="0" xfId="77" applyNumberFormat="1" applyFont="1" applyAlignment="1">
      <alignment vertical="center"/>
    </xf>
    <xf numFmtId="188" fontId="168" fillId="0" borderId="0" xfId="35" applyNumberFormat="1" applyFont="1" applyAlignment="1">
      <alignment vertical="center"/>
    </xf>
    <xf numFmtId="0" fontId="168" fillId="0" borderId="23" xfId="77" applyFont="1" applyBorder="1" applyAlignment="1">
      <alignment horizontal="right" vertical="center"/>
    </xf>
    <xf numFmtId="208" fontId="169" fillId="24" borderId="69" xfId="35" applyNumberFormat="1" applyFont="1" applyFill="1" applyBorder="1" applyAlignment="1">
      <alignment horizontal="center" vertical="center"/>
    </xf>
    <xf numFmtId="1" fontId="168" fillId="0" borderId="50" xfId="35" applyNumberFormat="1" applyFont="1" applyBorder="1" applyAlignment="1">
      <alignment horizontal="center" vertical="center"/>
    </xf>
    <xf numFmtId="0" fontId="168" fillId="24" borderId="50" xfId="35" applyNumberFormat="1" applyFont="1" applyFill="1" applyBorder="1" applyAlignment="1">
      <alignment horizontal="center" vertical="center"/>
    </xf>
    <xf numFmtId="172" fontId="168" fillId="24" borderId="50" xfId="35" applyNumberFormat="1" applyFont="1" applyFill="1" applyBorder="1" applyAlignment="1">
      <alignment horizontal="center" vertical="center"/>
    </xf>
    <xf numFmtId="164" fontId="168" fillId="24" borderId="71" xfId="35" applyFont="1" applyFill="1" applyBorder="1" applyAlignment="1">
      <alignment horizontal="center" vertical="center"/>
    </xf>
    <xf numFmtId="188" fontId="168" fillId="0" borderId="72" xfId="35" applyNumberFormat="1" applyFont="1" applyBorder="1" applyAlignment="1">
      <alignment horizontal="center" vertical="center"/>
    </xf>
    <xf numFmtId="188" fontId="168" fillId="0" borderId="35" xfId="35" applyNumberFormat="1" applyFont="1" applyBorder="1" applyAlignment="1">
      <alignment vertical="center"/>
    </xf>
    <xf numFmtId="188" fontId="168" fillId="0" borderId="35" xfId="35" applyNumberFormat="1" applyFont="1" applyBorder="1" applyAlignment="1">
      <alignment horizontal="right" vertical="center"/>
    </xf>
    <xf numFmtId="164" fontId="168" fillId="24" borderId="50" xfId="35" applyFont="1" applyFill="1" applyBorder="1" applyAlignment="1">
      <alignment horizontal="center" vertical="center"/>
    </xf>
    <xf numFmtId="180" fontId="168" fillId="0" borderId="35" xfId="35" applyNumberFormat="1" applyFont="1" applyBorder="1" applyAlignment="1">
      <alignment horizontal="center" vertical="center"/>
    </xf>
    <xf numFmtId="178" fontId="168" fillId="0" borderId="35" xfId="35" applyNumberFormat="1" applyFont="1" applyBorder="1" applyAlignment="1">
      <alignment horizontal="center" vertical="center"/>
    </xf>
    <xf numFmtId="180" fontId="168" fillId="0" borderId="67" xfId="35" applyNumberFormat="1" applyFont="1" applyBorder="1" applyAlignment="1">
      <alignment horizontal="center" vertical="center"/>
    </xf>
    <xf numFmtId="180" fontId="171" fillId="0" borderId="0" xfId="35" applyNumberFormat="1" applyFont="1" applyAlignment="1">
      <alignment horizontal="center"/>
    </xf>
    <xf numFmtId="164" fontId="168" fillId="0" borderId="0" xfId="77" applyNumberFormat="1" applyFont="1" applyAlignment="1">
      <alignment vertical="center"/>
    </xf>
    <xf numFmtId="10" fontId="168" fillId="0" borderId="0" xfId="84" applyNumberFormat="1" applyFont="1" applyAlignment="1">
      <alignment vertical="center"/>
    </xf>
    <xf numFmtId="9" fontId="168" fillId="24" borderId="74" xfId="84" applyFont="1" applyFill="1" applyBorder="1" applyAlignment="1">
      <alignment horizontal="center" vertical="center"/>
    </xf>
    <xf numFmtId="1" fontId="168" fillId="0" borderId="9" xfId="35" applyNumberFormat="1" applyFont="1" applyBorder="1" applyAlignment="1">
      <alignment horizontal="center" vertical="center"/>
    </xf>
    <xf numFmtId="0" fontId="168" fillId="24" borderId="9" xfId="35" applyNumberFormat="1" applyFont="1" applyFill="1" applyBorder="1" applyAlignment="1">
      <alignment horizontal="center" vertical="center"/>
    </xf>
    <xf numFmtId="172" fontId="168" fillId="24" borderId="9" xfId="35" applyNumberFormat="1" applyFont="1" applyFill="1" applyBorder="1" applyAlignment="1">
      <alignment horizontal="center" vertical="center"/>
    </xf>
    <xf numFmtId="164" fontId="168" fillId="24" borderId="19" xfId="35" applyFont="1" applyFill="1" applyBorder="1" applyAlignment="1">
      <alignment horizontal="center" vertical="center"/>
    </xf>
    <xf numFmtId="188" fontId="168" fillId="0" borderId="22" xfId="35" applyNumberFormat="1" applyFont="1" applyBorder="1" applyAlignment="1">
      <alignment horizontal="center" vertical="center"/>
    </xf>
    <xf numFmtId="188" fontId="168" fillId="0" borderId="0" xfId="35" applyNumberFormat="1" applyFont="1" applyAlignment="1">
      <alignment horizontal="right" vertical="center"/>
    </xf>
    <xf numFmtId="164" fontId="168" fillId="24" borderId="9" xfId="35" applyFont="1" applyFill="1" applyBorder="1" applyAlignment="1">
      <alignment horizontal="center" vertical="center"/>
    </xf>
    <xf numFmtId="180" fontId="168" fillId="0" borderId="0" xfId="35" applyNumberFormat="1" applyFont="1" applyAlignment="1">
      <alignment horizontal="center" vertical="center"/>
    </xf>
    <xf numFmtId="178" fontId="168" fillId="0" borderId="0" xfId="35" applyNumberFormat="1" applyFont="1" applyAlignment="1">
      <alignment horizontal="center" vertical="center"/>
    </xf>
    <xf numFmtId="180" fontId="168" fillId="0" borderId="68" xfId="35" applyNumberFormat="1" applyFont="1" applyBorder="1" applyAlignment="1">
      <alignment horizontal="center" vertical="center"/>
    </xf>
    <xf numFmtId="9" fontId="171" fillId="0" borderId="75" xfId="84" applyFont="1" applyBorder="1" applyAlignment="1">
      <alignment horizontal="center" vertical="center" wrapText="1"/>
    </xf>
    <xf numFmtId="188" fontId="168" fillId="0" borderId="16" xfId="35" applyNumberFormat="1" applyFont="1" applyBorder="1" applyAlignment="1">
      <alignment vertical="center"/>
    </xf>
    <xf numFmtId="188" fontId="168" fillId="0" borderId="5" xfId="35" applyNumberFormat="1" applyFont="1" applyBorder="1" applyAlignment="1">
      <alignment vertical="center"/>
    </xf>
    <xf numFmtId="210" fontId="168" fillId="24" borderId="9" xfId="77" applyNumberFormat="1" applyFont="1" applyFill="1" applyBorder="1" applyAlignment="1">
      <alignment horizontal="left" vertical="center"/>
    </xf>
    <xf numFmtId="9" fontId="171" fillId="0" borderId="76" xfId="84" applyFont="1" applyBorder="1" applyAlignment="1">
      <alignment horizontal="center" vertical="center" wrapText="1"/>
    </xf>
    <xf numFmtId="1" fontId="168" fillId="0" borderId="77" xfId="35" applyNumberFormat="1" applyFont="1" applyBorder="1" applyAlignment="1">
      <alignment horizontal="center" vertical="center"/>
    </xf>
    <xf numFmtId="0" fontId="168" fillId="24" borderId="77" xfId="35" applyNumberFormat="1" applyFont="1" applyFill="1" applyBorder="1" applyAlignment="1">
      <alignment horizontal="center" vertical="center"/>
    </xf>
    <xf numFmtId="172" fontId="168" fillId="24" borderId="77" xfId="35" applyNumberFormat="1" applyFont="1" applyFill="1" applyBorder="1" applyAlignment="1">
      <alignment horizontal="center" vertical="center"/>
    </xf>
    <xf numFmtId="164" fontId="168" fillId="24" borderId="78" xfId="35" applyFont="1" applyFill="1" applyBorder="1" applyAlignment="1">
      <alignment horizontal="center" vertical="center"/>
    </xf>
    <xf numFmtId="188" fontId="168" fillId="0" borderId="47" xfId="35" applyNumberFormat="1" applyFont="1" applyBorder="1" applyAlignment="1">
      <alignment horizontal="center" vertical="center"/>
    </xf>
    <xf numFmtId="188" fontId="168" fillId="0" borderId="60" xfId="35" applyNumberFormat="1" applyFont="1" applyBorder="1" applyAlignment="1">
      <alignment vertical="center"/>
    </xf>
    <xf numFmtId="188" fontId="168" fillId="0" borderId="60" xfId="35" applyNumberFormat="1" applyFont="1" applyBorder="1" applyAlignment="1">
      <alignment horizontal="right" vertical="center"/>
    </xf>
    <xf numFmtId="164" fontId="168" fillId="24" borderId="77" xfId="35" applyFont="1" applyFill="1" applyBorder="1" applyAlignment="1">
      <alignment horizontal="center" vertical="center"/>
    </xf>
    <xf numFmtId="180" fontId="168" fillId="0" borderId="60" xfId="35" applyNumberFormat="1" applyFont="1" applyBorder="1" applyAlignment="1">
      <alignment horizontal="center" vertical="center"/>
    </xf>
    <xf numFmtId="178" fontId="168" fillId="0" borderId="60" xfId="35" applyNumberFormat="1" applyFont="1" applyBorder="1" applyAlignment="1">
      <alignment horizontal="center" vertical="center"/>
    </xf>
    <xf numFmtId="180" fontId="168" fillId="0" borderId="39" xfId="35" applyNumberFormat="1" applyFont="1" applyBorder="1" applyAlignment="1">
      <alignment horizontal="center" vertical="center"/>
    </xf>
    <xf numFmtId="1" fontId="168" fillId="0" borderId="71" xfId="35" applyNumberFormat="1" applyFont="1" applyBorder="1" applyAlignment="1">
      <alignment horizontal="center" vertical="center"/>
    </xf>
    <xf numFmtId="0" fontId="168" fillId="0" borderId="50" xfId="35" applyNumberFormat="1" applyFont="1" applyBorder="1" applyAlignment="1">
      <alignment horizontal="center" vertical="center"/>
    </xf>
    <xf numFmtId="172" fontId="168" fillId="0" borderId="50" xfId="35" applyNumberFormat="1" applyFont="1" applyBorder="1" applyAlignment="1">
      <alignment horizontal="center" vertical="center"/>
    </xf>
    <xf numFmtId="9" fontId="168" fillId="24" borderId="79" xfId="84" applyFont="1" applyFill="1" applyBorder="1" applyAlignment="1">
      <alignment horizontal="center" vertical="center"/>
    </xf>
    <xf numFmtId="1" fontId="168" fillId="0" borderId="19" xfId="35" applyNumberFormat="1" applyFont="1" applyBorder="1" applyAlignment="1">
      <alignment horizontal="center" vertical="center"/>
    </xf>
    <xf numFmtId="0" fontId="168" fillId="0" borderId="9" xfId="35" applyNumberFormat="1" applyFont="1" applyBorder="1" applyAlignment="1">
      <alignment horizontal="center" vertical="center"/>
    </xf>
    <xf numFmtId="172" fontId="168" fillId="0" borderId="9" xfId="35" applyNumberFormat="1" applyFont="1" applyBorder="1" applyAlignment="1">
      <alignment horizontal="center" vertical="center"/>
    </xf>
    <xf numFmtId="188" fontId="168" fillId="0" borderId="80" xfId="35" applyNumberFormat="1" applyFont="1" applyBorder="1" applyAlignment="1">
      <alignment vertical="center"/>
    </xf>
    <xf numFmtId="9" fontId="171" fillId="0" borderId="37" xfId="84" applyFont="1" applyBorder="1" applyAlignment="1">
      <alignment horizontal="center" vertical="center" wrapText="1"/>
    </xf>
    <xf numFmtId="0" fontId="168" fillId="0" borderId="74" xfId="77" applyFont="1" applyBorder="1" applyAlignment="1">
      <alignment horizontal="center" vertical="center"/>
    </xf>
    <xf numFmtId="178" fontId="168" fillId="24" borderId="82" xfId="35" applyNumberFormat="1" applyFont="1" applyFill="1" applyBorder="1" applyAlignment="1">
      <alignment horizontal="center" vertical="center"/>
    </xf>
    <xf numFmtId="0" fontId="168" fillId="0" borderId="77" xfId="35" applyNumberFormat="1" applyFont="1" applyBorder="1" applyAlignment="1">
      <alignment horizontal="center" vertical="center"/>
    </xf>
    <xf numFmtId="172" fontId="168" fillId="0" borderId="77" xfId="35" applyNumberFormat="1" applyFont="1" applyBorder="1" applyAlignment="1">
      <alignment horizontal="center" vertical="center"/>
    </xf>
    <xf numFmtId="188" fontId="168" fillId="41" borderId="35" xfId="35" applyNumberFormat="1" applyFont="1" applyFill="1" applyBorder="1" applyAlignment="1">
      <alignment horizontal="right" vertical="center"/>
    </xf>
    <xf numFmtId="9" fontId="171" fillId="0" borderId="84" xfId="84" applyFont="1" applyBorder="1" applyAlignment="1">
      <alignment horizontal="center" vertical="center"/>
    </xf>
    <xf numFmtId="188" fontId="168" fillId="41" borderId="0" xfId="35" applyNumberFormat="1" applyFont="1" applyFill="1" applyAlignment="1">
      <alignment horizontal="right" vertical="center"/>
    </xf>
    <xf numFmtId="0" fontId="171" fillId="0" borderId="0" xfId="77" applyFont="1" applyAlignment="1">
      <alignment vertical="center"/>
    </xf>
    <xf numFmtId="212" fontId="168" fillId="0" borderId="18" xfId="77" applyNumberFormat="1" applyFont="1" applyBorder="1" applyAlignment="1">
      <alignment horizontal="center" vertical="center"/>
    </xf>
    <xf numFmtId="10" fontId="168" fillId="0" borderId="9" xfId="84" applyNumberFormat="1" applyFont="1" applyBorder="1" applyAlignment="1">
      <alignment horizontal="center" vertical="center"/>
    </xf>
    <xf numFmtId="188" fontId="168" fillId="41" borderId="60" xfId="35" applyNumberFormat="1" applyFont="1" applyFill="1" applyBorder="1" applyAlignment="1">
      <alignment horizontal="right" vertical="center"/>
    </xf>
    <xf numFmtId="175" fontId="168" fillId="0" borderId="0" xfId="77" applyNumberFormat="1" applyFont="1" applyAlignment="1">
      <alignment vertical="center"/>
    </xf>
    <xf numFmtId="188" fontId="169" fillId="0" borderId="0" xfId="35" applyNumberFormat="1" applyFont="1" applyAlignment="1">
      <alignment vertical="center"/>
    </xf>
    <xf numFmtId="188" fontId="169" fillId="0" borderId="39" xfId="35" applyNumberFormat="1" applyFont="1" applyBorder="1" applyAlignment="1">
      <alignment vertical="center"/>
    </xf>
    <xf numFmtId="188" fontId="168" fillId="0" borderId="0" xfId="35" applyNumberFormat="1" applyFont="1" applyAlignment="1">
      <alignment horizontal="center" vertical="center"/>
    </xf>
    <xf numFmtId="178" fontId="169" fillId="0" borderId="39" xfId="35" applyNumberFormat="1" applyFont="1" applyBorder="1" applyAlignment="1">
      <alignment horizontal="center" vertical="center"/>
    </xf>
    <xf numFmtId="0" fontId="169" fillId="0" borderId="0" xfId="77" applyFont="1" applyAlignment="1">
      <alignment vertical="center"/>
    </xf>
    <xf numFmtId="0" fontId="169" fillId="0" borderId="0" xfId="35" applyNumberFormat="1" applyFont="1" applyAlignment="1">
      <alignment horizontal="right" vertical="center"/>
    </xf>
    <xf numFmtId="178" fontId="168" fillId="0" borderId="0" xfId="35" applyNumberFormat="1" applyFont="1" applyAlignment="1">
      <alignment vertical="center"/>
    </xf>
    <xf numFmtId="178" fontId="169" fillId="0" borderId="0" xfId="77" applyNumberFormat="1" applyFont="1" applyAlignment="1">
      <alignment horizontal="right" vertical="center"/>
    </xf>
    <xf numFmtId="0" fontId="169" fillId="0" borderId="34" xfId="77" applyFont="1" applyBorder="1" applyAlignment="1">
      <alignment horizontal="center" vertical="center"/>
    </xf>
    <xf numFmtId="213" fontId="169" fillId="0" borderId="85" xfId="77" applyNumberFormat="1" applyFont="1" applyBorder="1" applyAlignment="1">
      <alignment horizontal="center"/>
    </xf>
    <xf numFmtId="213" fontId="169" fillId="0" borderId="35" xfId="77" applyNumberFormat="1" applyFont="1" applyBorder="1" applyAlignment="1">
      <alignment horizontal="center"/>
    </xf>
    <xf numFmtId="213" fontId="169" fillId="0" borderId="36" xfId="77" applyNumberFormat="1" applyFont="1" applyBorder="1" applyAlignment="1">
      <alignment horizontal="center"/>
    </xf>
    <xf numFmtId="188" fontId="169" fillId="0" borderId="65" xfId="77" applyNumberFormat="1" applyFont="1" applyBorder="1" applyAlignment="1">
      <alignment horizontal="center" vertical="center"/>
    </xf>
    <xf numFmtId="214" fontId="169" fillId="0" borderId="86" xfId="77" applyNumberFormat="1" applyFont="1" applyBorder="1" applyAlignment="1">
      <alignment vertical="center"/>
    </xf>
    <xf numFmtId="214" fontId="169" fillId="0" borderId="86" xfId="77" applyNumberFormat="1" applyFont="1" applyBorder="1" applyAlignment="1">
      <alignment horizontal="right" vertical="center"/>
    </xf>
    <xf numFmtId="214" fontId="169" fillId="0" borderId="87" xfId="77" applyNumberFormat="1" applyFont="1" applyBorder="1" applyAlignment="1">
      <alignment horizontal="right" vertical="center"/>
    </xf>
    <xf numFmtId="208" fontId="168" fillId="0" borderId="88" xfId="35" applyNumberFormat="1" applyFont="1" applyBorder="1" applyAlignment="1">
      <alignment horizontal="left" vertical="center"/>
    </xf>
    <xf numFmtId="37" fontId="168" fillId="0" borderId="89" xfId="35" applyNumberFormat="1" applyFont="1" applyBorder="1" applyAlignment="1">
      <alignment horizontal="center"/>
    </xf>
    <xf numFmtId="37" fontId="168" fillId="0" borderId="9" xfId="35" applyNumberFormat="1" applyFont="1" applyBorder="1" applyAlignment="1">
      <alignment horizontal="center"/>
    </xf>
    <xf numFmtId="37" fontId="168" fillId="0" borderId="82" xfId="35" applyNumberFormat="1" applyFont="1" applyBorder="1" applyAlignment="1">
      <alignment horizontal="center"/>
    </xf>
    <xf numFmtId="213" fontId="169" fillId="0" borderId="0" xfId="77" applyNumberFormat="1" applyFont="1" applyAlignment="1">
      <alignment horizontal="center"/>
    </xf>
    <xf numFmtId="188" fontId="168" fillId="32" borderId="25" xfId="35" applyNumberFormat="1" applyFont="1" applyFill="1" applyBorder="1" applyAlignment="1">
      <alignment vertical="center"/>
    </xf>
    <xf numFmtId="188" fontId="168" fillId="32" borderId="26" xfId="35" applyNumberFormat="1" applyFont="1" applyFill="1" applyBorder="1" applyAlignment="1">
      <alignment vertical="center"/>
    </xf>
    <xf numFmtId="188" fontId="168" fillId="32" borderId="90" xfId="35" applyNumberFormat="1" applyFont="1" applyFill="1" applyBorder="1" applyAlignment="1">
      <alignment vertical="center"/>
    </xf>
    <xf numFmtId="208" fontId="168" fillId="0" borderId="84" xfId="77" applyNumberFormat="1" applyFont="1" applyBorder="1" applyAlignment="1">
      <alignment horizontal="center" vertical="center"/>
    </xf>
    <xf numFmtId="188" fontId="168" fillId="0" borderId="25" xfId="35" applyNumberFormat="1" applyFont="1" applyBorder="1"/>
    <xf numFmtId="188" fontId="168" fillId="0" borderId="26" xfId="35" applyNumberFormat="1" applyFont="1" applyBorder="1"/>
    <xf numFmtId="188" fontId="168" fillId="0" borderId="90" xfId="35" applyNumberFormat="1" applyFont="1" applyBorder="1"/>
    <xf numFmtId="37" fontId="168" fillId="24" borderId="89" xfId="35" applyNumberFormat="1" applyFont="1" applyFill="1" applyBorder="1" applyAlignment="1">
      <alignment horizontal="center"/>
    </xf>
    <xf numFmtId="37" fontId="168" fillId="24" borderId="9" xfId="35" applyNumberFormat="1" applyFont="1" applyFill="1" applyBorder="1" applyAlignment="1">
      <alignment horizontal="center"/>
    </xf>
    <xf numFmtId="37" fontId="168" fillId="24" borderId="82" xfId="35" applyNumberFormat="1" applyFont="1" applyFill="1" applyBorder="1" applyAlignment="1">
      <alignment horizontal="center"/>
    </xf>
    <xf numFmtId="0" fontId="169" fillId="0" borderId="91" xfId="77" applyFont="1" applyBorder="1" applyAlignment="1">
      <alignment horizontal="center" vertical="center"/>
    </xf>
    <xf numFmtId="188" fontId="169" fillId="0" borderId="60" xfId="35" applyNumberFormat="1" applyFont="1" applyBorder="1"/>
    <xf numFmtId="188" fontId="169" fillId="0" borderId="61" xfId="35" applyNumberFormat="1" applyFont="1" applyBorder="1"/>
    <xf numFmtId="208" fontId="168" fillId="0" borderId="92" xfId="35" applyNumberFormat="1" applyFont="1" applyBorder="1" applyAlignment="1">
      <alignment horizontal="left" vertical="center"/>
    </xf>
    <xf numFmtId="208" fontId="168" fillId="0" borderId="93" xfId="35" applyNumberFormat="1" applyFont="1" applyBorder="1" applyAlignment="1">
      <alignment horizontal="left" vertical="center"/>
    </xf>
    <xf numFmtId="37" fontId="168" fillId="0" borderId="94" xfId="35" applyNumberFormat="1" applyFont="1" applyBorder="1" applyAlignment="1">
      <alignment horizontal="center"/>
    </xf>
    <xf numFmtId="37" fontId="168" fillId="0" borderId="47" xfId="35" applyNumberFormat="1" applyFont="1" applyBorder="1" applyAlignment="1">
      <alignment horizontal="center"/>
    </xf>
    <xf numFmtId="37" fontId="168" fillId="0" borderId="95" xfId="35" applyNumberFormat="1" applyFont="1" applyBorder="1" applyAlignment="1">
      <alignment horizontal="center"/>
    </xf>
    <xf numFmtId="0" fontId="168" fillId="0" borderId="34" xfId="77" applyFont="1" applyBorder="1" applyAlignment="1">
      <alignment vertical="center"/>
    </xf>
    <xf numFmtId="0" fontId="168" fillId="0" borderId="35" xfId="77" applyFont="1" applyBorder="1" applyAlignment="1">
      <alignment vertical="center"/>
    </xf>
    <xf numFmtId="188" fontId="169" fillId="0" borderId="35" xfId="35" applyNumberFormat="1" applyFont="1" applyBorder="1" applyAlignment="1">
      <alignment horizontal="right"/>
    </xf>
    <xf numFmtId="0" fontId="168" fillId="24" borderId="96" xfId="77" applyFont="1" applyFill="1" applyBorder="1" applyAlignment="1">
      <alignment horizontal="center" vertical="center"/>
    </xf>
    <xf numFmtId="0" fontId="172" fillId="0" borderId="37" xfId="77" applyFont="1" applyBorder="1" applyAlignment="1">
      <alignment vertical="center"/>
    </xf>
    <xf numFmtId="188" fontId="168" fillId="0" borderId="23" xfId="35" applyNumberFormat="1" applyFont="1" applyBorder="1" applyAlignment="1">
      <alignment horizontal="left"/>
    </xf>
    <xf numFmtId="188" fontId="169" fillId="0" borderId="23" xfId="35" applyNumberFormat="1" applyFont="1" applyBorder="1" applyAlignment="1">
      <alignment horizontal="right"/>
    </xf>
    <xf numFmtId="215" fontId="168" fillId="24" borderId="82" xfId="35" applyNumberFormat="1" applyFont="1" applyFill="1" applyBorder="1" applyAlignment="1">
      <alignment horizontal="center"/>
    </xf>
    <xf numFmtId="188" fontId="168" fillId="0" borderId="74" xfId="35" applyNumberFormat="1" applyFont="1" applyBorder="1" applyAlignment="1">
      <alignment horizontal="left"/>
    </xf>
    <xf numFmtId="0" fontId="168" fillId="0" borderId="9" xfId="35" applyNumberFormat="1" applyFont="1" applyBorder="1" applyAlignment="1">
      <alignment horizontal="center"/>
    </xf>
    <xf numFmtId="188" fontId="168" fillId="0" borderId="9" xfId="35" applyNumberFormat="1" applyFont="1" applyBorder="1" applyAlignment="1">
      <alignment horizontal="center"/>
    </xf>
    <xf numFmtId="214" fontId="168" fillId="0" borderId="9" xfId="35" applyNumberFormat="1" applyFont="1" applyBorder="1" applyAlignment="1">
      <alignment horizontal="right"/>
    </xf>
    <xf numFmtId="214" fontId="168" fillId="0" borderId="82" xfId="35" applyNumberFormat="1" applyFont="1" applyBorder="1" applyAlignment="1">
      <alignment horizontal="right"/>
    </xf>
    <xf numFmtId="188" fontId="168" fillId="0" borderId="74" xfId="35" applyNumberFormat="1" applyFont="1" applyBorder="1" applyAlignment="1">
      <alignment vertical="center"/>
    </xf>
    <xf numFmtId="188" fontId="168" fillId="0" borderId="19" xfId="35" applyNumberFormat="1" applyFont="1" applyBorder="1"/>
    <xf numFmtId="188" fontId="169" fillId="24" borderId="9" xfId="35" applyNumberFormat="1" applyFont="1" applyFill="1" applyBorder="1" applyAlignment="1">
      <alignment horizontal="center"/>
    </xf>
    <xf numFmtId="164" fontId="168" fillId="24" borderId="9" xfId="35" applyFont="1" applyFill="1" applyBorder="1"/>
    <xf numFmtId="164" fontId="168" fillId="24" borderId="82" xfId="35" applyFont="1" applyFill="1" applyBorder="1"/>
    <xf numFmtId="188" fontId="168" fillId="0" borderId="79" xfId="35" applyNumberFormat="1" applyFont="1" applyBorder="1"/>
    <xf numFmtId="188" fontId="168" fillId="24" borderId="9" xfId="35" applyNumberFormat="1" applyFont="1" applyFill="1" applyBorder="1"/>
    <xf numFmtId="0" fontId="168" fillId="0" borderId="84" xfId="77" applyFont="1" applyBorder="1" applyAlignment="1">
      <alignment horizontal="center" vertical="center"/>
    </xf>
    <xf numFmtId="188" fontId="168" fillId="24" borderId="25" xfId="35" applyNumberFormat="1" applyFont="1" applyFill="1" applyBorder="1"/>
    <xf numFmtId="188" fontId="168" fillId="24" borderId="26" xfId="35" applyNumberFormat="1" applyFont="1" applyFill="1" applyBorder="1"/>
    <xf numFmtId="188" fontId="168" fillId="24" borderId="90" xfId="35" applyNumberFormat="1" applyFont="1" applyFill="1" applyBorder="1"/>
    <xf numFmtId="0" fontId="168" fillId="24" borderId="9" xfId="77" applyFont="1" applyFill="1" applyBorder="1" applyAlignment="1">
      <alignment vertical="center"/>
    </xf>
    <xf numFmtId="188" fontId="168" fillId="0" borderId="93" xfId="35" applyNumberFormat="1" applyFont="1" applyBorder="1" applyAlignment="1">
      <alignment horizontal="left"/>
    </xf>
    <xf numFmtId="0" fontId="168" fillId="0" borderId="60" xfId="35" applyNumberFormat="1" applyFont="1" applyBorder="1" applyAlignment="1">
      <alignment horizontal="center"/>
    </xf>
    <xf numFmtId="188" fontId="169" fillId="0" borderId="60" xfId="35" applyNumberFormat="1" applyFont="1" applyBorder="1" applyAlignment="1">
      <alignment horizontal="right"/>
    </xf>
    <xf numFmtId="164" fontId="169" fillId="0" borderId="77" xfId="35" applyFont="1" applyBorder="1" applyAlignment="1">
      <alignment horizontal="left"/>
    </xf>
    <xf numFmtId="164" fontId="169" fillId="0" borderId="97" xfId="35" applyFont="1" applyBorder="1" applyAlignment="1">
      <alignment horizontal="left"/>
    </xf>
    <xf numFmtId="0" fontId="169" fillId="0" borderId="76" xfId="77" applyFont="1" applyBorder="1" applyAlignment="1">
      <alignment horizontal="center" vertical="center"/>
    </xf>
    <xf numFmtId="0" fontId="168" fillId="0" borderId="60" xfId="77" applyFont="1" applyBorder="1" applyAlignment="1">
      <alignment vertical="center"/>
    </xf>
    <xf numFmtId="188" fontId="169" fillId="0" borderId="60" xfId="35" applyNumberFormat="1" applyFont="1" applyBorder="1" applyAlignment="1">
      <alignment vertical="center"/>
    </xf>
    <xf numFmtId="188" fontId="169" fillId="0" borderId="61" xfId="35" applyNumberFormat="1" applyFont="1" applyBorder="1" applyAlignment="1">
      <alignment vertical="center"/>
    </xf>
    <xf numFmtId="166" fontId="0" fillId="0" borderId="0" xfId="39" applyFont="1"/>
    <xf numFmtId="0" fontId="91" fillId="0" borderId="0" xfId="0" applyFont="1"/>
    <xf numFmtId="166" fontId="33" fillId="0" borderId="0" xfId="39" applyFont="1" applyAlignment="1">
      <alignment horizontal="right"/>
    </xf>
    <xf numFmtId="0" fontId="173" fillId="0" borderId="0" xfId="0" applyFont="1"/>
    <xf numFmtId="166" fontId="15" fillId="0" borderId="0" xfId="39" applyFont="1"/>
    <xf numFmtId="166" fontId="156" fillId="0" borderId="0" xfId="39" applyFont="1"/>
    <xf numFmtId="171" fontId="66" fillId="0" borderId="0" xfId="39" applyNumberFormat="1" applyFont="1" applyAlignment="1">
      <alignment horizontal="right"/>
    </xf>
    <xf numFmtId="166" fontId="156" fillId="0" borderId="0" xfId="39" applyFont="1" applyAlignment="1">
      <alignment horizontal="center"/>
    </xf>
    <xf numFmtId="166" fontId="0" fillId="0" borderId="15" xfId="39" applyFont="1" applyBorder="1"/>
    <xf numFmtId="166" fontId="138" fillId="26" borderId="14" xfId="39" applyFont="1" applyFill="1" applyBorder="1" applyAlignment="1">
      <alignment horizontal="center"/>
    </xf>
    <xf numFmtId="166" fontId="156" fillId="0" borderId="16" xfId="39" applyFont="1" applyBorder="1" applyAlignment="1">
      <alignment horizontal="center"/>
    </xf>
    <xf numFmtId="166" fontId="138" fillId="0" borderId="14" xfId="39" applyFont="1" applyBorder="1" applyAlignment="1">
      <alignment horizontal="center"/>
    </xf>
    <xf numFmtId="166" fontId="138" fillId="0" borderId="16" xfId="39" applyFont="1" applyBorder="1"/>
    <xf numFmtId="166" fontId="156" fillId="0" borderId="14" xfId="39" applyFont="1" applyBorder="1" applyAlignment="1">
      <alignment horizontal="center"/>
    </xf>
    <xf numFmtId="166" fontId="0" fillId="0" borderId="20" xfId="39" applyFont="1" applyBorder="1"/>
    <xf numFmtId="166" fontId="156" fillId="26" borderId="22" xfId="39" applyFont="1" applyFill="1" applyBorder="1" applyAlignment="1">
      <alignment horizontal="center"/>
    </xf>
    <xf numFmtId="166" fontId="156" fillId="0" borderId="22" xfId="39" applyFont="1" applyBorder="1" applyAlignment="1">
      <alignment horizontal="center"/>
    </xf>
    <xf numFmtId="166" fontId="0" fillId="0" borderId="22" xfId="39" applyFont="1" applyBorder="1"/>
    <xf numFmtId="166" fontId="44" fillId="0" borderId="22" xfId="39" applyFont="1" applyBorder="1"/>
    <xf numFmtId="0" fontId="174" fillId="0" borderId="22" xfId="0" applyFont="1" applyBorder="1" applyAlignment="1">
      <alignment horizontal="center"/>
    </xf>
    <xf numFmtId="166" fontId="174" fillId="0" borderId="0" xfId="39" applyFont="1" applyAlignment="1">
      <alignment horizontal="center"/>
    </xf>
    <xf numFmtId="166" fontId="0" fillId="26" borderId="22" xfId="39" applyFont="1" applyFill="1" applyBorder="1"/>
    <xf numFmtId="0" fontId="138" fillId="0" borderId="22" xfId="0" applyFont="1" applyBorder="1" applyAlignment="1">
      <alignment horizontal="left"/>
    </xf>
    <xf numFmtId="166" fontId="138" fillId="0" borderId="0" xfId="39" applyFont="1" applyAlignment="1">
      <alignment horizontal="left"/>
    </xf>
    <xf numFmtId="0" fontId="8" fillId="0" borderId="22" xfId="0" applyFont="1" applyBorder="1"/>
    <xf numFmtId="166" fontId="0" fillId="30" borderId="0" xfId="39" applyFont="1" applyFill="1"/>
    <xf numFmtId="166" fontId="0" fillId="30" borderId="22" xfId="39" applyFont="1" applyFill="1" applyBorder="1"/>
    <xf numFmtId="166" fontId="67" fillId="0" borderId="0" xfId="0" applyNumberFormat="1" applyFont="1"/>
    <xf numFmtId="37" fontId="0" fillId="0" borderId="0" xfId="0" applyNumberFormat="1"/>
    <xf numFmtId="39" fontId="67" fillId="0" borderId="0" xfId="0" applyNumberFormat="1" applyFont="1"/>
    <xf numFmtId="0" fontId="174" fillId="0" borderId="24" xfId="0" applyFont="1" applyBorder="1" applyAlignment="1">
      <alignment horizontal="center"/>
    </xf>
    <xf numFmtId="166" fontId="174" fillId="0" borderId="24" xfId="39" applyFont="1" applyBorder="1" applyAlignment="1">
      <alignment horizontal="center"/>
    </xf>
    <xf numFmtId="166" fontId="44" fillId="26" borderId="26" xfId="39" applyFont="1" applyFill="1" applyBorder="1"/>
    <xf numFmtId="166" fontId="44" fillId="0" borderId="23" xfId="39" applyFont="1" applyBorder="1"/>
    <xf numFmtId="166" fontId="44" fillId="0" borderId="26" xfId="39" applyFont="1" applyBorder="1"/>
    <xf numFmtId="37" fontId="44" fillId="0" borderId="0" xfId="0" applyNumberFormat="1" applyFont="1"/>
    <xf numFmtId="166" fontId="44" fillId="24" borderId="0" xfId="0" applyNumberFormat="1" applyFont="1" applyFill="1"/>
    <xf numFmtId="166" fontId="174" fillId="0" borderId="22" xfId="39" applyFont="1" applyBorder="1" applyAlignment="1">
      <alignment horizontal="center"/>
    </xf>
    <xf numFmtId="0" fontId="138" fillId="0" borderId="22" xfId="0" applyFont="1" applyBorder="1"/>
    <xf numFmtId="166" fontId="138" fillId="0" borderId="22" xfId="39" applyFont="1" applyBorder="1"/>
    <xf numFmtId="0" fontId="8" fillId="30" borderId="22" xfId="0" applyFont="1" applyFill="1" applyBorder="1"/>
    <xf numFmtId="166" fontId="8" fillId="30" borderId="22" xfId="39" applyFill="1" applyBorder="1"/>
    <xf numFmtId="166" fontId="33" fillId="30" borderId="22" xfId="39" applyFont="1" applyFill="1" applyBorder="1"/>
    <xf numFmtId="166" fontId="33" fillId="26" borderId="22" xfId="39" applyFont="1" applyFill="1" applyBorder="1"/>
    <xf numFmtId="166" fontId="8" fillId="0" borderId="22" xfId="39" applyBorder="1"/>
    <xf numFmtId="216" fontId="0" fillId="0" borderId="0" xfId="0" applyNumberFormat="1"/>
    <xf numFmtId="216" fontId="0" fillId="25" borderId="0" xfId="0" applyNumberFormat="1" applyFill="1"/>
    <xf numFmtId="178" fontId="0" fillId="25" borderId="0" xfId="0" applyNumberFormat="1" applyFill="1"/>
    <xf numFmtId="0" fontId="174" fillId="0" borderId="26" xfId="0" applyFont="1" applyBorder="1" applyAlignment="1">
      <alignment horizontal="center"/>
    </xf>
    <xf numFmtId="176" fontId="174" fillId="0" borderId="26" xfId="39" applyNumberFormat="1" applyFont="1" applyBorder="1" applyAlignment="1">
      <alignment horizontal="center"/>
    </xf>
    <xf numFmtId="166" fontId="44" fillId="0" borderId="0" xfId="39" applyFont="1"/>
    <xf numFmtId="166" fontId="0" fillId="0" borderId="9" xfId="39" applyFont="1" applyBorder="1"/>
    <xf numFmtId="0" fontId="14" fillId="0" borderId="0" xfId="0" applyFont="1"/>
    <xf numFmtId="176" fontId="14" fillId="0" borderId="0" xfId="39" applyNumberFormat="1" applyFont="1"/>
    <xf numFmtId="176" fontId="0" fillId="0" borderId="0" xfId="39" applyNumberFormat="1" applyFont="1"/>
    <xf numFmtId="0" fontId="75" fillId="0" borderId="0" xfId="0" applyFont="1" applyAlignment="1">
      <alignment horizontal="center"/>
    </xf>
    <xf numFmtId="176" fontId="75" fillId="0" borderId="0" xfId="39" applyNumberFormat="1" applyFont="1" applyAlignment="1">
      <alignment horizontal="center"/>
    </xf>
    <xf numFmtId="166" fontId="75" fillId="0" borderId="0" xfId="39" applyFont="1" applyAlignment="1">
      <alignment horizontal="center"/>
    </xf>
    <xf numFmtId="166" fontId="28" fillId="0" borderId="0" xfId="39" applyFont="1"/>
    <xf numFmtId="166" fontId="44" fillId="0" borderId="41" xfId="39" applyFont="1" applyBorder="1"/>
    <xf numFmtId="166" fontId="44" fillId="0" borderId="4" xfId="39" applyFont="1" applyBorder="1"/>
    <xf numFmtId="175" fontId="44" fillId="0" borderId="42" xfId="39" applyNumberFormat="1" applyFont="1" applyBorder="1"/>
    <xf numFmtId="17" fontId="0" fillId="0" borderId="0" xfId="39" applyNumberFormat="1" applyFont="1"/>
    <xf numFmtId="0" fontId="175" fillId="0" borderId="0" xfId="0" applyFont="1" applyAlignment="1">
      <alignment horizontal="center"/>
    </xf>
    <xf numFmtId="166" fontId="175" fillId="0" borderId="0" xfId="39" applyFont="1" applyAlignment="1">
      <alignment horizontal="center"/>
    </xf>
    <xf numFmtId="176" fontId="175" fillId="0" borderId="0" xfId="39" applyNumberFormat="1" applyFont="1"/>
    <xf numFmtId="166" fontId="28" fillId="0" borderId="0" xfId="39" applyFont="1" applyAlignment="1">
      <alignment horizontal="center"/>
    </xf>
    <xf numFmtId="9" fontId="0" fillId="0" borderId="0" xfId="39" applyNumberFormat="1" applyFont="1"/>
    <xf numFmtId="176" fontId="113" fillId="0" borderId="0" xfId="39" applyNumberFormat="1" applyFont="1"/>
    <xf numFmtId="0" fontId="138" fillId="0" borderId="0" xfId="0" applyFont="1" applyAlignment="1">
      <alignment horizontal="center"/>
    </xf>
    <xf numFmtId="166" fontId="138" fillId="0" borderId="0" xfId="39" applyFont="1" applyAlignment="1">
      <alignment horizontal="center"/>
    </xf>
    <xf numFmtId="176" fontId="138" fillId="0" borderId="0" xfId="39" applyNumberFormat="1" applyFont="1"/>
    <xf numFmtId="0" fontId="138" fillId="0" borderId="0" xfId="0" applyFont="1"/>
    <xf numFmtId="166" fontId="138" fillId="0" borderId="0" xfId="39" applyFont="1"/>
    <xf numFmtId="176" fontId="175" fillId="0" borderId="60" xfId="39" applyNumberFormat="1" applyFont="1" applyBorder="1"/>
    <xf numFmtId="17" fontId="0" fillId="0" borderId="0" xfId="0" applyNumberFormat="1"/>
    <xf numFmtId="14" fontId="0" fillId="0" borderId="0" xfId="0" applyNumberFormat="1"/>
    <xf numFmtId="178" fontId="177" fillId="0" borderId="0" xfId="0" applyNumberFormat="1" applyFont="1"/>
    <xf numFmtId="176" fontId="177" fillId="0" borderId="0" xfId="0" applyNumberFormat="1" applyFont="1" applyAlignment="1">
      <alignment horizontal="right"/>
    </xf>
    <xf numFmtId="4" fontId="46" fillId="29" borderId="0" xfId="0" applyNumberFormat="1" applyFont="1" applyFill="1" applyAlignment="1">
      <alignment horizontal="right" vertical="top"/>
    </xf>
    <xf numFmtId="4" fontId="46" fillId="30" borderId="0" xfId="0" applyNumberFormat="1" applyFont="1" applyFill="1" applyAlignment="1">
      <alignment horizontal="right" vertical="top"/>
    </xf>
    <xf numFmtId="0" fontId="56" fillId="27" borderId="27" xfId="0" applyFont="1" applyFill="1" applyBorder="1" applyAlignment="1">
      <alignment horizontal="center" vertical="center"/>
    </xf>
    <xf numFmtId="0" fontId="0" fillId="27" borderId="9" xfId="0" applyFill="1" applyBorder="1" applyAlignment="1">
      <alignment horizontal="center"/>
    </xf>
    <xf numFmtId="0" fontId="44" fillId="0" borderId="14" xfId="0" applyFont="1" applyBorder="1" applyAlignment="1">
      <alignment horizontal="center"/>
    </xf>
    <xf numFmtId="0" fontId="69" fillId="0" borderId="34" xfId="71" applyFont="1" applyBorder="1" applyAlignment="1" applyProtection="1">
      <alignment horizontal="left"/>
      <protection locked="0"/>
    </xf>
    <xf numFmtId="0" fontId="90" fillId="29" borderId="39" xfId="71" applyFont="1" applyFill="1" applyBorder="1" applyAlignment="1" applyProtection="1">
      <alignment horizontal="center"/>
      <protection locked="0"/>
    </xf>
    <xf numFmtId="0" fontId="2" fillId="20" borderId="42" xfId="0" applyFont="1" applyFill="1" applyBorder="1" applyAlignment="1">
      <alignment horizontal="center" vertical="center"/>
    </xf>
    <xf numFmtId="0" fontId="63" fillId="0" borderId="0" xfId="0" applyFont="1" applyAlignment="1">
      <alignment horizontal="center"/>
    </xf>
    <xf numFmtId="176" fontId="0" fillId="0" borderId="0" xfId="0" applyNumberFormat="1" applyAlignment="1">
      <alignment horizontal="center" vertical="top" wrapText="1"/>
    </xf>
    <xf numFmtId="190" fontId="52" fillId="0" borderId="0" xfId="0" applyNumberFormat="1" applyFont="1" applyAlignment="1">
      <alignment horizontal="left"/>
    </xf>
    <xf numFmtId="0" fontId="100" fillId="0" borderId="23" xfId="0" applyFont="1" applyBorder="1" applyAlignment="1" applyProtection="1">
      <alignment horizontal="left"/>
      <protection locked="0"/>
    </xf>
    <xf numFmtId="0" fontId="44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right"/>
    </xf>
    <xf numFmtId="185" fontId="141" fillId="0" borderId="0" xfId="73" applyNumberFormat="1" applyFont="1" applyAlignment="1" applyProtection="1">
      <alignment horizontal="center"/>
      <protection locked="0"/>
    </xf>
    <xf numFmtId="37" fontId="8" fillId="40" borderId="0" xfId="73" applyNumberFormat="1" applyFont="1" applyFill="1" applyAlignment="1" applyProtection="1">
      <alignment horizontal="center"/>
      <protection locked="0"/>
    </xf>
    <xf numFmtId="0" fontId="33" fillId="0" borderId="9" xfId="76" applyFont="1" applyBorder="1" applyAlignment="1">
      <alignment horizontal="center"/>
    </xf>
    <xf numFmtId="188" fontId="163" fillId="24" borderId="9" xfId="35" applyNumberFormat="1" applyFont="1" applyFill="1" applyBorder="1" applyAlignment="1">
      <alignment horizontal="center"/>
    </xf>
    <xf numFmtId="209" fontId="170" fillId="0" borderId="70" xfId="84" applyNumberFormat="1" applyFont="1" applyBorder="1" applyAlignment="1">
      <alignment horizontal="center" vertical="center" wrapText="1"/>
    </xf>
    <xf numFmtId="0" fontId="168" fillId="0" borderId="73" xfId="77" applyFont="1" applyBorder="1" applyAlignment="1">
      <alignment horizontal="center" vertical="center" textRotation="90" wrapText="1"/>
    </xf>
    <xf numFmtId="178" fontId="169" fillId="24" borderId="83" xfId="35" applyNumberFormat="1" applyFont="1" applyFill="1" applyBorder="1" applyAlignment="1">
      <alignment horizontal="center" vertical="center"/>
    </xf>
    <xf numFmtId="178" fontId="169" fillId="0" borderId="9" xfId="77" applyNumberFormat="1" applyFont="1" applyBorder="1" applyAlignment="1">
      <alignment horizontal="center" vertical="center"/>
    </xf>
    <xf numFmtId="211" fontId="169" fillId="32" borderId="81" xfId="77" applyNumberFormat="1" applyFont="1" applyFill="1" applyBorder="1" applyAlignment="1">
      <alignment horizontal="center" vertical="center" wrapText="1"/>
    </xf>
    <xf numFmtId="211" fontId="169" fillId="32" borderId="74" xfId="77" applyNumberFormat="1" applyFont="1" applyFill="1" applyBorder="1" applyAlignment="1">
      <alignment horizontal="center" vertical="center"/>
    </xf>
    <xf numFmtId="0" fontId="169" fillId="0" borderId="0" xfId="77" applyFont="1" applyAlignment="1">
      <alignment vertical="top"/>
    </xf>
    <xf numFmtId="0" fontId="168" fillId="0" borderId="23" xfId="77" applyFont="1" applyBorder="1" applyAlignment="1">
      <alignment vertical="top"/>
    </xf>
    <xf numFmtId="0" fontId="168" fillId="0" borderId="39" xfId="77" applyFont="1" applyBorder="1" applyAlignment="1">
      <alignment horizontal="center" vertical="center" wrapText="1"/>
    </xf>
    <xf numFmtId="0" fontId="169" fillId="0" borderId="65" xfId="77" applyFont="1" applyBorder="1" applyAlignment="1">
      <alignment horizontal="center" vertical="center" wrapText="1"/>
    </xf>
    <xf numFmtId="0" fontId="169" fillId="0" borderId="50" xfId="77" applyFont="1" applyBorder="1" applyAlignment="1">
      <alignment horizontal="center" vertical="center"/>
    </xf>
    <xf numFmtId="0" fontId="178" fillId="0" borderId="0" xfId="0" applyFont="1"/>
    <xf numFmtId="176" fontId="13" fillId="0" borderId="0" xfId="0" applyNumberFormat="1" applyFont="1"/>
    <xf numFmtId="218" fontId="0" fillId="0" borderId="0" xfId="0" applyNumberFormat="1"/>
    <xf numFmtId="0" fontId="180" fillId="43" borderId="32" xfId="0" applyFont="1" applyFill="1" applyBorder="1" applyAlignment="1">
      <alignment horizontal="center"/>
    </xf>
    <xf numFmtId="0" fontId="44" fillId="0" borderId="80" xfId="0" applyFont="1" applyBorder="1"/>
    <xf numFmtId="0" fontId="0" fillId="0" borderId="80" xfId="0" applyBorder="1"/>
    <xf numFmtId="176" fontId="44" fillId="0" borderId="80" xfId="0" applyNumberFormat="1" applyFont="1" applyBorder="1"/>
    <xf numFmtId="0" fontId="0" fillId="44" borderId="0" xfId="0" applyFill="1" applyAlignment="1">
      <alignment horizontal="center"/>
    </xf>
    <xf numFmtId="176" fontId="0" fillId="44" borderId="0" xfId="0" applyNumberFormat="1" applyFill="1"/>
    <xf numFmtId="176" fontId="13" fillId="44" borderId="0" xfId="0" applyNumberFormat="1" applyFont="1" applyFill="1"/>
    <xf numFmtId="218" fontId="0" fillId="44" borderId="0" xfId="0" applyNumberFormat="1" applyFill="1"/>
    <xf numFmtId="176" fontId="13" fillId="0" borderId="23" xfId="0" applyNumberFormat="1" applyFont="1" applyBorder="1"/>
    <xf numFmtId="176" fontId="44" fillId="42" borderId="32" xfId="0" applyNumberFormat="1" applyFont="1" applyFill="1" applyBorder="1"/>
    <xf numFmtId="0" fontId="53" fillId="0" borderId="0" xfId="0" applyFont="1" applyBorder="1"/>
    <xf numFmtId="0" fontId="0" fillId="0" borderId="0" xfId="0" applyBorder="1"/>
    <xf numFmtId="0" fontId="0" fillId="0" borderId="0" xfId="0" applyFont="1" applyBorder="1"/>
    <xf numFmtId="176" fontId="179" fillId="0" borderId="0" xfId="0" applyNumberFormat="1" applyFont="1" applyBorder="1"/>
    <xf numFmtId="10" fontId="179" fillId="0" borderId="0" xfId="0" applyNumberFormat="1" applyFont="1" applyBorder="1"/>
    <xf numFmtId="1" fontId="179" fillId="0" borderId="0" xfId="0" applyNumberFormat="1" applyFont="1" applyBorder="1"/>
    <xf numFmtId="0" fontId="0" fillId="0" borderId="23" xfId="0" applyFont="1" applyBorder="1"/>
    <xf numFmtId="218" fontId="159" fillId="0" borderId="0" xfId="0" applyNumberFormat="1" applyFont="1" applyBorder="1"/>
    <xf numFmtId="176" fontId="0" fillId="0" borderId="0" xfId="0" applyNumberFormat="1" applyBorder="1"/>
    <xf numFmtId="0" fontId="51" fillId="0" borderId="0" xfId="0" applyFont="1"/>
    <xf numFmtId="0" fontId="7" fillId="43" borderId="32" xfId="0" applyFont="1" applyFill="1" applyBorder="1" applyAlignment="1">
      <alignment horizontal="center"/>
    </xf>
    <xf numFmtId="0" fontId="7" fillId="43" borderId="32" xfId="0" applyFont="1" applyFill="1" applyBorder="1" applyAlignment="1">
      <alignment horizontal="center" wrapText="1"/>
    </xf>
    <xf numFmtId="0" fontId="0" fillId="44" borderId="23" xfId="0" applyFill="1" applyBorder="1" applyAlignment="1">
      <alignment horizontal="center"/>
    </xf>
    <xf numFmtId="176" fontId="0" fillId="44" borderId="23" xfId="0" applyNumberFormat="1" applyFill="1" applyBorder="1"/>
    <xf numFmtId="176" fontId="13" fillId="44" borderId="23" xfId="0" applyNumberFormat="1" applyFont="1" applyFill="1" applyBorder="1"/>
    <xf numFmtId="176" fontId="179" fillId="42" borderId="0" xfId="0" applyNumberFormat="1" applyFont="1" applyFill="1" applyBorder="1"/>
    <xf numFmtId="175" fontId="0" fillId="0" borderId="0" xfId="0" applyNumberFormat="1" applyBorder="1"/>
    <xf numFmtId="0" fontId="65" fillId="0" borderId="23" xfId="0" applyFont="1" applyBorder="1"/>
    <xf numFmtId="176" fontId="44" fillId="0" borderId="0" xfId="0" applyNumberFormat="1" applyFont="1" applyBorder="1"/>
    <xf numFmtId="176" fontId="44" fillId="42" borderId="0" xfId="0" applyNumberFormat="1" applyFont="1" applyFill="1" applyBorder="1"/>
    <xf numFmtId="175" fontId="44" fillId="42" borderId="23" xfId="0" applyNumberFormat="1" applyFont="1" applyFill="1" applyBorder="1"/>
    <xf numFmtId="0" fontId="0" fillId="0" borderId="32" xfId="0" applyBorder="1" applyAlignment="1">
      <alignment horizontal="center"/>
    </xf>
    <xf numFmtId="176" fontId="0" fillId="0" borderId="32" xfId="0" applyNumberFormat="1" applyBorder="1"/>
    <xf numFmtId="176" fontId="13" fillId="0" borderId="32" xfId="0" applyNumberFormat="1" applyFont="1" applyBorder="1"/>
    <xf numFmtId="14" fontId="28" fillId="0" borderId="36" xfId="71" applyNumberFormat="1" applyBorder="1" applyProtection="1">
      <protection locked="0"/>
    </xf>
    <xf numFmtId="38" fontId="2" fillId="0" borderId="0" xfId="76" applyNumberFormat="1" applyAlignment="1">
      <alignment horizontal="center"/>
    </xf>
    <xf numFmtId="38" fontId="2" fillId="0" borderId="53" xfId="76" applyNumberFormat="1" applyBorder="1" applyAlignment="1">
      <alignment horizontal="center"/>
    </xf>
    <xf numFmtId="38" fontId="2" fillId="0" borderId="57" xfId="76" applyNumberFormat="1" applyBorder="1" applyAlignment="1">
      <alignment horizontal="center"/>
    </xf>
    <xf numFmtId="38" fontId="2" fillId="0" borderId="47" xfId="76" applyNumberFormat="1" applyBorder="1" applyAlignment="1">
      <alignment horizontal="center"/>
    </xf>
    <xf numFmtId="38" fontId="44" fillId="0" borderId="23" xfId="76" applyNumberFormat="1" applyFont="1" applyBorder="1" applyAlignment="1">
      <alignment horizontal="center"/>
    </xf>
    <xf numFmtId="185" fontId="89" fillId="29" borderId="38" xfId="71" quotePrefix="1" applyNumberFormat="1" applyFont="1" applyFill="1" applyBorder="1" applyAlignment="1" applyProtection="1">
      <alignment horizontal="right"/>
      <protection locked="0"/>
    </xf>
    <xf numFmtId="0" fontId="181" fillId="0" borderId="0" xfId="0" applyFont="1"/>
    <xf numFmtId="0" fontId="158" fillId="0" borderId="0" xfId="0" applyFont="1" applyAlignment="1">
      <alignment horizontal="right" indent="1"/>
    </xf>
    <xf numFmtId="0" fontId="2" fillId="45" borderId="0" xfId="0" applyFont="1" applyFill="1" applyAlignment="1">
      <alignment horizontal="center"/>
    </xf>
    <xf numFmtId="10" fontId="2" fillId="45" borderId="0" xfId="0" applyNumberFormat="1" applyFont="1" applyFill="1"/>
    <xf numFmtId="9" fontId="2" fillId="45" borderId="0" xfId="0" applyNumberFormat="1" applyFont="1" applyFill="1" applyAlignment="1">
      <alignment horizontal="center"/>
    </xf>
    <xf numFmtId="3" fontId="33" fillId="45" borderId="0" xfId="0" applyNumberFormat="1" applyFont="1" applyFill="1" applyAlignment="1">
      <alignment horizontal="center"/>
    </xf>
    <xf numFmtId="3" fontId="2" fillId="45" borderId="0" xfId="0" applyNumberFormat="1" applyFont="1" applyFill="1" applyAlignment="1">
      <alignment horizontal="center"/>
    </xf>
    <xf numFmtId="222" fontId="33" fillId="45" borderId="0" xfId="0" applyNumberFormat="1" applyFont="1" applyFill="1"/>
    <xf numFmtId="222" fontId="2" fillId="45" borderId="0" xfId="0" applyNumberFormat="1" applyFont="1" applyFill="1"/>
    <xf numFmtId="223" fontId="2" fillId="45" borderId="0" xfId="0" applyNumberFormat="1" applyFont="1" applyFill="1" applyAlignment="1">
      <alignment horizontal="center"/>
    </xf>
    <xf numFmtId="0" fontId="131" fillId="45" borderId="0" xfId="0" applyFont="1" applyFill="1" applyAlignment="1">
      <alignment horizontal="left" indent="1"/>
    </xf>
    <xf numFmtId="0" fontId="2" fillId="46" borderId="0" xfId="0" applyFont="1" applyFill="1" applyAlignment="1">
      <alignment horizontal="center"/>
    </xf>
    <xf numFmtId="0" fontId="2" fillId="46" borderId="0" xfId="0" applyFont="1" applyFill="1"/>
    <xf numFmtId="10" fontId="2" fillId="46" borderId="0" xfId="0" applyNumberFormat="1" applyFont="1" applyFill="1"/>
    <xf numFmtId="9" fontId="2" fillId="46" borderId="0" xfId="0" applyNumberFormat="1" applyFont="1" applyFill="1" applyAlignment="1">
      <alignment horizontal="center"/>
    </xf>
    <xf numFmtId="3" fontId="33" fillId="46" borderId="0" xfId="0" applyNumberFormat="1" applyFont="1" applyFill="1" applyAlignment="1">
      <alignment horizontal="center"/>
    </xf>
    <xf numFmtId="3" fontId="2" fillId="46" borderId="0" xfId="0" applyNumberFormat="1" applyFont="1" applyFill="1" applyAlignment="1">
      <alignment horizontal="center"/>
    </xf>
    <xf numFmtId="222" fontId="33" fillId="46" borderId="0" xfId="0" applyNumberFormat="1" applyFont="1" applyFill="1"/>
    <xf numFmtId="222" fontId="2" fillId="46" borderId="0" xfId="0" applyNumberFormat="1" applyFont="1" applyFill="1"/>
    <xf numFmtId="223" fontId="2" fillId="46" borderId="0" xfId="0" applyNumberFormat="1" applyFont="1" applyFill="1" applyAlignment="1">
      <alignment horizontal="center"/>
    </xf>
    <xf numFmtId="0" fontId="131" fillId="46" borderId="0" xfId="0" applyFont="1" applyFill="1" applyAlignment="1">
      <alignment horizontal="left" indent="1"/>
    </xf>
    <xf numFmtId="0" fontId="2" fillId="45" borderId="0" xfId="0" applyFont="1" applyFill="1"/>
    <xf numFmtId="0" fontId="2" fillId="42" borderId="0" xfId="0" applyFont="1" applyFill="1" applyAlignment="1">
      <alignment horizontal="center"/>
    </xf>
    <xf numFmtId="10" fontId="2" fillId="42" borderId="0" xfId="0" applyNumberFormat="1" applyFont="1" applyFill="1"/>
    <xf numFmtId="9" fontId="130" fillId="42" borderId="0" xfId="0" applyNumberFormat="1" applyFont="1" applyFill="1" applyAlignment="1">
      <alignment horizontal="center"/>
    </xf>
    <xf numFmtId="3" fontId="33" fillId="42" borderId="0" xfId="0" applyNumberFormat="1" applyFont="1" applyFill="1" applyAlignment="1">
      <alignment horizontal="center"/>
    </xf>
    <xf numFmtId="3" fontId="2" fillId="42" borderId="0" xfId="0" applyNumberFormat="1" applyFont="1" applyFill="1" applyAlignment="1">
      <alignment horizontal="center"/>
    </xf>
    <xf numFmtId="222" fontId="33" fillId="42" borderId="0" xfId="0" applyNumberFormat="1" applyFont="1" applyFill="1"/>
    <xf numFmtId="222" fontId="2" fillId="42" borderId="0" xfId="0" applyNumberFormat="1" applyFont="1" applyFill="1"/>
    <xf numFmtId="223" fontId="2" fillId="42" borderId="0" xfId="0" applyNumberFormat="1" applyFont="1" applyFill="1" applyAlignment="1">
      <alignment horizontal="center"/>
    </xf>
    <xf numFmtId="0" fontId="131" fillId="42" borderId="0" xfId="0" applyFont="1" applyFill="1" applyAlignment="1">
      <alignment horizontal="left" indent="1"/>
    </xf>
    <xf numFmtId="0" fontId="2" fillId="46" borderId="40" xfId="0" applyFont="1" applyFill="1" applyBorder="1" applyAlignment="1">
      <alignment horizontal="center"/>
    </xf>
    <xf numFmtId="10" fontId="2" fillId="46" borderId="40" xfId="0" applyNumberFormat="1" applyFont="1" applyFill="1" applyBorder="1"/>
    <xf numFmtId="9" fontId="130" fillId="46" borderId="40" xfId="0" applyNumberFormat="1" applyFont="1" applyFill="1" applyBorder="1" applyAlignment="1">
      <alignment horizontal="center"/>
    </xf>
    <xf numFmtId="9" fontId="130" fillId="45" borderId="0" xfId="0" applyNumberFormat="1" applyFont="1" applyFill="1" applyAlignment="1">
      <alignment horizontal="center"/>
    </xf>
    <xf numFmtId="0" fontId="2" fillId="46" borderId="40" xfId="0" applyFont="1" applyFill="1" applyBorder="1"/>
    <xf numFmtId="0" fontId="2" fillId="42" borderId="0" xfId="0" applyFont="1" applyFill="1"/>
    <xf numFmtId="3" fontId="33" fillId="46" borderId="40" xfId="0" applyNumberFormat="1" applyFont="1" applyFill="1" applyBorder="1" applyAlignment="1">
      <alignment horizontal="center"/>
    </xf>
    <xf numFmtId="3" fontId="2" fillId="46" borderId="40" xfId="0" applyNumberFormat="1" applyFont="1" applyFill="1" applyBorder="1" applyAlignment="1">
      <alignment horizontal="center"/>
    </xf>
    <xf numFmtId="222" fontId="33" fillId="46" borderId="40" xfId="0" applyNumberFormat="1" applyFont="1" applyFill="1" applyBorder="1"/>
    <xf numFmtId="222" fontId="2" fillId="46" borderId="40" xfId="0" applyNumberFormat="1" applyFont="1" applyFill="1" applyBorder="1"/>
    <xf numFmtId="223" fontId="2" fillId="46" borderId="40" xfId="0" applyNumberFormat="1" applyFont="1" applyFill="1" applyBorder="1" applyAlignment="1">
      <alignment horizontal="center"/>
    </xf>
    <xf numFmtId="186" fontId="96" fillId="0" borderId="0" xfId="0" applyNumberFormat="1" applyFont="1"/>
    <xf numFmtId="217" fontId="2" fillId="0" borderId="0" xfId="0" applyNumberFormat="1" applyFont="1" applyBorder="1"/>
    <xf numFmtId="176" fontId="33" fillId="0" borderId="23" xfId="0" applyNumberFormat="1" applyFont="1" applyBorder="1"/>
    <xf numFmtId="176" fontId="2" fillId="0" borderId="0" xfId="0" applyNumberFormat="1" applyFont="1" applyBorder="1"/>
    <xf numFmtId="176" fontId="33" fillId="42" borderId="23" xfId="0" applyNumberFormat="1" applyFont="1" applyFill="1" applyBorder="1"/>
  </cellXfs>
  <cellStyles count="91">
    <cellStyle name="20% - Accent1 2" xfId="5" xr:uid="{00000000-0005-0000-0000-000006000000}"/>
    <cellStyle name="20% - Accent2 2" xfId="6" xr:uid="{00000000-0005-0000-0000-000007000000}"/>
    <cellStyle name="20% - Accent3 2" xfId="7" xr:uid="{00000000-0005-0000-0000-000008000000}"/>
    <cellStyle name="20% - Accent4 2" xfId="8" xr:uid="{00000000-0005-0000-0000-000009000000}"/>
    <cellStyle name="20% - Accent5 2" xfId="9" xr:uid="{00000000-0005-0000-0000-00000A000000}"/>
    <cellStyle name="20% - Accent6 2" xfId="10" xr:uid="{00000000-0005-0000-0000-00000B000000}"/>
    <cellStyle name="40% - Accent1 2" xfId="11" xr:uid="{00000000-0005-0000-0000-00000C000000}"/>
    <cellStyle name="40% - Accent2 2" xfId="12" xr:uid="{00000000-0005-0000-0000-00000D000000}"/>
    <cellStyle name="40% - Accent3 2" xfId="13" xr:uid="{00000000-0005-0000-0000-00000E000000}"/>
    <cellStyle name="40% - Accent4 2" xfId="14" xr:uid="{00000000-0005-0000-0000-00000F000000}"/>
    <cellStyle name="40% - Accent5 2" xfId="15" xr:uid="{00000000-0005-0000-0000-000010000000}"/>
    <cellStyle name="40% - Accent6 2" xfId="16" xr:uid="{00000000-0005-0000-0000-000011000000}"/>
    <cellStyle name="60% - Accent1 2" xfId="17" xr:uid="{00000000-0005-0000-0000-000012000000}"/>
    <cellStyle name="60% - Accent2 2" xfId="18" xr:uid="{00000000-0005-0000-0000-000013000000}"/>
    <cellStyle name="60% - Accent3 2" xfId="19" xr:uid="{00000000-0005-0000-0000-000014000000}"/>
    <cellStyle name="60% - Accent4 2" xfId="20" xr:uid="{00000000-0005-0000-0000-000015000000}"/>
    <cellStyle name="60% - Accent5 2" xfId="21" xr:uid="{00000000-0005-0000-0000-000016000000}"/>
    <cellStyle name="60% - Accent6 2" xfId="22" xr:uid="{00000000-0005-0000-0000-000017000000}"/>
    <cellStyle name="Accent1 2" xfId="23" xr:uid="{00000000-0005-0000-0000-000018000000}"/>
    <cellStyle name="Accent2 2" xfId="24" xr:uid="{00000000-0005-0000-0000-000019000000}"/>
    <cellStyle name="Accent3 2" xfId="25" xr:uid="{00000000-0005-0000-0000-00001A000000}"/>
    <cellStyle name="Accent4 2" xfId="26" xr:uid="{00000000-0005-0000-0000-00001B000000}"/>
    <cellStyle name="Accent5 2" xfId="27" xr:uid="{00000000-0005-0000-0000-00001C000000}"/>
    <cellStyle name="Accent6 2" xfId="28" xr:uid="{00000000-0005-0000-0000-00001D000000}"/>
    <cellStyle name="Bad 2" xfId="29" xr:uid="{00000000-0005-0000-0000-00001E000000}"/>
    <cellStyle name="Body" xfId="30" xr:uid="{00000000-0005-0000-0000-00001F000000}"/>
    <cellStyle name="Calculation 2" xfId="31" xr:uid="{00000000-0005-0000-0000-000020000000}"/>
    <cellStyle name="cf1" xfId="32" xr:uid="{00000000-0005-0000-0000-000021000000}"/>
    <cellStyle name="Check Cell 2" xfId="33" xr:uid="{00000000-0005-0000-0000-000022000000}"/>
    <cellStyle name="Comma" xfId="1" builtinId="3"/>
    <cellStyle name="Comma 2" xfId="34" xr:uid="{00000000-0005-0000-0000-000023000000}"/>
    <cellStyle name="Comma 2 2" xfId="35" xr:uid="{00000000-0005-0000-0000-000024000000}"/>
    <cellStyle name="Comma 3" xfId="36" xr:uid="{00000000-0005-0000-0000-000025000000}"/>
    <cellStyle name="Comma 4" xfId="37" xr:uid="{00000000-0005-0000-0000-000026000000}"/>
    <cellStyle name="Currency" xfId="2" builtinId="4"/>
    <cellStyle name="Currency 2" xfId="38" xr:uid="{00000000-0005-0000-0000-000027000000}"/>
    <cellStyle name="Currency 2 2" xfId="39" xr:uid="{00000000-0005-0000-0000-000028000000}"/>
    <cellStyle name="Currency 3" xfId="40" xr:uid="{00000000-0005-0000-0000-000029000000}"/>
    <cellStyle name="Currency 4" xfId="41" xr:uid="{00000000-0005-0000-0000-00002A000000}"/>
    <cellStyle name="DATE" xfId="42" xr:uid="{00000000-0005-0000-0000-00002B000000}"/>
    <cellStyle name="Euro" xfId="43" xr:uid="{00000000-0005-0000-0000-00002C000000}"/>
    <cellStyle name="Explanatory Text 2" xfId="44" xr:uid="{00000000-0005-0000-0000-00002D000000}"/>
    <cellStyle name="FORMULA" xfId="45" xr:uid="{00000000-0005-0000-0000-00002E000000}"/>
    <cellStyle name="Good 2" xfId="46" xr:uid="{00000000-0005-0000-0000-00002F000000}"/>
    <cellStyle name="Grey" xfId="47" xr:uid="{00000000-0005-0000-0000-000030000000}"/>
    <cellStyle name="Header1" xfId="48" xr:uid="{00000000-0005-0000-0000-000031000000}"/>
    <cellStyle name="Header2" xfId="49" xr:uid="{00000000-0005-0000-0000-000032000000}"/>
    <cellStyle name="Header2 2" xfId="50" xr:uid="{00000000-0005-0000-0000-000033000000}"/>
    <cellStyle name="Header2 3" xfId="51" xr:uid="{00000000-0005-0000-0000-000034000000}"/>
    <cellStyle name="Heading 1 2" xfId="52" xr:uid="{00000000-0005-0000-0000-000035000000}"/>
    <cellStyle name="Heading 2 2" xfId="53" xr:uid="{00000000-0005-0000-0000-000036000000}"/>
    <cellStyle name="Heading 3 2" xfId="54" xr:uid="{00000000-0005-0000-0000-000037000000}"/>
    <cellStyle name="Heading 4 2" xfId="55" xr:uid="{00000000-0005-0000-0000-000038000000}"/>
    <cellStyle name="HIDE" xfId="56" xr:uid="{00000000-0005-0000-0000-000039000000}"/>
    <cellStyle name="Hyperlink" xfId="4" builtinId="8"/>
    <cellStyle name="Hyperlink 2" xfId="57" xr:uid="{00000000-0005-0000-0000-00003A000000}"/>
    <cellStyle name="Hyperlink 2 2" xfId="58" xr:uid="{00000000-0005-0000-0000-00003B000000}"/>
    <cellStyle name="Hyperlink 3" xfId="59" xr:uid="{00000000-0005-0000-0000-00003C000000}"/>
    <cellStyle name="Input [yellow]" xfId="61" xr:uid="{00000000-0005-0000-0000-00003E000000}"/>
    <cellStyle name="Input [yellow] 2" xfId="62" xr:uid="{00000000-0005-0000-0000-00003F000000}"/>
    <cellStyle name="Input [yellow] 3" xfId="63" xr:uid="{00000000-0005-0000-0000-000040000000}"/>
    <cellStyle name="Input 2" xfId="60" xr:uid="{00000000-0005-0000-0000-00003D000000}"/>
    <cellStyle name="LINK" xfId="64" xr:uid="{00000000-0005-0000-0000-000041000000}"/>
    <cellStyle name="Linked Cell 2" xfId="65" xr:uid="{00000000-0005-0000-0000-000042000000}"/>
    <cellStyle name="Neutral 2" xfId="66" xr:uid="{00000000-0005-0000-0000-000043000000}"/>
    <cellStyle name="no dec" xfId="67" xr:uid="{00000000-0005-0000-0000-000044000000}"/>
    <cellStyle name="Nor@„l_IRRSENS" xfId="68" xr:uid="{00000000-0005-0000-0000-000045000000}"/>
    <cellStyle name="Normal" xfId="0" builtinId="0"/>
    <cellStyle name="Normal - Style1" xfId="69" xr:uid="{00000000-0005-0000-0000-000046000000}"/>
    <cellStyle name="Normal 2" xfId="70" xr:uid="{00000000-0005-0000-0000-000047000000}"/>
    <cellStyle name="Normal 2 2" xfId="71" xr:uid="{00000000-0005-0000-0000-000048000000}"/>
    <cellStyle name="Normal 3" xfId="72" xr:uid="{00000000-0005-0000-0000-000049000000}"/>
    <cellStyle name="Normal 3 2" xfId="73" xr:uid="{00000000-0005-0000-0000-00004A000000}"/>
    <cellStyle name="Normal 4" xfId="74" xr:uid="{00000000-0005-0000-0000-00004B000000}"/>
    <cellStyle name="Normal 5" xfId="75" xr:uid="{00000000-0005-0000-0000-00004C000000}"/>
    <cellStyle name="Normal 6" xfId="76" xr:uid="{00000000-0005-0000-0000-00004D000000}"/>
    <cellStyle name="Normal 7" xfId="77" xr:uid="{00000000-0005-0000-0000-00004E000000}"/>
    <cellStyle name="Normal_Op Xpns Worksheet - Conventional" xfId="78" xr:uid="{00000000-0005-0000-0000-00004F000000}"/>
    <cellStyle name="Note 2" xfId="79" xr:uid="{00000000-0005-0000-0000-000050000000}"/>
    <cellStyle name="Notes" xfId="80" xr:uid="{00000000-0005-0000-0000-000051000000}"/>
    <cellStyle name="Output 2" xfId="81" xr:uid="{00000000-0005-0000-0000-000052000000}"/>
    <cellStyle name="OVERWRITE" xfId="82" xr:uid="{00000000-0005-0000-0000-000053000000}"/>
    <cellStyle name="Percent" xfId="3" builtinId="5"/>
    <cellStyle name="Percent [2]" xfId="87" xr:uid="{00000000-0005-0000-0000-000058000000}"/>
    <cellStyle name="Percent 2" xfId="83" xr:uid="{00000000-0005-0000-0000-000054000000}"/>
    <cellStyle name="Percent 2 2" xfId="84" xr:uid="{00000000-0005-0000-0000-000055000000}"/>
    <cellStyle name="Percent 3" xfId="85" xr:uid="{00000000-0005-0000-0000-000056000000}"/>
    <cellStyle name="Percent 4" xfId="86" xr:uid="{00000000-0005-0000-0000-000057000000}"/>
    <cellStyle name="Title 2" xfId="88" xr:uid="{00000000-0005-0000-0000-000059000000}"/>
    <cellStyle name="Total 2" xfId="89" xr:uid="{00000000-0005-0000-0000-00005A000000}"/>
    <cellStyle name="Warning Text 2" xfId="90" xr:uid="{00000000-0005-0000-0000-00005B000000}"/>
  </cellStyles>
  <dxfs count="5">
    <dxf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8CBAD"/>
      <rgbColor rgb="FF99FF99"/>
      <rgbColor rgb="FFC00000"/>
      <rgbColor rgb="FF008000"/>
      <rgbColor rgb="FF0033CC"/>
      <rgbColor rgb="FFA9D18E"/>
      <rgbColor rgb="FF800080"/>
      <rgbColor rgb="FF1B4F72"/>
      <rgbColor rgb="FFC0C0C0"/>
      <rgbColor rgb="FF808080"/>
      <rgbColor rgb="FF5B9BD5"/>
      <rgbColor rgb="FF922B21"/>
      <rgbColor rgb="FFFFFFCC"/>
      <rgbColor rgb="FFCCFFFF"/>
      <rgbColor rgb="FFFBE5D6"/>
      <rgbColor rgb="FFFF8080"/>
      <rgbColor rgb="FF0066CC"/>
      <rgbColor rgb="FFCCCCFF"/>
      <rgbColor rgb="FFF2F2F2"/>
      <rgbColor rgb="FFDBDBDB"/>
      <rgbColor rgb="FFFFC000"/>
      <rgbColor rgb="FFDAE3F3"/>
      <rgbColor rgb="FFE7E6E6"/>
      <rgbColor rgb="FFFFF2CC"/>
      <rgbColor rgb="FFD9D9D9"/>
      <rgbColor rgb="FF0000CC"/>
      <rgbColor rgb="FFC5E0B4"/>
      <rgbColor rgb="FFDEEBF7"/>
      <rgbColor rgb="FFCCFFCC"/>
      <rgbColor rgb="FFFFFF99"/>
      <rgbColor rgb="FF99CCFF"/>
      <rgbColor rgb="FFFF99CC"/>
      <rgbColor rgb="FFCC99FF"/>
      <rgbColor rgb="FFFFCC99"/>
      <rgbColor rgb="FFD0CECE"/>
      <rgbColor rgb="FF33CCCC"/>
      <rgbColor rgb="FF92D050"/>
      <rgbColor rgb="FFFFCC00"/>
      <rgbColor rgb="FFFF9900"/>
      <rgbColor rgb="FFFF6600"/>
      <rgbColor rgb="FFBFBFBF"/>
      <rgbColor rgb="FF969696"/>
      <rgbColor rgb="FF003366"/>
      <rgbColor rgb="FF339966"/>
      <rgbColor rgb="FFE2F0D9"/>
      <rgbColor rgb="FFFFE699"/>
      <rgbColor rgb="FF993300"/>
      <rgbColor rgb="FFC55A11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mary_Sources-Us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_Sources-Use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D55FE0-E61B-E44D-822B-313DC0873204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49fc1261-13d7-4157-a94a-c9d417155da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45"/>
  <sheetViews>
    <sheetView topLeftCell="A16" zoomScaleNormal="100" workbookViewId="0"/>
  </sheetViews>
  <sheetFormatPr baseColWidth="10" defaultColWidth="8.6640625" defaultRowHeight="15"/>
  <cols>
    <col min="1" max="1" width="4" customWidth="1"/>
    <col min="2" max="2" width="80" customWidth="1"/>
  </cols>
  <sheetData>
    <row r="1" spans="1:2" ht="20">
      <c r="A1" t="s">
        <v>891</v>
      </c>
      <c r="B1" s="3" t="s">
        <v>0</v>
      </c>
    </row>
    <row r="2" spans="1:2">
      <c r="B2" s="4" t="s">
        <v>1</v>
      </c>
    </row>
    <row r="4" spans="1:2" ht="16">
      <c r="B4" s="5" t="s">
        <v>2</v>
      </c>
    </row>
    <row r="5" spans="1:2">
      <c r="B5" s="6" t="s">
        <v>3</v>
      </c>
    </row>
    <row r="6" spans="1:2">
      <c r="B6" s="6" t="s">
        <v>4</v>
      </c>
    </row>
    <row r="7" spans="1:2">
      <c r="B7" s="6" t="s">
        <v>5</v>
      </c>
    </row>
    <row r="8" spans="1:2">
      <c r="B8" s="6" t="s">
        <v>6</v>
      </c>
    </row>
    <row r="9" spans="1:2">
      <c r="B9" s="6" t="s">
        <v>7</v>
      </c>
    </row>
    <row r="10" spans="1:2">
      <c r="B10" s="6" t="s">
        <v>8</v>
      </c>
    </row>
    <row r="11" spans="1:2">
      <c r="B11" s="6" t="s">
        <v>9</v>
      </c>
    </row>
    <row r="12" spans="1:2">
      <c r="B12" s="6" t="s">
        <v>10</v>
      </c>
    </row>
    <row r="13" spans="1:2">
      <c r="B13" s="6" t="s">
        <v>11</v>
      </c>
    </row>
    <row r="14" spans="1:2">
      <c r="B14" s="6" t="s">
        <v>813</v>
      </c>
    </row>
    <row r="16" spans="1:2" ht="16">
      <c r="B16" s="5" t="s">
        <v>12</v>
      </c>
    </row>
    <row r="17" spans="2:2">
      <c r="B17" s="6" t="s">
        <v>13</v>
      </c>
    </row>
    <row r="18" spans="2:2">
      <c r="B18" s="6" t="s">
        <v>14</v>
      </c>
    </row>
    <row r="19" spans="2:2">
      <c r="B19" s="6" t="s">
        <v>15</v>
      </c>
    </row>
    <row r="20" spans="2:2">
      <c r="B20" s="6" t="s">
        <v>16</v>
      </c>
    </row>
    <row r="21" spans="2:2">
      <c r="B21" s="6" t="s">
        <v>17</v>
      </c>
    </row>
    <row r="22" spans="2:2">
      <c r="B22" s="6" t="s">
        <v>18</v>
      </c>
    </row>
    <row r="23" spans="2:2">
      <c r="B23" s="6" t="s">
        <v>19</v>
      </c>
    </row>
    <row r="24" spans="2:2">
      <c r="B24" s="6" t="s">
        <v>20</v>
      </c>
    </row>
    <row r="25" spans="2:2">
      <c r="B25" s="6" t="s">
        <v>21</v>
      </c>
    </row>
    <row r="26" spans="2:2">
      <c r="B26" s="6" t="s">
        <v>814</v>
      </c>
    </row>
    <row r="27" spans="2:2">
      <c r="B27" s="6" t="s">
        <v>22</v>
      </c>
    </row>
    <row r="28" spans="2:2">
      <c r="B28" s="6" t="s">
        <v>23</v>
      </c>
    </row>
    <row r="30" spans="2:2" ht="16">
      <c r="B30" s="5" t="s">
        <v>24</v>
      </c>
    </row>
    <row r="31" spans="2:2">
      <c r="B31" s="7" t="s">
        <v>25</v>
      </c>
    </row>
    <row r="32" spans="2:2">
      <c r="B32" s="6" t="s">
        <v>26</v>
      </c>
    </row>
    <row r="33" spans="2:2">
      <c r="B33" s="8" t="s">
        <v>27</v>
      </c>
    </row>
    <row r="34" spans="2:2">
      <c r="B34" s="6" t="s">
        <v>28</v>
      </c>
    </row>
    <row r="35" spans="2:2">
      <c r="B35" s="9"/>
    </row>
    <row r="37" spans="2:2" ht="16">
      <c r="B37" s="5" t="s">
        <v>29</v>
      </c>
    </row>
    <row r="38" spans="2:2">
      <c r="B38" s="6" t="s">
        <v>30</v>
      </c>
    </row>
    <row r="39" spans="2:2">
      <c r="B39" s="6" t="s">
        <v>31</v>
      </c>
    </row>
    <row r="40" spans="2:2">
      <c r="B40" s="10" t="s">
        <v>32</v>
      </c>
    </row>
    <row r="42" spans="2:2" ht="16">
      <c r="B42" s="5" t="s">
        <v>33</v>
      </c>
    </row>
    <row r="43" spans="2:2">
      <c r="B43" s="6" t="s">
        <v>34</v>
      </c>
    </row>
    <row r="44" spans="2:2">
      <c r="B44" s="6" t="s">
        <v>35</v>
      </c>
    </row>
    <row r="45" spans="2:2">
      <c r="B45" s="6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Y70"/>
  <sheetViews>
    <sheetView zoomScale="80" zoomScaleNormal="80" workbookViewId="0">
      <selection activeCell="C2" sqref="C2"/>
    </sheetView>
  </sheetViews>
  <sheetFormatPr baseColWidth="10" defaultColWidth="8.6640625" defaultRowHeight="15"/>
  <cols>
    <col min="2" max="2" width="21.5" customWidth="1"/>
    <col min="3" max="3" width="11.5" customWidth="1"/>
    <col min="4" max="4" width="13.5" customWidth="1"/>
    <col min="5" max="5" width="11.5" customWidth="1"/>
    <col min="6" max="6" width="22.5" customWidth="1"/>
    <col min="7" max="7" width="18.5" customWidth="1"/>
    <col min="8" max="8" width="11.5" customWidth="1"/>
    <col min="9" max="9" width="9.5" customWidth="1"/>
    <col min="11" max="11" width="11.5" customWidth="1"/>
    <col min="12" max="14" width="13.5" customWidth="1"/>
    <col min="15" max="15" width="20.5" customWidth="1"/>
    <col min="19" max="19" width="10.5" customWidth="1"/>
  </cols>
  <sheetData>
    <row r="1" spans="2:21">
      <c r="B1" t="s">
        <v>37</v>
      </c>
      <c r="C1" s="11" t="s">
        <v>784</v>
      </c>
      <c r="D1" s="1406"/>
      <c r="E1" s="11" t="s">
        <v>38</v>
      </c>
      <c r="K1" s="12"/>
      <c r="L1" t="s">
        <v>39</v>
      </c>
    </row>
    <row r="2" spans="2:21">
      <c r="B2" t="s">
        <v>40</v>
      </c>
      <c r="C2" s="13">
        <v>61</v>
      </c>
      <c r="D2" s="1407"/>
      <c r="E2" s="14"/>
      <c r="R2" s="12"/>
      <c r="S2" s="12"/>
    </row>
    <row r="3" spans="2:21">
      <c r="C3" s="15"/>
      <c r="K3" s="16">
        <v>231250</v>
      </c>
      <c r="L3" t="s">
        <v>41</v>
      </c>
    </row>
    <row r="4" spans="2:21">
      <c r="B4" t="s">
        <v>42</v>
      </c>
      <c r="C4" s="17"/>
      <c r="I4" s="18"/>
      <c r="K4" s="16">
        <v>1200</v>
      </c>
      <c r="L4" t="s">
        <v>43</v>
      </c>
    </row>
    <row r="5" spans="2:21">
      <c r="B5" t="s">
        <v>44</v>
      </c>
      <c r="C5" s="19">
        <v>4.88</v>
      </c>
      <c r="I5" s="20"/>
      <c r="K5" s="21">
        <v>192.708333333333</v>
      </c>
    </row>
    <row r="6" spans="2:21">
      <c r="B6" t="s">
        <v>45</v>
      </c>
      <c r="C6" s="22"/>
      <c r="D6" s="23"/>
      <c r="E6" t="s">
        <v>46</v>
      </c>
      <c r="I6" s="18"/>
    </row>
    <row r="7" spans="2:21">
      <c r="C7" s="24"/>
    </row>
    <row r="8" spans="2:21">
      <c r="B8" t="s">
        <v>47</v>
      </c>
      <c r="C8" s="24"/>
      <c r="D8" s="20"/>
      <c r="F8" s="25"/>
    </row>
    <row r="9" spans="2:21">
      <c r="C9" s="24"/>
    </row>
    <row r="10" spans="2:21">
      <c r="B10" t="s">
        <v>48</v>
      </c>
      <c r="D10" s="26"/>
      <c r="F10" t="s">
        <v>49</v>
      </c>
    </row>
    <row r="11" spans="2:21">
      <c r="B11" t="s">
        <v>50</v>
      </c>
      <c r="D11" s="26"/>
      <c r="F11" t="s">
        <v>51</v>
      </c>
    </row>
    <row r="13" spans="2:21">
      <c r="B13" t="s">
        <v>52</v>
      </c>
      <c r="R13" s="12"/>
    </row>
    <row r="14" spans="2:21">
      <c r="C14" s="1414" t="s">
        <v>785</v>
      </c>
      <c r="D14" s="1414"/>
      <c r="E14" s="1414"/>
      <c r="F14" s="27"/>
      <c r="G14" t="s">
        <v>53</v>
      </c>
      <c r="J14" s="28"/>
      <c r="K14" s="29"/>
      <c r="T14" s="30"/>
    </row>
    <row r="15" spans="2:21">
      <c r="B15" s="31"/>
      <c r="C15" s="32" t="s">
        <v>54</v>
      </c>
      <c r="D15" s="33" t="s">
        <v>55</v>
      </c>
      <c r="E15" s="34" t="s">
        <v>56</v>
      </c>
      <c r="F15" s="35" t="s">
        <v>57</v>
      </c>
      <c r="G15" s="36" t="s">
        <v>58</v>
      </c>
      <c r="H15" s="36" t="s">
        <v>59</v>
      </c>
      <c r="I15" s="37"/>
      <c r="J15" s="38" t="s">
        <v>60</v>
      </c>
      <c r="K15" s="39" t="s">
        <v>61</v>
      </c>
      <c r="L15" s="40" t="s">
        <v>62</v>
      </c>
      <c r="N15" t="s">
        <v>63</v>
      </c>
      <c r="O15" t="s">
        <v>64</v>
      </c>
      <c r="P15" t="s">
        <v>65</v>
      </c>
    </row>
    <row r="16" spans="2:21">
      <c r="B16" s="41" t="s">
        <v>66</v>
      </c>
      <c r="C16" s="42"/>
      <c r="D16" s="43"/>
      <c r="E16" s="44"/>
      <c r="F16" s="45"/>
      <c r="G16" s="45"/>
      <c r="H16" s="46"/>
      <c r="I16" s="43"/>
      <c r="J16" s="47"/>
      <c r="K16" s="48"/>
      <c r="L16" s="49">
        <v>130</v>
      </c>
      <c r="N16" s="50"/>
      <c r="O16" s="20"/>
      <c r="P16" s="24">
        <v>0</v>
      </c>
      <c r="S16" s="42"/>
      <c r="T16" s="43"/>
      <c r="U16" s="49"/>
    </row>
    <row r="17" spans="2:25">
      <c r="B17" s="41" t="s">
        <v>67</v>
      </c>
      <c r="C17" s="51"/>
      <c r="D17" s="46"/>
      <c r="E17" s="52"/>
      <c r="F17" s="53"/>
      <c r="G17" s="53"/>
      <c r="H17" s="46"/>
      <c r="I17" s="46"/>
      <c r="J17" s="54"/>
      <c r="K17" s="55"/>
      <c r="L17" s="56">
        <v>173</v>
      </c>
      <c r="N17" s="50"/>
      <c r="O17" s="20"/>
      <c r="P17" s="24">
        <v>0</v>
      </c>
      <c r="S17" s="51"/>
      <c r="T17" s="46"/>
      <c r="U17" s="56"/>
    </row>
    <row r="18" spans="2:25">
      <c r="B18" s="41" t="s">
        <v>68</v>
      </c>
      <c r="C18" s="51"/>
      <c r="D18" s="46"/>
      <c r="E18" s="52"/>
      <c r="F18" s="53"/>
      <c r="G18" s="53"/>
      <c r="H18" s="46"/>
      <c r="I18" s="46"/>
      <c r="J18" s="54"/>
      <c r="K18" s="55"/>
      <c r="L18" s="56">
        <v>214</v>
      </c>
      <c r="N18" s="50"/>
      <c r="O18" s="20"/>
      <c r="P18" s="24">
        <v>0</v>
      </c>
      <c r="S18" s="51"/>
      <c r="T18" s="46"/>
      <c r="U18" s="56"/>
      <c r="V18" s="16"/>
      <c r="Y18" s="16"/>
    </row>
    <row r="19" spans="2:25">
      <c r="B19" s="41" t="s">
        <v>69</v>
      </c>
      <c r="C19" s="51"/>
      <c r="D19" s="46"/>
      <c r="E19" s="56"/>
      <c r="F19" s="46"/>
      <c r="G19" s="46"/>
      <c r="H19" s="46"/>
      <c r="I19" s="17"/>
      <c r="J19" s="57"/>
      <c r="K19" s="46"/>
      <c r="L19" s="56"/>
      <c r="N19" s="58"/>
      <c r="O19" s="59">
        <v>0</v>
      </c>
      <c r="P19" s="58"/>
      <c r="V19" s="16"/>
      <c r="X19" s="16"/>
      <c r="Y19" s="16"/>
    </row>
    <row r="20" spans="2:25">
      <c r="B20" s="60" t="s">
        <v>70</v>
      </c>
      <c r="C20" s="61" t="s">
        <v>71</v>
      </c>
      <c r="D20" s="62" t="s">
        <v>71</v>
      </c>
      <c r="E20" s="63" t="s">
        <v>71</v>
      </c>
      <c r="F20" s="62" t="s">
        <v>71</v>
      </c>
      <c r="G20" s="64" t="s">
        <v>71</v>
      </c>
      <c r="H20" s="64" t="s">
        <v>72</v>
      </c>
      <c r="I20" s="64" t="s">
        <v>71</v>
      </c>
      <c r="J20" s="65" t="s">
        <v>73</v>
      </c>
      <c r="K20" s="66"/>
      <c r="L20" s="67"/>
      <c r="N20" s="16"/>
      <c r="P20" s="24"/>
      <c r="V20" s="16"/>
      <c r="X20" s="16"/>
    </row>
    <row r="21" spans="2:25">
      <c r="L21" t="s">
        <v>74</v>
      </c>
    </row>
    <row r="22" spans="2:25">
      <c r="B22" t="s">
        <v>75</v>
      </c>
      <c r="C22" t="s">
        <v>76</v>
      </c>
      <c r="D22" t="s">
        <v>77</v>
      </c>
      <c r="F22" t="s">
        <v>78</v>
      </c>
      <c r="G22" t="s">
        <v>79</v>
      </c>
    </row>
    <row r="23" spans="2:25">
      <c r="B23" s="68" t="s">
        <v>57</v>
      </c>
      <c r="C23" s="69"/>
      <c r="D23" s="70"/>
      <c r="E23" s="71"/>
      <c r="F23" t="s">
        <v>80</v>
      </c>
      <c r="H23" s="72">
        <v>0</v>
      </c>
    </row>
    <row r="24" spans="2:25">
      <c r="B24" s="73" t="s">
        <v>58</v>
      </c>
      <c r="C24" s="74"/>
      <c r="D24" s="70"/>
      <c r="E24" s="75"/>
      <c r="F24" t="s">
        <v>80</v>
      </c>
      <c r="G24" s="30"/>
      <c r="H24" s="72">
        <v>0</v>
      </c>
      <c r="L24" s="58" t="s">
        <v>81</v>
      </c>
      <c r="M24" s="58"/>
    </row>
    <row r="25" spans="2:25">
      <c r="B25" s="73" t="s">
        <v>56</v>
      </c>
      <c r="C25" s="74"/>
      <c r="D25" s="70"/>
      <c r="E25" s="75"/>
      <c r="F25" t="s">
        <v>82</v>
      </c>
      <c r="G25" s="30"/>
      <c r="H25" s="72"/>
      <c r="L25" s="1"/>
      <c r="M25" s="76"/>
      <c r="O25" s="70"/>
      <c r="T25">
        <v>1.5920000000000001</v>
      </c>
    </row>
    <row r="26" spans="2:25">
      <c r="B26" s="73" t="s">
        <v>59</v>
      </c>
      <c r="C26" s="74"/>
      <c r="D26" s="70"/>
      <c r="E26" s="75"/>
      <c r="F26" t="s">
        <v>80</v>
      </c>
      <c r="G26" s="30"/>
      <c r="H26" s="72">
        <v>0</v>
      </c>
      <c r="L26" s="1">
        <v>2</v>
      </c>
      <c r="M26" s="76"/>
      <c r="U26" s="30"/>
      <c r="V26" s="30"/>
      <c r="W26" s="30"/>
    </row>
    <row r="27" spans="2:25">
      <c r="B27" s="73"/>
      <c r="C27" s="74"/>
      <c r="D27" s="70"/>
      <c r="E27" s="75"/>
      <c r="F27" t="s">
        <v>80</v>
      </c>
      <c r="G27" s="30"/>
      <c r="H27" s="72">
        <v>0</v>
      </c>
      <c r="L27" s="1">
        <v>3</v>
      </c>
      <c r="M27" s="76"/>
      <c r="N27" s="77"/>
    </row>
    <row r="28" spans="2:25">
      <c r="B28" s="73"/>
      <c r="C28" s="74"/>
      <c r="D28" s="70"/>
      <c r="E28" s="75"/>
      <c r="F28" t="s">
        <v>80</v>
      </c>
      <c r="G28" s="30">
        <v>0</v>
      </c>
      <c r="H28" s="72">
        <v>0</v>
      </c>
      <c r="L28" s="1">
        <v>4</v>
      </c>
      <c r="M28" s="76"/>
      <c r="N28" s="77"/>
    </row>
    <row r="29" spans="2:25">
      <c r="B29" s="73"/>
      <c r="C29" s="74"/>
      <c r="D29" s="70"/>
      <c r="E29" s="75"/>
      <c r="F29" t="s">
        <v>80</v>
      </c>
      <c r="G29" s="30">
        <v>0</v>
      </c>
      <c r="H29" s="72">
        <v>0</v>
      </c>
      <c r="L29" s="1">
        <v>5</v>
      </c>
      <c r="M29" s="76"/>
      <c r="N29" s="77"/>
      <c r="W29" s="16"/>
      <c r="X29" s="16"/>
    </row>
    <row r="30" spans="2:25">
      <c r="B30" s="78"/>
      <c r="C30" s="79"/>
      <c r="D30" s="70"/>
      <c r="E30" s="75"/>
      <c r="F30" t="s">
        <v>80</v>
      </c>
      <c r="G30" s="30">
        <v>0</v>
      </c>
      <c r="H30" s="72">
        <v>0</v>
      </c>
      <c r="L30" s="1">
        <v>6</v>
      </c>
      <c r="M30" s="76"/>
      <c r="N30" s="77"/>
      <c r="W30" s="16"/>
      <c r="X30" s="16"/>
    </row>
    <row r="31" spans="2:25">
      <c r="B31" s="78"/>
      <c r="C31" s="79"/>
      <c r="D31" s="70"/>
      <c r="E31" s="75"/>
      <c r="F31" t="s">
        <v>80</v>
      </c>
      <c r="G31" s="30">
        <v>0</v>
      </c>
      <c r="H31" s="72">
        <v>0</v>
      </c>
      <c r="L31" s="1">
        <v>7</v>
      </c>
      <c r="M31" s="76"/>
      <c r="N31" s="77"/>
      <c r="V31" s="16"/>
      <c r="W31" s="16"/>
      <c r="X31" s="16"/>
    </row>
    <row r="32" spans="2:25">
      <c r="B32" s="80" t="s">
        <v>60</v>
      </c>
      <c r="C32" s="81" t="s">
        <v>83</v>
      </c>
      <c r="D32" s="82"/>
      <c r="E32" s="66"/>
      <c r="L32" s="1">
        <v>8</v>
      </c>
      <c r="M32" s="76"/>
      <c r="N32" s="77"/>
      <c r="R32" s="16"/>
      <c r="U32" s="16"/>
      <c r="V32" s="16"/>
      <c r="W32" s="16"/>
    </row>
    <row r="33" spans="1:24">
      <c r="D33" s="70">
        <v>61</v>
      </c>
      <c r="E33" s="27">
        <v>0.58524590163934398</v>
      </c>
      <c r="F33" t="s">
        <v>84</v>
      </c>
      <c r="L33" s="1">
        <v>9</v>
      </c>
      <c r="M33" s="76"/>
      <c r="N33" s="77"/>
      <c r="R33" s="16"/>
      <c r="T33" s="16"/>
      <c r="U33" s="16"/>
    </row>
    <row r="34" spans="1:24">
      <c r="B34" t="s">
        <v>85</v>
      </c>
      <c r="C34" s="83"/>
      <c r="L34" s="1">
        <v>10</v>
      </c>
      <c r="M34" s="76"/>
      <c r="N34" s="77"/>
    </row>
    <row r="35" spans="1:24">
      <c r="B35" t="s">
        <v>86</v>
      </c>
      <c r="C35" s="83"/>
      <c r="L35" s="1">
        <v>11</v>
      </c>
      <c r="M35" s="76"/>
      <c r="N35" s="77"/>
      <c r="O35">
        <v>1115.4000000000001</v>
      </c>
    </row>
    <row r="36" spans="1:24">
      <c r="B36" t="s">
        <v>87</v>
      </c>
      <c r="C36" s="83"/>
      <c r="L36" s="1">
        <v>12</v>
      </c>
      <c r="M36" s="76"/>
      <c r="O36">
        <v>1328.8</v>
      </c>
      <c r="U36" s="30"/>
      <c r="V36" s="30"/>
      <c r="W36" s="30"/>
    </row>
    <row r="37" spans="1:24">
      <c r="B37" t="s">
        <v>88</v>
      </c>
      <c r="C37" s="84"/>
      <c r="D37" t="s">
        <v>89</v>
      </c>
      <c r="L37" s="1">
        <v>13</v>
      </c>
      <c r="M37" s="76"/>
      <c r="O37">
        <v>1763.3</v>
      </c>
    </row>
    <row r="38" spans="1:24">
      <c r="L38" s="1">
        <v>14</v>
      </c>
      <c r="M38" s="76"/>
    </row>
    <row r="39" spans="1:24">
      <c r="L39" s="1">
        <v>15</v>
      </c>
      <c r="M39" s="76"/>
      <c r="W39" s="16"/>
      <c r="X39" s="16"/>
    </row>
    <row r="40" spans="1:24">
      <c r="B40" t="s">
        <v>90</v>
      </c>
      <c r="C40" s="18"/>
      <c r="L40" s="1">
        <v>16</v>
      </c>
      <c r="M40" s="76"/>
      <c r="W40" s="16"/>
      <c r="X40" s="16"/>
    </row>
    <row r="41" spans="1:24">
      <c r="A41" t="s">
        <v>91</v>
      </c>
      <c r="D41" s="85" t="s">
        <v>92</v>
      </c>
      <c r="E41" t="s">
        <v>93</v>
      </c>
      <c r="L41" s="1">
        <v>17</v>
      </c>
      <c r="M41" s="76"/>
      <c r="V41" s="16"/>
      <c r="W41" s="16"/>
      <c r="X41" s="16"/>
    </row>
    <row r="42" spans="1:24">
      <c r="B42" s="31" t="s">
        <v>94</v>
      </c>
      <c r="C42" s="86"/>
      <c r="D42" s="87"/>
      <c r="E42" s="87"/>
      <c r="F42" s="88"/>
      <c r="L42" s="1">
        <v>18</v>
      </c>
      <c r="M42" s="76"/>
      <c r="V42" s="16"/>
      <c r="W42" s="16"/>
    </row>
    <row r="43" spans="1:24">
      <c r="B43" s="41" t="s">
        <v>95</v>
      </c>
      <c r="C43" s="89"/>
      <c r="F43" s="90"/>
      <c r="L43" s="1">
        <v>19</v>
      </c>
      <c r="M43" s="76"/>
    </row>
    <row r="44" spans="1:24">
      <c r="A44" s="15"/>
      <c r="B44" s="41" t="s">
        <v>96</v>
      </c>
      <c r="C44" s="89"/>
      <c r="D44" s="91"/>
      <c r="E44" s="91"/>
      <c r="F44" s="90"/>
      <c r="G44" s="18"/>
      <c r="H44" t="s">
        <v>97</v>
      </c>
      <c r="L44" s="1">
        <v>20</v>
      </c>
      <c r="M44" s="76"/>
    </row>
    <row r="45" spans="1:24">
      <c r="A45" s="92">
        <v>0</v>
      </c>
      <c r="B45" s="41" t="s">
        <v>98</v>
      </c>
      <c r="C45" s="89"/>
      <c r="D45" s="91"/>
      <c r="E45" s="91"/>
      <c r="F45" s="90"/>
      <c r="L45" s="77"/>
      <c r="M45" s="24"/>
    </row>
    <row r="46" spans="1:24">
      <c r="A46" s="92">
        <v>150</v>
      </c>
      <c r="B46" s="41" t="s">
        <v>99</v>
      </c>
      <c r="C46" s="89"/>
      <c r="D46" s="91"/>
      <c r="E46" s="91"/>
      <c r="F46" s="90"/>
      <c r="G46" s="18"/>
      <c r="H46" t="s">
        <v>100</v>
      </c>
      <c r="J46">
        <v>5</v>
      </c>
      <c r="K46" t="s">
        <v>101</v>
      </c>
      <c r="L46" s="77"/>
      <c r="M46" s="24"/>
    </row>
    <row r="47" spans="1:24">
      <c r="A47" s="92">
        <v>240</v>
      </c>
      <c r="B47" s="60" t="s">
        <v>102</v>
      </c>
      <c r="C47" s="93"/>
      <c r="D47" s="94"/>
      <c r="E47" s="91">
        <v>-0.55000000000000004</v>
      </c>
      <c r="F47" s="95"/>
      <c r="L47" s="77"/>
      <c r="M47" s="24"/>
    </row>
    <row r="48" spans="1:24">
      <c r="C48" s="96"/>
      <c r="D48" s="91">
        <v>0.83</v>
      </c>
      <c r="E48" s="91">
        <v>0</v>
      </c>
    </row>
    <row r="50" spans="2:15">
      <c r="K50" s="97"/>
      <c r="L50" s="98"/>
      <c r="M50" s="98"/>
      <c r="N50" s="98"/>
      <c r="O50" s="98"/>
    </row>
    <row r="51" spans="2:15">
      <c r="B51" t="s">
        <v>103</v>
      </c>
      <c r="C51" s="26"/>
      <c r="D51" t="s">
        <v>104</v>
      </c>
      <c r="F51" s="98">
        <v>20878836</v>
      </c>
      <c r="G51" t="s">
        <v>105</v>
      </c>
      <c r="I51" s="24">
        <v>17399.03</v>
      </c>
      <c r="J51" t="s">
        <v>106</v>
      </c>
      <c r="L51" s="98"/>
      <c r="M51" s="98"/>
      <c r="N51" s="98"/>
      <c r="O51" s="98"/>
    </row>
    <row r="52" spans="2:15">
      <c r="B52" t="s">
        <v>107</v>
      </c>
      <c r="C52" s="20"/>
      <c r="F52" s="16">
        <v>1273608996</v>
      </c>
      <c r="G52" t="s">
        <v>108</v>
      </c>
      <c r="L52" s="98"/>
      <c r="M52" s="98"/>
      <c r="N52" s="98"/>
      <c r="O52" s="98"/>
    </row>
    <row r="53" spans="2:15">
      <c r="F53" s="16"/>
      <c r="G53" t="s">
        <v>109</v>
      </c>
      <c r="L53" s="98"/>
      <c r="M53" s="98"/>
      <c r="N53" s="98"/>
      <c r="O53" s="98"/>
    </row>
    <row r="54" spans="2:15">
      <c r="B54" t="s">
        <v>110</v>
      </c>
      <c r="C54" s="72"/>
      <c r="F54" s="16">
        <v>1271636216.9000001</v>
      </c>
      <c r="G54" t="s">
        <v>111</v>
      </c>
      <c r="I54" s="12">
        <v>20846495.3590164</v>
      </c>
      <c r="J54" t="s">
        <v>112</v>
      </c>
      <c r="L54" s="98"/>
      <c r="M54" s="98"/>
      <c r="N54" s="98"/>
      <c r="O54" s="98"/>
    </row>
    <row r="55" spans="2:15">
      <c r="F55" s="16">
        <v>1972779.0999999</v>
      </c>
      <c r="G55" t="s">
        <v>113</v>
      </c>
      <c r="L55" s="98"/>
      <c r="M55" s="98"/>
      <c r="N55" s="98"/>
      <c r="O55" s="98"/>
    </row>
    <row r="56" spans="2:15">
      <c r="B56" t="s">
        <v>114</v>
      </c>
      <c r="C56" s="18"/>
      <c r="F56" s="16">
        <v>32340.640983605001</v>
      </c>
      <c r="G56" t="s">
        <v>115</v>
      </c>
      <c r="L56" s="98"/>
      <c r="M56" s="98"/>
      <c r="N56" s="98"/>
      <c r="O56" s="98"/>
    </row>
    <row r="57" spans="2:15">
      <c r="C57" s="18"/>
      <c r="E57" t="s">
        <v>116</v>
      </c>
      <c r="H57" s="85"/>
      <c r="I57" s="85"/>
      <c r="J57" s="85"/>
      <c r="K57" s="85"/>
      <c r="L57" s="98"/>
      <c r="M57" s="98"/>
      <c r="N57" s="98"/>
      <c r="O57" s="98"/>
    </row>
    <row r="58" spans="2:15">
      <c r="B58" t="s">
        <v>117</v>
      </c>
      <c r="C58" s="99"/>
      <c r="E58" s="24"/>
      <c r="F58" t="s">
        <v>118</v>
      </c>
      <c r="G58" s="98">
        <v>0</v>
      </c>
      <c r="H58" s="98"/>
      <c r="K58" s="12"/>
      <c r="L58" s="98"/>
      <c r="M58" s="98"/>
      <c r="N58" s="98"/>
      <c r="O58" s="98"/>
    </row>
    <row r="59" spans="2:15">
      <c r="B59" t="s">
        <v>119</v>
      </c>
      <c r="C59" s="12"/>
      <c r="D59" t="s">
        <v>120</v>
      </c>
      <c r="J59" s="72"/>
      <c r="K59" s="16"/>
      <c r="L59" s="98"/>
      <c r="M59" s="98"/>
      <c r="N59" s="98"/>
      <c r="O59" s="98"/>
    </row>
    <row r="60" spans="2:15">
      <c r="B60" t="s">
        <v>121</v>
      </c>
      <c r="C60" s="12"/>
      <c r="K60" s="16"/>
      <c r="L60" s="98"/>
      <c r="M60" s="98"/>
      <c r="N60" s="98"/>
      <c r="O60" s="98"/>
    </row>
    <row r="61" spans="2:15">
      <c r="B61" t="s">
        <v>63</v>
      </c>
      <c r="C61" s="16"/>
      <c r="D61" t="s">
        <v>122</v>
      </c>
    </row>
    <row r="62" spans="2:15">
      <c r="B62" t="s">
        <v>123</v>
      </c>
      <c r="C62" s="12">
        <v>0</v>
      </c>
      <c r="K62" s="12"/>
    </row>
    <row r="63" spans="2:15">
      <c r="B63" t="s">
        <v>124</v>
      </c>
      <c r="C63" s="12">
        <v>0</v>
      </c>
    </row>
    <row r="64" spans="2:15">
      <c r="B64" t="s">
        <v>125</v>
      </c>
      <c r="C64" s="24"/>
    </row>
    <row r="65" spans="2:3">
      <c r="B65" t="s">
        <v>126</v>
      </c>
      <c r="C65" s="16">
        <v>0</v>
      </c>
    </row>
    <row r="69" spans="2:3">
      <c r="C69" s="16"/>
    </row>
    <row r="70" spans="2:3">
      <c r="C70" s="16"/>
    </row>
  </sheetData>
  <scenarios current="1" show="1">
    <scenario name="Base" locked="1" count="2" user="Calc" comment="Created by Ben King on 2/15/2018">
      <inputCells r="D32" val="0"/>
      <inputCells r="I4" val="No"/>
    </scenario>
    <scenario name="Invest Atlanta" locked="1" count="2" user="Calc" comment="Created by Ben King on 2/15/2018">
      <inputCells r="D32" val="0.15"/>
      <inputCells r="I4" val="Yes"/>
    </scenario>
  </scenarios>
  <mergeCells count="1">
    <mergeCell ref="C14:E14"/>
  </mergeCells>
  <dataValidations count="2">
    <dataValidation type="list" allowBlank="1" showInputMessage="1" showErrorMessage="1" sqref="D8" xr:uid="{00000000-0002-0000-0100-000000000000}">
      <formula1>"4%,9%"</formula1>
      <formula2>0</formula2>
    </dataValidation>
    <dataValidation type="list" allowBlank="1" showInputMessage="1" showErrorMessage="1" sqref="F23:F31" xr:uid="{00000000-0002-0000-0100-000001000000}">
      <formula1>"of LIHTC,of Total,Plug"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C5C3-6793-924E-BA1A-82F5F10E0E2E}">
  <sheetPr>
    <tabColor rgb="FF92D050"/>
    <pageSetUpPr fitToPage="1"/>
  </sheetPr>
  <dimension ref="A1:Y77"/>
  <sheetViews>
    <sheetView showGridLines="0" zoomScale="90" zoomScaleNormal="90" workbookViewId="0">
      <selection activeCell="R34" sqref="R34"/>
    </sheetView>
  </sheetViews>
  <sheetFormatPr baseColWidth="10" defaultColWidth="8.6640625" defaultRowHeight="15"/>
  <cols>
    <col min="1" max="1" width="4.5" customWidth="1"/>
    <col min="3" max="3" width="14.5" customWidth="1"/>
    <col min="4" max="4" width="17" customWidth="1"/>
    <col min="5" max="5" width="17.5" style="77" customWidth="1"/>
    <col min="6" max="6" width="8.5" style="77" customWidth="1"/>
    <col min="7" max="7" width="14" style="85" customWidth="1"/>
    <col min="8" max="8" width="11.5" customWidth="1"/>
    <col min="10" max="10" width="11.5" customWidth="1"/>
    <col min="11" max="11" width="19.1640625" style="77" customWidth="1"/>
    <col min="12" max="12" width="13.5" customWidth="1"/>
    <col min="13" max="13" width="11.5" customWidth="1"/>
    <col min="14" max="14" width="12.5" customWidth="1"/>
    <col min="15" max="15" width="11.1640625" customWidth="1"/>
    <col min="16" max="16" width="2.1640625" customWidth="1"/>
    <col min="17" max="17" width="8.1640625" customWidth="1"/>
    <col min="18" max="18" width="15.5" customWidth="1"/>
    <col min="19" max="19" width="12.5" customWidth="1"/>
    <col min="20" max="20" width="2.1640625" customWidth="1"/>
    <col min="25" max="25" width="14.33203125" customWidth="1"/>
  </cols>
  <sheetData>
    <row r="1" spans="1:20" ht="15.75" customHeight="1">
      <c r="A1" s="100" t="s">
        <v>830</v>
      </c>
      <c r="L1" s="101"/>
    </row>
    <row r="2" spans="1:20" ht="18.75" customHeight="1">
      <c r="A2" s="1483" t="s">
        <v>892</v>
      </c>
      <c r="L2" s="103"/>
    </row>
    <row r="3" spans="1:20">
      <c r="A3" s="1115" t="s">
        <v>893</v>
      </c>
      <c r="L3" s="104" t="str">
        <f>G5&amp;" Family Units"</f>
        <v xml:space="preserve"> Family Units</v>
      </c>
    </row>
    <row r="4" spans="1:20">
      <c r="L4" s="1484" t="s">
        <v>932</v>
      </c>
    </row>
    <row r="5" spans="1:20">
      <c r="A5" s="105" t="s">
        <v>831</v>
      </c>
      <c r="E5" s="106"/>
      <c r="G5" s="107"/>
      <c r="H5" t="s">
        <v>127</v>
      </c>
      <c r="L5" s="108"/>
    </row>
    <row r="6" spans="1:20">
      <c r="A6" s="105"/>
      <c r="E6" s="106"/>
      <c r="N6" s="109"/>
    </row>
    <row r="7" spans="1:20">
      <c r="B7" s="58" t="s">
        <v>128</v>
      </c>
      <c r="C7" s="58"/>
      <c r="D7" s="58"/>
      <c r="E7" s="110"/>
      <c r="F7" s="66" t="s">
        <v>129</v>
      </c>
      <c r="H7" s="58" t="s">
        <v>130</v>
      </c>
      <c r="I7" s="58"/>
      <c r="J7" s="58"/>
      <c r="K7" s="111" t="s">
        <v>131</v>
      </c>
      <c r="L7" s="66" t="s">
        <v>129</v>
      </c>
    </row>
    <row r="8" spans="1:20" ht="15.75" customHeight="1" thickBot="1">
      <c r="B8" t="s">
        <v>132</v>
      </c>
      <c r="D8" s="112" t="s">
        <v>829</v>
      </c>
      <c r="E8" s="113">
        <f>'25% Test'!F5</f>
        <v>0</v>
      </c>
      <c r="F8" s="114" t="e">
        <f>E8/G$5</f>
        <v>#DIV/0!</v>
      </c>
      <c r="G8" s="115" t="e">
        <f>E8/$E$23</f>
        <v>#DIV/0!</v>
      </c>
      <c r="H8" t="s">
        <v>133</v>
      </c>
      <c r="K8" s="116">
        <f>'Development Budget'!H10</f>
        <v>0</v>
      </c>
      <c r="L8" s="117" t="e">
        <f>K8/G$5</f>
        <v>#DIV/0!</v>
      </c>
      <c r="M8" s="115" t="e">
        <f>K8/$K$23</f>
        <v>#DIV/0!</v>
      </c>
      <c r="Q8" s="118"/>
      <c r="R8" s="119"/>
    </row>
    <row r="9" spans="1:20" ht="16" thickBot="1">
      <c r="B9" t="s">
        <v>134</v>
      </c>
      <c r="D9" s="1409" t="s">
        <v>828</v>
      </c>
      <c r="E9" s="106">
        <f>K23-SUM(E8,E10:E18)</f>
        <v>0</v>
      </c>
      <c r="F9" s="114" t="e">
        <f>E9/G$5</f>
        <v>#DIV/0!</v>
      </c>
      <c r="G9" s="120" t="e">
        <f>E9/$E$23</f>
        <v>#DIV/0!</v>
      </c>
      <c r="H9" t="s">
        <v>135</v>
      </c>
      <c r="K9" s="116">
        <f>'Development Budget'!H21</f>
        <v>0</v>
      </c>
      <c r="L9" s="117" t="e">
        <f>K9/G$5</f>
        <v>#DIV/0!</v>
      </c>
      <c r="M9" s="115" t="e">
        <f>K9/$K$23</f>
        <v>#DIV/0!</v>
      </c>
      <c r="N9" s="121"/>
      <c r="P9" s="1412" t="s">
        <v>136</v>
      </c>
      <c r="Q9" s="1412"/>
      <c r="R9" s="1412"/>
      <c r="S9" s="1412"/>
      <c r="T9" s="1412"/>
    </row>
    <row r="10" spans="1:20" ht="15.75" customHeight="1" thickBot="1">
      <c r="B10" t="s">
        <v>137</v>
      </c>
      <c r="D10" s="112" t="s">
        <v>834</v>
      </c>
      <c r="E10" s="106"/>
      <c r="F10" s="114" t="e">
        <f>E10/G$5</f>
        <v>#DIV/0!</v>
      </c>
      <c r="G10" s="120" t="e">
        <f>E10/$E$23</f>
        <v>#DIV/0!</v>
      </c>
      <c r="H10" t="s">
        <v>138</v>
      </c>
      <c r="K10" s="116">
        <f>'Development Budget'!H29</f>
        <v>0</v>
      </c>
      <c r="L10" s="117" t="e">
        <f>K10/G$5</f>
        <v>#DIV/0!</v>
      </c>
      <c r="M10" s="115" t="e">
        <f>K10/$K$23</f>
        <v>#DIV/0!</v>
      </c>
      <c r="N10" s="77"/>
      <c r="P10" s="1412"/>
      <c r="Q10" s="1412"/>
      <c r="R10" s="1412"/>
      <c r="S10" s="1412"/>
      <c r="T10" s="1412"/>
    </row>
    <row r="11" spans="1:20">
      <c r="B11" t="s">
        <v>139</v>
      </c>
      <c r="D11" s="112">
        <f>E56</f>
        <v>0</v>
      </c>
      <c r="E11" s="106"/>
      <c r="F11" s="114" t="e">
        <f>E11/G$5</f>
        <v>#DIV/0!</v>
      </c>
      <c r="G11" s="115" t="e">
        <f>E11/$E$23</f>
        <v>#DIV/0!</v>
      </c>
      <c r="H11" t="s">
        <v>140</v>
      </c>
      <c r="K11" s="116">
        <f>'Development Budget'!H40</f>
        <v>0</v>
      </c>
      <c r="L11" s="117" t="e">
        <f>K11/G$5</f>
        <v>#DIV/0!</v>
      </c>
      <c r="M11" s="115" t="e">
        <f>K11/$K$23</f>
        <v>#DIV/0!</v>
      </c>
      <c r="N11" s="121"/>
      <c r="O11" s="77" t="s">
        <v>141</v>
      </c>
      <c r="P11" s="122">
        <v>1</v>
      </c>
      <c r="Q11" s="123"/>
      <c r="R11" s="124"/>
      <c r="S11" s="123" t="s">
        <v>142</v>
      </c>
      <c r="T11" s="125"/>
    </row>
    <row r="12" spans="1:20">
      <c r="B12" s="126" t="s">
        <v>804</v>
      </c>
      <c r="D12" s="112" t="s">
        <v>210</v>
      </c>
      <c r="E12" s="127"/>
      <c r="F12" s="114" t="e">
        <f>E12/G$5</f>
        <v>#DIV/0!</v>
      </c>
      <c r="G12" s="115" t="e">
        <f>E12/$E$23</f>
        <v>#DIV/0!</v>
      </c>
      <c r="H12" t="s">
        <v>143</v>
      </c>
      <c r="K12" s="116">
        <f>'Development Budget'!H54</f>
        <v>0</v>
      </c>
      <c r="L12" s="117" t="e">
        <f>K12/G$5</f>
        <v>#DIV/0!</v>
      </c>
      <c r="M12" s="115" t="e">
        <f>K12/$K$23</f>
        <v>#DIV/0!</v>
      </c>
      <c r="P12" s="128"/>
      <c r="Q12" s="129"/>
      <c r="R12" s="130">
        <f>E37*10</f>
        <v>0</v>
      </c>
      <c r="S12" s="131" t="s">
        <v>144</v>
      </c>
      <c r="T12" s="125"/>
    </row>
    <row r="13" spans="1:20">
      <c r="B13" t="s">
        <v>145</v>
      </c>
      <c r="D13" s="132" t="s">
        <v>792</v>
      </c>
      <c r="E13" s="106"/>
      <c r="F13" s="114" t="e">
        <f>E13/G$5</f>
        <v>#DIV/0!</v>
      </c>
      <c r="G13" s="115" t="e">
        <f>E13/$E$23</f>
        <v>#DIV/0!</v>
      </c>
      <c r="H13" t="s">
        <v>146</v>
      </c>
      <c r="K13" s="116">
        <f>'Development Budget'!H60</f>
        <v>0</v>
      </c>
      <c r="L13" s="117" t="e">
        <f>K13/G$5</f>
        <v>#DIV/0!</v>
      </c>
      <c r="M13" s="115" t="e">
        <f>K13/$K$23</f>
        <v>#DIV/0!</v>
      </c>
      <c r="N13" s="121"/>
      <c r="P13" s="128"/>
      <c r="Q13" s="123"/>
      <c r="R13" s="124">
        <f>R12-R11</f>
        <v>0</v>
      </c>
      <c r="S13" s="123" t="s">
        <v>147</v>
      </c>
      <c r="T13" s="125"/>
    </row>
    <row r="14" spans="1:20">
      <c r="B14" t="s">
        <v>148</v>
      </c>
      <c r="D14" s="133" t="s">
        <v>835</v>
      </c>
      <c r="E14" s="106"/>
      <c r="F14" s="114" t="e">
        <f>E14/G$5</f>
        <v>#DIV/0!</v>
      </c>
      <c r="G14" s="115" t="e">
        <f>E14/$E$23</f>
        <v>#DIV/0!</v>
      </c>
      <c r="H14" t="s">
        <v>149</v>
      </c>
      <c r="K14" s="116">
        <f>'Development Budget'!H67</f>
        <v>0</v>
      </c>
      <c r="L14" s="117" t="e">
        <f>K14/G$5</f>
        <v>#DIV/0!</v>
      </c>
      <c r="M14" s="115" t="e">
        <f>K14/$K$23</f>
        <v>#DIV/0!</v>
      </c>
      <c r="P14" s="128"/>
      <c r="Q14" s="123"/>
      <c r="R14" s="134"/>
      <c r="S14" s="134"/>
      <c r="T14" s="135"/>
    </row>
    <row r="15" spans="1:20">
      <c r="B15" t="s">
        <v>150</v>
      </c>
      <c r="D15" s="133" t="s">
        <v>791</v>
      </c>
      <c r="E15" s="106">
        <f>E39</f>
        <v>0</v>
      </c>
      <c r="F15" s="114" t="e">
        <f>E15/G$5</f>
        <v>#DIV/0!</v>
      </c>
      <c r="G15" s="115" t="e">
        <f>E15/$E$23</f>
        <v>#DIV/0!</v>
      </c>
      <c r="H15" t="s">
        <v>151</v>
      </c>
      <c r="K15" s="116">
        <f>'Development Budget'!H75</f>
        <v>0</v>
      </c>
      <c r="L15" s="117" t="e">
        <f>K15/G$5</f>
        <v>#DIV/0!</v>
      </c>
      <c r="M15" s="115" t="e">
        <f>K15/$K$23</f>
        <v>#DIV/0!</v>
      </c>
      <c r="P15" s="128"/>
      <c r="Q15" s="123"/>
      <c r="R15" s="134"/>
      <c r="S15" s="134" t="s">
        <v>152</v>
      </c>
      <c r="T15" s="135"/>
    </row>
    <row r="16" spans="1:20">
      <c r="B16" t="s">
        <v>153</v>
      </c>
      <c r="D16" s="133" t="s">
        <v>154</v>
      </c>
      <c r="E16" s="106">
        <f>E41</f>
        <v>0</v>
      </c>
      <c r="F16" s="114" t="e">
        <f>E16/G$5</f>
        <v>#DIV/0!</v>
      </c>
      <c r="G16" s="115" t="e">
        <f>E16/$E$23</f>
        <v>#DIV/0!</v>
      </c>
      <c r="H16" t="s">
        <v>155</v>
      </c>
      <c r="K16" s="116">
        <f>'Development Budget'!H81</f>
        <v>0</v>
      </c>
      <c r="L16" s="117" t="e">
        <f>K16/G$5</f>
        <v>#DIV/0!</v>
      </c>
      <c r="M16" s="115" t="e">
        <f>K16/$K$23</f>
        <v>#DIV/0!</v>
      </c>
      <c r="P16" s="128"/>
      <c r="Q16" s="123"/>
      <c r="R16" s="136">
        <f>E15</f>
        <v>0</v>
      </c>
      <c r="S16" s="131" t="s">
        <v>144</v>
      </c>
      <c r="T16" s="135"/>
    </row>
    <row r="17" spans="1:20">
      <c r="B17" t="s">
        <v>156</v>
      </c>
      <c r="D17" s="133" t="s">
        <v>157</v>
      </c>
      <c r="E17" s="106">
        <f>K20</f>
        <v>0</v>
      </c>
      <c r="F17" s="114" t="e">
        <f>E17/G$5</f>
        <v>#DIV/0!</v>
      </c>
      <c r="G17" s="115" t="e">
        <f>E17/$E$23</f>
        <v>#DIV/0!</v>
      </c>
      <c r="H17" t="s">
        <v>158</v>
      </c>
      <c r="K17" s="116">
        <f>'Development Budget'!H88</f>
        <v>0</v>
      </c>
      <c r="L17" s="117" t="e">
        <f>K17/G$5</f>
        <v>#DIV/0!</v>
      </c>
      <c r="M17" s="115" t="e">
        <f>K17/$K$23</f>
        <v>#DIV/0!</v>
      </c>
      <c r="P17" s="128"/>
      <c r="Q17" s="123"/>
      <c r="R17" s="124">
        <f>R16-R15</f>
        <v>0</v>
      </c>
      <c r="S17" s="134" t="s">
        <v>159</v>
      </c>
      <c r="T17" s="135"/>
    </row>
    <row r="18" spans="1:20">
      <c r="B18" t="s">
        <v>160</v>
      </c>
      <c r="E18" s="106"/>
      <c r="G18" s="115" t="e">
        <f>E18/$E$23</f>
        <v>#DIV/0!</v>
      </c>
      <c r="H18" t="s">
        <v>161</v>
      </c>
      <c r="K18" s="116">
        <f>'Development Budget'!H91</f>
        <v>0</v>
      </c>
      <c r="L18" s="117" t="e">
        <f>K18/G$5</f>
        <v>#DIV/0!</v>
      </c>
      <c r="M18" s="115" t="e">
        <f>K18/$K$23</f>
        <v>#DIV/0!</v>
      </c>
      <c r="N18" s="72"/>
      <c r="P18" s="128"/>
      <c r="Q18" s="123"/>
      <c r="R18" s="123"/>
      <c r="S18" s="123"/>
      <c r="T18" s="125"/>
    </row>
    <row r="19" spans="1:20">
      <c r="G19" s="115"/>
      <c r="K19" s="116"/>
      <c r="L19" s="117"/>
      <c r="M19" s="115"/>
      <c r="N19" s="72"/>
      <c r="P19" s="128"/>
      <c r="Q19" s="123"/>
      <c r="R19" s="123"/>
      <c r="S19" s="123"/>
      <c r="T19" s="125"/>
    </row>
    <row r="20" spans="1:20">
      <c r="B20" s="137"/>
      <c r="C20" s="138" t="s">
        <v>162</v>
      </c>
      <c r="D20" s="120" t="e">
        <f>E17/K20</f>
        <v>#DIV/0!</v>
      </c>
      <c r="G20" s="115"/>
      <c r="H20" t="s">
        <v>163</v>
      </c>
      <c r="K20" s="139"/>
      <c r="L20" s="117" t="e">
        <f>K20/G$5</f>
        <v>#DIV/0!</v>
      </c>
      <c r="M20" s="115" t="e">
        <f>K20/$K$23</f>
        <v>#DIV/0!</v>
      </c>
      <c r="N20" s="140"/>
      <c r="O20" s="119"/>
      <c r="P20" s="141"/>
      <c r="Q20" s="142"/>
      <c r="R20" s="143"/>
      <c r="S20" s="123"/>
      <c r="T20" s="125"/>
    </row>
    <row r="21" spans="1:20">
      <c r="B21" s="58"/>
      <c r="C21" s="58" t="s">
        <v>164</v>
      </c>
      <c r="D21" s="144" t="e">
        <f>'20yr Proforma'!C54</f>
        <v>#REF!</v>
      </c>
      <c r="E21" s="145"/>
      <c r="F21" s="146"/>
      <c r="G21" s="147"/>
      <c r="H21" s="58"/>
      <c r="I21" s="58"/>
      <c r="J21" s="58"/>
      <c r="K21" s="145"/>
      <c r="L21" s="58"/>
      <c r="P21" s="128"/>
      <c r="Q21" s="148"/>
      <c r="R21" s="143"/>
      <c r="S21" s="123"/>
      <c r="T21" s="125"/>
    </row>
    <row r="22" spans="1:20">
      <c r="F22" s="149"/>
      <c r="G22" s="147"/>
      <c r="L22" s="77"/>
      <c r="P22" s="128"/>
      <c r="Q22" s="150"/>
      <c r="R22" s="1413" t="s">
        <v>165</v>
      </c>
      <c r="S22" s="1413"/>
      <c r="T22" s="125"/>
    </row>
    <row r="23" spans="1:20" s="85" customFormat="1">
      <c r="B23" s="85" t="s">
        <v>166</v>
      </c>
      <c r="E23" s="106">
        <f>SUM(E8:E18)</f>
        <v>0</v>
      </c>
      <c r="F23" s="114" t="e">
        <f>E23/G$5</f>
        <v>#DIV/0!</v>
      </c>
      <c r="G23" s="147"/>
      <c r="H23" s="85" t="s">
        <v>167</v>
      </c>
      <c r="K23" s="106">
        <f>SUM(K8:K18)+K20</f>
        <v>0</v>
      </c>
      <c r="L23" s="117" t="e">
        <f>K23/G$5</f>
        <v>#DIV/0!</v>
      </c>
      <c r="M23"/>
      <c r="N23" s="151"/>
      <c r="P23" s="152"/>
      <c r="Q23" s="153"/>
      <c r="R23" s="134"/>
      <c r="S23" s="123" t="s">
        <v>168</v>
      </c>
      <c r="T23" s="125"/>
    </row>
    <row r="24" spans="1:20" s="85" customFormat="1">
      <c r="E24" s="106"/>
      <c r="F24" s="114"/>
      <c r="G24" s="147"/>
      <c r="K24" s="106"/>
      <c r="L24" s="117"/>
      <c r="N24" s="151"/>
      <c r="P24" s="152"/>
      <c r="Q24" s="153"/>
      <c r="R24" s="136">
        <f>E8+K51</f>
        <v>0</v>
      </c>
      <c r="S24" s="131" t="s">
        <v>144</v>
      </c>
      <c r="T24" s="125"/>
    </row>
    <row r="25" spans="1:20" s="85" customFormat="1">
      <c r="B25" s="85" t="s">
        <v>805</v>
      </c>
      <c r="E25" s="127">
        <f>E23-K23</f>
        <v>0</v>
      </c>
      <c r="F25" s="1408" t="e">
        <f>E25/G$5</f>
        <v>#DIV/0!</v>
      </c>
      <c r="G25" s="147"/>
      <c r="K25" s="106"/>
      <c r="L25" s="117"/>
      <c r="N25" s="151"/>
      <c r="P25" s="152"/>
      <c r="Q25" s="154" t="e">
        <f>R25/R23</f>
        <v>#DIV/0!</v>
      </c>
      <c r="R25" s="124">
        <f>R24-R23</f>
        <v>0</v>
      </c>
      <c r="S25" s="155" t="s">
        <v>169</v>
      </c>
      <c r="T25" s="125"/>
    </row>
    <row r="26" spans="1:20" s="85" customFormat="1" ht="15" customHeight="1">
      <c r="E26" s="106"/>
      <c r="F26" s="147"/>
      <c r="G26" s="147"/>
      <c r="K26" s="156"/>
      <c r="L26" s="157"/>
      <c r="P26" s="152"/>
      <c r="Q26" s="158"/>
      <c r="R26" s="124"/>
      <c r="S26" s="155"/>
      <c r="T26" s="125"/>
    </row>
    <row r="27" spans="1:20">
      <c r="L27" s="159"/>
      <c r="P27" s="152"/>
      <c r="Q27" s="123"/>
      <c r="R27" s="1413" t="s">
        <v>170</v>
      </c>
      <c r="S27" s="1413"/>
      <c r="T27" s="125"/>
    </row>
    <row r="28" spans="1:20">
      <c r="A28" s="58"/>
      <c r="B28" s="160" t="s">
        <v>171</v>
      </c>
      <c r="C28" s="58"/>
      <c r="D28" s="58"/>
      <c r="E28" s="145"/>
      <c r="I28" s="161"/>
      <c r="J28" s="161"/>
      <c r="K28" s="162"/>
      <c r="L28" s="161"/>
      <c r="P28" s="128"/>
      <c r="Q28" s="123"/>
      <c r="R28" s="134"/>
      <c r="S28" s="123" t="s">
        <v>172</v>
      </c>
      <c r="T28" s="125"/>
    </row>
    <row r="29" spans="1:20">
      <c r="B29" s="85" t="s">
        <v>173</v>
      </c>
      <c r="E29" s="159">
        <f>'Development Budget'!J94</f>
        <v>0</v>
      </c>
      <c r="I29" s="161"/>
      <c r="J29" s="161"/>
      <c r="K29" s="162"/>
      <c r="L29" s="161"/>
      <c r="P29" s="128"/>
      <c r="Q29" s="123"/>
      <c r="R29" s="136">
        <f>E17</f>
        <v>0</v>
      </c>
      <c r="S29" s="131" t="s">
        <v>144</v>
      </c>
      <c r="T29" s="125"/>
    </row>
    <row r="30" spans="1:20">
      <c r="B30" t="s">
        <v>174</v>
      </c>
      <c r="D30" s="70">
        <v>1</v>
      </c>
      <c r="E30" s="163"/>
      <c r="P30" s="128"/>
      <c r="Q30" s="154" t="e">
        <f>R30/R28</f>
        <v>#DIV/0!</v>
      </c>
      <c r="R30" s="124">
        <f>R29-R28</f>
        <v>0</v>
      </c>
      <c r="S30" s="155" t="s">
        <v>175</v>
      </c>
      <c r="T30" s="125"/>
    </row>
    <row r="31" spans="1:20">
      <c r="B31" s="126" t="s">
        <v>176</v>
      </c>
      <c r="C31" s="126"/>
      <c r="D31" s="164">
        <v>1</v>
      </c>
      <c r="E31" s="165"/>
      <c r="P31" s="128"/>
      <c r="Q31" s="158"/>
      <c r="R31" s="124"/>
      <c r="S31" s="155"/>
      <c r="T31" s="125"/>
    </row>
    <row r="32" spans="1:20" ht="17.25" customHeight="1">
      <c r="B32" t="s">
        <v>177</v>
      </c>
      <c r="D32" s="166">
        <f>'Rent Schedule'!D27</f>
        <v>1</v>
      </c>
      <c r="E32" s="167">
        <f>E29*D32</f>
        <v>0</v>
      </c>
      <c r="P32" s="128"/>
      <c r="Q32" s="123"/>
      <c r="R32" s="1413" t="s">
        <v>178</v>
      </c>
      <c r="S32" s="1413"/>
      <c r="T32" s="125"/>
    </row>
    <row r="33" spans="1:25">
      <c r="B33" t="s">
        <v>179</v>
      </c>
      <c r="D33" s="168"/>
      <c r="E33" s="77">
        <f>E31+E32</f>
        <v>0</v>
      </c>
      <c r="L33" s="77"/>
      <c r="P33" s="128"/>
      <c r="Q33" s="123"/>
      <c r="R33" s="134">
        <v>0</v>
      </c>
      <c r="S33" s="123" t="s">
        <v>180</v>
      </c>
      <c r="T33" s="125"/>
    </row>
    <row r="34" spans="1:25">
      <c r="B34" t="s">
        <v>181</v>
      </c>
      <c r="D34" s="169">
        <v>1</v>
      </c>
      <c r="P34" s="128"/>
      <c r="Q34" s="123"/>
      <c r="R34" s="136">
        <f>E10</f>
        <v>0</v>
      </c>
      <c r="S34" s="131" t="s">
        <v>144</v>
      </c>
      <c r="T34" s="125"/>
    </row>
    <row r="35" spans="1:25">
      <c r="B35" t="s">
        <v>182</v>
      </c>
      <c r="D35" s="170"/>
      <c r="E35" s="77">
        <f>E33*D34</f>
        <v>0</v>
      </c>
      <c r="P35" s="128"/>
      <c r="Q35" s="154" t="e">
        <f>R35/R33</f>
        <v>#DIV/0!</v>
      </c>
      <c r="R35" s="124">
        <f>R34-R33</f>
        <v>0</v>
      </c>
      <c r="S35" s="155" t="s">
        <v>183</v>
      </c>
      <c r="T35" s="125"/>
    </row>
    <row r="36" spans="1:25" ht="15.75" customHeight="1" thickBot="1">
      <c r="B36" t="s">
        <v>184</v>
      </c>
      <c r="D36" s="171">
        <v>0.04</v>
      </c>
      <c r="E36" s="77">
        <f>E35*D36</f>
        <v>0</v>
      </c>
      <c r="P36" s="172"/>
      <c r="Q36" s="173"/>
      <c r="R36" s="174"/>
      <c r="S36" s="173"/>
      <c r="T36" s="175"/>
      <c r="V36" s="30"/>
    </row>
    <row r="37" spans="1:25">
      <c r="B37" t="s">
        <v>185</v>
      </c>
      <c r="D37" s="170"/>
      <c r="E37" s="176">
        <f>E36</f>
        <v>0</v>
      </c>
      <c r="H37" s="119"/>
    </row>
    <row r="38" spans="1:25">
      <c r="B38" t="s">
        <v>186</v>
      </c>
      <c r="D38" s="177"/>
      <c r="E38" s="77">
        <f>E37*10*D38</f>
        <v>0</v>
      </c>
      <c r="G38" s="106"/>
      <c r="H38" s="119"/>
    </row>
    <row r="39" spans="1:25">
      <c r="B39" t="s">
        <v>187</v>
      </c>
      <c r="D39" s="178"/>
      <c r="E39" s="179">
        <f>E38*0.9999</f>
        <v>0</v>
      </c>
      <c r="F39" s="180" t="s">
        <v>188</v>
      </c>
      <c r="H39" s="181"/>
    </row>
    <row r="40" spans="1:25">
      <c r="B40" t="s">
        <v>189</v>
      </c>
      <c r="D40" s="178"/>
      <c r="E40" s="77">
        <f>E37*10*D40</f>
        <v>0</v>
      </c>
      <c r="H40" s="119"/>
    </row>
    <row r="41" spans="1:25">
      <c r="B41" t="s">
        <v>190</v>
      </c>
      <c r="D41" s="182"/>
      <c r="E41" s="183">
        <f>E40*0.9999</f>
        <v>0</v>
      </c>
      <c r="K41" s="184"/>
      <c r="L41" s="77"/>
    </row>
    <row r="42" spans="1:25">
      <c r="I42" s="185"/>
    </row>
    <row r="43" spans="1:25">
      <c r="B43" s="186" t="s">
        <v>191</v>
      </c>
      <c r="C43" s="187"/>
      <c r="D43" s="187"/>
      <c r="E43" s="188">
        <f>E39+E41</f>
        <v>0</v>
      </c>
      <c r="F43" s="188"/>
      <c r="G43" s="189"/>
      <c r="H43" s="187"/>
      <c r="I43" s="187"/>
      <c r="J43" s="187"/>
      <c r="K43" s="188"/>
      <c r="L43" s="190"/>
      <c r="N43" s="159"/>
    </row>
    <row r="44" spans="1:25">
      <c r="N44" s="98"/>
      <c r="Q44" s="191"/>
      <c r="R44" s="191"/>
    </row>
    <row r="45" spans="1:25">
      <c r="B45" s="186" t="s">
        <v>192</v>
      </c>
      <c r="C45" s="187"/>
      <c r="D45" s="192">
        <f>D38</f>
        <v>0</v>
      </c>
      <c r="E45" s="193"/>
    </row>
    <row r="46" spans="1:25">
      <c r="W46" t="s">
        <v>193</v>
      </c>
      <c r="Y46" s="194"/>
    </row>
    <row r="47" spans="1:25">
      <c r="A47" s="58"/>
      <c r="B47" s="160" t="s">
        <v>194</v>
      </c>
      <c r="C47" s="58"/>
      <c r="D47" s="58"/>
      <c r="E47" s="145"/>
      <c r="H47" s="195" t="s">
        <v>195</v>
      </c>
      <c r="I47" s="195" t="s">
        <v>196</v>
      </c>
      <c r="J47" s="195" t="s">
        <v>197</v>
      </c>
      <c r="K47" s="196" t="s">
        <v>198</v>
      </c>
      <c r="L47" s="195" t="s">
        <v>199</v>
      </c>
      <c r="N47" s="195" t="s">
        <v>200</v>
      </c>
      <c r="Q47" t="s">
        <v>201</v>
      </c>
      <c r="R47" t="s">
        <v>202</v>
      </c>
      <c r="S47" t="s">
        <v>203</v>
      </c>
    </row>
    <row r="49" spans="2:25">
      <c r="B49" t="s">
        <v>204</v>
      </c>
      <c r="E49" s="77" t="s">
        <v>829</v>
      </c>
      <c r="F49" s="197"/>
      <c r="H49" s="198"/>
      <c r="I49" s="15"/>
      <c r="J49" s="15"/>
      <c r="K49" s="121">
        <f>E8</f>
        <v>0</v>
      </c>
      <c r="L49" s="98" t="e">
        <f>PMT(H49/12,I49*12,K49)*-12</f>
        <v>#NUM!</v>
      </c>
      <c r="M49" s="199"/>
      <c r="N49" s="200" t="e">
        <f>L49/G5</f>
        <v>#NUM!</v>
      </c>
      <c r="Q49" s="201">
        <f>'20yr Proforma'!F51</f>
        <v>0</v>
      </c>
      <c r="R49" s="202">
        <f>'20yr Proforma'!T51</f>
        <v>0</v>
      </c>
      <c r="S49" s="202">
        <f>'20yr Proforma'!Y51</f>
        <v>0</v>
      </c>
      <c r="W49" t="s">
        <v>826</v>
      </c>
      <c r="Y49" s="203"/>
    </row>
    <row r="50" spans="2:25">
      <c r="F50" s="204" t="s">
        <v>205</v>
      </c>
      <c r="H50" s="205"/>
      <c r="I50" s="15"/>
      <c r="J50" s="15"/>
      <c r="M50" s="199"/>
      <c r="N50" s="149"/>
      <c r="W50" t="s">
        <v>206</v>
      </c>
      <c r="Y50" s="203">
        <f>Y46-Y49</f>
        <v>0</v>
      </c>
    </row>
    <row r="51" spans="2:25">
      <c r="B51" t="s">
        <v>134</v>
      </c>
      <c r="E51" s="77" t="s">
        <v>134</v>
      </c>
      <c r="F51" s="204"/>
      <c r="H51" s="198"/>
      <c r="I51" s="15"/>
      <c r="J51" s="15"/>
      <c r="L51" s="98" t="e">
        <f>PMT(H51/12,I51*12,K51)*-12</f>
        <v>#NUM!</v>
      </c>
      <c r="M51" s="199"/>
      <c r="N51" s="200" t="e">
        <f>L51/G5</f>
        <v>#NUM!</v>
      </c>
    </row>
    <row r="52" spans="2:25">
      <c r="F52" s="204"/>
      <c r="H52" s="205"/>
      <c r="I52" s="15"/>
      <c r="J52" s="15"/>
      <c r="M52" s="199"/>
      <c r="N52" s="149"/>
    </row>
    <row r="53" spans="2:25">
      <c r="B53" t="s">
        <v>207</v>
      </c>
      <c r="E53" s="77" t="s">
        <v>806</v>
      </c>
      <c r="H53" s="206"/>
      <c r="I53" s="15"/>
      <c r="J53" s="15"/>
      <c r="L53" s="98">
        <f>K53*H53</f>
        <v>0</v>
      </c>
      <c r="M53" s="199" t="s">
        <v>208</v>
      </c>
      <c r="N53" s="200" t="e">
        <f>L53/G5</f>
        <v>#DIV/0!</v>
      </c>
      <c r="R53" s="159"/>
    </row>
    <row r="54" spans="2:25">
      <c r="M54" s="199"/>
      <c r="N54" s="207"/>
      <c r="Q54" s="12"/>
      <c r="R54" s="98"/>
    </row>
    <row r="55" spans="2:25">
      <c r="B55" t="s">
        <v>209</v>
      </c>
      <c r="H55" s="206"/>
      <c r="I55" s="15"/>
      <c r="J55" s="15"/>
      <c r="L55" s="98">
        <f>K55*H55</f>
        <v>0</v>
      </c>
      <c r="M55" s="199"/>
      <c r="N55" s="200" t="e">
        <f>L55/G5</f>
        <v>#DIV/0!</v>
      </c>
    </row>
    <row r="56" spans="2:25">
      <c r="M56" s="208"/>
    </row>
    <row r="57" spans="2:25">
      <c r="B57" t="s">
        <v>139</v>
      </c>
      <c r="E57" s="77" t="s">
        <v>210</v>
      </c>
      <c r="H57" s="27"/>
      <c r="J57" s="15"/>
      <c r="L57" s="98"/>
      <c r="M57" s="199"/>
    </row>
    <row r="58" spans="2:25">
      <c r="M58" s="199"/>
    </row>
    <row r="59" spans="2:25">
      <c r="B59" t="s">
        <v>211</v>
      </c>
      <c r="E59" s="77" t="s">
        <v>210</v>
      </c>
      <c r="H59" s="27"/>
      <c r="I59" s="15"/>
      <c r="J59" s="15"/>
      <c r="L59" s="209"/>
      <c r="M59" s="199"/>
    </row>
    <row r="60" spans="2:25">
      <c r="M60" s="199"/>
    </row>
    <row r="61" spans="2:25">
      <c r="B61" t="s">
        <v>212</v>
      </c>
      <c r="E61" s="77" t="s">
        <v>213</v>
      </c>
      <c r="H61" s="27"/>
      <c r="I61" s="15"/>
      <c r="J61" s="15"/>
      <c r="L61" s="210"/>
      <c r="M61" s="199"/>
    </row>
    <row r="62" spans="2:25">
      <c r="H62" s="27"/>
      <c r="I62" s="15"/>
      <c r="J62" s="15"/>
      <c r="L62" s="98"/>
    </row>
    <row r="63" spans="2:25">
      <c r="D63" t="s">
        <v>214</v>
      </c>
      <c r="H63" s="27"/>
      <c r="I63" s="15"/>
      <c r="J63" s="15"/>
      <c r="L63" s="98" t="e">
        <f>SUM(L49:L61)</f>
        <v>#NUM!</v>
      </c>
    </row>
    <row r="64" spans="2:25">
      <c r="H64" s="27"/>
      <c r="I64" s="15"/>
      <c r="J64" s="15"/>
      <c r="L64" s="98"/>
    </row>
    <row r="65" spans="1:17">
      <c r="H65" s="27"/>
      <c r="I65" s="15"/>
      <c r="J65" s="15"/>
      <c r="L65" s="98"/>
    </row>
    <row r="66" spans="1:17">
      <c r="A66" s="58"/>
      <c r="B66" s="160" t="s">
        <v>194</v>
      </c>
      <c r="C66" s="58"/>
      <c r="D66" s="58"/>
      <c r="E66" s="145"/>
      <c r="J66" s="77"/>
    </row>
    <row r="67" spans="1:17">
      <c r="E67" s="211" t="s">
        <v>215</v>
      </c>
      <c r="F67" s="212"/>
      <c r="G67" s="213" t="s">
        <v>812</v>
      </c>
      <c r="H67" s="214"/>
      <c r="I67" s="214"/>
      <c r="J67" s="212"/>
      <c r="K67" s="215">
        <f>'25% Test'!F5</f>
        <v>0</v>
      </c>
      <c r="Q67" s="24"/>
    </row>
    <row r="68" spans="1:17">
      <c r="E68" s="216" t="s">
        <v>216</v>
      </c>
      <c r="F68" s="217"/>
      <c r="G68" s="218"/>
      <c r="H68" s="219">
        <f>0.04+0.0245+0.0015</f>
        <v>6.6000000000000003E-2</v>
      </c>
      <c r="I68" s="220" t="s">
        <v>217</v>
      </c>
      <c r="J68" s="217"/>
      <c r="K68" s="221">
        <f>'Flow of Funds'!AD134</f>
        <v>0</v>
      </c>
    </row>
    <row r="69" spans="1:17">
      <c r="E69" s="222" t="s">
        <v>811</v>
      </c>
      <c r="F69" s="223"/>
      <c r="G69" s="224"/>
      <c r="H69" s="225"/>
      <c r="I69" s="225"/>
      <c r="J69" s="225"/>
      <c r="K69" s="226" t="e">
        <f>'25% Test'!D10</f>
        <v>#DIV/0!</v>
      </c>
    </row>
    <row r="70" spans="1:17">
      <c r="F70" s="204" t="s">
        <v>218</v>
      </c>
    </row>
    <row r="74" spans="1:17">
      <c r="H74" s="227"/>
    </row>
    <row r="76" spans="1:17">
      <c r="H76" s="228"/>
    </row>
    <row r="77" spans="1:17">
      <c r="F77" s="229"/>
    </row>
  </sheetData>
  <mergeCells count="4">
    <mergeCell ref="P9:T10"/>
    <mergeCell ref="R22:S22"/>
    <mergeCell ref="R27:S27"/>
    <mergeCell ref="R32:S32"/>
  </mergeCells>
  <pageMargins left="0.45" right="0.2" top="0.75" bottom="0.25" header="0.511811023622047" footer="0.511811023622047"/>
  <pageSetup fitToWidth="2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1C52-E1A2-7C44-B2D9-D5CC77ABB13F}">
  <sheetPr>
    <tabColor rgb="FF92D050"/>
    <pageSetUpPr fitToPage="1"/>
  </sheetPr>
  <dimension ref="A1:Y77"/>
  <sheetViews>
    <sheetView showGridLines="0" zoomScale="90" zoomScaleNormal="90" workbookViewId="0">
      <selection activeCell="G68" sqref="G68"/>
    </sheetView>
  </sheetViews>
  <sheetFormatPr baseColWidth="10" defaultColWidth="8.6640625" defaultRowHeight="15"/>
  <cols>
    <col min="1" max="1" width="4.5" customWidth="1"/>
    <col min="3" max="3" width="14.5" customWidth="1"/>
    <col min="4" max="4" width="17" customWidth="1"/>
    <col min="5" max="5" width="17.5" style="77" customWidth="1"/>
    <col min="6" max="6" width="8.5" style="77" customWidth="1"/>
    <col min="7" max="7" width="14" style="85" customWidth="1"/>
    <col min="8" max="8" width="11.5" customWidth="1"/>
    <col min="10" max="10" width="11.5" customWidth="1"/>
    <col min="11" max="11" width="19.1640625" style="77" customWidth="1"/>
    <col min="12" max="12" width="13.5" customWidth="1"/>
    <col min="13" max="13" width="11.5" customWidth="1"/>
    <col min="14" max="14" width="12.5" customWidth="1"/>
    <col min="15" max="15" width="11.1640625" customWidth="1"/>
    <col min="16" max="16" width="2.1640625" customWidth="1"/>
    <col min="17" max="17" width="8.1640625" customWidth="1"/>
    <col min="18" max="18" width="15.5" customWidth="1"/>
    <col min="19" max="19" width="12.5" customWidth="1"/>
    <col min="20" max="20" width="2.1640625" customWidth="1"/>
    <col min="25" max="25" width="14.33203125" customWidth="1"/>
  </cols>
  <sheetData>
    <row r="1" spans="1:20" ht="15.75" customHeight="1">
      <c r="A1" s="100" t="s">
        <v>832</v>
      </c>
      <c r="L1" s="101"/>
    </row>
    <row r="2" spans="1:20" ht="18.75" customHeight="1">
      <c r="A2" s="1483" t="s">
        <v>892</v>
      </c>
      <c r="L2" s="103"/>
    </row>
    <row r="3" spans="1:20">
      <c r="A3" s="1115" t="s">
        <v>893</v>
      </c>
      <c r="L3" s="104" t="str">
        <f>G5&amp;" Family Units"</f>
        <v xml:space="preserve"> Family Units</v>
      </c>
    </row>
    <row r="4" spans="1:20">
      <c r="L4" s="1484" t="s">
        <v>932</v>
      </c>
    </row>
    <row r="5" spans="1:20">
      <c r="A5" s="105" t="s">
        <v>833</v>
      </c>
      <c r="E5" s="106"/>
      <c r="G5" s="107"/>
      <c r="H5" t="s">
        <v>127</v>
      </c>
      <c r="L5" s="108"/>
    </row>
    <row r="6" spans="1:20">
      <c r="A6" s="105"/>
      <c r="E6" s="106"/>
      <c r="N6" s="109"/>
    </row>
    <row r="7" spans="1:20">
      <c r="B7" s="58" t="s">
        <v>128</v>
      </c>
      <c r="C7" s="58"/>
      <c r="D7" s="58"/>
      <c r="E7" s="110"/>
      <c r="F7" s="66" t="s">
        <v>129</v>
      </c>
      <c r="H7" s="58" t="s">
        <v>130</v>
      </c>
      <c r="I7" s="58"/>
      <c r="J7" s="58"/>
      <c r="K7" s="111" t="s">
        <v>131</v>
      </c>
      <c r="L7" s="66" t="s">
        <v>129</v>
      </c>
    </row>
    <row r="8" spans="1:20" ht="15.75" customHeight="1" thickBot="1">
      <c r="B8" t="s">
        <v>132</v>
      </c>
      <c r="D8" s="112" t="s">
        <v>829</v>
      </c>
      <c r="E8" s="113">
        <f>'25% Test'!F5</f>
        <v>0</v>
      </c>
      <c r="F8" s="114" t="e">
        <f>E8/G$5</f>
        <v>#DIV/0!</v>
      </c>
      <c r="G8" s="115" t="e">
        <f>E8/$E$23</f>
        <v>#DIV/0!</v>
      </c>
      <c r="H8" t="s">
        <v>133</v>
      </c>
      <c r="K8" s="116">
        <f>'Development Budget'!H10</f>
        <v>0</v>
      </c>
      <c r="L8" s="117" t="e">
        <f>K8/G$5</f>
        <v>#DIV/0!</v>
      </c>
      <c r="M8" s="115" t="e">
        <f>K8/$K$23</f>
        <v>#DIV/0!</v>
      </c>
      <c r="Q8" s="118"/>
      <c r="R8" s="119"/>
    </row>
    <row r="9" spans="1:20" ht="16" thickBot="1">
      <c r="B9" t="s">
        <v>134</v>
      </c>
      <c r="D9" s="1409" t="s">
        <v>828</v>
      </c>
      <c r="E9" s="106">
        <f>K23-SUM(E8,E10:E18)</f>
        <v>0</v>
      </c>
      <c r="F9" s="114" t="e">
        <f>E9/G$5</f>
        <v>#DIV/0!</v>
      </c>
      <c r="G9" s="120" t="e">
        <f>E9/$E$23</f>
        <v>#DIV/0!</v>
      </c>
      <c r="H9" t="s">
        <v>135</v>
      </c>
      <c r="K9" s="116">
        <f>'Development Budget'!H21</f>
        <v>0</v>
      </c>
      <c r="L9" s="117" t="e">
        <f>K9/G$5</f>
        <v>#DIV/0!</v>
      </c>
      <c r="M9" s="115" t="e">
        <f>K9/$K$23</f>
        <v>#DIV/0!</v>
      </c>
      <c r="N9" s="121"/>
      <c r="P9" s="1412" t="s">
        <v>136</v>
      </c>
      <c r="Q9" s="1412"/>
      <c r="R9" s="1412"/>
      <c r="S9" s="1412"/>
      <c r="T9" s="1412"/>
    </row>
    <row r="10" spans="1:20" ht="15.75" customHeight="1" thickBot="1">
      <c r="B10" t="s">
        <v>137</v>
      </c>
      <c r="D10" s="112" t="s">
        <v>834</v>
      </c>
      <c r="E10" s="106"/>
      <c r="F10" s="114" t="e">
        <f>E10/G$5</f>
        <v>#DIV/0!</v>
      </c>
      <c r="G10" s="120" t="e">
        <f>E10/$E$23</f>
        <v>#DIV/0!</v>
      </c>
      <c r="H10" t="s">
        <v>138</v>
      </c>
      <c r="K10" s="116">
        <f>'Development Budget'!H29</f>
        <v>0</v>
      </c>
      <c r="L10" s="117" t="e">
        <f>K10/G$5</f>
        <v>#DIV/0!</v>
      </c>
      <c r="M10" s="115" t="e">
        <f>K10/$K$23</f>
        <v>#DIV/0!</v>
      </c>
      <c r="N10" s="77"/>
      <c r="P10" s="1412"/>
      <c r="Q10" s="1412"/>
      <c r="R10" s="1412"/>
      <c r="S10" s="1412"/>
      <c r="T10" s="1412"/>
    </row>
    <row r="11" spans="1:20">
      <c r="B11" t="s">
        <v>139</v>
      </c>
      <c r="D11" s="112">
        <f>E56</f>
        <v>0</v>
      </c>
      <c r="E11" s="106"/>
      <c r="F11" s="114" t="e">
        <f>E11/G$5</f>
        <v>#DIV/0!</v>
      </c>
      <c r="G11" s="115" t="e">
        <f>E11/$E$23</f>
        <v>#DIV/0!</v>
      </c>
      <c r="H11" t="s">
        <v>140</v>
      </c>
      <c r="K11" s="116">
        <f>'Development Budget'!H40</f>
        <v>0</v>
      </c>
      <c r="L11" s="117" t="e">
        <f>K11/G$5</f>
        <v>#DIV/0!</v>
      </c>
      <c r="M11" s="115" t="e">
        <f>K11/$K$23</f>
        <v>#DIV/0!</v>
      </c>
      <c r="N11" s="121"/>
      <c r="O11" s="77" t="s">
        <v>141</v>
      </c>
      <c r="P11" s="122">
        <v>1</v>
      </c>
      <c r="Q11" s="123"/>
      <c r="R11" s="124"/>
      <c r="S11" s="123" t="s">
        <v>142</v>
      </c>
      <c r="T11" s="125"/>
    </row>
    <row r="12" spans="1:20">
      <c r="B12" s="126" t="s">
        <v>804</v>
      </c>
      <c r="D12" s="112" t="s">
        <v>210</v>
      </c>
      <c r="E12" s="127"/>
      <c r="F12" s="114" t="e">
        <f>E12/G$5</f>
        <v>#DIV/0!</v>
      </c>
      <c r="G12" s="115" t="e">
        <f>E12/$E$23</f>
        <v>#DIV/0!</v>
      </c>
      <c r="H12" t="s">
        <v>143</v>
      </c>
      <c r="K12" s="116">
        <f>'Development Budget'!H54</f>
        <v>0</v>
      </c>
      <c r="L12" s="117" t="e">
        <f>K12/G$5</f>
        <v>#DIV/0!</v>
      </c>
      <c r="M12" s="115" t="e">
        <f>K12/$K$23</f>
        <v>#DIV/0!</v>
      </c>
      <c r="P12" s="128"/>
      <c r="Q12" s="129"/>
      <c r="R12" s="130">
        <f>E37*10</f>
        <v>0</v>
      </c>
      <c r="S12" s="131" t="s">
        <v>144</v>
      </c>
      <c r="T12" s="125"/>
    </row>
    <row r="13" spans="1:20">
      <c r="B13" t="s">
        <v>145</v>
      </c>
      <c r="D13" s="132" t="s">
        <v>792</v>
      </c>
      <c r="E13" s="106"/>
      <c r="F13" s="114" t="e">
        <f>E13/G$5</f>
        <v>#DIV/0!</v>
      </c>
      <c r="G13" s="115" t="e">
        <f>E13/$E$23</f>
        <v>#DIV/0!</v>
      </c>
      <c r="H13" t="s">
        <v>146</v>
      </c>
      <c r="K13" s="116">
        <f>'Development Budget'!H60</f>
        <v>0</v>
      </c>
      <c r="L13" s="117" t="e">
        <f>K13/G$5</f>
        <v>#DIV/0!</v>
      </c>
      <c r="M13" s="115" t="e">
        <f>K13/$K$23</f>
        <v>#DIV/0!</v>
      </c>
      <c r="N13" s="121"/>
      <c r="P13" s="128"/>
      <c r="Q13" s="123"/>
      <c r="R13" s="124">
        <f>R12-R11</f>
        <v>0</v>
      </c>
      <c r="S13" s="123" t="s">
        <v>147</v>
      </c>
      <c r="T13" s="125"/>
    </row>
    <row r="14" spans="1:20">
      <c r="B14" t="s">
        <v>148</v>
      </c>
      <c r="D14" s="133" t="s">
        <v>835</v>
      </c>
      <c r="E14" s="106"/>
      <c r="F14" s="114" t="e">
        <f>E14/G$5</f>
        <v>#DIV/0!</v>
      </c>
      <c r="G14" s="115" t="e">
        <f>E14/$E$23</f>
        <v>#DIV/0!</v>
      </c>
      <c r="H14" t="s">
        <v>149</v>
      </c>
      <c r="K14" s="116">
        <f>'Development Budget'!H67</f>
        <v>0</v>
      </c>
      <c r="L14" s="117" t="e">
        <f>K14/G$5</f>
        <v>#DIV/0!</v>
      </c>
      <c r="M14" s="115" t="e">
        <f>K14/$K$23</f>
        <v>#DIV/0!</v>
      </c>
      <c r="P14" s="128"/>
      <c r="Q14" s="123"/>
      <c r="R14" s="134"/>
      <c r="S14" s="134"/>
      <c r="T14" s="135"/>
    </row>
    <row r="15" spans="1:20">
      <c r="B15" t="s">
        <v>150</v>
      </c>
      <c r="D15" s="133" t="s">
        <v>791</v>
      </c>
      <c r="E15" s="106">
        <f>E39</f>
        <v>0</v>
      </c>
      <c r="F15" s="114" t="e">
        <f>E15/G$5</f>
        <v>#DIV/0!</v>
      </c>
      <c r="G15" s="115" t="e">
        <f>E15/$E$23</f>
        <v>#DIV/0!</v>
      </c>
      <c r="H15" t="s">
        <v>151</v>
      </c>
      <c r="K15" s="116">
        <f>'Development Budget'!H75</f>
        <v>0</v>
      </c>
      <c r="L15" s="117" t="e">
        <f>K15/G$5</f>
        <v>#DIV/0!</v>
      </c>
      <c r="M15" s="115" t="e">
        <f>K15/$K$23</f>
        <v>#DIV/0!</v>
      </c>
      <c r="P15" s="128"/>
      <c r="Q15" s="123"/>
      <c r="R15" s="134"/>
      <c r="S15" s="134" t="s">
        <v>152</v>
      </c>
      <c r="T15" s="135"/>
    </row>
    <row r="16" spans="1:20">
      <c r="B16" t="s">
        <v>153</v>
      </c>
      <c r="D16" s="133" t="s">
        <v>154</v>
      </c>
      <c r="E16" s="106">
        <f>E41</f>
        <v>0</v>
      </c>
      <c r="F16" s="114" t="e">
        <f>E16/G$5</f>
        <v>#DIV/0!</v>
      </c>
      <c r="G16" s="115" t="e">
        <f>E16/$E$23</f>
        <v>#DIV/0!</v>
      </c>
      <c r="H16" t="s">
        <v>155</v>
      </c>
      <c r="K16" s="116">
        <f>'Development Budget'!H81</f>
        <v>0</v>
      </c>
      <c r="L16" s="117" t="e">
        <f>K16/G$5</f>
        <v>#DIV/0!</v>
      </c>
      <c r="M16" s="115" t="e">
        <f>K16/$K$23</f>
        <v>#DIV/0!</v>
      </c>
      <c r="P16" s="128"/>
      <c r="Q16" s="123"/>
      <c r="R16" s="136">
        <f>E15</f>
        <v>0</v>
      </c>
      <c r="S16" s="131" t="s">
        <v>144</v>
      </c>
      <c r="T16" s="135"/>
    </row>
    <row r="17" spans="1:20">
      <c r="B17" t="s">
        <v>156</v>
      </c>
      <c r="D17" s="133" t="s">
        <v>157</v>
      </c>
      <c r="E17" s="106">
        <f>K20</f>
        <v>0</v>
      </c>
      <c r="F17" s="114" t="e">
        <f>E17/G$5</f>
        <v>#DIV/0!</v>
      </c>
      <c r="G17" s="115" t="e">
        <f>E17/$E$23</f>
        <v>#DIV/0!</v>
      </c>
      <c r="H17" t="s">
        <v>158</v>
      </c>
      <c r="K17" s="116">
        <f>'Development Budget'!H88</f>
        <v>0</v>
      </c>
      <c r="L17" s="117" t="e">
        <f>K17/G$5</f>
        <v>#DIV/0!</v>
      </c>
      <c r="M17" s="115" t="e">
        <f>K17/$K$23</f>
        <v>#DIV/0!</v>
      </c>
      <c r="P17" s="128"/>
      <c r="Q17" s="123"/>
      <c r="R17" s="124">
        <f>R16-R15</f>
        <v>0</v>
      </c>
      <c r="S17" s="134" t="s">
        <v>159</v>
      </c>
      <c r="T17" s="135"/>
    </row>
    <row r="18" spans="1:20">
      <c r="B18" t="s">
        <v>160</v>
      </c>
      <c r="E18" s="106"/>
      <c r="G18" s="115" t="e">
        <f>E18/$E$23</f>
        <v>#DIV/0!</v>
      </c>
      <c r="H18" t="s">
        <v>161</v>
      </c>
      <c r="K18" s="116">
        <f>'Development Budget'!H91</f>
        <v>0</v>
      </c>
      <c r="L18" s="117" t="e">
        <f>K18/G$5</f>
        <v>#DIV/0!</v>
      </c>
      <c r="M18" s="115" t="e">
        <f>K18/$K$23</f>
        <v>#DIV/0!</v>
      </c>
      <c r="N18" s="72"/>
      <c r="P18" s="128"/>
      <c r="Q18" s="123"/>
      <c r="R18" s="123"/>
      <c r="S18" s="123"/>
      <c r="T18" s="125"/>
    </row>
    <row r="19" spans="1:20">
      <c r="G19" s="115"/>
      <c r="K19" s="116"/>
      <c r="L19" s="117"/>
      <c r="M19" s="115"/>
      <c r="N19" s="72"/>
      <c r="P19" s="128"/>
      <c r="Q19" s="123"/>
      <c r="R19" s="123"/>
      <c r="S19" s="123"/>
      <c r="T19" s="125"/>
    </row>
    <row r="20" spans="1:20">
      <c r="B20" s="137"/>
      <c r="C20" s="138" t="s">
        <v>162</v>
      </c>
      <c r="D20" s="120" t="e">
        <f>E17/K20</f>
        <v>#DIV/0!</v>
      </c>
      <c r="G20" s="115"/>
      <c r="H20" t="s">
        <v>163</v>
      </c>
      <c r="K20" s="139"/>
      <c r="L20" s="117" t="e">
        <f>K20/G$5</f>
        <v>#DIV/0!</v>
      </c>
      <c r="M20" s="115" t="e">
        <f>K20/$K$23</f>
        <v>#DIV/0!</v>
      </c>
      <c r="N20" s="140"/>
      <c r="O20" s="119"/>
      <c r="P20" s="141"/>
      <c r="Q20" s="142"/>
      <c r="R20" s="143"/>
      <c r="S20" s="123"/>
      <c r="T20" s="125"/>
    </row>
    <row r="21" spans="1:20">
      <c r="B21" s="58"/>
      <c r="C21" s="58" t="s">
        <v>164</v>
      </c>
      <c r="D21" s="144" t="e">
        <f>'20yr Proforma'!C54</f>
        <v>#REF!</v>
      </c>
      <c r="E21" s="145"/>
      <c r="F21" s="146"/>
      <c r="G21" s="147"/>
      <c r="H21" s="58"/>
      <c r="I21" s="58"/>
      <c r="J21" s="58"/>
      <c r="K21" s="145"/>
      <c r="L21" s="58"/>
      <c r="P21" s="128"/>
      <c r="Q21" s="148"/>
      <c r="R21" s="143"/>
      <c r="S21" s="123"/>
      <c r="T21" s="125"/>
    </row>
    <row r="22" spans="1:20">
      <c r="F22" s="149"/>
      <c r="G22" s="147"/>
      <c r="L22" s="77"/>
      <c r="P22" s="128"/>
      <c r="Q22" s="150"/>
      <c r="R22" s="1413" t="s">
        <v>165</v>
      </c>
      <c r="S22" s="1413"/>
      <c r="T22" s="125"/>
    </row>
    <row r="23" spans="1:20" s="85" customFormat="1">
      <c r="B23" s="85" t="s">
        <v>166</v>
      </c>
      <c r="E23" s="106">
        <f>SUM(E8:E18)</f>
        <v>0</v>
      </c>
      <c r="F23" s="114" t="e">
        <f>E23/G$5</f>
        <v>#DIV/0!</v>
      </c>
      <c r="G23" s="147"/>
      <c r="H23" s="85" t="s">
        <v>167</v>
      </c>
      <c r="K23" s="106">
        <f>SUM(K8:K18)+K20</f>
        <v>0</v>
      </c>
      <c r="L23" s="117" t="e">
        <f>K23/G$5</f>
        <v>#DIV/0!</v>
      </c>
      <c r="M23"/>
      <c r="N23" s="151"/>
      <c r="P23" s="152"/>
      <c r="Q23" s="153"/>
      <c r="R23" s="134"/>
      <c r="S23" s="123" t="s">
        <v>168</v>
      </c>
      <c r="T23" s="125"/>
    </row>
    <row r="24" spans="1:20" s="85" customFormat="1">
      <c r="E24" s="106"/>
      <c r="F24" s="114"/>
      <c r="G24" s="147"/>
      <c r="K24" s="106"/>
      <c r="L24" s="117"/>
      <c r="N24" s="151"/>
      <c r="P24" s="152"/>
      <c r="Q24" s="153"/>
      <c r="R24" s="136">
        <f>E8+K51</f>
        <v>0</v>
      </c>
      <c r="S24" s="131" t="s">
        <v>144</v>
      </c>
      <c r="T24" s="125"/>
    </row>
    <row r="25" spans="1:20" s="85" customFormat="1">
      <c r="B25" s="85" t="s">
        <v>805</v>
      </c>
      <c r="E25" s="127">
        <f>E23-K23</f>
        <v>0</v>
      </c>
      <c r="F25" s="1408" t="e">
        <f>E25/G$5</f>
        <v>#DIV/0!</v>
      </c>
      <c r="G25" s="147"/>
      <c r="K25" s="106"/>
      <c r="L25" s="117"/>
      <c r="N25" s="151"/>
      <c r="P25" s="152"/>
      <c r="Q25" s="154" t="e">
        <f>R25/R23</f>
        <v>#DIV/0!</v>
      </c>
      <c r="R25" s="124">
        <f>R24-R23</f>
        <v>0</v>
      </c>
      <c r="S25" s="155" t="s">
        <v>169</v>
      </c>
      <c r="T25" s="125"/>
    </row>
    <row r="26" spans="1:20" s="85" customFormat="1" ht="15" customHeight="1">
      <c r="E26" s="106"/>
      <c r="F26" s="147"/>
      <c r="G26" s="147"/>
      <c r="K26" s="156"/>
      <c r="L26" s="157"/>
      <c r="P26" s="152"/>
      <c r="Q26" s="158"/>
      <c r="R26" s="124"/>
      <c r="S26" s="155"/>
      <c r="T26" s="125"/>
    </row>
    <row r="27" spans="1:20">
      <c r="L27" s="159"/>
      <c r="P27" s="152"/>
      <c r="Q27" s="123"/>
      <c r="R27" s="1413" t="s">
        <v>170</v>
      </c>
      <c r="S27" s="1413"/>
      <c r="T27" s="125"/>
    </row>
    <row r="28" spans="1:20">
      <c r="A28" s="58"/>
      <c r="B28" s="160" t="s">
        <v>171</v>
      </c>
      <c r="C28" s="58"/>
      <c r="D28" s="58"/>
      <c r="E28" s="145"/>
      <c r="I28" s="161"/>
      <c r="J28" s="161"/>
      <c r="K28" s="162"/>
      <c r="L28" s="161"/>
      <c r="P28" s="128"/>
      <c r="Q28" s="123"/>
      <c r="R28" s="134"/>
      <c r="S28" s="123" t="s">
        <v>172</v>
      </c>
      <c r="T28" s="125"/>
    </row>
    <row r="29" spans="1:20">
      <c r="B29" s="85" t="s">
        <v>173</v>
      </c>
      <c r="E29" s="159">
        <f>'Development Budget'!J94</f>
        <v>0</v>
      </c>
      <c r="I29" s="161"/>
      <c r="J29" s="161"/>
      <c r="K29" s="162"/>
      <c r="L29" s="161"/>
      <c r="P29" s="128"/>
      <c r="Q29" s="123"/>
      <c r="R29" s="136">
        <f>E17</f>
        <v>0</v>
      </c>
      <c r="S29" s="131" t="s">
        <v>144</v>
      </c>
      <c r="T29" s="125"/>
    </row>
    <row r="30" spans="1:20">
      <c r="B30" t="s">
        <v>174</v>
      </c>
      <c r="D30" s="70">
        <v>1</v>
      </c>
      <c r="E30" s="163"/>
      <c r="P30" s="128"/>
      <c r="Q30" s="154" t="e">
        <f>R30/R28</f>
        <v>#DIV/0!</v>
      </c>
      <c r="R30" s="124">
        <f>R29-R28</f>
        <v>0</v>
      </c>
      <c r="S30" s="155" t="s">
        <v>175</v>
      </c>
      <c r="T30" s="125"/>
    </row>
    <row r="31" spans="1:20">
      <c r="B31" s="126" t="s">
        <v>176</v>
      </c>
      <c r="C31" s="126"/>
      <c r="D31" s="164">
        <v>1</v>
      </c>
      <c r="E31" s="165"/>
      <c r="P31" s="128"/>
      <c r="Q31" s="158"/>
      <c r="R31" s="124"/>
      <c r="S31" s="155"/>
      <c r="T31" s="125"/>
    </row>
    <row r="32" spans="1:20" ht="17.25" customHeight="1">
      <c r="B32" t="s">
        <v>177</v>
      </c>
      <c r="D32" s="166">
        <f>'Rent Schedule'!D27</f>
        <v>1</v>
      </c>
      <c r="E32" s="167">
        <f>E29*D32</f>
        <v>0</v>
      </c>
      <c r="P32" s="128"/>
      <c r="Q32" s="123"/>
      <c r="R32" s="1413" t="s">
        <v>178</v>
      </c>
      <c r="S32" s="1413"/>
      <c r="T32" s="125"/>
    </row>
    <row r="33" spans="1:25">
      <c r="B33" t="s">
        <v>179</v>
      </c>
      <c r="D33" s="168"/>
      <c r="E33" s="77">
        <f>E31+E32</f>
        <v>0</v>
      </c>
      <c r="L33" s="77"/>
      <c r="P33" s="128"/>
      <c r="Q33" s="123"/>
      <c r="R33" s="134">
        <f>20000000</f>
        <v>20000000</v>
      </c>
      <c r="S33" s="123" t="s">
        <v>180</v>
      </c>
      <c r="T33" s="125"/>
    </row>
    <row r="34" spans="1:25">
      <c r="B34" t="s">
        <v>181</v>
      </c>
      <c r="D34" s="169">
        <v>1</v>
      </c>
      <c r="P34" s="128"/>
      <c r="Q34" s="123"/>
      <c r="R34" s="136">
        <f>E10</f>
        <v>0</v>
      </c>
      <c r="S34" s="131" t="s">
        <v>144</v>
      </c>
      <c r="T34" s="125"/>
    </row>
    <row r="35" spans="1:25">
      <c r="B35" t="s">
        <v>182</v>
      </c>
      <c r="D35" s="170"/>
      <c r="E35" s="77">
        <f>E33*D34</f>
        <v>0</v>
      </c>
      <c r="P35" s="128"/>
      <c r="Q35" s="154">
        <f>R35/R33</f>
        <v>-1</v>
      </c>
      <c r="R35" s="124">
        <f>R34-R33</f>
        <v>-20000000</v>
      </c>
      <c r="S35" s="155" t="s">
        <v>183</v>
      </c>
      <c r="T35" s="125"/>
    </row>
    <row r="36" spans="1:25" ht="15.75" customHeight="1" thickBot="1">
      <c r="B36" t="s">
        <v>184</v>
      </c>
      <c r="D36" s="171">
        <v>0.04</v>
      </c>
      <c r="E36" s="77">
        <f>E35*D36</f>
        <v>0</v>
      </c>
      <c r="P36" s="172"/>
      <c r="Q36" s="173"/>
      <c r="R36" s="174"/>
      <c r="S36" s="173"/>
      <c r="T36" s="175"/>
      <c r="V36" s="30"/>
    </row>
    <row r="37" spans="1:25">
      <c r="B37" t="s">
        <v>185</v>
      </c>
      <c r="D37" s="170"/>
      <c r="E37" s="176">
        <f>E36</f>
        <v>0</v>
      </c>
      <c r="H37" s="119"/>
    </row>
    <row r="38" spans="1:25">
      <c r="B38" t="s">
        <v>186</v>
      </c>
      <c r="D38" s="177"/>
      <c r="E38" s="77">
        <f>E37*10*D38</f>
        <v>0</v>
      </c>
      <c r="G38" s="106"/>
      <c r="H38" s="119"/>
    </row>
    <row r="39" spans="1:25">
      <c r="B39" t="s">
        <v>187</v>
      </c>
      <c r="D39" s="178"/>
      <c r="E39" s="179">
        <f>E38*0.9999</f>
        <v>0</v>
      </c>
      <c r="F39" s="180" t="s">
        <v>188</v>
      </c>
      <c r="H39" s="181"/>
    </row>
    <row r="40" spans="1:25">
      <c r="B40" t="s">
        <v>189</v>
      </c>
      <c r="D40" s="178"/>
      <c r="E40" s="77">
        <f>E37*10*D40</f>
        <v>0</v>
      </c>
      <c r="H40" s="119"/>
    </row>
    <row r="41" spans="1:25">
      <c r="B41" t="s">
        <v>190</v>
      </c>
      <c r="D41" s="182"/>
      <c r="E41" s="183">
        <f>E40*0.9999</f>
        <v>0</v>
      </c>
      <c r="K41" s="184"/>
      <c r="L41" s="77"/>
    </row>
    <row r="42" spans="1:25">
      <c r="I42" s="185"/>
    </row>
    <row r="43" spans="1:25">
      <c r="B43" s="186" t="s">
        <v>191</v>
      </c>
      <c r="C43" s="187"/>
      <c r="D43" s="187"/>
      <c r="E43" s="188">
        <f>E39+E41</f>
        <v>0</v>
      </c>
      <c r="F43" s="188"/>
      <c r="G43" s="189"/>
      <c r="H43" s="187"/>
      <c r="I43" s="187"/>
      <c r="J43" s="187"/>
      <c r="K43" s="188"/>
      <c r="L43" s="190"/>
      <c r="N43" s="159"/>
    </row>
    <row r="44" spans="1:25">
      <c r="N44" s="98"/>
      <c r="Q44" s="191"/>
      <c r="R44" s="191"/>
    </row>
    <row r="45" spans="1:25">
      <c r="B45" s="186" t="s">
        <v>192</v>
      </c>
      <c r="C45" s="187"/>
      <c r="D45" s="192">
        <f>D38</f>
        <v>0</v>
      </c>
      <c r="E45" s="193"/>
    </row>
    <row r="46" spans="1:25">
      <c r="W46" t="s">
        <v>193</v>
      </c>
      <c r="Y46" s="194"/>
    </row>
    <row r="47" spans="1:25">
      <c r="A47" s="58"/>
      <c r="B47" s="160" t="s">
        <v>194</v>
      </c>
      <c r="C47" s="58"/>
      <c r="D47" s="58"/>
      <c r="E47" s="145"/>
      <c r="H47" s="195" t="s">
        <v>195</v>
      </c>
      <c r="I47" s="195" t="s">
        <v>196</v>
      </c>
      <c r="J47" s="195" t="s">
        <v>197</v>
      </c>
      <c r="K47" s="196" t="s">
        <v>198</v>
      </c>
      <c r="L47" s="195" t="s">
        <v>199</v>
      </c>
      <c r="N47" s="195" t="s">
        <v>200</v>
      </c>
      <c r="Q47" t="s">
        <v>201</v>
      </c>
      <c r="R47" t="s">
        <v>202</v>
      </c>
      <c r="S47" t="s">
        <v>203</v>
      </c>
    </row>
    <row r="49" spans="2:25">
      <c r="B49" t="s">
        <v>204</v>
      </c>
      <c r="E49" s="77" t="s">
        <v>829</v>
      </c>
      <c r="F49" s="197"/>
      <c r="H49" s="198"/>
      <c r="I49" s="15"/>
      <c r="J49" s="15"/>
      <c r="K49" s="121">
        <f>E8</f>
        <v>0</v>
      </c>
      <c r="L49" s="98" t="e">
        <f>PMT(H49/12,I49*12,K49)*-12</f>
        <v>#NUM!</v>
      </c>
      <c r="M49" s="199"/>
      <c r="N49" s="200" t="e">
        <f>L49/G5</f>
        <v>#NUM!</v>
      </c>
      <c r="Q49" s="201">
        <f>'20yr Proforma'!F51</f>
        <v>0</v>
      </c>
      <c r="R49" s="202">
        <f>'20yr Proforma'!T51</f>
        <v>0</v>
      </c>
      <c r="S49" s="202">
        <f>'20yr Proforma'!Y51</f>
        <v>0</v>
      </c>
      <c r="W49" t="s">
        <v>826</v>
      </c>
      <c r="Y49" s="203"/>
    </row>
    <row r="50" spans="2:25">
      <c r="F50" s="204" t="s">
        <v>205</v>
      </c>
      <c r="H50" s="205"/>
      <c r="I50" s="15"/>
      <c r="J50" s="15"/>
      <c r="M50" s="199"/>
      <c r="N50" s="149"/>
      <c r="W50" t="s">
        <v>206</v>
      </c>
      <c r="Y50" s="203">
        <f>Y46-Y49</f>
        <v>0</v>
      </c>
    </row>
    <row r="51" spans="2:25">
      <c r="B51" t="s">
        <v>134</v>
      </c>
      <c r="E51" s="77" t="s">
        <v>134</v>
      </c>
      <c r="F51" s="204"/>
      <c r="H51" s="198"/>
      <c r="I51" s="15"/>
      <c r="J51" s="15"/>
      <c r="L51" s="98" t="e">
        <f>PMT(H51/12,I51*12,K51)*-12</f>
        <v>#NUM!</v>
      </c>
      <c r="M51" s="199"/>
      <c r="N51" s="200" t="e">
        <f>L51/G5</f>
        <v>#NUM!</v>
      </c>
    </row>
    <row r="52" spans="2:25">
      <c r="F52" s="204"/>
      <c r="H52" s="205"/>
      <c r="I52" s="15"/>
      <c r="J52" s="15"/>
      <c r="M52" s="199"/>
      <c r="N52" s="149"/>
    </row>
    <row r="53" spans="2:25">
      <c r="B53" t="s">
        <v>207</v>
      </c>
      <c r="E53" s="77" t="s">
        <v>806</v>
      </c>
      <c r="H53" s="206"/>
      <c r="I53" s="15"/>
      <c r="J53" s="15"/>
      <c r="L53" s="98">
        <f>K53*H53</f>
        <v>0</v>
      </c>
      <c r="M53" s="199" t="s">
        <v>208</v>
      </c>
      <c r="N53" s="200" t="e">
        <f>L53/G5</f>
        <v>#DIV/0!</v>
      </c>
      <c r="R53" s="159"/>
    </row>
    <row r="54" spans="2:25">
      <c r="M54" s="199"/>
      <c r="N54" s="207"/>
      <c r="Q54" s="12"/>
      <c r="R54" s="98"/>
    </row>
    <row r="55" spans="2:25">
      <c r="B55" t="s">
        <v>209</v>
      </c>
      <c r="H55" s="206"/>
      <c r="I55" s="15"/>
      <c r="J55" s="15"/>
      <c r="L55" s="98">
        <f>K55*H55</f>
        <v>0</v>
      </c>
      <c r="M55" s="199"/>
      <c r="N55" s="200" t="e">
        <f>L55/G5</f>
        <v>#DIV/0!</v>
      </c>
    </row>
    <row r="56" spans="2:25">
      <c r="M56" s="208"/>
    </row>
    <row r="57" spans="2:25">
      <c r="B57" t="s">
        <v>139</v>
      </c>
      <c r="E57" s="77" t="s">
        <v>210</v>
      </c>
      <c r="H57" s="27"/>
      <c r="J57" s="15"/>
      <c r="L57" s="98"/>
      <c r="M57" s="199"/>
    </row>
    <row r="58" spans="2:25">
      <c r="M58" s="199"/>
    </row>
    <row r="59" spans="2:25">
      <c r="B59" t="s">
        <v>211</v>
      </c>
      <c r="E59" s="77" t="s">
        <v>210</v>
      </c>
      <c r="H59" s="27"/>
      <c r="I59" s="15"/>
      <c r="J59" s="15"/>
      <c r="L59" s="209"/>
      <c r="M59" s="199"/>
    </row>
    <row r="60" spans="2:25">
      <c r="M60" s="199"/>
    </row>
    <row r="61" spans="2:25">
      <c r="B61" t="s">
        <v>212</v>
      </c>
      <c r="E61" s="77" t="s">
        <v>213</v>
      </c>
      <c r="H61" s="27"/>
      <c r="I61" s="15"/>
      <c r="J61" s="15"/>
      <c r="L61" s="210"/>
      <c r="M61" s="199"/>
    </row>
    <row r="62" spans="2:25">
      <c r="H62" s="27"/>
      <c r="I62" s="15"/>
      <c r="J62" s="15"/>
      <c r="L62" s="98"/>
    </row>
    <row r="63" spans="2:25">
      <c r="D63" t="s">
        <v>214</v>
      </c>
      <c r="H63" s="27"/>
      <c r="I63" s="15"/>
      <c r="J63" s="15"/>
      <c r="L63" s="98" t="e">
        <f>SUM(L49:L61)</f>
        <v>#NUM!</v>
      </c>
    </row>
    <row r="64" spans="2:25">
      <c r="H64" s="27"/>
      <c r="I64" s="15"/>
      <c r="J64" s="15"/>
      <c r="L64" s="98"/>
    </row>
    <row r="65" spans="1:17">
      <c r="H65" s="27"/>
      <c r="I65" s="15"/>
      <c r="J65" s="15"/>
      <c r="L65" s="98"/>
    </row>
    <row r="66" spans="1:17">
      <c r="A66" s="58"/>
      <c r="B66" s="160" t="s">
        <v>194</v>
      </c>
      <c r="C66" s="58"/>
      <c r="D66" s="58"/>
      <c r="E66" s="145"/>
      <c r="J66" s="77"/>
    </row>
    <row r="67" spans="1:17">
      <c r="E67" s="211" t="s">
        <v>215</v>
      </c>
      <c r="F67" s="212"/>
      <c r="G67" s="213" t="s">
        <v>933</v>
      </c>
      <c r="H67" s="214"/>
      <c r="I67" s="214"/>
      <c r="J67" s="212"/>
      <c r="K67" s="215">
        <f>'25% Test'!F5</f>
        <v>0</v>
      </c>
      <c r="Q67" s="24"/>
    </row>
    <row r="68" spans="1:17">
      <c r="E68" s="216" t="s">
        <v>216</v>
      </c>
      <c r="F68" s="217"/>
      <c r="G68" s="218"/>
      <c r="H68" s="219">
        <f>0.04+0.0245+0.0015</f>
        <v>6.6000000000000003E-2</v>
      </c>
      <c r="I68" s="220" t="s">
        <v>217</v>
      </c>
      <c r="J68" s="217"/>
      <c r="K68" s="221">
        <f>'Flow of Funds'!AD134</f>
        <v>0</v>
      </c>
    </row>
    <row r="69" spans="1:17">
      <c r="E69" s="222" t="s">
        <v>811</v>
      </c>
      <c r="F69" s="223"/>
      <c r="G69" s="224"/>
      <c r="H69" s="225"/>
      <c r="I69" s="225"/>
      <c r="J69" s="225"/>
      <c r="K69" s="226" t="e">
        <f>'25% Test'!D10</f>
        <v>#DIV/0!</v>
      </c>
    </row>
    <row r="70" spans="1:17">
      <c r="F70" s="204" t="s">
        <v>218</v>
      </c>
    </row>
    <row r="74" spans="1:17">
      <c r="H74" s="227"/>
    </row>
    <row r="76" spans="1:17">
      <c r="H76" s="228"/>
    </row>
    <row r="77" spans="1:17">
      <c r="F77" s="229"/>
    </row>
  </sheetData>
  <mergeCells count="4">
    <mergeCell ref="P9:T10"/>
    <mergeCell ref="R22:S22"/>
    <mergeCell ref="R27:S27"/>
    <mergeCell ref="R32:S32"/>
  </mergeCells>
  <pageMargins left="0.45" right="0.2" top="0.75" bottom="0.25" header="0.511811023622047" footer="0.511811023622047"/>
  <pageSetup fitToWidth="2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69D8-7FA6-4D4A-A8B9-C7655AF2F2AD}">
  <dimension ref="A1:H46"/>
  <sheetViews>
    <sheetView workbookViewId="0">
      <selection activeCell="C18" sqref="C18"/>
    </sheetView>
  </sheetViews>
  <sheetFormatPr baseColWidth="10" defaultRowHeight="15"/>
  <cols>
    <col min="1" max="1" width="30" customWidth="1"/>
    <col min="2" max="7" width="21.6640625" customWidth="1"/>
    <col min="8" max="8" width="13.33203125" customWidth="1"/>
    <col min="9" max="10" width="20" customWidth="1"/>
  </cols>
  <sheetData>
    <row r="1" spans="1:3" ht="16">
      <c r="A1" s="1439" t="s">
        <v>837</v>
      </c>
    </row>
    <row r="2" spans="1:3" ht="19">
      <c r="A2" s="102" t="e">
        <f>'[1]Summary_Sources-Uses'!A2</f>
        <v>#REF!</v>
      </c>
    </row>
    <row r="3" spans="1:3">
      <c r="A3" s="85" t="s">
        <v>934</v>
      </c>
    </row>
    <row r="5" spans="1:3">
      <c r="A5" s="1452" t="s">
        <v>838</v>
      </c>
      <c r="B5" s="1453"/>
      <c r="C5" s="1453"/>
    </row>
    <row r="6" spans="1:3">
      <c r="A6" s="1454" t="s">
        <v>839</v>
      </c>
      <c r="B6" s="1453"/>
      <c r="C6" s="1455">
        <f>'Perm Sources-Uses'!K49</f>
        <v>0</v>
      </c>
    </row>
    <row r="7" spans="1:3">
      <c r="A7" s="1454" t="s">
        <v>840</v>
      </c>
      <c r="B7" s="1453"/>
      <c r="C7" s="1456">
        <f>'Perm Sources-Uses'!H49</f>
        <v>0</v>
      </c>
    </row>
    <row r="8" spans="1:3">
      <c r="A8" s="1454" t="s">
        <v>841</v>
      </c>
      <c r="B8" s="1453"/>
      <c r="C8" s="1457">
        <f>'Perm Sources-Uses'!I49</f>
        <v>0</v>
      </c>
    </row>
    <row r="9" spans="1:3">
      <c r="A9" s="1454" t="s">
        <v>842</v>
      </c>
      <c r="B9" s="1453"/>
      <c r="C9" s="1457">
        <f>'Perm Sources-Uses'!J49</f>
        <v>0</v>
      </c>
    </row>
    <row r="10" spans="1:3">
      <c r="A10" s="1454" t="s">
        <v>843</v>
      </c>
      <c r="B10" s="1453"/>
      <c r="C10" s="1526">
        <f>IF(C6=0,0,-PMT(C7/12,C8*12,C6))</f>
        <v>0</v>
      </c>
    </row>
    <row r="11" spans="1:3">
      <c r="A11" s="1458" t="s">
        <v>844</v>
      </c>
      <c r="B11" s="58"/>
      <c r="C11" s="1527">
        <f>C10*12</f>
        <v>0</v>
      </c>
    </row>
    <row r="13" spans="1:3">
      <c r="A13" s="1452" t="s">
        <v>845</v>
      </c>
      <c r="B13" s="1453"/>
      <c r="C13" s="1453"/>
    </row>
    <row r="14" spans="1:3">
      <c r="A14" s="1454" t="s">
        <v>846</v>
      </c>
      <c r="B14" s="1453"/>
      <c r="C14" s="1455" t="e">
        <f>'20yr Proforma'!F24</f>
        <v>#VALUE!</v>
      </c>
    </row>
    <row r="15" spans="1:3">
      <c r="A15" s="1454" t="s">
        <v>847</v>
      </c>
      <c r="B15" s="1453"/>
      <c r="C15" s="1459">
        <v>1.2</v>
      </c>
    </row>
    <row r="16" spans="1:3">
      <c r="A16" s="1454" t="s">
        <v>848</v>
      </c>
      <c r="B16" s="1453"/>
      <c r="C16" s="1528" t="e">
        <f>IF(C15=0,0,C14/C15)</f>
        <v>#VALUE!</v>
      </c>
    </row>
    <row r="17" spans="1:8">
      <c r="A17" s="160" t="s">
        <v>849</v>
      </c>
      <c r="B17" s="160"/>
      <c r="C17" s="1529">
        <f>IF(C7=0,0,-PV(C7/12,C8*12,C16/12))</f>
        <v>0</v>
      </c>
    </row>
    <row r="19" spans="1:8">
      <c r="A19" s="105" t="s">
        <v>850</v>
      </c>
    </row>
    <row r="20" spans="1:8" ht="16" thickBot="1">
      <c r="A20" s="1442" t="s">
        <v>467</v>
      </c>
      <c r="B20" s="1442" t="s">
        <v>851</v>
      </c>
      <c r="C20" s="1442" t="s">
        <v>852</v>
      </c>
      <c r="D20" s="1442" t="s">
        <v>527</v>
      </c>
      <c r="E20" s="1442" t="s">
        <v>536</v>
      </c>
      <c r="F20" s="1442" t="s">
        <v>853</v>
      </c>
      <c r="G20" s="1442" t="s">
        <v>854</v>
      </c>
      <c r="H20" s="1442" t="s">
        <v>855</v>
      </c>
    </row>
    <row r="21" spans="1:8">
      <c r="A21" s="1446">
        <v>1</v>
      </c>
      <c r="B21" s="1447">
        <f>C6</f>
        <v>0</v>
      </c>
      <c r="C21" s="1447">
        <f>IF($C$6=0,0,$C$11)</f>
        <v>0</v>
      </c>
      <c r="D21" s="1447">
        <f>B21*$C$7</f>
        <v>0</v>
      </c>
      <c r="E21" s="1447">
        <f>C21-D21</f>
        <v>0</v>
      </c>
      <c r="F21" s="1447">
        <f>B21-E21</f>
        <v>0</v>
      </c>
      <c r="G21" s="1448" t="e">
        <f>'20yr Proforma'!F24</f>
        <v>#VALUE!</v>
      </c>
      <c r="H21" s="1449">
        <f>IF(C21=0,0,G21/C21)</f>
        <v>0</v>
      </c>
    </row>
    <row r="22" spans="1:8">
      <c r="A22" s="15">
        <v>2</v>
      </c>
      <c r="B22" s="77">
        <f>F21</f>
        <v>0</v>
      </c>
      <c r="C22" s="77">
        <f>IF($C$6=0,0,$C$11)</f>
        <v>0</v>
      </c>
      <c r="D22" s="77">
        <f>B22*$C$7</f>
        <v>0</v>
      </c>
      <c r="E22" s="77">
        <f>C22-D22</f>
        <v>0</v>
      </c>
      <c r="F22" s="77">
        <f>B22-E22</f>
        <v>0</v>
      </c>
      <c r="G22" s="1440" t="e">
        <f>'20yr Proforma'!G24</f>
        <v>#VALUE!</v>
      </c>
      <c r="H22" s="1441">
        <f>IF(C22=0,0,G22/C22)</f>
        <v>0</v>
      </c>
    </row>
    <row r="23" spans="1:8">
      <c r="A23" s="1446">
        <v>3</v>
      </c>
      <c r="B23" s="77">
        <f t="shared" ref="B23:B38" si="0">F22</f>
        <v>0</v>
      </c>
      <c r="C23" s="77">
        <f t="shared" ref="C23:C38" si="1">IF($C$6=0,0,$C$11)</f>
        <v>0</v>
      </c>
      <c r="D23" s="77">
        <f t="shared" ref="D23:D38" si="2">B23*$C$7</f>
        <v>0</v>
      </c>
      <c r="E23" s="77">
        <f t="shared" ref="E23:E38" si="3">C23-D23</f>
        <v>0</v>
      </c>
      <c r="F23" s="77">
        <f t="shared" ref="F23:F38" si="4">B23-E23</f>
        <v>0</v>
      </c>
      <c r="G23" s="1448" t="e">
        <f>'20yr Proforma'!H24</f>
        <v>#VALUE!</v>
      </c>
      <c r="H23" s="1441">
        <f t="shared" ref="H23:H38" si="5">IF(C23=0,0,G23/C23)</f>
        <v>0</v>
      </c>
    </row>
    <row r="24" spans="1:8">
      <c r="A24" s="15">
        <v>4</v>
      </c>
      <c r="B24" s="77">
        <f t="shared" si="0"/>
        <v>0</v>
      </c>
      <c r="C24" s="77">
        <f t="shared" si="1"/>
        <v>0</v>
      </c>
      <c r="D24" s="77">
        <f t="shared" si="2"/>
        <v>0</v>
      </c>
      <c r="E24" s="77">
        <f t="shared" si="3"/>
        <v>0</v>
      </c>
      <c r="F24" s="77">
        <f t="shared" si="4"/>
        <v>0</v>
      </c>
      <c r="G24" s="1440" t="e">
        <f>'20yr Proforma'!I24</f>
        <v>#VALUE!</v>
      </c>
      <c r="H24" s="1441">
        <f t="shared" si="5"/>
        <v>0</v>
      </c>
    </row>
    <row r="25" spans="1:8">
      <c r="A25" s="1446">
        <v>5</v>
      </c>
      <c r="B25" s="77">
        <f t="shared" si="0"/>
        <v>0</v>
      </c>
      <c r="C25" s="77">
        <f t="shared" si="1"/>
        <v>0</v>
      </c>
      <c r="D25" s="77">
        <f t="shared" si="2"/>
        <v>0</v>
      </c>
      <c r="E25" s="77">
        <f t="shared" si="3"/>
        <v>0</v>
      </c>
      <c r="F25" s="77">
        <f t="shared" si="4"/>
        <v>0</v>
      </c>
      <c r="G25" s="1448" t="e">
        <f>'20yr Proforma'!J24</f>
        <v>#VALUE!</v>
      </c>
      <c r="H25" s="1441">
        <f t="shared" si="5"/>
        <v>0</v>
      </c>
    </row>
    <row r="26" spans="1:8">
      <c r="A26" s="15">
        <v>6</v>
      </c>
      <c r="B26" s="77">
        <f t="shared" si="0"/>
        <v>0</v>
      </c>
      <c r="C26" s="77">
        <f t="shared" si="1"/>
        <v>0</v>
      </c>
      <c r="D26" s="77">
        <f t="shared" si="2"/>
        <v>0</v>
      </c>
      <c r="E26" s="77">
        <f t="shared" si="3"/>
        <v>0</v>
      </c>
      <c r="F26" s="77">
        <f t="shared" si="4"/>
        <v>0</v>
      </c>
      <c r="G26" s="1440" t="e">
        <f>'20yr Proforma'!K24</f>
        <v>#VALUE!</v>
      </c>
      <c r="H26" s="1441">
        <f t="shared" si="5"/>
        <v>0</v>
      </c>
    </row>
    <row r="27" spans="1:8">
      <c r="A27" s="1446">
        <v>7</v>
      </c>
      <c r="B27" s="77">
        <f t="shared" si="0"/>
        <v>0</v>
      </c>
      <c r="C27" s="77">
        <f t="shared" si="1"/>
        <v>0</v>
      </c>
      <c r="D27" s="77">
        <f t="shared" si="2"/>
        <v>0</v>
      </c>
      <c r="E27" s="77">
        <f t="shared" si="3"/>
        <v>0</v>
      </c>
      <c r="F27" s="77">
        <f t="shared" si="4"/>
        <v>0</v>
      </c>
      <c r="G27" s="1448" t="e">
        <f>'20yr Proforma'!L24</f>
        <v>#VALUE!</v>
      </c>
      <c r="H27" s="1441">
        <f t="shared" si="5"/>
        <v>0</v>
      </c>
    </row>
    <row r="28" spans="1:8">
      <c r="A28" s="15">
        <v>8</v>
      </c>
      <c r="B28" s="77">
        <f t="shared" si="0"/>
        <v>0</v>
      </c>
      <c r="C28" s="77">
        <f t="shared" si="1"/>
        <v>0</v>
      </c>
      <c r="D28" s="77">
        <f t="shared" si="2"/>
        <v>0</v>
      </c>
      <c r="E28" s="77">
        <f t="shared" si="3"/>
        <v>0</v>
      </c>
      <c r="F28" s="77">
        <f t="shared" si="4"/>
        <v>0</v>
      </c>
      <c r="G28" s="1440" t="e">
        <f>'20yr Proforma'!M24</f>
        <v>#VALUE!</v>
      </c>
      <c r="H28" s="1441">
        <f t="shared" si="5"/>
        <v>0</v>
      </c>
    </row>
    <row r="29" spans="1:8">
      <c r="A29" s="1446">
        <v>9</v>
      </c>
      <c r="B29" s="77">
        <f t="shared" si="0"/>
        <v>0</v>
      </c>
      <c r="C29" s="77">
        <f t="shared" si="1"/>
        <v>0</v>
      </c>
      <c r="D29" s="77">
        <f t="shared" si="2"/>
        <v>0</v>
      </c>
      <c r="E29" s="77">
        <f t="shared" si="3"/>
        <v>0</v>
      </c>
      <c r="F29" s="77">
        <f t="shared" si="4"/>
        <v>0</v>
      </c>
      <c r="G29" s="1448" t="e">
        <f>'20yr Proforma'!N24</f>
        <v>#VALUE!</v>
      </c>
      <c r="H29" s="1441">
        <f t="shared" si="5"/>
        <v>0</v>
      </c>
    </row>
    <row r="30" spans="1:8">
      <c r="A30" s="15">
        <v>10</v>
      </c>
      <c r="B30" s="77">
        <f t="shared" si="0"/>
        <v>0</v>
      </c>
      <c r="C30" s="77">
        <f t="shared" si="1"/>
        <v>0</v>
      </c>
      <c r="D30" s="77">
        <f t="shared" si="2"/>
        <v>0</v>
      </c>
      <c r="E30" s="77">
        <f t="shared" si="3"/>
        <v>0</v>
      </c>
      <c r="F30" s="77">
        <f t="shared" si="4"/>
        <v>0</v>
      </c>
      <c r="G30" s="1440" t="e">
        <f>'20yr Proforma'!O24</f>
        <v>#VALUE!</v>
      </c>
      <c r="H30" s="1441">
        <f t="shared" si="5"/>
        <v>0</v>
      </c>
    </row>
    <row r="31" spans="1:8">
      <c r="A31" s="1446">
        <v>11</v>
      </c>
      <c r="B31" s="77">
        <f t="shared" si="0"/>
        <v>0</v>
      </c>
      <c r="C31" s="77">
        <f t="shared" si="1"/>
        <v>0</v>
      </c>
      <c r="D31" s="77">
        <f t="shared" si="2"/>
        <v>0</v>
      </c>
      <c r="E31" s="77">
        <f t="shared" si="3"/>
        <v>0</v>
      </c>
      <c r="F31" s="77">
        <f t="shared" si="4"/>
        <v>0</v>
      </c>
      <c r="G31" s="1448" t="e">
        <f>'20yr Proforma'!P24</f>
        <v>#VALUE!</v>
      </c>
      <c r="H31" s="1441">
        <f t="shared" si="5"/>
        <v>0</v>
      </c>
    </row>
    <row r="32" spans="1:8">
      <c r="A32" s="15">
        <v>12</v>
      </c>
      <c r="B32" s="77">
        <f t="shared" si="0"/>
        <v>0</v>
      </c>
      <c r="C32" s="77">
        <f t="shared" si="1"/>
        <v>0</v>
      </c>
      <c r="D32" s="77">
        <f t="shared" si="2"/>
        <v>0</v>
      </c>
      <c r="E32" s="77">
        <f t="shared" si="3"/>
        <v>0</v>
      </c>
      <c r="F32" s="77">
        <f t="shared" si="4"/>
        <v>0</v>
      </c>
      <c r="G32" s="1440" t="e">
        <f>'20yr Proforma'!Q24</f>
        <v>#VALUE!</v>
      </c>
      <c r="H32" s="1441">
        <f t="shared" si="5"/>
        <v>0</v>
      </c>
    </row>
    <row r="33" spans="1:8">
      <c r="A33" s="1446">
        <v>13</v>
      </c>
      <c r="B33" s="77">
        <f t="shared" si="0"/>
        <v>0</v>
      </c>
      <c r="C33" s="77">
        <f t="shared" si="1"/>
        <v>0</v>
      </c>
      <c r="D33" s="77">
        <f t="shared" si="2"/>
        <v>0</v>
      </c>
      <c r="E33" s="77">
        <f t="shared" si="3"/>
        <v>0</v>
      </c>
      <c r="F33" s="77">
        <f t="shared" si="4"/>
        <v>0</v>
      </c>
      <c r="G33" s="1448" t="e">
        <f>'20yr Proforma'!R24</f>
        <v>#VALUE!</v>
      </c>
      <c r="H33" s="1441">
        <f t="shared" si="5"/>
        <v>0</v>
      </c>
    </row>
    <row r="34" spans="1:8">
      <c r="A34" s="15">
        <v>14</v>
      </c>
      <c r="B34" s="77">
        <f t="shared" si="0"/>
        <v>0</v>
      </c>
      <c r="C34" s="77">
        <f t="shared" si="1"/>
        <v>0</v>
      </c>
      <c r="D34" s="77">
        <f t="shared" si="2"/>
        <v>0</v>
      </c>
      <c r="E34" s="77">
        <f t="shared" si="3"/>
        <v>0</v>
      </c>
      <c r="F34" s="77">
        <f t="shared" si="4"/>
        <v>0</v>
      </c>
      <c r="G34" s="1440" t="e">
        <f>'20yr Proforma'!S24</f>
        <v>#VALUE!</v>
      </c>
      <c r="H34" s="1441">
        <f t="shared" si="5"/>
        <v>0</v>
      </c>
    </row>
    <row r="35" spans="1:8">
      <c r="A35" s="1446">
        <v>15</v>
      </c>
      <c r="B35" s="77">
        <f t="shared" si="0"/>
        <v>0</v>
      </c>
      <c r="C35" s="77">
        <f t="shared" si="1"/>
        <v>0</v>
      </c>
      <c r="D35" s="77">
        <f t="shared" si="2"/>
        <v>0</v>
      </c>
      <c r="E35" s="77">
        <f t="shared" si="3"/>
        <v>0</v>
      </c>
      <c r="F35" s="77">
        <f t="shared" si="4"/>
        <v>0</v>
      </c>
      <c r="G35" s="1448" t="e">
        <f>'20yr Proforma'!T24</f>
        <v>#VALUE!</v>
      </c>
      <c r="H35" s="1441">
        <f t="shared" si="5"/>
        <v>0</v>
      </c>
    </row>
    <row r="36" spans="1:8">
      <c r="A36" s="15">
        <v>16</v>
      </c>
      <c r="B36" s="77">
        <f t="shared" si="0"/>
        <v>0</v>
      </c>
      <c r="C36" s="77">
        <f t="shared" si="1"/>
        <v>0</v>
      </c>
      <c r="D36" s="77">
        <f t="shared" si="2"/>
        <v>0</v>
      </c>
      <c r="E36" s="77">
        <f t="shared" si="3"/>
        <v>0</v>
      </c>
      <c r="F36" s="77">
        <f t="shared" si="4"/>
        <v>0</v>
      </c>
      <c r="G36" s="1440" t="e">
        <f>'20yr Proforma'!U24</f>
        <v>#VALUE!</v>
      </c>
      <c r="H36" s="1441">
        <f t="shared" si="5"/>
        <v>0</v>
      </c>
    </row>
    <row r="37" spans="1:8">
      <c r="A37" s="1446">
        <v>17</v>
      </c>
      <c r="B37" s="77">
        <f t="shared" si="0"/>
        <v>0</v>
      </c>
      <c r="C37" s="77">
        <f t="shared" si="1"/>
        <v>0</v>
      </c>
      <c r="D37" s="77">
        <f t="shared" si="2"/>
        <v>0</v>
      </c>
      <c r="E37" s="77">
        <f t="shared" si="3"/>
        <v>0</v>
      </c>
      <c r="F37" s="77">
        <f t="shared" si="4"/>
        <v>0</v>
      </c>
      <c r="G37" s="1448" t="e">
        <f>'20yr Proforma'!V24</f>
        <v>#VALUE!</v>
      </c>
      <c r="H37" s="1441">
        <f t="shared" si="5"/>
        <v>0</v>
      </c>
    </row>
    <row r="38" spans="1:8">
      <c r="A38" s="66">
        <v>18</v>
      </c>
      <c r="B38" s="77">
        <f t="shared" si="0"/>
        <v>0</v>
      </c>
      <c r="C38" s="77">
        <f t="shared" si="1"/>
        <v>0</v>
      </c>
      <c r="D38" s="77">
        <f t="shared" si="2"/>
        <v>0</v>
      </c>
      <c r="E38" s="77">
        <f t="shared" si="3"/>
        <v>0</v>
      </c>
      <c r="F38" s="77">
        <f t="shared" si="4"/>
        <v>0</v>
      </c>
      <c r="G38" s="1450" t="e">
        <f>'20yr Proforma'!W24</f>
        <v>#VALUE!</v>
      </c>
      <c r="H38" s="1441">
        <f t="shared" si="5"/>
        <v>0</v>
      </c>
    </row>
    <row r="40" spans="1:8" ht="16" thickBot="1">
      <c r="A40" s="1443" t="s">
        <v>856</v>
      </c>
      <c r="B40" s="1444"/>
      <c r="C40" s="1445">
        <f>SUM(C21:C38)</f>
        <v>0</v>
      </c>
      <c r="D40" s="1445">
        <f>SUM(D21:D38)</f>
        <v>0</v>
      </c>
      <c r="E40" s="1445">
        <f>SUM(E21:E38)</f>
        <v>0</v>
      </c>
      <c r="F40" s="1444"/>
      <c r="G40" s="1444"/>
      <c r="H40" s="1444"/>
    </row>
    <row r="41" spans="1:8" ht="16" thickTop="1"/>
    <row r="42" spans="1:8" ht="16" thickBot="1">
      <c r="A42" s="85" t="str">
        <f>"Balloon Balance at Maturity (Year "&amp;C9&amp;")"</f>
        <v>Balloon Balance at Maturity (Year 0)</v>
      </c>
      <c r="C42" s="1451">
        <f>F38</f>
        <v>0</v>
      </c>
    </row>
    <row r="44" spans="1:8">
      <c r="A44" s="85" t="s">
        <v>857</v>
      </c>
      <c r="C44" s="106">
        <f>D40</f>
        <v>0</v>
      </c>
    </row>
    <row r="45" spans="1:8">
      <c r="A45" s="85" t="s">
        <v>858</v>
      </c>
      <c r="C45" s="106">
        <f>E40</f>
        <v>0</v>
      </c>
    </row>
    <row r="46" spans="1:8">
      <c r="A46" s="85" t="s">
        <v>859</v>
      </c>
      <c r="C46" s="70">
        <f>IF(C40=0,0,C44/C40)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84D0-6070-5941-9F8D-E21BE7AA893A}">
  <dimension ref="A1:I41"/>
  <sheetViews>
    <sheetView topLeftCell="A2" workbookViewId="0">
      <selection activeCell="A8" sqref="A8"/>
    </sheetView>
  </sheetViews>
  <sheetFormatPr baseColWidth="10" defaultRowHeight="15"/>
  <cols>
    <col min="1" max="1" width="36.6640625" customWidth="1"/>
    <col min="2" max="4" width="19.1640625" customWidth="1"/>
    <col min="5" max="5" width="16.6640625" customWidth="1"/>
    <col min="6" max="9" width="19.1640625" customWidth="1"/>
  </cols>
  <sheetData>
    <row r="1" spans="1:9" ht="16">
      <c r="A1" s="1439" t="s">
        <v>866</v>
      </c>
    </row>
    <row r="2" spans="1:9" ht="19">
      <c r="A2" s="1483" t="s">
        <v>892</v>
      </c>
    </row>
    <row r="3" spans="1:9">
      <c r="A3" s="85" t="s">
        <v>934</v>
      </c>
    </row>
    <row r="5" spans="1:9">
      <c r="A5" s="1452" t="s">
        <v>867</v>
      </c>
      <c r="B5" s="1453"/>
      <c r="C5" s="1453"/>
    </row>
    <row r="6" spans="1:9">
      <c r="A6" s="1453" t="s">
        <v>868</v>
      </c>
      <c r="B6" s="1453"/>
      <c r="C6" s="1455">
        <f>'Developer Fee Schedule'!A9</f>
        <v>0</v>
      </c>
    </row>
    <row r="7" spans="1:9">
      <c r="A7" s="1453" t="s">
        <v>939</v>
      </c>
      <c r="B7" s="1453"/>
      <c r="C7" s="1455">
        <f>'Developer Fee Schedule'!K9</f>
        <v>0</v>
      </c>
    </row>
    <row r="8" spans="1:9">
      <c r="A8" s="1453" t="s">
        <v>869</v>
      </c>
      <c r="B8" s="1453"/>
      <c r="C8" s="1467">
        <f>'Perm Sources-Uses'!K20</f>
        <v>0</v>
      </c>
    </row>
    <row r="9" spans="1:9">
      <c r="A9" s="1453" t="s">
        <v>870</v>
      </c>
      <c r="B9" s="1453"/>
      <c r="C9" s="1468" t="e">
        <f>C8/C6</f>
        <v>#DIV/0!</v>
      </c>
    </row>
    <row r="10" spans="1:9">
      <c r="A10" s="1453" t="s">
        <v>871</v>
      </c>
      <c r="B10" s="1453"/>
      <c r="C10" s="1456">
        <f>'20yr Proforma'!D64</f>
        <v>0</v>
      </c>
    </row>
    <row r="11" spans="1:9">
      <c r="A11" s="1453" t="s">
        <v>872</v>
      </c>
      <c r="B11" s="1453"/>
      <c r="C11" s="1457">
        <f>'20yr Proforma'!E33</f>
        <v>12</v>
      </c>
    </row>
    <row r="12" spans="1:9">
      <c r="A12" s="58" t="s">
        <v>873</v>
      </c>
      <c r="B12" s="58"/>
      <c r="C12" s="1469" t="s">
        <v>874</v>
      </c>
    </row>
    <row r="14" spans="1:9">
      <c r="A14" s="105" t="s">
        <v>875</v>
      </c>
    </row>
    <row r="15" spans="1:9" ht="30" customHeight="1" thickBot="1">
      <c r="A15" s="1462" t="s">
        <v>467</v>
      </c>
      <c r="B15" s="1463" t="s">
        <v>876</v>
      </c>
      <c r="C15" s="1463" t="s">
        <v>877</v>
      </c>
      <c r="D15" s="1463" t="s">
        <v>878</v>
      </c>
      <c r="E15" s="1463" t="s">
        <v>879</v>
      </c>
      <c r="F15" s="1463" t="s">
        <v>880</v>
      </c>
      <c r="G15" s="1463" t="s">
        <v>881</v>
      </c>
      <c r="H15" s="1463" t="s">
        <v>882</v>
      </c>
      <c r="I15" s="1463" t="s">
        <v>883</v>
      </c>
    </row>
    <row r="16" spans="1:9">
      <c r="A16" s="1446">
        <v>1</v>
      </c>
      <c r="B16" s="1447">
        <f>$C$8</f>
        <v>0</v>
      </c>
      <c r="C16" s="1447">
        <f>B16*$C$10</f>
        <v>0</v>
      </c>
      <c r="D16" s="1448" t="e">
        <f>'20yr Proforma'!F39</f>
        <v>#VALUE!</v>
      </c>
      <c r="E16" s="1448">
        <f>-'20yr Proforma'!F41</f>
        <v>8500</v>
      </c>
      <c r="F16" s="1447" t="e">
        <f>MAX(D16-E16,0)</f>
        <v>#VALUE!</v>
      </c>
      <c r="G16" s="1447" t="e">
        <f>MIN(F16,B16+C16)</f>
        <v>#VALUE!</v>
      </c>
      <c r="H16" s="1447" t="e">
        <f>B16+C16-G16</f>
        <v>#VALUE!</v>
      </c>
      <c r="I16" s="1447" t="e">
        <f>G16</f>
        <v>#VALUE!</v>
      </c>
    </row>
    <row r="17" spans="1:9">
      <c r="A17" s="15">
        <v>2</v>
      </c>
      <c r="B17" s="77" t="e">
        <f>H16</f>
        <v>#VALUE!</v>
      </c>
      <c r="C17" s="77" t="e">
        <f>B17*$C$10</f>
        <v>#VALUE!</v>
      </c>
      <c r="D17" s="1440" t="e">
        <f>'20yr Proforma'!G39</f>
        <v>#VALUE!</v>
      </c>
      <c r="E17" s="1440" t="e">
        <f>-'20yr Proforma'!G41</f>
        <v>#VALUE!</v>
      </c>
      <c r="F17" s="77" t="e">
        <f>MAX(D17-E17,0)</f>
        <v>#VALUE!</v>
      </c>
      <c r="G17" s="77" t="e">
        <f>MIN(F17,B17+C17)</f>
        <v>#VALUE!</v>
      </c>
      <c r="H17" s="77" t="e">
        <f>B17+C17-G17</f>
        <v>#VALUE!</v>
      </c>
      <c r="I17" s="77" t="e">
        <f>I16+G17</f>
        <v>#VALUE!</v>
      </c>
    </row>
    <row r="18" spans="1:9">
      <c r="A18" s="1446">
        <v>3</v>
      </c>
      <c r="B18" s="1447" t="e">
        <f>H17</f>
        <v>#VALUE!</v>
      </c>
      <c r="C18" s="1447" t="e">
        <f>B18*$C$10</f>
        <v>#VALUE!</v>
      </c>
      <c r="D18" s="1448" t="e">
        <f>'20yr Proforma'!H39</f>
        <v>#VALUE!</v>
      </c>
      <c r="E18" s="1448" t="e">
        <f>-'20yr Proforma'!H41</f>
        <v>#VALUE!</v>
      </c>
      <c r="F18" s="1447" t="e">
        <f>MAX(D18-E18,0)</f>
        <v>#VALUE!</v>
      </c>
      <c r="G18" s="1447" t="e">
        <f>MIN(F18,B18+C18)</f>
        <v>#VALUE!</v>
      </c>
      <c r="H18" s="1447" t="e">
        <f>B18+C18-G18</f>
        <v>#VALUE!</v>
      </c>
      <c r="I18" s="1447" t="e">
        <f>I17+G18</f>
        <v>#VALUE!</v>
      </c>
    </row>
    <row r="19" spans="1:9">
      <c r="A19" s="15">
        <v>4</v>
      </c>
      <c r="B19" s="77" t="e">
        <f>H18</f>
        <v>#VALUE!</v>
      </c>
      <c r="C19" s="77" t="e">
        <f>B19*$C$10</f>
        <v>#VALUE!</v>
      </c>
      <c r="D19" s="1440" t="e">
        <f>'20yr Proforma'!I39</f>
        <v>#VALUE!</v>
      </c>
      <c r="E19" s="1440" t="e">
        <f>-'20yr Proforma'!I41</f>
        <v>#VALUE!</v>
      </c>
      <c r="F19" s="77" t="e">
        <f>MAX(D19-E19,0)</f>
        <v>#VALUE!</v>
      </c>
      <c r="G19" s="77" t="e">
        <f>MIN(F19,B19+C19)</f>
        <v>#VALUE!</v>
      </c>
      <c r="H19" s="77" t="e">
        <f>B19+C19-G19</f>
        <v>#VALUE!</v>
      </c>
      <c r="I19" s="77" t="e">
        <f>I18+G19</f>
        <v>#VALUE!</v>
      </c>
    </row>
    <row r="20" spans="1:9">
      <c r="A20" s="1446">
        <v>5</v>
      </c>
      <c r="B20" s="1447" t="e">
        <f>H19</f>
        <v>#VALUE!</v>
      </c>
      <c r="C20" s="1447" t="e">
        <f>B20*$C$10</f>
        <v>#VALUE!</v>
      </c>
      <c r="D20" s="1448" t="e">
        <f>'20yr Proforma'!J39</f>
        <v>#VALUE!</v>
      </c>
      <c r="E20" s="1448" t="e">
        <f>-'20yr Proforma'!J41</f>
        <v>#VALUE!</v>
      </c>
      <c r="F20" s="1447" t="e">
        <f>MAX(D20-E20,0)</f>
        <v>#VALUE!</v>
      </c>
      <c r="G20" s="1447" t="e">
        <f>MIN(F20,B20+C20)</f>
        <v>#VALUE!</v>
      </c>
      <c r="H20" s="1447" t="e">
        <f>B20+C20-G20</f>
        <v>#VALUE!</v>
      </c>
      <c r="I20" s="1447" t="e">
        <f>I19+G20</f>
        <v>#VALUE!</v>
      </c>
    </row>
    <row r="21" spans="1:9">
      <c r="A21" s="15">
        <v>6</v>
      </c>
      <c r="B21" s="77" t="e">
        <f>H20</f>
        <v>#VALUE!</v>
      </c>
      <c r="C21" s="77" t="e">
        <f>B21*$C$10</f>
        <v>#VALUE!</v>
      </c>
      <c r="D21" s="1440" t="e">
        <f>'20yr Proforma'!K39</f>
        <v>#VALUE!</v>
      </c>
      <c r="E21" s="1440" t="e">
        <f>-'20yr Proforma'!K41</f>
        <v>#VALUE!</v>
      </c>
      <c r="F21" s="77" t="e">
        <f>MAX(D21-E21,0)</f>
        <v>#VALUE!</v>
      </c>
      <c r="G21" s="77" t="e">
        <f>MIN(F21,B21+C21)</f>
        <v>#VALUE!</v>
      </c>
      <c r="H21" s="77" t="e">
        <f>B21+C21-G21</f>
        <v>#VALUE!</v>
      </c>
      <c r="I21" s="77" t="e">
        <f>I20+G21</f>
        <v>#VALUE!</v>
      </c>
    </row>
    <row r="22" spans="1:9">
      <c r="A22" s="1446">
        <v>7</v>
      </c>
      <c r="B22" s="1447" t="e">
        <f>H21</f>
        <v>#VALUE!</v>
      </c>
      <c r="C22" s="1447" t="e">
        <f>B22*$C$10</f>
        <v>#VALUE!</v>
      </c>
      <c r="D22" s="1448" t="e">
        <f>'20yr Proforma'!L39</f>
        <v>#VALUE!</v>
      </c>
      <c r="E22" s="1448" t="e">
        <f>-'20yr Proforma'!L41</f>
        <v>#VALUE!</v>
      </c>
      <c r="F22" s="1447" t="e">
        <f>MAX(D22-E22,0)</f>
        <v>#VALUE!</v>
      </c>
      <c r="G22" s="1447" t="e">
        <f>MIN(F22,B22+C22)</f>
        <v>#VALUE!</v>
      </c>
      <c r="H22" s="1447" t="e">
        <f>B22+C22-G22</f>
        <v>#VALUE!</v>
      </c>
      <c r="I22" s="1447" t="e">
        <f>I21+G22</f>
        <v>#VALUE!</v>
      </c>
    </row>
    <row r="23" spans="1:9">
      <c r="A23" s="15">
        <v>8</v>
      </c>
      <c r="B23" s="77" t="e">
        <f>H22</f>
        <v>#VALUE!</v>
      </c>
      <c r="C23" s="77" t="e">
        <f>B23*$C$10</f>
        <v>#VALUE!</v>
      </c>
      <c r="D23" s="1440" t="e">
        <f>'20yr Proforma'!M39</f>
        <v>#VALUE!</v>
      </c>
      <c r="E23" s="1440" t="e">
        <f>-'20yr Proforma'!M41</f>
        <v>#VALUE!</v>
      </c>
      <c r="F23" s="77" t="e">
        <f>MAX(D23-E23,0)</f>
        <v>#VALUE!</v>
      </c>
      <c r="G23" s="77" t="e">
        <f>MIN(F23,B23+C23)</f>
        <v>#VALUE!</v>
      </c>
      <c r="H23" s="77" t="e">
        <f>B23+C23-G23</f>
        <v>#VALUE!</v>
      </c>
      <c r="I23" s="77" t="e">
        <f>I22+G23</f>
        <v>#VALUE!</v>
      </c>
    </row>
    <row r="24" spans="1:9">
      <c r="A24" s="1446">
        <v>9</v>
      </c>
      <c r="B24" s="1447" t="e">
        <f>H23</f>
        <v>#VALUE!</v>
      </c>
      <c r="C24" s="1447" t="e">
        <f>B24*$C$10</f>
        <v>#VALUE!</v>
      </c>
      <c r="D24" s="1448" t="e">
        <f>'20yr Proforma'!N39</f>
        <v>#VALUE!</v>
      </c>
      <c r="E24" s="1448" t="e">
        <f>-'20yr Proforma'!N41</f>
        <v>#VALUE!</v>
      </c>
      <c r="F24" s="1447" t="e">
        <f>MAX(D24-E24,0)</f>
        <v>#VALUE!</v>
      </c>
      <c r="G24" s="1447" t="e">
        <f>MIN(F24,B24+C24)</f>
        <v>#VALUE!</v>
      </c>
      <c r="H24" s="1447" t="e">
        <f>B24+C24-G24</f>
        <v>#VALUE!</v>
      </c>
      <c r="I24" s="1447" t="e">
        <f>I23+G24</f>
        <v>#VALUE!</v>
      </c>
    </row>
    <row r="25" spans="1:9">
      <c r="A25" s="15">
        <v>10</v>
      </c>
      <c r="B25" s="77" t="e">
        <f>H24</f>
        <v>#VALUE!</v>
      </c>
      <c r="C25" s="77" t="e">
        <f>B25*$C$10</f>
        <v>#VALUE!</v>
      </c>
      <c r="D25" s="1440" t="e">
        <f>'20yr Proforma'!O39</f>
        <v>#VALUE!</v>
      </c>
      <c r="E25" s="1440" t="e">
        <f>-'20yr Proforma'!O41</f>
        <v>#VALUE!</v>
      </c>
      <c r="F25" s="77" t="e">
        <f>MAX(D25-E25,0)</f>
        <v>#VALUE!</v>
      </c>
      <c r="G25" s="77" t="e">
        <f>MIN(F25,B25+C25)</f>
        <v>#VALUE!</v>
      </c>
      <c r="H25" s="77" t="e">
        <f>B25+C25-G25</f>
        <v>#VALUE!</v>
      </c>
      <c r="I25" s="77" t="e">
        <f>I24+G25</f>
        <v>#VALUE!</v>
      </c>
    </row>
    <row r="26" spans="1:9">
      <c r="A26" s="1446">
        <v>11</v>
      </c>
      <c r="B26" s="1447" t="e">
        <f>H25</f>
        <v>#VALUE!</v>
      </c>
      <c r="C26" s="1447" t="e">
        <f>B26*$C$10</f>
        <v>#VALUE!</v>
      </c>
      <c r="D26" s="1448" t="e">
        <f>'20yr Proforma'!P39</f>
        <v>#VALUE!</v>
      </c>
      <c r="E26" s="1448" t="e">
        <f>-'20yr Proforma'!P41</f>
        <v>#VALUE!</v>
      </c>
      <c r="F26" s="1447" t="e">
        <f>MAX(D26-E26,0)</f>
        <v>#VALUE!</v>
      </c>
      <c r="G26" s="1447" t="e">
        <f>MIN(F26,B26+C26)</f>
        <v>#VALUE!</v>
      </c>
      <c r="H26" s="1447" t="e">
        <f>B26+C26-G26</f>
        <v>#VALUE!</v>
      </c>
      <c r="I26" s="1447" t="e">
        <f>I25+G26</f>
        <v>#VALUE!</v>
      </c>
    </row>
    <row r="27" spans="1:9" ht="16" thickBot="1">
      <c r="A27" s="1473">
        <v>12</v>
      </c>
      <c r="B27" s="1474" t="e">
        <f>H26</f>
        <v>#VALUE!</v>
      </c>
      <c r="C27" s="1474" t="e">
        <f>B27*$C$10</f>
        <v>#VALUE!</v>
      </c>
      <c r="D27" s="1475" t="e">
        <f>'20yr Proforma'!Q39</f>
        <v>#VALUE!</v>
      </c>
      <c r="E27" s="1475" t="e">
        <f>-'20yr Proforma'!Q41</f>
        <v>#VALUE!</v>
      </c>
      <c r="F27" s="1474" t="e">
        <f>MAX(D27-E27,0)</f>
        <v>#VALUE!</v>
      </c>
      <c r="G27" s="1474" t="e">
        <f>MIN(F27,B27+C27)</f>
        <v>#VALUE!</v>
      </c>
      <c r="H27" s="1474" t="e">
        <f>B27+C27-G27</f>
        <v>#VALUE!</v>
      </c>
      <c r="I27" s="1474" t="e">
        <f>I26+G27</f>
        <v>#VALUE!</v>
      </c>
    </row>
    <row r="28" spans="1:9">
      <c r="A28" s="1446">
        <v>13</v>
      </c>
      <c r="B28" s="1447" t="e">
        <f>H27</f>
        <v>#VALUE!</v>
      </c>
      <c r="C28" s="1447" t="e">
        <f>B28*$C$10</f>
        <v>#VALUE!</v>
      </c>
      <c r="D28" s="1448" t="e">
        <f>'20yr Proforma'!R39</f>
        <v>#VALUE!</v>
      </c>
      <c r="E28" s="1448" t="e">
        <f>-'20yr Proforma'!R41</f>
        <v>#VALUE!</v>
      </c>
      <c r="F28" s="1447" t="e">
        <f>MAX(D28-E28,0)</f>
        <v>#VALUE!</v>
      </c>
      <c r="G28" s="1447" t="e">
        <f>MIN(F28,B28+C28)</f>
        <v>#VALUE!</v>
      </c>
      <c r="H28" s="1447" t="e">
        <f>B28+C28-G28</f>
        <v>#VALUE!</v>
      </c>
      <c r="I28" s="1447" t="e">
        <f>I27+G28</f>
        <v>#VALUE!</v>
      </c>
    </row>
    <row r="29" spans="1:9">
      <c r="A29" s="15">
        <v>14</v>
      </c>
      <c r="B29" s="77" t="e">
        <f>H28</f>
        <v>#VALUE!</v>
      </c>
      <c r="C29" s="77" t="e">
        <f>B29*$C$10</f>
        <v>#VALUE!</v>
      </c>
      <c r="D29" s="1440" t="e">
        <f>'20yr Proforma'!S39</f>
        <v>#VALUE!</v>
      </c>
      <c r="E29" s="1440" t="e">
        <f>-'20yr Proforma'!S41</f>
        <v>#VALUE!</v>
      </c>
      <c r="F29" s="77" t="e">
        <f>MAX(D29-E29,0)</f>
        <v>#VALUE!</v>
      </c>
      <c r="G29" s="77" t="e">
        <f>MIN(F29,B29+C29)</f>
        <v>#VALUE!</v>
      </c>
      <c r="H29" s="77" t="e">
        <f>B29+C29-G29</f>
        <v>#VALUE!</v>
      </c>
      <c r="I29" s="77" t="e">
        <f>I28+G29</f>
        <v>#VALUE!</v>
      </c>
    </row>
    <row r="30" spans="1:9">
      <c r="A30" s="1464">
        <v>15</v>
      </c>
      <c r="B30" s="1465" t="e">
        <f>H29</f>
        <v>#VALUE!</v>
      </c>
      <c r="C30" s="1465" t="e">
        <f>B30*$C$10</f>
        <v>#VALUE!</v>
      </c>
      <c r="D30" s="1466" t="e">
        <f>'20yr Proforma'!T39</f>
        <v>#VALUE!</v>
      </c>
      <c r="E30" s="1466" t="e">
        <f>-'20yr Proforma'!T41</f>
        <v>#VALUE!</v>
      </c>
      <c r="F30" s="1465" t="e">
        <f>MAX(D30-E30,0)</f>
        <v>#VALUE!</v>
      </c>
      <c r="G30" s="1465" t="e">
        <f>MIN(F30,B30+C30)</f>
        <v>#VALUE!</v>
      </c>
      <c r="H30" s="1465" t="e">
        <f>B30+C30-G30</f>
        <v>#VALUE!</v>
      </c>
      <c r="I30" s="1465" t="e">
        <f>I29+G30</f>
        <v>#VALUE!</v>
      </c>
    </row>
    <row r="32" spans="1:9" ht="16" thickBot="1">
      <c r="A32" s="1443" t="s">
        <v>856</v>
      </c>
      <c r="B32" s="1444"/>
      <c r="C32" s="1445" t="e">
        <f>SUM(C16:C30)</f>
        <v>#VALUE!</v>
      </c>
      <c r="D32" s="1444"/>
      <c r="E32" s="1444"/>
      <c r="F32" s="1444"/>
      <c r="G32" s="1445" t="e">
        <f>SUM(G16:G30)</f>
        <v>#VALUE!</v>
      </c>
      <c r="H32" s="1444"/>
      <c r="I32" s="1444"/>
    </row>
    <row r="33" spans="1:3" ht="16" thickTop="1"/>
    <row r="34" spans="1:3">
      <c r="A34" s="1452" t="s">
        <v>884</v>
      </c>
      <c r="B34" s="1453"/>
      <c r="C34" s="1453"/>
    </row>
    <row r="35" spans="1:3">
      <c r="A35" s="1453" t="s">
        <v>885</v>
      </c>
      <c r="B35" s="1453"/>
      <c r="C35" s="1470">
        <f>C8</f>
        <v>0</v>
      </c>
    </row>
    <row r="36" spans="1:3">
      <c r="A36" s="1453" t="s">
        <v>886</v>
      </c>
      <c r="B36" s="1453"/>
      <c r="C36" s="1460" t="e">
        <f>C32</f>
        <v>#VALUE!</v>
      </c>
    </row>
    <row r="37" spans="1:3">
      <c r="A37" s="1453" t="s">
        <v>887</v>
      </c>
      <c r="B37" s="1453"/>
      <c r="C37" s="1470" t="e">
        <f>G32</f>
        <v>#VALUE!</v>
      </c>
    </row>
    <row r="38" spans="1:3">
      <c r="A38" s="1453" t="s">
        <v>888</v>
      </c>
      <c r="B38" s="1453"/>
      <c r="C38" s="1471" t="e">
        <f>C35+C36-C37</f>
        <v>#VALUE!</v>
      </c>
    </row>
    <row r="39" spans="1:3">
      <c r="A39" s="58" t="s">
        <v>889</v>
      </c>
      <c r="B39" s="58"/>
      <c r="C39" s="1472" t="e">
        <f>C37/(C35+C36)</f>
        <v>#VALUE!</v>
      </c>
    </row>
    <row r="41" spans="1:3">
      <c r="A41" t="s">
        <v>890</v>
      </c>
      <c r="C41" s="1461" t="str">
        <f>IFERROR(MATCH(0,H16:H30,0),"Not within "&amp;C11&amp;" years")</f>
        <v>Not within 12 years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BZ156"/>
  <sheetViews>
    <sheetView showGridLines="0" topLeftCell="A72" zoomScale="90" zoomScaleNormal="90" workbookViewId="0">
      <selection activeCell="G94" sqref="G94"/>
    </sheetView>
  </sheetViews>
  <sheetFormatPr baseColWidth="10" defaultColWidth="12.5" defaultRowHeight="15" outlineLevelRow="1"/>
  <cols>
    <col min="1" max="1" width="3.5" customWidth="1"/>
    <col min="2" max="2" width="4.5" customWidth="1"/>
    <col min="3" max="3" width="23" customWidth="1"/>
    <col min="6" max="6" width="2.5" customWidth="1"/>
    <col min="7" max="7" width="17.5" customWidth="1"/>
    <col min="8" max="8" width="16.5" customWidth="1"/>
    <col min="9" max="9" width="14.5" hidden="1" customWidth="1"/>
    <col min="10" max="10" width="19.5" customWidth="1"/>
    <col min="11" max="11" width="65.5" customWidth="1"/>
    <col min="12" max="13" width="14.5" customWidth="1"/>
    <col min="14" max="14" width="21.5" customWidth="1"/>
    <col min="15" max="15" width="27.5" customWidth="1"/>
    <col min="16" max="16" width="29.5" customWidth="1"/>
    <col min="17" max="17" width="26" customWidth="1"/>
    <col min="18" max="20" width="18.5" customWidth="1"/>
    <col min="21" max="21" width="20.5" customWidth="1"/>
    <col min="22" max="22" width="33.5" customWidth="1"/>
    <col min="23" max="23" width="3.5" customWidth="1"/>
  </cols>
  <sheetData>
    <row r="1" spans="1:18" ht="4.5" customHeight="1">
      <c r="A1" s="230"/>
      <c r="B1" s="231"/>
      <c r="C1" s="231"/>
      <c r="D1" s="231"/>
      <c r="E1" s="231"/>
      <c r="F1" s="231"/>
      <c r="G1" s="231"/>
      <c r="H1" s="231"/>
      <c r="I1" s="231"/>
      <c r="J1" s="231"/>
      <c r="K1" s="1476"/>
      <c r="L1" s="232"/>
      <c r="M1" s="232"/>
      <c r="N1" s="232"/>
      <c r="O1" s="232"/>
      <c r="P1" s="232"/>
      <c r="Q1" s="232"/>
      <c r="R1" s="232"/>
    </row>
    <row r="2" spans="1:18" s="232" customFormat="1" ht="25.5" customHeight="1">
      <c r="A2" s="1415" t="s">
        <v>219</v>
      </c>
      <c r="B2" s="1415"/>
      <c r="C2" s="1415"/>
      <c r="D2" s="1415"/>
      <c r="E2" s="1415"/>
      <c r="F2" s="1415"/>
      <c r="G2" s="1415"/>
      <c r="H2" s="233"/>
      <c r="I2" s="234"/>
      <c r="J2" s="234"/>
      <c r="K2" s="235"/>
    </row>
    <row r="3" spans="1:18" ht="15" customHeight="1">
      <c r="A3" s="236" t="s">
        <v>789</v>
      </c>
      <c r="B3" s="237"/>
      <c r="C3" s="237"/>
      <c r="D3" s="237"/>
      <c r="E3" s="237"/>
      <c r="F3" s="237"/>
      <c r="G3" s="238">
        <f>'Rent Schedule'!D26</f>
        <v>0</v>
      </c>
      <c r="H3" s="237"/>
      <c r="I3" s="237"/>
      <c r="J3" s="237"/>
      <c r="K3" s="239">
        <v>46111</v>
      </c>
      <c r="L3" s="232"/>
      <c r="M3" s="232"/>
      <c r="N3" s="232"/>
      <c r="O3" s="232"/>
      <c r="P3" s="232"/>
      <c r="Q3" s="232"/>
      <c r="R3" s="232"/>
    </row>
    <row r="4" spans="1:18" ht="15" customHeight="1">
      <c r="A4" s="240"/>
      <c r="B4" s="241"/>
      <c r="C4" s="232"/>
      <c r="D4" s="232"/>
      <c r="E4" s="232"/>
      <c r="F4" s="232"/>
      <c r="G4" s="232"/>
      <c r="H4" s="232"/>
      <c r="I4" s="232"/>
      <c r="J4" s="242"/>
      <c r="K4" s="243"/>
      <c r="L4" s="232"/>
      <c r="M4" s="232"/>
      <c r="N4" s="232"/>
      <c r="O4" s="232"/>
      <c r="P4" s="232"/>
      <c r="Q4" s="232"/>
      <c r="R4" s="232"/>
    </row>
    <row r="5" spans="1:18" ht="15" customHeight="1">
      <c r="A5" s="240"/>
      <c r="B5" s="244" t="s">
        <v>815</v>
      </c>
      <c r="C5" s="245"/>
      <c r="D5" s="244"/>
      <c r="E5" s="244"/>
      <c r="F5" s="232"/>
      <c r="G5" s="246"/>
      <c r="H5" s="247"/>
      <c r="I5" s="247"/>
      <c r="J5" s="247" t="s">
        <v>220</v>
      </c>
      <c r="K5" s="248"/>
      <c r="L5" s="241"/>
      <c r="M5" s="232"/>
      <c r="N5" s="232"/>
      <c r="O5" s="232"/>
      <c r="P5" s="232"/>
      <c r="Q5" s="232"/>
      <c r="R5" s="232"/>
    </row>
    <row r="6" spans="1:18" ht="15" customHeight="1">
      <c r="A6" s="240"/>
      <c r="B6" s="232"/>
      <c r="C6" s="232"/>
      <c r="D6" s="232"/>
      <c r="E6" s="232"/>
      <c r="F6" s="232"/>
      <c r="G6" s="249" t="s">
        <v>221</v>
      </c>
      <c r="H6" s="250"/>
      <c r="I6" s="250" t="s">
        <v>129</v>
      </c>
      <c r="J6" s="250" t="s">
        <v>222</v>
      </c>
      <c r="K6" s="251" t="s">
        <v>223</v>
      </c>
      <c r="L6" s="241"/>
      <c r="M6" s="232"/>
      <c r="N6" s="252"/>
      <c r="O6" s="253"/>
      <c r="P6" s="232"/>
      <c r="Q6" s="232"/>
      <c r="R6" s="232"/>
    </row>
    <row r="7" spans="1:18" ht="15" customHeight="1">
      <c r="A7" s="240"/>
      <c r="B7" s="232"/>
      <c r="C7" s="232"/>
      <c r="D7" s="232"/>
      <c r="E7" s="232"/>
      <c r="F7" s="232"/>
      <c r="G7" s="254"/>
      <c r="H7" s="255"/>
      <c r="I7" s="255"/>
      <c r="J7" s="255" t="s">
        <v>224</v>
      </c>
      <c r="K7" s="256"/>
      <c r="L7" s="241"/>
      <c r="M7" s="232"/>
      <c r="N7" s="257"/>
      <c r="O7" s="232"/>
      <c r="P7" s="232"/>
      <c r="Q7" s="232"/>
      <c r="R7" s="232"/>
    </row>
    <row r="8" spans="1:18" ht="15" customHeight="1">
      <c r="A8" s="240"/>
      <c r="B8" s="258" t="s">
        <v>133</v>
      </c>
      <c r="C8" s="259"/>
      <c r="D8" s="259"/>
      <c r="E8" s="259"/>
      <c r="F8" s="259"/>
      <c r="G8" s="260"/>
      <c r="I8" s="260"/>
      <c r="J8" s="260"/>
      <c r="K8" s="261"/>
      <c r="L8" s="232"/>
      <c r="M8" s="232"/>
      <c r="N8" s="252"/>
      <c r="O8" s="232"/>
      <c r="P8" s="232"/>
      <c r="Q8" s="232"/>
      <c r="R8" s="232"/>
    </row>
    <row r="9" spans="1:18" s="232" customFormat="1" ht="15" customHeight="1">
      <c r="A9" s="240"/>
      <c r="C9" s="232" t="s">
        <v>225</v>
      </c>
      <c r="G9" s="262">
        <f>I9*$G$3</f>
        <v>0</v>
      </c>
      <c r="H9" s="263"/>
      <c r="I9" s="264">
        <v>3798.3606557377002</v>
      </c>
      <c r="J9" s="265">
        <f>G9</f>
        <v>0</v>
      </c>
      <c r="K9" s="266"/>
      <c r="N9" s="257"/>
    </row>
    <row r="10" spans="1:18" s="232" customFormat="1" ht="15" customHeight="1">
      <c r="A10" s="240"/>
      <c r="C10" s="267"/>
      <c r="D10" s="267"/>
      <c r="E10" s="267"/>
      <c r="F10" s="267"/>
      <c r="G10" s="268">
        <f>G9</f>
        <v>0</v>
      </c>
      <c r="H10" s="269">
        <f>G10</f>
        <v>0</v>
      </c>
      <c r="I10" s="264"/>
      <c r="J10" s="265">
        <f>J9</f>
        <v>0</v>
      </c>
      <c r="K10" s="266"/>
      <c r="N10" s="252"/>
    </row>
    <row r="11" spans="1:18" s="232" customFormat="1" ht="15" customHeight="1">
      <c r="A11" s="240"/>
      <c r="B11" s="258" t="s">
        <v>135</v>
      </c>
      <c r="C11" s="259"/>
      <c r="D11" s="259"/>
      <c r="E11" s="259"/>
      <c r="F11" s="259"/>
      <c r="G11" s="260"/>
      <c r="H11" s="270"/>
      <c r="I11" s="260"/>
      <c r="J11" s="260"/>
      <c r="K11" s="261"/>
      <c r="N11" s="271"/>
      <c r="O11" s="272"/>
    </row>
    <row r="12" spans="1:18" s="232" customFormat="1" ht="15" customHeight="1">
      <c r="A12" s="240"/>
      <c r="C12" s="232" t="s">
        <v>226</v>
      </c>
      <c r="F12" s="273" t="s">
        <v>141</v>
      </c>
      <c r="G12" s="274">
        <f>I12*$G$3</f>
        <v>0</v>
      </c>
      <c r="H12" s="275"/>
      <c r="I12" s="264">
        <v>233754.32786885201</v>
      </c>
      <c r="J12" s="276">
        <f>G12</f>
        <v>0</v>
      </c>
      <c r="K12" s="277"/>
    </row>
    <row r="13" spans="1:18" ht="15" customHeight="1">
      <c r="A13" s="240"/>
      <c r="B13" s="232"/>
      <c r="C13" s="278" t="s">
        <v>227</v>
      </c>
      <c r="D13" s="232"/>
      <c r="E13" s="232"/>
      <c r="F13" s="232"/>
      <c r="G13" s="279">
        <f>I13*$G$3</f>
        <v>0</v>
      </c>
      <c r="H13" s="280"/>
      <c r="I13" s="281">
        <v>44196.721311475398</v>
      </c>
      <c r="J13" s="282">
        <f>G13</f>
        <v>0</v>
      </c>
      <c r="K13" s="283"/>
      <c r="L13" s="232"/>
      <c r="M13" s="232"/>
      <c r="N13" s="284"/>
      <c r="O13" s="232"/>
      <c r="P13" s="232"/>
      <c r="Q13" s="232"/>
      <c r="R13" s="232"/>
    </row>
    <row r="14" spans="1:18" ht="15" customHeight="1">
      <c r="A14" s="240"/>
      <c r="B14" s="232"/>
      <c r="C14" s="285" t="s">
        <v>228</v>
      </c>
      <c r="D14" s="232"/>
      <c r="E14" s="232"/>
      <c r="F14" s="286"/>
      <c r="G14" s="279">
        <f>I14*$G$3</f>
        <v>0</v>
      </c>
      <c r="H14" s="280"/>
      <c r="I14" s="281"/>
      <c r="J14" s="282">
        <v>0</v>
      </c>
      <c r="K14" s="287"/>
      <c r="L14" s="232"/>
      <c r="M14" s="232"/>
      <c r="N14" s="284"/>
      <c r="O14" s="232"/>
      <c r="P14" s="288"/>
      <c r="Q14" s="232"/>
      <c r="R14" s="232"/>
    </row>
    <row r="15" spans="1:18" s="232" customFormat="1" ht="15" customHeight="1">
      <c r="A15" s="240"/>
      <c r="C15" s="232" t="s">
        <v>788</v>
      </c>
      <c r="G15" s="274">
        <f>I15*$G$3</f>
        <v>0</v>
      </c>
      <c r="H15" s="280"/>
      <c r="I15" s="281">
        <v>2708.1967213114799</v>
      </c>
      <c r="J15" s="276">
        <f>G15</f>
        <v>0</v>
      </c>
      <c r="K15" s="287"/>
      <c r="N15" s="289"/>
      <c r="P15" s="290"/>
      <c r="Q15" s="290"/>
    </row>
    <row r="16" spans="1:18" s="232" customFormat="1" ht="15" customHeight="1">
      <c r="A16" s="240"/>
      <c r="C16" s="232" t="s">
        <v>229</v>
      </c>
      <c r="G16" s="274">
        <f>I16*$G$3</f>
        <v>0</v>
      </c>
      <c r="H16" s="280"/>
      <c r="I16" s="281"/>
      <c r="J16" s="276">
        <v>0</v>
      </c>
      <c r="K16" s="291"/>
      <c r="N16" s="289"/>
      <c r="P16" s="290"/>
      <c r="Q16" s="290"/>
    </row>
    <row r="17" spans="1:21" s="232" customFormat="1" ht="15" customHeight="1">
      <c r="A17" s="240"/>
      <c r="C17" s="232" t="s">
        <v>230</v>
      </c>
      <c r="F17" s="275"/>
      <c r="G17" s="274">
        <f>I17*$G$3</f>
        <v>0</v>
      </c>
      <c r="H17" s="280"/>
      <c r="I17" s="281"/>
      <c r="J17" s="276">
        <v>0</v>
      </c>
      <c r="K17" s="292"/>
      <c r="N17" s="293"/>
      <c r="P17" s="294"/>
      <c r="Q17" s="280"/>
      <c r="R17" s="295"/>
    </row>
    <row r="18" spans="1:21" s="232" customFormat="1" ht="15" customHeight="1">
      <c r="A18" s="240"/>
      <c r="C18" s="232" t="s">
        <v>231</v>
      </c>
      <c r="F18" s="284"/>
      <c r="G18" s="296">
        <f>I18*$G$3</f>
        <v>0</v>
      </c>
      <c r="H18" s="280"/>
      <c r="I18" s="281"/>
      <c r="J18" s="276">
        <v>0</v>
      </c>
      <c r="K18" s="277"/>
      <c r="N18" s="293"/>
      <c r="P18" s="294"/>
      <c r="Q18" s="280"/>
      <c r="R18" s="295"/>
    </row>
    <row r="19" spans="1:21" s="232" customFormat="1" ht="15" customHeight="1">
      <c r="A19" s="240"/>
      <c r="C19" s="232" t="s">
        <v>232</v>
      </c>
      <c r="G19" s="296">
        <f>I19*$G$3</f>
        <v>0</v>
      </c>
      <c r="H19" s="280"/>
      <c r="I19" s="281"/>
      <c r="J19" s="276">
        <v>0</v>
      </c>
      <c r="K19" s="292"/>
      <c r="N19" s="293"/>
      <c r="P19" s="294"/>
      <c r="Q19" s="280"/>
      <c r="R19" s="295"/>
    </row>
    <row r="20" spans="1:21" s="232" customFormat="1" ht="15" customHeight="1">
      <c r="A20" s="240"/>
      <c r="C20" s="232" t="s">
        <v>233</v>
      </c>
      <c r="G20" s="296">
        <f>I20*$G$3</f>
        <v>0</v>
      </c>
      <c r="H20" s="280"/>
      <c r="I20" s="281">
        <v>13897.5524590164</v>
      </c>
      <c r="J20" s="276">
        <f>G20</f>
        <v>0</v>
      </c>
      <c r="K20" s="287"/>
    </row>
    <row r="21" spans="1:21" s="232" customFormat="1" ht="15" customHeight="1">
      <c r="A21" s="240"/>
      <c r="C21" s="267"/>
      <c r="D21" s="267"/>
      <c r="E21" s="267"/>
      <c r="F21" s="267"/>
      <c r="G21" s="297">
        <f>SUM(G12:G20)</f>
        <v>0</v>
      </c>
      <c r="H21" s="298">
        <f>G21</f>
        <v>0</v>
      </c>
      <c r="I21" s="281"/>
      <c r="J21" s="276">
        <f>SUM(J12:J20)</f>
        <v>0</v>
      </c>
      <c r="K21" s="299"/>
      <c r="N21" s="300"/>
    </row>
    <row r="22" spans="1:21" s="232" customFormat="1" ht="15" customHeight="1">
      <c r="A22" s="240"/>
      <c r="B22" s="258" t="s">
        <v>138</v>
      </c>
      <c r="C22" s="259"/>
      <c r="D22" s="259"/>
      <c r="E22" s="259"/>
      <c r="F22" s="259"/>
      <c r="G22" s="260"/>
      <c r="H22" s="301"/>
      <c r="I22" s="260"/>
      <c r="J22" s="302"/>
      <c r="K22" s="299"/>
      <c r="N22" s="303"/>
    </row>
    <row r="23" spans="1:21" ht="15" customHeight="1">
      <c r="A23" s="240"/>
      <c r="B23" s="232"/>
      <c r="C23" s="232" t="s">
        <v>234</v>
      </c>
      <c r="D23" s="232"/>
      <c r="E23" s="232"/>
      <c r="F23" s="232"/>
      <c r="G23" s="304">
        <f>I23*$G$3</f>
        <v>0</v>
      </c>
      <c r="H23" s="275"/>
      <c r="I23" s="264"/>
      <c r="J23" s="276">
        <v>0</v>
      </c>
      <c r="K23" s="305"/>
      <c r="L23" s="232"/>
      <c r="M23" s="232"/>
      <c r="N23" s="232"/>
      <c r="O23" s="232"/>
      <c r="P23" s="232"/>
      <c r="Q23" s="232"/>
      <c r="R23" s="232"/>
    </row>
    <row r="24" spans="1:21" ht="15" customHeight="1">
      <c r="A24" s="240"/>
      <c r="B24" s="232"/>
      <c r="C24" s="232" t="s">
        <v>235</v>
      </c>
      <c r="D24" s="232"/>
      <c r="E24" s="232"/>
      <c r="F24" s="232"/>
      <c r="G24" s="304">
        <f>I24*$G$3</f>
        <v>0</v>
      </c>
      <c r="H24" s="280"/>
      <c r="I24" s="281">
        <v>573.77049180327901</v>
      </c>
      <c r="J24" s="276">
        <f>G24</f>
        <v>0</v>
      </c>
      <c r="K24" s="306"/>
      <c r="L24" s="232"/>
      <c r="M24" s="232"/>
      <c r="N24" s="232"/>
      <c r="O24" s="232"/>
      <c r="P24" s="232"/>
      <c r="Q24" s="232"/>
      <c r="R24" s="232"/>
    </row>
    <row r="25" spans="1:21" ht="15" customHeight="1">
      <c r="A25" s="240"/>
      <c r="B25" s="232"/>
      <c r="C25" s="232" t="s">
        <v>236</v>
      </c>
      <c r="D25" s="232"/>
      <c r="E25" s="232"/>
      <c r="F25" s="232"/>
      <c r="G25" s="304">
        <f>I25*$G$3</f>
        <v>0</v>
      </c>
      <c r="H25" s="280"/>
      <c r="I25" s="281">
        <v>459.01639344262298</v>
      </c>
      <c r="J25" s="276">
        <f>G25</f>
        <v>0</v>
      </c>
      <c r="K25" s="307"/>
      <c r="L25" s="232"/>
      <c r="M25" s="232"/>
      <c r="N25" s="232"/>
      <c r="O25" s="232"/>
      <c r="P25" s="232"/>
      <c r="Q25" s="232"/>
      <c r="R25" s="232"/>
    </row>
    <row r="26" spans="1:21" ht="15" customHeight="1">
      <c r="A26" s="240"/>
      <c r="B26" s="232"/>
      <c r="C26" s="232" t="s">
        <v>237</v>
      </c>
      <c r="D26" s="308"/>
      <c r="E26" s="232"/>
      <c r="F26" s="232"/>
      <c r="G26" s="304">
        <f>I26*$G$3</f>
        <v>0</v>
      </c>
      <c r="H26" s="280"/>
      <c r="I26" s="281">
        <v>737.70491803278696</v>
      </c>
      <c r="J26" s="276">
        <f>G26</f>
        <v>0</v>
      </c>
      <c r="K26" s="306"/>
      <c r="L26" s="232"/>
      <c r="M26" s="232"/>
      <c r="N26" s="24"/>
      <c r="O26" s="232"/>
      <c r="P26" s="232"/>
      <c r="Q26" s="232"/>
      <c r="R26" s="232"/>
    </row>
    <row r="27" spans="1:21" s="232" customFormat="1" ht="15" customHeight="1">
      <c r="A27" s="240"/>
      <c r="C27" s="232" t="s">
        <v>238</v>
      </c>
      <c r="G27" s="304">
        <f>I27*$G$3</f>
        <v>0</v>
      </c>
      <c r="H27" s="280"/>
      <c r="I27" s="281">
        <v>295.08196721311498</v>
      </c>
      <c r="J27" s="276">
        <f>G27</f>
        <v>0</v>
      </c>
      <c r="K27" s="306"/>
      <c r="N27" s="24"/>
    </row>
    <row r="28" spans="1:21" s="232" customFormat="1" ht="15" customHeight="1">
      <c r="A28" s="240"/>
      <c r="C28" s="232" t="s">
        <v>239</v>
      </c>
      <c r="G28" s="304">
        <f>I28*$G$3</f>
        <v>0</v>
      </c>
      <c r="H28" s="280"/>
      <c r="I28" s="281"/>
      <c r="J28" s="276">
        <v>0</v>
      </c>
      <c r="K28" s="306"/>
      <c r="N28" s="24"/>
      <c r="Q28" s="309"/>
      <c r="R28" s="309"/>
      <c r="S28" s="309"/>
      <c r="T28" s="309"/>
      <c r="U28" s="289"/>
    </row>
    <row r="29" spans="1:21" s="232" customFormat="1" ht="15" customHeight="1">
      <c r="A29" s="240"/>
      <c r="C29" s="267"/>
      <c r="D29" s="267"/>
      <c r="E29" s="267"/>
      <c r="F29" s="267"/>
      <c r="G29" s="297">
        <f>SUM(G23:G28)</f>
        <v>0</v>
      </c>
      <c r="H29" s="298">
        <f>G29</f>
        <v>0</v>
      </c>
      <c r="I29" s="281"/>
      <c r="J29" s="276">
        <f>SUM(J23:J28)</f>
        <v>0</v>
      </c>
      <c r="K29" s="306"/>
      <c r="N29" s="24"/>
      <c r="Q29" s="309"/>
      <c r="R29" s="309"/>
      <c r="T29" s="309"/>
    </row>
    <row r="30" spans="1:21" s="232" customFormat="1" ht="15" customHeight="1">
      <c r="A30" s="240"/>
      <c r="B30" s="258" t="s">
        <v>140</v>
      </c>
      <c r="C30" s="259"/>
      <c r="D30" s="259"/>
      <c r="E30" s="259"/>
      <c r="F30" s="259"/>
      <c r="G30" s="260"/>
      <c r="H30" s="301"/>
      <c r="I30" s="260"/>
      <c r="J30" s="302"/>
      <c r="K30" s="261"/>
      <c r="R30" s="309"/>
    </row>
    <row r="31" spans="1:21" s="232" customFormat="1" ht="15" customHeight="1">
      <c r="A31" s="240"/>
      <c r="C31" s="232" t="s">
        <v>240</v>
      </c>
      <c r="G31" s="310">
        <f>I31*$G$3</f>
        <v>0</v>
      </c>
      <c r="H31" s="275"/>
      <c r="I31" s="264"/>
      <c r="J31" s="276">
        <v>0</v>
      </c>
      <c r="K31" s="311"/>
      <c r="O31" s="308"/>
      <c r="P31" s="309"/>
      <c r="Q31" s="289"/>
      <c r="R31" s="309"/>
    </row>
    <row r="32" spans="1:21" s="232" customFormat="1" ht="15" customHeight="1">
      <c r="A32" s="240"/>
      <c r="C32" s="312" t="s">
        <v>241</v>
      </c>
      <c r="D32" s="312"/>
      <c r="E32" s="312"/>
      <c r="F32" s="312"/>
      <c r="G32" s="313">
        <f>I32*$G$3</f>
        <v>0</v>
      </c>
      <c r="H32" s="314"/>
      <c r="I32" s="315">
        <v>16461.2131147541</v>
      </c>
      <c r="J32" s="313">
        <f>G32</f>
        <v>0</v>
      </c>
      <c r="K32" s="316"/>
      <c r="P32" s="309"/>
    </row>
    <row r="33" spans="1:20" ht="15" customHeight="1">
      <c r="A33" s="240"/>
      <c r="B33" s="232"/>
      <c r="C33" s="317" t="s">
        <v>242</v>
      </c>
      <c r="D33" s="317"/>
      <c r="E33" s="317"/>
      <c r="F33" s="317"/>
      <c r="G33" s="318">
        <f>I33*$G$3</f>
        <v>0</v>
      </c>
      <c r="H33" s="319"/>
      <c r="I33" s="320"/>
      <c r="J33" s="318">
        <f>G33</f>
        <v>0</v>
      </c>
      <c r="K33" s="321"/>
      <c r="L33" s="232"/>
      <c r="M33" s="232"/>
      <c r="N33" s="232"/>
      <c r="O33" s="232"/>
      <c r="P33" s="232"/>
      <c r="Q33" s="232"/>
      <c r="R33" s="232"/>
    </row>
    <row r="34" spans="1:20" ht="15.75" customHeight="1">
      <c r="A34" s="240"/>
      <c r="B34" s="232"/>
      <c r="C34" s="232" t="s">
        <v>243</v>
      </c>
      <c r="D34" s="232"/>
      <c r="E34" s="232"/>
      <c r="F34" s="232"/>
      <c r="G34" s="304">
        <f>I34*$G$3</f>
        <v>0</v>
      </c>
      <c r="H34" s="280"/>
      <c r="I34" s="281"/>
      <c r="J34" s="304">
        <v>0</v>
      </c>
      <c r="K34" s="311"/>
    </row>
    <row r="35" spans="1:20" ht="15" customHeight="1">
      <c r="A35" s="240"/>
      <c r="B35" s="232"/>
      <c r="C35" s="232" t="s">
        <v>244</v>
      </c>
      <c r="D35" s="232"/>
      <c r="E35" s="232"/>
      <c r="F35" s="232"/>
      <c r="G35" s="304">
        <f>I35*$G$3</f>
        <v>0</v>
      </c>
      <c r="H35" s="280"/>
      <c r="I35" s="281">
        <v>459.01639344262298</v>
      </c>
      <c r="J35" s="304">
        <f>G35</f>
        <v>0</v>
      </c>
      <c r="K35" s="322"/>
      <c r="P35" s="24"/>
    </row>
    <row r="36" spans="1:20" s="232" customFormat="1" ht="15" customHeight="1">
      <c r="A36" s="240"/>
      <c r="C36" s="232" t="s">
        <v>245</v>
      </c>
      <c r="G36" s="304">
        <f>I36*$G$3</f>
        <v>0</v>
      </c>
      <c r="H36" s="280"/>
      <c r="I36" s="281">
        <v>622.95081967213105</v>
      </c>
      <c r="J36" s="276">
        <f>G36</f>
        <v>0</v>
      </c>
      <c r="K36" s="322"/>
      <c r="N36" s="323"/>
      <c r="P36" s="309"/>
    </row>
    <row r="37" spans="1:20" s="232" customFormat="1" ht="15" customHeight="1">
      <c r="A37" s="240"/>
      <c r="C37" s="232" t="s">
        <v>246</v>
      </c>
      <c r="G37" s="304">
        <f>I37*$G$3</f>
        <v>0</v>
      </c>
      <c r="H37" s="280"/>
      <c r="I37" s="281">
        <v>2377.0491803278701</v>
      </c>
      <c r="J37" s="276">
        <f>G37</f>
        <v>0</v>
      </c>
      <c r="K37" s="322"/>
      <c r="P37" s="284"/>
    </row>
    <row r="38" spans="1:20" s="232" customFormat="1" ht="15" customHeight="1">
      <c r="A38" s="240"/>
      <c r="C38" s="232" t="s">
        <v>787</v>
      </c>
      <c r="G38" s="304">
        <f>I38*$G$3</f>
        <v>0</v>
      </c>
      <c r="H38" s="280"/>
      <c r="I38" s="281">
        <v>4169.26573770492</v>
      </c>
      <c r="J38" s="304">
        <f>G38</f>
        <v>0</v>
      </c>
      <c r="K38" s="322"/>
      <c r="P38" s="284"/>
    </row>
    <row r="39" spans="1:20" s="232" customFormat="1" ht="15" customHeight="1">
      <c r="A39" s="240"/>
      <c r="C39" s="232" t="s">
        <v>247</v>
      </c>
      <c r="G39" s="304">
        <f>I39*$G$3</f>
        <v>0</v>
      </c>
      <c r="H39" s="280"/>
      <c r="I39" s="281"/>
      <c r="J39" s="304">
        <f>G39</f>
        <v>0</v>
      </c>
      <c r="K39" s="322"/>
      <c r="P39" s="284"/>
    </row>
    <row r="40" spans="1:20" s="232" customFormat="1" ht="15" customHeight="1">
      <c r="A40" s="240"/>
      <c r="C40" s="267"/>
      <c r="D40" s="267"/>
      <c r="E40" s="267"/>
      <c r="F40" s="267"/>
      <c r="G40" s="297">
        <f>SUM(G31:G39)</f>
        <v>0</v>
      </c>
      <c r="H40" s="298">
        <f>G40</f>
        <v>0</v>
      </c>
      <c r="I40" s="281"/>
      <c r="J40" s="276">
        <f>SUM(J31:J39)</f>
        <v>0</v>
      </c>
      <c r="K40" s="306"/>
    </row>
    <row r="41" spans="1:20" s="232" customFormat="1" ht="15" customHeight="1">
      <c r="A41" s="240"/>
      <c r="B41" s="258" t="s">
        <v>143</v>
      </c>
      <c r="C41" s="259"/>
      <c r="D41" s="259"/>
      <c r="E41" s="259"/>
      <c r="F41" s="259"/>
      <c r="G41" s="260"/>
      <c r="H41" s="301"/>
      <c r="I41" s="260"/>
      <c r="J41" s="302"/>
      <c r="K41" s="261"/>
      <c r="P41" s="241"/>
      <c r="Q41" s="241"/>
      <c r="R41" s="241"/>
    </row>
    <row r="42" spans="1:20" s="232" customFormat="1" ht="15" customHeight="1">
      <c r="A42" s="240"/>
      <c r="C42" s="232" t="s">
        <v>248</v>
      </c>
      <c r="G42" s="304">
        <f>I42*$G$3</f>
        <v>0</v>
      </c>
      <c r="H42" s="275"/>
      <c r="I42" s="264">
        <v>2860.6557377049198</v>
      </c>
      <c r="J42" s="276">
        <f>G42</f>
        <v>0</v>
      </c>
      <c r="K42" s="305"/>
      <c r="Q42" s="309"/>
      <c r="R42" s="309"/>
      <c r="S42" s="309"/>
    </row>
    <row r="43" spans="1:20" s="232" customFormat="1" ht="15" customHeight="1">
      <c r="A43" s="240"/>
      <c r="C43" s="232" t="s">
        <v>786</v>
      </c>
      <c r="G43" s="304">
        <f>I43*$G$3</f>
        <v>0</v>
      </c>
      <c r="H43" s="280"/>
      <c r="I43" s="281">
        <v>5559.0209836065596</v>
      </c>
      <c r="J43" s="276">
        <f>G43</f>
        <v>0</v>
      </c>
      <c r="K43" s="306"/>
      <c r="N43" s="324"/>
      <c r="Q43" s="309"/>
      <c r="R43" s="309"/>
      <c r="S43" s="309"/>
      <c r="T43" s="289"/>
    </row>
    <row r="44" spans="1:20" s="232" customFormat="1" ht="15" customHeight="1">
      <c r="A44" s="240"/>
      <c r="C44" s="232" t="s">
        <v>249</v>
      </c>
      <c r="G44" s="304">
        <f>I44*$G$3</f>
        <v>0</v>
      </c>
      <c r="H44" s="280"/>
      <c r="I44" s="281"/>
      <c r="J44" s="276">
        <v>0</v>
      </c>
      <c r="K44" s="306"/>
      <c r="N44" s="324"/>
      <c r="Q44" s="325"/>
    </row>
    <row r="45" spans="1:20" s="232" customFormat="1" ht="15" customHeight="1">
      <c r="A45" s="240"/>
      <c r="C45" s="232" t="s">
        <v>250</v>
      </c>
      <c r="G45" s="304">
        <f>I45*$G$3</f>
        <v>0</v>
      </c>
      <c r="H45" s="280"/>
      <c r="I45" s="281"/>
      <c r="J45" s="304">
        <v>0</v>
      </c>
      <c r="K45" s="306"/>
    </row>
    <row r="46" spans="1:20" ht="15" customHeight="1">
      <c r="A46" s="240"/>
      <c r="B46" s="232"/>
      <c r="C46" s="232" t="s">
        <v>251</v>
      </c>
      <c r="D46" s="232"/>
      <c r="E46" s="232"/>
      <c r="F46" s="232"/>
      <c r="G46" s="304">
        <f>I46*$G$3</f>
        <v>0</v>
      </c>
      <c r="H46" s="280"/>
      <c r="I46" s="281">
        <v>1803.2786885245901</v>
      </c>
      <c r="J46" s="304">
        <f>G46</f>
        <v>0</v>
      </c>
      <c r="K46" s="306"/>
    </row>
    <row r="47" spans="1:20" ht="15" customHeight="1">
      <c r="A47" s="240"/>
      <c r="B47" s="232"/>
      <c r="C47" s="232" t="s">
        <v>817</v>
      </c>
      <c r="D47" s="232"/>
      <c r="E47" s="232"/>
      <c r="F47" s="232"/>
      <c r="G47" s="304">
        <f>I47*$G$3</f>
        <v>0</v>
      </c>
      <c r="H47" s="280"/>
      <c r="I47" s="281"/>
      <c r="J47" s="304">
        <v>0</v>
      </c>
      <c r="K47" s="306"/>
      <c r="P47" s="232"/>
    </row>
    <row r="48" spans="1:20" s="232" customFormat="1" ht="16.5" customHeight="1">
      <c r="A48" s="240"/>
      <c r="C48" s="232" t="s">
        <v>816</v>
      </c>
      <c r="G48" s="304">
        <f>I48*$G$3</f>
        <v>0</v>
      </c>
      <c r="H48" s="280"/>
      <c r="I48" s="281"/>
      <c r="J48" s="304">
        <v>0</v>
      </c>
      <c r="K48" s="306"/>
      <c r="N48" s="326"/>
      <c r="P48" s="326"/>
      <c r="R48" s="309"/>
    </row>
    <row r="49" spans="1:18" s="232" customFormat="1" ht="15" customHeight="1">
      <c r="A49" s="240"/>
      <c r="C49" s="232" t="s">
        <v>252</v>
      </c>
      <c r="G49" s="304">
        <f>I49*$G$3</f>
        <v>0</v>
      </c>
      <c r="H49" s="280"/>
      <c r="I49" s="281">
        <v>491.80327868852498</v>
      </c>
      <c r="J49" s="304">
        <f>G49</f>
        <v>0</v>
      </c>
      <c r="K49" s="306"/>
      <c r="N49" s="327"/>
      <c r="R49" s="288"/>
    </row>
    <row r="50" spans="1:18" s="232" customFormat="1" ht="15" customHeight="1">
      <c r="A50" s="240"/>
      <c r="C50" s="232" t="s">
        <v>253</v>
      </c>
      <c r="G50" s="304">
        <f>I50*$G$3</f>
        <v>0</v>
      </c>
      <c r="H50" s="280"/>
      <c r="I50" s="281"/>
      <c r="J50" s="304">
        <v>0</v>
      </c>
      <c r="K50" s="306"/>
    </row>
    <row r="51" spans="1:18" s="232" customFormat="1" ht="15" customHeight="1">
      <c r="A51" s="240"/>
      <c r="C51" s="232" t="s">
        <v>254</v>
      </c>
      <c r="G51" s="304">
        <f>I51*$G$3</f>
        <v>0</v>
      </c>
      <c r="H51" s="280"/>
      <c r="I51" s="281">
        <v>1500</v>
      </c>
      <c r="J51" s="304">
        <f>G51</f>
        <v>0</v>
      </c>
      <c r="K51" s="306"/>
    </row>
    <row r="52" spans="1:18" s="232" customFormat="1" ht="15" customHeight="1">
      <c r="A52" s="240"/>
      <c r="C52" s="232" t="s">
        <v>255</v>
      </c>
      <c r="G52" s="304">
        <f>I52*$G$3</f>
        <v>0</v>
      </c>
      <c r="H52" s="280"/>
      <c r="I52" s="281"/>
      <c r="J52" s="304">
        <v>0</v>
      </c>
      <c r="K52" s="306"/>
    </row>
    <row r="53" spans="1:18" s="232" customFormat="1" ht="15" customHeight="1">
      <c r="A53" s="240"/>
      <c r="C53" s="232" t="s">
        <v>256</v>
      </c>
      <c r="G53" s="304">
        <f>I53*$G$3</f>
        <v>0</v>
      </c>
      <c r="H53" s="280"/>
      <c r="I53" s="281"/>
      <c r="J53" s="304">
        <v>0</v>
      </c>
      <c r="K53" s="306"/>
      <c r="Q53" s="280"/>
    </row>
    <row r="54" spans="1:18" s="232" customFormat="1" ht="15" customHeight="1">
      <c r="A54" s="240"/>
      <c r="C54" s="267"/>
      <c r="D54" s="267"/>
      <c r="E54" s="267"/>
      <c r="F54" s="267"/>
      <c r="G54" s="297">
        <f>SUM(G42:G53)</f>
        <v>0</v>
      </c>
      <c r="H54" s="298">
        <f>G54</f>
        <v>0</v>
      </c>
      <c r="I54" s="281"/>
      <c r="J54" s="304">
        <f>SUM(J42:J53)</f>
        <v>0</v>
      </c>
      <c r="K54" s="306"/>
      <c r="Q54" s="280"/>
    </row>
    <row r="55" spans="1:18" s="232" customFormat="1" ht="15" customHeight="1">
      <c r="A55" s="240"/>
      <c r="B55" s="258" t="s">
        <v>146</v>
      </c>
      <c r="C55" s="259"/>
      <c r="D55" s="259"/>
      <c r="E55" s="259"/>
      <c r="F55" s="259"/>
      <c r="G55" s="260"/>
      <c r="H55" s="301"/>
      <c r="I55" s="260"/>
      <c r="J55" s="302"/>
      <c r="K55" s="261"/>
      <c r="Q55" s="280"/>
    </row>
    <row r="56" spans="1:18" s="232" customFormat="1" ht="15" customHeight="1">
      <c r="A56" s="240"/>
      <c r="C56" s="232" t="s">
        <v>257</v>
      </c>
      <c r="G56" s="304">
        <f>I56*$G$3</f>
        <v>0</v>
      </c>
      <c r="H56" s="275"/>
      <c r="I56" s="264">
        <v>2636.0655737704901</v>
      </c>
      <c r="J56" s="276">
        <f>G56</f>
        <v>0</v>
      </c>
      <c r="K56" s="266"/>
      <c r="Q56" s="280"/>
    </row>
    <row r="57" spans="1:18" s="232" customFormat="1" ht="15" customHeight="1">
      <c r="A57" s="240"/>
      <c r="C57" s="232" t="s">
        <v>258</v>
      </c>
      <c r="G57" s="304">
        <f>I57*$G$3</f>
        <v>0</v>
      </c>
      <c r="H57" s="280"/>
      <c r="I57" s="281">
        <v>1200</v>
      </c>
      <c r="J57" s="276">
        <f>G57</f>
        <v>0</v>
      </c>
      <c r="K57" s="328"/>
      <c r="Q57" s="280"/>
    </row>
    <row r="58" spans="1:18" s="232" customFormat="1" ht="15" customHeight="1">
      <c r="A58" s="240"/>
      <c r="C58" s="232" t="s">
        <v>259</v>
      </c>
      <c r="G58" s="304">
        <f>I58*$G$3</f>
        <v>0</v>
      </c>
      <c r="H58" s="280"/>
      <c r="I58" s="281">
        <v>122.950819672131</v>
      </c>
      <c r="J58" s="276">
        <f>G58</f>
        <v>0</v>
      </c>
      <c r="K58" s="328"/>
      <c r="Q58" s="280"/>
      <c r="R58" s="323"/>
    </row>
    <row r="59" spans="1:18" s="232" customFormat="1" ht="15" customHeight="1">
      <c r="A59" s="240"/>
      <c r="C59" s="232" t="s">
        <v>260</v>
      </c>
      <c r="G59" s="304">
        <f>I59*$G$3</f>
        <v>0</v>
      </c>
      <c r="H59" s="280"/>
      <c r="I59" s="281">
        <v>409.83606557376999</v>
      </c>
      <c r="J59" s="276">
        <f>G59</f>
        <v>0</v>
      </c>
      <c r="K59" s="306"/>
    </row>
    <row r="60" spans="1:18" s="232" customFormat="1" ht="15" customHeight="1">
      <c r="A60" s="240"/>
      <c r="C60" s="267"/>
      <c r="D60" s="267"/>
      <c r="E60" s="267"/>
      <c r="F60" s="267"/>
      <c r="G60" s="297">
        <f>SUM(G56:G59)</f>
        <v>0</v>
      </c>
      <c r="H60" s="298">
        <f>G60</f>
        <v>0</v>
      </c>
      <c r="I60" s="281"/>
      <c r="J60" s="276">
        <f>SUM(J56:J59)</f>
        <v>0</v>
      </c>
      <c r="K60" s="306"/>
    </row>
    <row r="61" spans="1:18" s="232" customFormat="1" ht="15" customHeight="1">
      <c r="A61" s="240"/>
      <c r="B61" s="258" t="s">
        <v>149</v>
      </c>
      <c r="C61" s="259"/>
      <c r="D61" s="259"/>
      <c r="E61" s="259"/>
      <c r="F61" s="259"/>
      <c r="G61" s="260"/>
      <c r="H61" s="301"/>
      <c r="I61" s="260"/>
      <c r="J61" s="302"/>
      <c r="K61" s="261"/>
    </row>
    <row r="62" spans="1:18" ht="15" customHeight="1">
      <c r="A62" s="240"/>
      <c r="B62" s="232"/>
      <c r="C62" s="232" t="s">
        <v>261</v>
      </c>
      <c r="D62" s="232"/>
      <c r="E62" s="232"/>
      <c r="F62" s="232"/>
      <c r="G62" s="304">
        <f>I62*$G$3</f>
        <v>0</v>
      </c>
      <c r="H62" s="275"/>
      <c r="I62" s="264">
        <v>2817.4940983606598</v>
      </c>
      <c r="J62" s="276">
        <f>G62</f>
        <v>0</v>
      </c>
      <c r="K62" s="329"/>
      <c r="Q62" s="77"/>
    </row>
    <row r="63" spans="1:18" s="232" customFormat="1" ht="15" customHeight="1">
      <c r="A63" s="240"/>
      <c r="C63" s="232" t="s">
        <v>262</v>
      </c>
      <c r="G63" s="304">
        <f>I63*$G$3</f>
        <v>0</v>
      </c>
      <c r="H63" s="280"/>
      <c r="I63" s="281">
        <v>573.77049180327901</v>
      </c>
      <c r="J63" s="276">
        <f>G63</f>
        <v>0</v>
      </c>
      <c r="K63" s="306"/>
    </row>
    <row r="64" spans="1:18" s="232" customFormat="1" ht="15" customHeight="1">
      <c r="A64" s="240"/>
      <c r="C64" s="232" t="s">
        <v>263</v>
      </c>
      <c r="G64" s="304">
        <f>I64*$G$3</f>
        <v>0</v>
      </c>
      <c r="H64" s="280"/>
      <c r="I64" s="281">
        <v>360.65573770491801</v>
      </c>
      <c r="J64" s="276">
        <f>G64</f>
        <v>0</v>
      </c>
      <c r="K64" s="306"/>
      <c r="N64" s="98"/>
    </row>
    <row r="65" spans="1:17" s="232" customFormat="1" ht="15" customHeight="1">
      <c r="A65" s="240"/>
      <c r="C65" s="232" t="s">
        <v>264</v>
      </c>
      <c r="G65" s="304">
        <f>I65*$G$3</f>
        <v>0</v>
      </c>
      <c r="H65" s="280"/>
      <c r="I65" s="281">
        <v>901.63934426229503</v>
      </c>
      <c r="J65" s="276">
        <f>G65</f>
        <v>0</v>
      </c>
      <c r="K65" s="306"/>
      <c r="N65" s="330"/>
      <c r="O65" s="331"/>
      <c r="Q65" s="332"/>
    </row>
    <row r="66" spans="1:17" s="232" customFormat="1" ht="15" customHeight="1">
      <c r="A66" s="240"/>
      <c r="C66" s="232" t="s">
        <v>265</v>
      </c>
      <c r="G66" s="304">
        <f>I66*$G$3</f>
        <v>0</v>
      </c>
      <c r="H66" s="280"/>
      <c r="I66" s="281"/>
      <c r="J66" s="276">
        <f>G66</f>
        <v>0</v>
      </c>
      <c r="K66" s="306"/>
      <c r="N66" s="333"/>
      <c r="O66" s="331"/>
    </row>
    <row r="67" spans="1:17" s="232" customFormat="1" ht="15" customHeight="1">
      <c r="A67" s="240"/>
      <c r="C67" s="267"/>
      <c r="D67" s="267"/>
      <c r="E67" s="267"/>
      <c r="F67" s="267"/>
      <c r="G67" s="297">
        <f>SUM(G62:G66)</f>
        <v>0</v>
      </c>
      <c r="H67" s="298">
        <f>G67</f>
        <v>0</v>
      </c>
      <c r="I67" s="281"/>
      <c r="J67" s="276">
        <f>SUM(J62:J66)</f>
        <v>0</v>
      </c>
      <c r="K67" s="306"/>
      <c r="N67" s="333"/>
      <c r="O67" s="331"/>
    </row>
    <row r="68" spans="1:17" ht="15" customHeight="1">
      <c r="A68" s="240"/>
      <c r="B68" s="258" t="s">
        <v>151</v>
      </c>
      <c r="C68" s="259"/>
      <c r="D68" s="259"/>
      <c r="E68" s="259"/>
      <c r="F68" s="259"/>
      <c r="G68" s="260"/>
      <c r="H68" s="301"/>
      <c r="I68" s="260"/>
      <c r="J68" s="302"/>
      <c r="K68" s="261"/>
      <c r="L68" s="232"/>
      <c r="M68" s="232"/>
      <c r="N68" s="330"/>
      <c r="O68" s="331"/>
      <c r="P68" s="232"/>
      <c r="Q68" s="232"/>
    </row>
    <row r="69" spans="1:17" s="232" customFormat="1" ht="15" customHeight="1">
      <c r="A69" s="240"/>
      <c r="C69" s="232" t="s">
        <v>266</v>
      </c>
      <c r="G69" s="296">
        <f>I69*$G$3</f>
        <v>0</v>
      </c>
      <c r="H69" s="275"/>
      <c r="I69" s="264">
        <v>41</v>
      </c>
      <c r="J69" s="276">
        <f>G69</f>
        <v>0</v>
      </c>
      <c r="K69" s="311"/>
      <c r="N69" s="98"/>
      <c r="O69" s="232" t="s">
        <v>46</v>
      </c>
    </row>
    <row r="70" spans="1:17" s="232" customFormat="1" ht="15" customHeight="1">
      <c r="A70" s="240"/>
      <c r="C70" s="334" t="s">
        <v>267</v>
      </c>
      <c r="F70" s="335"/>
      <c r="G70" s="296">
        <f>I70*$G$3</f>
        <v>0</v>
      </c>
      <c r="H70" s="280"/>
      <c r="I70" s="281">
        <v>10</v>
      </c>
      <c r="J70" s="276">
        <f>G70</f>
        <v>0</v>
      </c>
      <c r="K70" s="322"/>
      <c r="N70" s="330"/>
      <c r="O70" s="331" t="s">
        <v>46</v>
      </c>
    </row>
    <row r="71" spans="1:17" s="232" customFormat="1" ht="15" customHeight="1">
      <c r="A71" s="240"/>
      <c r="C71" s="232" t="s">
        <v>268</v>
      </c>
      <c r="G71" s="296">
        <f>I71*$G$3</f>
        <v>0</v>
      </c>
      <c r="H71" s="280"/>
      <c r="I71" s="281">
        <v>557.34426229508199</v>
      </c>
      <c r="J71" s="276">
        <f>G71</f>
        <v>0</v>
      </c>
      <c r="K71" s="322"/>
      <c r="N71" s="333"/>
      <c r="O71" s="331" t="s">
        <v>269</v>
      </c>
    </row>
    <row r="72" spans="1:17" s="232" customFormat="1" ht="16">
      <c r="A72" s="240"/>
      <c r="C72" s="232" t="s">
        <v>270</v>
      </c>
      <c r="G72" s="296">
        <f>I72*$G$3</f>
        <v>0</v>
      </c>
      <c r="H72" s="280"/>
      <c r="I72" s="281">
        <v>557.34426229508199</v>
      </c>
      <c r="J72" s="276">
        <f>G72</f>
        <v>0</v>
      </c>
      <c r="K72" s="322"/>
      <c r="N72" s="333"/>
      <c r="O72" s="331" t="s">
        <v>269</v>
      </c>
    </row>
    <row r="73" spans="1:17" s="232" customFormat="1" ht="15" customHeight="1">
      <c r="A73" s="240"/>
      <c r="C73" s="232" t="s">
        <v>271</v>
      </c>
      <c r="G73" s="296">
        <f>I73*$G$3</f>
        <v>0</v>
      </c>
      <c r="H73" s="280"/>
      <c r="I73" s="281"/>
      <c r="J73" s="276">
        <f>G73</f>
        <v>0</v>
      </c>
      <c r="K73" s="322"/>
      <c r="N73" s="330"/>
      <c r="O73" s="331"/>
    </row>
    <row r="74" spans="1:17" s="232" customFormat="1" ht="15" customHeight="1">
      <c r="A74" s="240"/>
      <c r="C74" s="232" t="s">
        <v>272</v>
      </c>
      <c r="G74" s="296">
        <f>I74*$G$3</f>
        <v>0</v>
      </c>
      <c r="H74" s="280"/>
      <c r="I74" s="281">
        <v>40</v>
      </c>
      <c r="J74" s="276">
        <f>G74</f>
        <v>0</v>
      </c>
      <c r="K74" s="322"/>
      <c r="N74" s="330"/>
      <c r="O74" s="331" t="s">
        <v>273</v>
      </c>
    </row>
    <row r="75" spans="1:17" s="232" customFormat="1" ht="15" customHeight="1">
      <c r="A75" s="240"/>
      <c r="C75" s="267"/>
      <c r="D75" s="267"/>
      <c r="E75" s="267"/>
      <c r="F75" s="267"/>
      <c r="G75" s="297">
        <f>SUM(G69:G74)</f>
        <v>0</v>
      </c>
      <c r="H75" s="298">
        <f>G75</f>
        <v>0</v>
      </c>
      <c r="I75" s="281"/>
      <c r="J75" s="276">
        <f>SUM(J69:J74)</f>
        <v>0</v>
      </c>
      <c r="K75" s="306"/>
    </row>
    <row r="76" spans="1:17" s="232" customFormat="1" ht="15" customHeight="1">
      <c r="A76" s="240"/>
      <c r="B76" s="258" t="s">
        <v>155</v>
      </c>
      <c r="C76" s="259"/>
      <c r="D76" s="259"/>
      <c r="E76" s="259"/>
      <c r="F76" s="259"/>
      <c r="G76" s="336"/>
      <c r="H76" s="301"/>
      <c r="I76" s="260"/>
      <c r="J76" s="302"/>
      <c r="K76" s="261"/>
    </row>
    <row r="77" spans="1:17" ht="15" customHeight="1">
      <c r="A77" s="240"/>
      <c r="B77" s="232"/>
      <c r="C77" s="232" t="s">
        <v>274</v>
      </c>
      <c r="D77" s="232"/>
      <c r="E77" s="232"/>
      <c r="F77" s="232"/>
      <c r="G77" s="304">
        <f>I77*$G$3</f>
        <v>0</v>
      </c>
      <c r="H77" s="275"/>
      <c r="I77" s="264"/>
      <c r="J77" s="276">
        <f>G77</f>
        <v>0</v>
      </c>
      <c r="K77" s="305"/>
    </row>
    <row r="78" spans="1:17" ht="15" customHeight="1">
      <c r="A78" s="240"/>
      <c r="B78" s="232"/>
      <c r="C78" s="232" t="s">
        <v>275</v>
      </c>
      <c r="D78" s="232"/>
      <c r="E78" s="232"/>
      <c r="F78" s="232"/>
      <c r="G78" s="304">
        <f>I78*$G$3</f>
        <v>0</v>
      </c>
      <c r="H78" s="280"/>
      <c r="I78" s="281"/>
      <c r="J78" s="276">
        <f>G78</f>
        <v>0</v>
      </c>
      <c r="K78" s="306"/>
    </row>
    <row r="79" spans="1:17" ht="15" customHeight="1">
      <c r="A79" s="240"/>
      <c r="B79" s="232"/>
      <c r="C79" s="232" t="s">
        <v>276</v>
      </c>
      <c r="D79" s="232"/>
      <c r="E79" s="232"/>
      <c r="F79" s="232"/>
      <c r="G79" s="304">
        <f>I79*$G$3</f>
        <v>0</v>
      </c>
      <c r="H79" s="280"/>
      <c r="I79" s="281"/>
      <c r="J79" s="276">
        <f>G79</f>
        <v>0</v>
      </c>
      <c r="K79" s="306"/>
    </row>
    <row r="80" spans="1:17" ht="15" customHeight="1">
      <c r="A80" s="240"/>
      <c r="B80" s="232"/>
      <c r="C80" s="232" t="s">
        <v>277</v>
      </c>
      <c r="D80" s="232"/>
      <c r="E80" s="232"/>
      <c r="F80" s="232"/>
      <c r="G80" s="304">
        <f>I80*$G$3</f>
        <v>0</v>
      </c>
      <c r="H80" s="280"/>
      <c r="I80" s="281"/>
      <c r="J80" s="276">
        <f>G80</f>
        <v>0</v>
      </c>
      <c r="K80" s="306"/>
      <c r="N80" s="98"/>
    </row>
    <row r="81" spans="1:15" ht="15" customHeight="1">
      <c r="A81" s="240"/>
      <c r="B81" s="232"/>
      <c r="C81" s="267"/>
      <c r="D81" s="267"/>
      <c r="E81" s="267"/>
      <c r="F81" s="267"/>
      <c r="G81" s="297">
        <f>SUM(G77:G80)</f>
        <v>0</v>
      </c>
      <c r="H81" s="298">
        <f>G81</f>
        <v>0</v>
      </c>
      <c r="I81" s="281"/>
      <c r="J81" s="276">
        <f>SUM(J77:J80)</f>
        <v>0</v>
      </c>
      <c r="K81" s="306"/>
      <c r="L81" s="232"/>
      <c r="M81" s="232"/>
      <c r="N81" s="326"/>
      <c r="O81" s="232"/>
    </row>
    <row r="82" spans="1:15" ht="15" customHeight="1">
      <c r="A82" s="240"/>
      <c r="B82" s="258" t="s">
        <v>158</v>
      </c>
      <c r="C82" s="259"/>
      <c r="D82" s="259"/>
      <c r="E82" s="259"/>
      <c r="F82" s="259"/>
      <c r="G82" s="260"/>
      <c r="H82" s="301"/>
      <c r="I82" s="260"/>
      <c r="J82" s="302"/>
      <c r="K82" s="261"/>
      <c r="L82" s="232"/>
      <c r="M82" s="232"/>
      <c r="N82" s="289"/>
      <c r="O82" s="232"/>
    </row>
    <row r="83" spans="1:15" s="232" customFormat="1" ht="15" customHeight="1">
      <c r="A83" s="240"/>
      <c r="C83" s="232" t="s">
        <v>278</v>
      </c>
      <c r="G83" s="296">
        <f>I83*$G$3</f>
        <v>0</v>
      </c>
      <c r="H83" s="275"/>
      <c r="I83" s="264"/>
      <c r="J83" s="276">
        <f>G83</f>
        <v>0</v>
      </c>
      <c r="K83" s="305"/>
    </row>
    <row r="84" spans="1:15" s="232" customFormat="1" ht="15" customHeight="1">
      <c r="A84" s="240"/>
      <c r="C84" s="232" t="s">
        <v>279</v>
      </c>
      <c r="G84" s="296">
        <f>I84*$G$3</f>
        <v>0</v>
      </c>
      <c r="H84" s="280"/>
      <c r="I84" s="281"/>
      <c r="J84" s="276">
        <f>G84</f>
        <v>0</v>
      </c>
      <c r="K84" s="311"/>
    </row>
    <row r="85" spans="1:15" s="232" customFormat="1" ht="16">
      <c r="A85" s="240"/>
      <c r="C85" s="232" t="s">
        <v>280</v>
      </c>
      <c r="G85" s="296">
        <f>I85*$G$3</f>
        <v>0</v>
      </c>
      <c r="H85" s="280"/>
      <c r="I85" s="281">
        <v>1229.50819672131</v>
      </c>
      <c r="J85" s="276">
        <f>G85</f>
        <v>0</v>
      </c>
      <c r="K85" s="337"/>
    </row>
    <row r="86" spans="1:15" s="232" customFormat="1" ht="15" customHeight="1">
      <c r="A86" s="240"/>
      <c r="C86" s="232" t="s">
        <v>88</v>
      </c>
      <c r="G86" s="296">
        <f>I86*$G$3</f>
        <v>0</v>
      </c>
      <c r="H86" s="280"/>
      <c r="I86" s="281">
        <v>300</v>
      </c>
      <c r="J86" s="276">
        <f>G86</f>
        <v>0</v>
      </c>
      <c r="K86" s="306"/>
      <c r="N86" s="326"/>
    </row>
    <row r="87" spans="1:15" s="232" customFormat="1" ht="15" customHeight="1">
      <c r="A87" s="240"/>
      <c r="C87" s="232" t="s">
        <v>281</v>
      </c>
      <c r="G87" s="296">
        <f>I87*$G$3</f>
        <v>0</v>
      </c>
      <c r="H87" s="280"/>
      <c r="I87" s="281">
        <v>800</v>
      </c>
      <c r="J87" s="276">
        <f>G87</f>
        <v>0</v>
      </c>
      <c r="K87" s="306"/>
    </row>
    <row r="88" spans="1:15" s="232" customFormat="1" ht="15" customHeight="1">
      <c r="A88" s="240"/>
      <c r="C88" s="267"/>
      <c r="D88" s="267"/>
      <c r="E88" s="267"/>
      <c r="F88" s="267"/>
      <c r="G88" s="338">
        <f>SUM(G83:G87)</f>
        <v>0</v>
      </c>
      <c r="H88" s="298">
        <f>G88</f>
        <v>0</v>
      </c>
      <c r="I88" s="281"/>
      <c r="J88" s="276">
        <f>SUM(J83:J87)</f>
        <v>0</v>
      </c>
      <c r="K88" s="306"/>
    </row>
    <row r="89" spans="1:15" s="232" customFormat="1" ht="15" customHeight="1">
      <c r="A89" s="240"/>
      <c r="B89" s="258" t="s">
        <v>161</v>
      </c>
      <c r="C89" s="259"/>
      <c r="D89" s="259"/>
      <c r="E89" s="259"/>
      <c r="F89" s="259"/>
      <c r="G89" s="260"/>
      <c r="H89" s="339"/>
      <c r="I89" s="260"/>
      <c r="J89" s="302"/>
      <c r="K89" s="261"/>
    </row>
    <row r="90" spans="1:15" ht="15" customHeight="1">
      <c r="A90" s="240"/>
      <c r="B90" s="232"/>
      <c r="C90" s="232" t="s">
        <v>282</v>
      </c>
      <c r="D90" s="232"/>
      <c r="E90" s="232"/>
      <c r="F90" s="232"/>
      <c r="G90" s="340">
        <f>I90*$G$3</f>
        <v>0</v>
      </c>
      <c r="H90" s="280"/>
      <c r="I90" s="281">
        <v>2690.0650819672101</v>
      </c>
      <c r="J90" s="304">
        <f>G90</f>
        <v>0</v>
      </c>
      <c r="K90" s="306"/>
    </row>
    <row r="91" spans="1:15" ht="15" customHeight="1">
      <c r="A91" s="240"/>
      <c r="B91" s="232"/>
      <c r="C91" s="267"/>
      <c r="D91" s="267"/>
      <c r="E91" s="267"/>
      <c r="F91" s="267"/>
      <c r="G91" s="338">
        <f>G90</f>
        <v>0</v>
      </c>
      <c r="H91" s="298">
        <f>G91</f>
        <v>0</v>
      </c>
      <c r="I91" s="281"/>
      <c r="J91" s="281">
        <f>J90</f>
        <v>0</v>
      </c>
      <c r="K91" s="306"/>
    </row>
    <row r="92" spans="1:15" ht="15" customHeight="1">
      <c r="A92" s="240"/>
      <c r="B92" s="258" t="s">
        <v>283</v>
      </c>
      <c r="C92" s="259"/>
      <c r="D92" s="259"/>
      <c r="E92" s="259"/>
      <c r="F92" s="259"/>
      <c r="G92" s="341">
        <f>G10+G21+G29+G40+G54+G60+G67+G75+G81+G88+G91</f>
        <v>0</v>
      </c>
      <c r="H92" s="339">
        <f>G92</f>
        <v>0</v>
      </c>
      <c r="I92" s="342">
        <f>IF($G$3=0,0,G92/$G$3)</f>
        <v>0</v>
      </c>
      <c r="J92" s="341">
        <f>J10+J21+J29+J40+J54+J60+J67+J75+J81+J88+J91</f>
        <v>0</v>
      </c>
      <c r="K92" s="343"/>
      <c r="L92" s="232"/>
      <c r="M92" s="232"/>
      <c r="N92" s="232"/>
      <c r="O92" s="232"/>
    </row>
    <row r="93" spans="1:15" ht="15" customHeight="1">
      <c r="A93" s="240"/>
      <c r="B93" s="344"/>
      <c r="C93" s="344" t="s">
        <v>163</v>
      </c>
      <c r="D93" s="344"/>
      <c r="E93" s="344"/>
      <c r="F93" s="344"/>
      <c r="G93" s="345">
        <f>I93*$G$3</f>
        <v>0</v>
      </c>
      <c r="H93" s="346"/>
      <c r="I93" s="263">
        <f>IF($G$3=0,0,G93/$G$3)</f>
        <v>0</v>
      </c>
      <c r="J93" s="347">
        <f>G93</f>
        <v>0</v>
      </c>
      <c r="K93" s="305"/>
      <c r="L93" s="232"/>
      <c r="M93" s="232"/>
      <c r="N93" s="232"/>
      <c r="O93" s="232"/>
    </row>
    <row r="94" spans="1:15" s="232" customFormat="1" ht="15" customHeight="1">
      <c r="A94" s="240"/>
      <c r="B94" s="241" t="s">
        <v>284</v>
      </c>
      <c r="G94" s="341">
        <f>G92+G93</f>
        <v>0</v>
      </c>
      <c r="H94" s="348">
        <f>G94</f>
        <v>0</v>
      </c>
      <c r="I94" s="341">
        <f>IF($G$3=0,0,G94/$G$3)</f>
        <v>0</v>
      </c>
      <c r="J94" s="341">
        <f>J92+J93</f>
        <v>0</v>
      </c>
      <c r="K94" s="349"/>
    </row>
    <row r="95" spans="1:15" s="232" customFormat="1" ht="15" customHeight="1">
      <c r="A95" s="240"/>
      <c r="B95" s="241"/>
      <c r="K95" s="349"/>
    </row>
    <row r="96" spans="1:15" s="232" customFormat="1" ht="15" customHeight="1">
      <c r="A96" s="240"/>
      <c r="G96" s="275"/>
      <c r="H96" s="275"/>
      <c r="I96" s="275"/>
      <c r="K96" s="1482" t="s">
        <v>895</v>
      </c>
    </row>
    <row r="97" spans="1:23" s="232" customFormat="1" ht="15" customHeight="1">
      <c r="A97" s="240"/>
      <c r="G97" s="275"/>
      <c r="H97" s="275"/>
      <c r="J97" s="275"/>
      <c r="K97" s="351"/>
    </row>
    <row r="98" spans="1:23" ht="15" customHeight="1">
      <c r="A98" s="240"/>
      <c r="B98" s="232"/>
      <c r="C98" s="232"/>
      <c r="D98" s="232"/>
      <c r="E98" s="232"/>
      <c r="F98" s="232"/>
      <c r="G98" s="232"/>
      <c r="H98" s="232"/>
      <c r="I98" s="232"/>
      <c r="J98" s="232"/>
      <c r="K98" s="350" t="s">
        <v>285</v>
      </c>
      <c r="L98" s="232"/>
      <c r="M98" s="232"/>
      <c r="N98" s="232"/>
      <c r="O98" s="232"/>
    </row>
    <row r="99" spans="1:23" ht="15" customHeight="1">
      <c r="A99" s="1416"/>
      <c r="B99" s="1416"/>
      <c r="C99" s="1416"/>
      <c r="D99" s="1416"/>
      <c r="E99" s="1416"/>
      <c r="F99" s="1416"/>
      <c r="G99" s="1416"/>
      <c r="H99" s="1416"/>
      <c r="I99" s="1416"/>
      <c r="J99" s="1416"/>
      <c r="K99" s="1416"/>
      <c r="L99" s="232"/>
      <c r="M99" s="232"/>
      <c r="N99" s="232"/>
      <c r="O99" s="232"/>
    </row>
    <row r="100" spans="1:23" s="232" customFormat="1" ht="15" customHeight="1">
      <c r="G100" s="352"/>
      <c r="H100" s="352"/>
      <c r="J100" s="352"/>
    </row>
    <row r="101" spans="1:23" s="232" customFormat="1" ht="15" customHeight="1">
      <c r="G101" s="353"/>
      <c r="H101" s="353">
        <v>0</v>
      </c>
      <c r="J101" s="353"/>
    </row>
    <row r="102" spans="1:23" s="232" customFormat="1" ht="15" customHeight="1"/>
    <row r="103" spans="1:23" s="232" customFormat="1" ht="15" customHeight="1">
      <c r="J103" s="289"/>
    </row>
    <row r="104" spans="1:23" s="232" customFormat="1" ht="15" customHeight="1">
      <c r="H104" s="354"/>
      <c r="J104" s="275"/>
    </row>
    <row r="105" spans="1:23" ht="15" customHeight="1"/>
    <row r="106" spans="1:23" ht="15" customHeight="1"/>
    <row r="107" spans="1:23" ht="15" customHeight="1">
      <c r="L107" s="232"/>
      <c r="M107" s="232"/>
      <c r="N107" s="232"/>
      <c r="O107" s="232"/>
    </row>
    <row r="108" spans="1:23" ht="15" customHeight="1">
      <c r="L108" s="232"/>
      <c r="M108" s="232"/>
      <c r="N108" s="232"/>
      <c r="O108" s="232"/>
    </row>
    <row r="109" spans="1:23" s="232" customFormat="1" ht="15" customHeight="1"/>
    <row r="110" spans="1:23" s="232" customFormat="1" ht="15" customHeight="1"/>
    <row r="111" spans="1:23" ht="15" customHeight="1"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</row>
    <row r="112" spans="1:23" ht="15" customHeight="1"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</row>
    <row r="113" spans="12:78" ht="15" customHeight="1"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</row>
    <row r="114" spans="12:78" ht="15.75" customHeight="1"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</row>
    <row r="115" spans="12:78" ht="15" customHeight="1"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</row>
    <row r="116" spans="12:78" s="232" customFormat="1" ht="15" customHeight="1"/>
    <row r="117" spans="12:78" ht="15" customHeight="1"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</row>
    <row r="118" spans="12:78" ht="15" customHeight="1"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</row>
    <row r="119" spans="12:78" ht="15" customHeight="1"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</row>
    <row r="120" spans="12:78" ht="15" customHeight="1"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</row>
    <row r="121" spans="12:78" ht="15" customHeight="1"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</row>
    <row r="122" spans="12:78" ht="15.75" customHeight="1"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355"/>
      <c r="W122" s="355"/>
    </row>
    <row r="123" spans="12:78" ht="15.75" customHeight="1"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355"/>
      <c r="W123" s="355"/>
    </row>
    <row r="124" spans="12:78" ht="15.75" customHeight="1"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355"/>
      <c r="W124" s="355"/>
    </row>
    <row r="125" spans="12:78" ht="15.75" customHeight="1"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355"/>
      <c r="W125" s="355"/>
    </row>
    <row r="126" spans="12:78" ht="15.75" customHeight="1">
      <c r="P126" s="232"/>
      <c r="Q126" s="232"/>
      <c r="R126" s="232"/>
      <c r="S126" s="232"/>
      <c r="T126" s="232"/>
      <c r="U126" s="232"/>
      <c r="V126" s="355"/>
      <c r="W126" s="355"/>
    </row>
    <row r="127" spans="12:78" ht="15.75" customHeight="1">
      <c r="P127" s="232"/>
      <c r="Q127" s="232"/>
      <c r="R127" s="232"/>
      <c r="S127" s="232"/>
      <c r="T127" s="232"/>
      <c r="U127" s="232"/>
      <c r="V127" s="355"/>
      <c r="W127" s="355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32"/>
      <c r="AQ127" s="232"/>
      <c r="AR127" s="232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232"/>
      <c r="BH127" s="232"/>
      <c r="BI127" s="232"/>
      <c r="BJ127" s="232"/>
      <c r="BK127" s="232"/>
      <c r="BL127" s="232"/>
      <c r="BM127" s="232"/>
      <c r="BN127" s="232"/>
      <c r="BO127" s="232"/>
      <c r="BP127" s="232"/>
      <c r="BQ127" s="232"/>
      <c r="BR127" s="232"/>
      <c r="BS127" s="232"/>
      <c r="BT127" s="232"/>
      <c r="BU127" s="232"/>
      <c r="BV127" s="232"/>
      <c r="BW127" s="232"/>
      <c r="BX127" s="232"/>
      <c r="BY127" s="232"/>
      <c r="BZ127" s="232"/>
    </row>
    <row r="128" spans="12:78" ht="15.75" customHeight="1" outlineLevel="1">
      <c r="AH128" s="232"/>
      <c r="AI128" s="232"/>
      <c r="AJ128" s="232"/>
      <c r="AK128" s="232"/>
      <c r="AL128" s="232"/>
      <c r="AM128" s="232"/>
      <c r="AN128" s="232"/>
      <c r="AO128" s="232"/>
      <c r="AP128" s="232"/>
      <c r="AQ128" s="232"/>
      <c r="AR128" s="232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232"/>
      <c r="BH128" s="232"/>
      <c r="BI128" s="232"/>
      <c r="BJ128" s="232"/>
      <c r="BK128" s="232"/>
      <c r="BL128" s="232"/>
      <c r="BM128" s="232"/>
      <c r="BN128" s="232"/>
      <c r="BO128" s="232"/>
      <c r="BP128" s="232"/>
      <c r="BQ128" s="232"/>
      <c r="BR128" s="232"/>
      <c r="BS128" s="232"/>
      <c r="BT128" s="232"/>
      <c r="BU128" s="232"/>
      <c r="BV128" s="232"/>
      <c r="BW128" s="232"/>
      <c r="BX128" s="232"/>
      <c r="BY128" s="232"/>
      <c r="BZ128" s="232"/>
    </row>
    <row r="129" spans="34:78" ht="15.75" customHeight="1" outlineLevel="1">
      <c r="AH129" s="232"/>
      <c r="AI129" s="232"/>
      <c r="AJ129" s="232"/>
      <c r="AK129" s="232"/>
      <c r="AL129" s="232"/>
      <c r="AM129" s="232"/>
      <c r="AN129" s="232"/>
      <c r="AO129" s="232"/>
      <c r="AP129" s="232"/>
      <c r="AQ129" s="232"/>
      <c r="AR129" s="232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232"/>
      <c r="BH129" s="232"/>
      <c r="BI129" s="232"/>
      <c r="BJ129" s="232"/>
      <c r="BK129" s="232"/>
      <c r="BL129" s="232"/>
      <c r="BM129" s="232"/>
      <c r="BN129" s="232"/>
      <c r="BO129" s="232"/>
      <c r="BP129" s="232"/>
      <c r="BQ129" s="232"/>
      <c r="BR129" s="232"/>
      <c r="BS129" s="232"/>
      <c r="BT129" s="232"/>
      <c r="BU129" s="232"/>
      <c r="BV129" s="232"/>
      <c r="BW129" s="232"/>
      <c r="BX129" s="232"/>
      <c r="BY129" s="232"/>
      <c r="BZ129" s="232"/>
    </row>
    <row r="130" spans="34:78" ht="15.75" customHeight="1" outlineLevel="1">
      <c r="AH130" s="232"/>
      <c r="AI130" s="232"/>
      <c r="AJ130" s="232"/>
      <c r="AK130" s="232"/>
      <c r="AL130" s="232"/>
      <c r="AM130" s="232"/>
      <c r="AN130" s="232"/>
      <c r="AO130" s="232"/>
      <c r="AP130" s="232"/>
      <c r="AQ130" s="232"/>
      <c r="AR130" s="232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232"/>
      <c r="BH130" s="232"/>
      <c r="BI130" s="232"/>
      <c r="BJ130" s="232"/>
      <c r="BK130" s="232"/>
      <c r="BL130" s="232"/>
      <c r="BM130" s="232"/>
      <c r="BN130" s="232"/>
      <c r="BO130" s="232"/>
      <c r="BP130" s="232"/>
      <c r="BQ130" s="232"/>
      <c r="BR130" s="232"/>
      <c r="BS130" s="232"/>
      <c r="BT130" s="232"/>
      <c r="BU130" s="232"/>
      <c r="BV130" s="232"/>
      <c r="BW130" s="232"/>
      <c r="BX130" s="232"/>
      <c r="BY130" s="232"/>
      <c r="BZ130" s="232"/>
    </row>
    <row r="131" spans="34:78" ht="15.75" customHeight="1" outlineLevel="1">
      <c r="AH131" s="356"/>
      <c r="AI131" s="356"/>
      <c r="AJ131" s="356"/>
      <c r="AK131" s="356"/>
      <c r="AL131" s="356"/>
      <c r="AM131" s="356"/>
      <c r="AN131" s="232"/>
      <c r="AO131" s="232"/>
      <c r="AP131" s="232"/>
      <c r="AQ131" s="232"/>
      <c r="AR131" s="232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232"/>
      <c r="BH131" s="232"/>
      <c r="BI131" s="232"/>
      <c r="BJ131" s="232"/>
      <c r="BK131" s="232"/>
      <c r="BL131" s="232"/>
      <c r="BM131" s="232"/>
      <c r="BN131" s="232"/>
      <c r="BO131" s="232"/>
      <c r="BP131" s="232"/>
      <c r="BQ131" s="232"/>
      <c r="BR131" s="232"/>
      <c r="BS131" s="232"/>
      <c r="BT131" s="232"/>
      <c r="BU131" s="232"/>
      <c r="BV131" s="232"/>
      <c r="BW131" s="232"/>
      <c r="BX131" s="232"/>
      <c r="BY131" s="232"/>
      <c r="BZ131" s="232"/>
    </row>
    <row r="132" spans="34:78" s="357" customFormat="1" ht="15.75" customHeight="1" outlineLevel="1"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</row>
    <row r="133" spans="34:78" ht="15.75" customHeight="1" outlineLevel="1">
      <c r="AH133" s="232"/>
      <c r="AI133" s="232"/>
      <c r="AJ133" s="232"/>
      <c r="AK133" s="232"/>
      <c r="AL133" s="232"/>
      <c r="AM133" s="232"/>
      <c r="AN133" s="232"/>
      <c r="AO133" s="232"/>
      <c r="AP133" s="232"/>
      <c r="AQ133" s="232"/>
      <c r="AR133" s="232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232"/>
      <c r="BH133" s="232"/>
      <c r="BI133" s="232"/>
      <c r="BJ133" s="232"/>
      <c r="BK133" s="232"/>
      <c r="BL133" s="232"/>
      <c r="BM133" s="232"/>
      <c r="BN133" s="232"/>
      <c r="BO133" s="232"/>
      <c r="BP133" s="232"/>
      <c r="BQ133" s="232"/>
      <c r="BR133" s="232"/>
      <c r="BS133" s="232"/>
      <c r="BT133" s="232"/>
      <c r="BU133" s="232"/>
      <c r="BV133" s="232"/>
      <c r="BW133" s="232"/>
      <c r="BX133" s="232"/>
      <c r="BY133" s="232"/>
      <c r="BZ133" s="232"/>
    </row>
    <row r="134" spans="34:78" ht="15.75" customHeight="1" outlineLevel="1">
      <c r="AH134" s="232"/>
      <c r="AI134" s="232"/>
      <c r="AJ134" s="232"/>
      <c r="AK134" s="232"/>
      <c r="AL134" s="232"/>
      <c r="AM134" s="232"/>
      <c r="AN134" s="232"/>
      <c r="AO134" s="232"/>
      <c r="AP134" s="232"/>
      <c r="AQ134" s="232"/>
      <c r="AR134" s="232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232"/>
      <c r="BH134" s="232"/>
      <c r="BI134" s="232"/>
      <c r="BJ134" s="232"/>
      <c r="BK134" s="232"/>
      <c r="BL134" s="232"/>
      <c r="BM134" s="232"/>
      <c r="BN134" s="232"/>
      <c r="BO134" s="232"/>
      <c r="BP134" s="232"/>
      <c r="BQ134" s="232"/>
      <c r="BR134" s="232"/>
      <c r="BS134" s="232"/>
      <c r="BT134" s="232"/>
      <c r="BU134" s="232"/>
      <c r="BV134" s="232"/>
      <c r="BW134" s="232"/>
      <c r="BX134" s="232"/>
      <c r="BY134" s="232"/>
      <c r="BZ134" s="232"/>
    </row>
    <row r="135" spans="34:78" ht="15.75" customHeight="1" outlineLevel="1">
      <c r="AH135" s="232"/>
      <c r="AI135" s="232"/>
      <c r="AJ135" s="232"/>
      <c r="AK135" s="232"/>
      <c r="AL135" s="232"/>
      <c r="AM135" s="232"/>
      <c r="AN135" s="232"/>
      <c r="AO135" s="232"/>
      <c r="AP135" s="232"/>
      <c r="AQ135" s="232"/>
      <c r="AR135" s="232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232"/>
      <c r="BH135" s="232"/>
      <c r="BI135" s="232"/>
      <c r="BJ135" s="232"/>
      <c r="BK135" s="232"/>
      <c r="BL135" s="232"/>
      <c r="BM135" s="232"/>
      <c r="BN135" s="232"/>
      <c r="BO135" s="232"/>
      <c r="BP135" s="232"/>
      <c r="BQ135" s="232"/>
      <c r="BR135" s="232"/>
      <c r="BS135" s="232"/>
      <c r="BT135" s="232"/>
      <c r="BU135" s="232"/>
      <c r="BV135" s="232"/>
      <c r="BW135" s="232"/>
      <c r="BX135" s="232"/>
      <c r="BY135" s="232"/>
      <c r="BZ135" s="232"/>
    </row>
    <row r="136" spans="34:78" ht="15.75" customHeight="1" outlineLevel="1">
      <c r="AH136" s="232"/>
      <c r="AI136" s="232"/>
      <c r="AJ136" s="232"/>
      <c r="AK136" s="232"/>
      <c r="AL136" s="232"/>
      <c r="AM136" s="232"/>
      <c r="AN136" s="232"/>
      <c r="AO136" s="232"/>
      <c r="AP136" s="232"/>
      <c r="AQ136" s="232"/>
      <c r="AR136" s="232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232"/>
      <c r="BH136" s="232"/>
      <c r="BI136" s="232"/>
      <c r="BJ136" s="232"/>
      <c r="BK136" s="232"/>
      <c r="BL136" s="232"/>
      <c r="BM136" s="232"/>
      <c r="BN136" s="232"/>
      <c r="BO136" s="232"/>
      <c r="BP136" s="232"/>
      <c r="BQ136" s="232"/>
      <c r="BR136" s="232"/>
      <c r="BS136" s="232"/>
      <c r="BT136" s="232"/>
      <c r="BU136" s="232"/>
      <c r="BV136" s="232"/>
      <c r="BW136" s="232"/>
      <c r="BX136" s="232"/>
      <c r="BY136" s="232"/>
      <c r="BZ136" s="232"/>
    </row>
    <row r="137" spans="34:78" ht="15.75" customHeight="1" outlineLevel="1">
      <c r="AH137" s="232"/>
      <c r="AI137" s="232"/>
      <c r="AJ137" s="232"/>
      <c r="AK137" s="232"/>
      <c r="AL137" s="232"/>
      <c r="AM137" s="232"/>
      <c r="AN137" s="232"/>
      <c r="AO137" s="232"/>
      <c r="AP137" s="232"/>
      <c r="AQ137" s="232"/>
      <c r="AR137" s="232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232"/>
      <c r="BH137" s="232"/>
      <c r="BI137" s="232"/>
      <c r="BJ137" s="232"/>
      <c r="BK137" s="232"/>
      <c r="BL137" s="232"/>
      <c r="BM137" s="232"/>
      <c r="BN137" s="232"/>
      <c r="BO137" s="232"/>
      <c r="BP137" s="232"/>
      <c r="BQ137" s="232"/>
      <c r="BR137" s="232"/>
      <c r="BS137" s="232"/>
      <c r="BT137" s="232"/>
      <c r="BU137" s="232"/>
      <c r="BV137" s="232"/>
      <c r="BW137" s="232"/>
      <c r="BX137" s="232"/>
      <c r="BY137" s="232"/>
      <c r="BZ137" s="232"/>
    </row>
    <row r="138" spans="34:78" ht="15.75" customHeight="1" outlineLevel="1">
      <c r="AH138" s="232"/>
      <c r="AI138" s="232"/>
      <c r="AJ138" s="232"/>
      <c r="AK138" s="232"/>
      <c r="AL138" s="232"/>
      <c r="AM138" s="232"/>
      <c r="AN138" s="232"/>
      <c r="AO138" s="232"/>
      <c r="AP138" s="232"/>
      <c r="AQ138" s="232"/>
      <c r="AR138" s="232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232"/>
      <c r="BH138" s="232"/>
      <c r="BI138" s="232"/>
      <c r="BJ138" s="232"/>
      <c r="BK138" s="232"/>
      <c r="BL138" s="232"/>
      <c r="BM138" s="232"/>
      <c r="BN138" s="232"/>
      <c r="BO138" s="232"/>
      <c r="BP138" s="232"/>
      <c r="BQ138" s="232"/>
      <c r="BR138" s="232"/>
      <c r="BS138" s="232"/>
      <c r="BT138" s="232"/>
      <c r="BU138" s="232"/>
      <c r="BV138" s="232"/>
      <c r="BW138" s="232"/>
      <c r="BX138" s="232"/>
      <c r="BY138" s="232"/>
      <c r="BZ138" s="232"/>
    </row>
    <row r="139" spans="34:78" ht="15.75" customHeight="1" outlineLevel="1">
      <c r="AH139" s="232"/>
      <c r="AI139" s="232"/>
      <c r="AJ139" s="232"/>
      <c r="AK139" s="232"/>
      <c r="AL139" s="232"/>
      <c r="AM139" s="232"/>
      <c r="AN139" s="232"/>
      <c r="AO139" s="232"/>
      <c r="AP139" s="232"/>
      <c r="AQ139" s="232"/>
      <c r="AR139" s="232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232"/>
      <c r="BH139" s="232"/>
      <c r="BI139" s="232"/>
      <c r="BJ139" s="232"/>
      <c r="BK139" s="232"/>
      <c r="BL139" s="232"/>
      <c r="BM139" s="232"/>
      <c r="BN139" s="232"/>
      <c r="BO139" s="232"/>
      <c r="BP139" s="232"/>
      <c r="BQ139" s="232"/>
      <c r="BR139" s="232"/>
      <c r="BS139" s="232"/>
      <c r="BT139" s="232"/>
      <c r="BU139" s="232"/>
      <c r="BV139" s="232"/>
      <c r="BW139" s="232"/>
      <c r="BX139" s="232"/>
      <c r="BY139" s="232"/>
      <c r="BZ139" s="232"/>
    </row>
    <row r="140" spans="34:78" ht="15.75" customHeight="1" outlineLevel="1">
      <c r="AH140" s="232"/>
      <c r="AI140" s="232"/>
      <c r="AJ140" s="232"/>
      <c r="AK140" s="232"/>
      <c r="AL140" s="232"/>
      <c r="AM140" s="232"/>
      <c r="AN140" s="232"/>
      <c r="AO140" s="232"/>
      <c r="AP140" s="232"/>
      <c r="AQ140" s="232"/>
      <c r="AR140" s="232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232"/>
      <c r="BH140" s="232"/>
      <c r="BI140" s="232"/>
      <c r="BJ140" s="232"/>
      <c r="BK140" s="232"/>
      <c r="BL140" s="232"/>
      <c r="BM140" s="232"/>
      <c r="BN140" s="232"/>
      <c r="BO140" s="232"/>
      <c r="BP140" s="232"/>
      <c r="BQ140" s="232"/>
      <c r="BR140" s="232"/>
      <c r="BS140" s="232"/>
      <c r="BT140" s="232"/>
      <c r="BU140" s="232"/>
      <c r="BV140" s="232"/>
      <c r="BW140" s="232"/>
      <c r="BX140" s="232"/>
      <c r="BY140" s="232"/>
      <c r="BZ140" s="232"/>
    </row>
    <row r="141" spans="34:78" ht="15.75" customHeight="1" outlineLevel="1">
      <c r="AH141" s="232"/>
      <c r="AI141" s="232"/>
      <c r="AJ141" s="232"/>
      <c r="AK141" s="232"/>
      <c r="AL141" s="232"/>
      <c r="AM141" s="232"/>
      <c r="AN141" s="232"/>
      <c r="AO141" s="232"/>
      <c r="AP141" s="232"/>
      <c r="AQ141" s="232"/>
      <c r="AR141" s="232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232"/>
      <c r="BH141" s="232"/>
      <c r="BI141" s="232"/>
      <c r="BJ141" s="232"/>
      <c r="BK141" s="232"/>
      <c r="BL141" s="232"/>
      <c r="BM141" s="232"/>
      <c r="BN141" s="232"/>
      <c r="BO141" s="232"/>
      <c r="BP141" s="232"/>
      <c r="BQ141" s="232"/>
      <c r="BR141" s="232"/>
      <c r="BS141" s="232"/>
      <c r="BT141" s="232"/>
      <c r="BU141" s="232"/>
      <c r="BV141" s="232"/>
      <c r="BW141" s="232"/>
      <c r="BX141" s="232"/>
      <c r="BY141" s="232"/>
      <c r="BZ141" s="232"/>
    </row>
    <row r="142" spans="34:78" ht="15.75" customHeight="1" outlineLevel="1">
      <c r="AH142" s="232"/>
      <c r="AI142" s="232"/>
      <c r="AJ142" s="232"/>
      <c r="AK142" s="232"/>
      <c r="AL142" s="232"/>
      <c r="AM142" s="232"/>
      <c r="AN142" s="232"/>
      <c r="AO142" s="232"/>
      <c r="AP142" s="232"/>
      <c r="AQ142" s="232"/>
      <c r="AR142" s="232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232"/>
      <c r="BH142" s="232"/>
      <c r="BI142" s="232"/>
      <c r="BJ142" s="232"/>
      <c r="BK142" s="232"/>
      <c r="BL142" s="232"/>
      <c r="BM142" s="232"/>
      <c r="BN142" s="232"/>
      <c r="BO142" s="232"/>
      <c r="BP142" s="232"/>
      <c r="BQ142" s="232"/>
      <c r="BR142" s="232"/>
      <c r="BS142" s="232"/>
      <c r="BT142" s="232"/>
      <c r="BU142" s="232"/>
      <c r="BV142" s="232"/>
      <c r="BW142" s="232"/>
      <c r="BX142" s="232"/>
      <c r="BY142" s="232"/>
      <c r="BZ142" s="232"/>
    </row>
    <row r="143" spans="34:78" outlineLevel="1"/>
    <row r="144" spans="34:78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</sheetData>
  <mergeCells count="2">
    <mergeCell ref="A2:G2"/>
    <mergeCell ref="A99:K99"/>
  </mergeCells>
  <conditionalFormatting sqref="Q17:Q19">
    <cfRule type="expression" dxfId="4" priority="4">
      <formula>$Q$17&gt;$P$17</formula>
    </cfRule>
  </conditionalFormatting>
  <conditionalFormatting sqref="Q18">
    <cfRule type="expression" dxfId="3" priority="3">
      <formula>$Q$18&gt;$P$18</formula>
    </cfRule>
  </conditionalFormatting>
  <conditionalFormatting sqref="Q19">
    <cfRule type="expression" dxfId="2" priority="2">
      <formula>$Q$19&gt;$P$19</formula>
    </cfRule>
  </conditionalFormatting>
  <hyperlinks>
    <hyperlink ref="C13" location="Input!B109:E117" display="Sitework &amp; Related Fees" xr:uid="{00000000-0004-0000-0300-000000000000}"/>
  </hyperlinks>
  <pageMargins left="0.45" right="0.2" top="0.75" bottom="0.25" header="0.511811023622047" footer="0.511811023622047"/>
  <pageSetup fitToWidth="2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E71"/>
  <sheetViews>
    <sheetView showGridLines="0" zoomScale="98" zoomScaleNormal="98" workbookViewId="0">
      <selection activeCell="K69" sqref="K69"/>
    </sheetView>
  </sheetViews>
  <sheetFormatPr baseColWidth="10" defaultColWidth="9.5" defaultRowHeight="15"/>
  <cols>
    <col min="1" max="3" width="11.5" customWidth="1"/>
    <col min="4" max="4" width="11" customWidth="1"/>
    <col min="5" max="5" width="11.5" customWidth="1"/>
    <col min="6" max="6" width="12.5" customWidth="1"/>
    <col min="7" max="7" width="14" customWidth="1"/>
    <col min="8" max="8" width="13.5" customWidth="1"/>
    <col min="9" max="9" width="10.5" customWidth="1"/>
    <col min="11" max="11" width="17.5" customWidth="1"/>
    <col min="13" max="13" width="13.5" customWidth="1"/>
    <col min="14" max="14" width="13.1640625" customWidth="1"/>
    <col min="15" max="19" width="10" customWidth="1"/>
    <col min="21" max="21" width="13.5" customWidth="1"/>
    <col min="25" max="25" width="11.5" customWidth="1"/>
  </cols>
  <sheetData>
    <row r="1" spans="1:31" ht="21" customHeight="1">
      <c r="A1" s="358" t="s">
        <v>784</v>
      </c>
      <c r="K1" s="359" t="s">
        <v>141</v>
      </c>
      <c r="L1" s="360"/>
    </row>
    <row r="2" spans="1:31">
      <c r="A2" s="361" t="s">
        <v>286</v>
      </c>
      <c r="K2" s="362">
        <v>46111</v>
      </c>
      <c r="U2">
        <f>K26*D26</f>
        <v>0</v>
      </c>
    </row>
    <row r="3" spans="1:31">
      <c r="A3" s="85"/>
      <c r="H3" s="199" t="s">
        <v>287</v>
      </c>
      <c r="N3">
        <v>1971.2</v>
      </c>
      <c r="U3">
        <f>U2*12</f>
        <v>0</v>
      </c>
    </row>
    <row r="4" spans="1:31">
      <c r="A4" s="85" t="s">
        <v>288</v>
      </c>
      <c r="H4" s="199" t="s">
        <v>289</v>
      </c>
    </row>
    <row r="5" spans="1:31">
      <c r="H5" s="199" t="s">
        <v>827</v>
      </c>
    </row>
    <row r="6" spans="1:31" ht="30" customHeight="1">
      <c r="A6" s="363" t="s">
        <v>290</v>
      </c>
      <c r="B6" s="363" t="s">
        <v>291</v>
      </c>
      <c r="C6" s="363" t="s">
        <v>292</v>
      </c>
      <c r="D6" s="363" t="s">
        <v>40</v>
      </c>
      <c r="E6" s="363" t="s">
        <v>293</v>
      </c>
      <c r="F6" s="363" t="s">
        <v>294</v>
      </c>
      <c r="G6" s="363" t="s">
        <v>62</v>
      </c>
      <c r="H6" s="363" t="s">
        <v>295</v>
      </c>
      <c r="I6" s="363" t="s">
        <v>296</v>
      </c>
      <c r="J6" s="363"/>
      <c r="K6" s="363" t="s">
        <v>297</v>
      </c>
      <c r="N6" s="24">
        <v>0</v>
      </c>
      <c r="O6" s="24">
        <v>0</v>
      </c>
      <c r="P6" s="24">
        <v>0</v>
      </c>
      <c r="U6" s="364">
        <f>U3*20</f>
        <v>0</v>
      </c>
      <c r="V6" s="365"/>
    </row>
    <row r="7" spans="1:31">
      <c r="A7" s="1485" t="s">
        <v>66</v>
      </c>
      <c r="B7" s="1486" t="s">
        <v>54</v>
      </c>
      <c r="C7" s="1487">
        <v>0.3</v>
      </c>
      <c r="D7" s="1488"/>
      <c r="E7" s="1489"/>
      <c r="F7" s="1490"/>
      <c r="G7" s="1491"/>
      <c r="H7" s="1491">
        <f>F7-G7</f>
        <v>0</v>
      </c>
      <c r="I7" s="1492">
        <f>IF(E7=0,0,H7/E7)</f>
        <v>0</v>
      </c>
      <c r="J7" s="1504"/>
      <c r="K7" s="1491">
        <f>H7*D7*12</f>
        <v>0</v>
      </c>
      <c r="L7" s="1493" t="s">
        <v>327</v>
      </c>
      <c r="P7" s="70"/>
      <c r="V7" s="365"/>
      <c r="AB7" s="15"/>
      <c r="AC7" s="30"/>
      <c r="AD7" s="91"/>
      <c r="AE7" s="375"/>
    </row>
    <row r="8" spans="1:31">
      <c r="A8" s="1485" t="s">
        <v>66</v>
      </c>
      <c r="B8" s="1486" t="s">
        <v>55</v>
      </c>
      <c r="C8" s="1487">
        <v>0.5</v>
      </c>
      <c r="D8" s="1488"/>
      <c r="E8" s="1489"/>
      <c r="F8" s="1490"/>
      <c r="G8" s="1491"/>
      <c r="H8" s="1491">
        <f>F8-G8</f>
        <v>0</v>
      </c>
      <c r="I8" s="1492">
        <f>IF(E8=0,0,H8/E8)</f>
        <v>0</v>
      </c>
      <c r="J8" s="1504"/>
      <c r="K8" s="1491">
        <f>H8*D8*12</f>
        <v>0</v>
      </c>
      <c r="L8" s="1493" t="s">
        <v>327</v>
      </c>
      <c r="N8" s="85" t="s">
        <v>298</v>
      </c>
      <c r="R8" s="376">
        <f>D26</f>
        <v>0</v>
      </c>
      <c r="AB8" s="15"/>
      <c r="AC8" s="30"/>
      <c r="AD8" s="91"/>
      <c r="AE8" s="375"/>
    </row>
    <row r="9" spans="1:31">
      <c r="A9" s="1494" t="s">
        <v>66</v>
      </c>
      <c r="B9" s="1496" t="s">
        <v>56</v>
      </c>
      <c r="C9" s="1497">
        <v>0.6</v>
      </c>
      <c r="D9" s="1498"/>
      <c r="E9" s="1499"/>
      <c r="F9" s="1500"/>
      <c r="G9" s="1501"/>
      <c r="H9" s="1501">
        <f>F9-G9</f>
        <v>0</v>
      </c>
      <c r="I9" s="1502">
        <f>IF(E9=0,0,H9/E9)</f>
        <v>0</v>
      </c>
      <c r="J9" s="1495"/>
      <c r="K9" s="1501">
        <f>H9*D9*12</f>
        <v>0</v>
      </c>
      <c r="L9" s="1503" t="s">
        <v>327</v>
      </c>
      <c r="N9" s="85" t="s">
        <v>300</v>
      </c>
      <c r="R9" s="377"/>
      <c r="S9" t="s">
        <v>301</v>
      </c>
      <c r="AB9" s="15"/>
      <c r="AC9" s="30"/>
      <c r="AD9" s="91"/>
      <c r="AE9" s="375"/>
    </row>
    <row r="10" spans="1:31">
      <c r="A10" s="1485" t="s">
        <v>67</v>
      </c>
      <c r="B10" s="1486" t="s">
        <v>54</v>
      </c>
      <c r="C10" s="1487">
        <v>0.3</v>
      </c>
      <c r="D10" s="1488"/>
      <c r="E10" s="1489"/>
      <c r="F10" s="1490"/>
      <c r="G10" s="1491"/>
      <c r="H10" s="1491">
        <f>F10-G10</f>
        <v>0</v>
      </c>
      <c r="I10" s="1492">
        <f>IF(E10=0,0,H10/E10)</f>
        <v>0</v>
      </c>
      <c r="J10" s="1504"/>
      <c r="K10" s="1491">
        <f>H10*D10*12</f>
        <v>0</v>
      </c>
      <c r="L10" s="1493" t="s">
        <v>327</v>
      </c>
      <c r="N10" t="s">
        <v>302</v>
      </c>
      <c r="R10" s="376" cm="1">
        <f t="array" ref="R10">D26-SUMPRODUCT((B7:B25="Market")*(D7:D25))</f>
        <v>0</v>
      </c>
      <c r="AB10" s="15"/>
      <c r="AC10" s="30"/>
      <c r="AD10" s="91"/>
      <c r="AE10" s="375"/>
    </row>
    <row r="11" spans="1:31">
      <c r="A11" s="1485" t="s">
        <v>67</v>
      </c>
      <c r="B11" s="1486" t="s">
        <v>55</v>
      </c>
      <c r="C11" s="1487">
        <v>0.5</v>
      </c>
      <c r="D11" s="1488"/>
      <c r="E11" s="1489"/>
      <c r="F11" s="1490"/>
      <c r="G11" s="1491"/>
      <c r="H11" s="1491">
        <f>F11-G11</f>
        <v>0</v>
      </c>
      <c r="I11" s="1492">
        <f>IF(E11=0,0,H11/E11)</f>
        <v>0</v>
      </c>
      <c r="J11" s="1504"/>
      <c r="K11" s="1491">
        <f>H11*D11*12</f>
        <v>0</v>
      </c>
      <c r="L11" s="1493" t="s">
        <v>327</v>
      </c>
      <c r="O11" s="72"/>
      <c r="P11" s="98"/>
      <c r="Q11" s="98"/>
      <c r="R11" s="98"/>
      <c r="W11">
        <v>1248.5</v>
      </c>
      <c r="AB11" s="15"/>
      <c r="AC11" s="30"/>
      <c r="AD11" s="91"/>
      <c r="AE11" s="375"/>
    </row>
    <row r="12" spans="1:31">
      <c r="A12" s="1514" t="s">
        <v>67</v>
      </c>
      <c r="B12" s="1515" t="s">
        <v>56</v>
      </c>
      <c r="C12" s="1516">
        <v>0.6</v>
      </c>
      <c r="D12" s="1520"/>
      <c r="E12" s="1521"/>
      <c r="F12" s="1522"/>
      <c r="G12" s="1523"/>
      <c r="H12" s="1523">
        <f>F12-G12</f>
        <v>0</v>
      </c>
      <c r="I12" s="1524">
        <f>IF(E12=0,0,H12/E12)</f>
        <v>0</v>
      </c>
      <c r="J12" s="1518"/>
      <c r="K12" s="1523">
        <f>H12*D12*12</f>
        <v>0</v>
      </c>
      <c r="L12" s="1503" t="s">
        <v>327</v>
      </c>
      <c r="O12" s="72"/>
      <c r="P12" s="365"/>
      <c r="W12">
        <v>1492.7</v>
      </c>
      <c r="AB12" s="15"/>
      <c r="AC12" s="30"/>
      <c r="AD12" s="392"/>
      <c r="AE12" s="375"/>
    </row>
    <row r="13" spans="1:31">
      <c r="A13" s="1485" t="s">
        <v>68</v>
      </c>
      <c r="B13" s="1486" t="s">
        <v>54</v>
      </c>
      <c r="C13" s="1487">
        <v>0.3</v>
      </c>
      <c r="D13" s="1488"/>
      <c r="E13" s="1489"/>
      <c r="F13" s="1490"/>
      <c r="G13" s="1491"/>
      <c r="H13" s="1491">
        <f>F13-G13</f>
        <v>0</v>
      </c>
      <c r="I13" s="1492">
        <f>IF(E13=0,0,H13/E13)</f>
        <v>0</v>
      </c>
      <c r="J13" s="1504"/>
      <c r="K13" s="1491">
        <f>H13*D13*12</f>
        <v>0</v>
      </c>
      <c r="L13" s="1493" t="s">
        <v>327</v>
      </c>
      <c r="W13">
        <v>1971.2</v>
      </c>
      <c r="AB13" s="15"/>
      <c r="AD13" s="91"/>
      <c r="AE13" s="375"/>
    </row>
    <row r="14" spans="1:31">
      <c r="A14" s="1485" t="s">
        <v>68</v>
      </c>
      <c r="B14" s="1486" t="s">
        <v>55</v>
      </c>
      <c r="C14" s="1487">
        <v>0.5</v>
      </c>
      <c r="D14" s="1488"/>
      <c r="E14" s="1489"/>
      <c r="F14" s="1490"/>
      <c r="G14" s="1491"/>
      <c r="H14" s="1491">
        <f>F14-G14</f>
        <v>0</v>
      </c>
      <c r="I14" s="1492">
        <f>IF(E14=0,0,H14/E14)</f>
        <v>0</v>
      </c>
      <c r="J14" s="1504"/>
      <c r="K14" s="1491">
        <f>H14*D14*12</f>
        <v>0</v>
      </c>
      <c r="L14" s="1493" t="s">
        <v>327</v>
      </c>
      <c r="P14" s="393" cm="1">
        <f t="array" ref="P14">SUMPRODUCT((C7:C25=0.3)*(D7:D25))</f>
        <v>0</v>
      </c>
      <c r="Q14" s="394" t="s">
        <v>57</v>
      </c>
      <c r="AB14" s="15"/>
      <c r="AD14" s="91"/>
      <c r="AE14" s="375"/>
    </row>
    <row r="15" spans="1:31">
      <c r="A15" s="1494" t="s">
        <v>68</v>
      </c>
      <c r="B15" s="1496" t="s">
        <v>56</v>
      </c>
      <c r="C15" s="1497">
        <v>0.6</v>
      </c>
      <c r="D15" s="1498"/>
      <c r="E15" s="1499"/>
      <c r="F15" s="1500"/>
      <c r="G15" s="1501"/>
      <c r="H15" s="1501">
        <f>F15-G15</f>
        <v>0</v>
      </c>
      <c r="I15" s="1502">
        <f>IF(E15=0,0,H15/E15)</f>
        <v>0</v>
      </c>
      <c r="J15" s="1495"/>
      <c r="K15" s="1501">
        <f>H15*D15*12</f>
        <v>0</v>
      </c>
      <c r="L15" s="1503" t="s">
        <v>327</v>
      </c>
      <c r="P15" s="395" cm="1">
        <f t="array" ref="P15">SUMPRODUCT((C7:C25=0.5)*(D7:D25))</f>
        <v>0</v>
      </c>
      <c r="Q15" s="396" t="s">
        <v>58</v>
      </c>
      <c r="AB15" s="15"/>
      <c r="AD15" s="91"/>
      <c r="AE15" s="375"/>
    </row>
    <row r="16" spans="1:31">
      <c r="A16" s="1485" t="s">
        <v>69</v>
      </c>
      <c r="B16" s="1486" t="s">
        <v>54</v>
      </c>
      <c r="C16" s="1487">
        <v>0.3</v>
      </c>
      <c r="D16" s="1488"/>
      <c r="E16" s="1489"/>
      <c r="F16" s="1490"/>
      <c r="G16" s="1491"/>
      <c r="H16" s="1491">
        <f>F16-G16</f>
        <v>0</v>
      </c>
      <c r="I16" s="1492">
        <f>IF(E16=0,0,H16/E16)</f>
        <v>0</v>
      </c>
      <c r="J16" s="1504"/>
      <c r="K16" s="1491">
        <f>H16*D16*12</f>
        <v>0</v>
      </c>
      <c r="L16" s="1493" t="s">
        <v>327</v>
      </c>
      <c r="M16" t="s">
        <v>141</v>
      </c>
      <c r="N16" s="85"/>
      <c r="P16" s="395" cm="1">
        <f t="array" ref="P16">SUMPRODUCT((C7:C25=0.6)*(D7:D25))</f>
        <v>0</v>
      </c>
      <c r="Q16" s="396" t="s">
        <v>299</v>
      </c>
      <c r="AB16" s="15"/>
      <c r="AD16" s="91"/>
      <c r="AE16" s="375"/>
    </row>
    <row r="17" spans="1:31">
      <c r="A17" s="1485" t="s">
        <v>69</v>
      </c>
      <c r="B17" s="1486" t="s">
        <v>55</v>
      </c>
      <c r="C17" s="1517">
        <v>0.5</v>
      </c>
      <c r="D17" s="1488"/>
      <c r="E17" s="1489"/>
      <c r="F17" s="1490"/>
      <c r="G17" s="1491"/>
      <c r="H17" s="1491">
        <f>F17-G17</f>
        <v>0</v>
      </c>
      <c r="I17" s="1492">
        <f>IF(E17=0,0,H17/E17)</f>
        <v>0</v>
      </c>
      <c r="J17" s="1504"/>
      <c r="K17" s="1491">
        <f>H17*D17*12</f>
        <v>0</v>
      </c>
      <c r="L17" s="1493" t="s">
        <v>327</v>
      </c>
      <c r="N17" s="30"/>
      <c r="P17" s="395">
        <v>0</v>
      </c>
      <c r="Q17" s="396" t="s">
        <v>56</v>
      </c>
      <c r="S17" s="70"/>
      <c r="AB17" s="15"/>
      <c r="AD17" s="91"/>
      <c r="AE17" s="375"/>
    </row>
    <row r="18" spans="1:31">
      <c r="A18" s="1514" t="s">
        <v>69</v>
      </c>
      <c r="B18" s="1515" t="s">
        <v>56</v>
      </c>
      <c r="C18" s="1516">
        <v>0.6</v>
      </c>
      <c r="D18" s="1520"/>
      <c r="E18" s="1521"/>
      <c r="F18" s="1522"/>
      <c r="G18" s="1523"/>
      <c r="H18" s="1523">
        <f>F18-G18</f>
        <v>0</v>
      </c>
      <c r="I18" s="1524">
        <f>IF(E18=0,0,H18/E18)</f>
        <v>0</v>
      </c>
      <c r="J18" s="1518"/>
      <c r="K18" s="1523">
        <f>H18*D18*12</f>
        <v>0</v>
      </c>
      <c r="L18" s="1503" t="s">
        <v>327</v>
      </c>
      <c r="N18" s="30"/>
      <c r="P18" s="397">
        <f>D19</f>
        <v>0</v>
      </c>
      <c r="Q18" s="81" t="s">
        <v>303</v>
      </c>
      <c r="S18" s="70"/>
      <c r="AB18" s="15"/>
      <c r="AD18" s="392"/>
      <c r="AE18" s="375"/>
    </row>
    <row r="19" spans="1:31">
      <c r="A19" s="1505" t="s">
        <v>60</v>
      </c>
      <c r="B19" s="1506" t="s">
        <v>60</v>
      </c>
      <c r="C19" s="1507"/>
      <c r="D19" s="1508"/>
      <c r="E19" s="1509"/>
      <c r="F19" s="1510"/>
      <c r="G19" s="1511"/>
      <c r="H19" s="1511">
        <f>F19-G19</f>
        <v>0</v>
      </c>
      <c r="I19" s="1512">
        <f>IF(E19=0,0,H19/E19)</f>
        <v>0</v>
      </c>
      <c r="J19" s="1519"/>
      <c r="K19" s="1511">
        <f>H19*D19*12</f>
        <v>0</v>
      </c>
      <c r="L19" s="1513" t="s">
        <v>60</v>
      </c>
      <c r="N19" s="30"/>
      <c r="S19" s="70"/>
      <c r="AB19" s="15"/>
      <c r="AD19" s="91"/>
      <c r="AE19" s="375"/>
    </row>
    <row r="20" spans="1:31">
      <c r="A20" s="366"/>
      <c r="B20" s="373"/>
      <c r="C20" s="367"/>
      <c r="D20" s="368"/>
      <c r="E20" s="369"/>
      <c r="F20" s="370"/>
      <c r="G20" s="371"/>
      <c r="H20" s="371"/>
      <c r="I20" s="372"/>
      <c r="J20" s="373"/>
      <c r="K20" s="371"/>
      <c r="L20" s="374"/>
      <c r="N20" s="30"/>
      <c r="S20" s="70"/>
      <c r="AB20" s="15"/>
      <c r="AD20" s="91"/>
      <c r="AE20" s="375"/>
    </row>
    <row r="21" spans="1:31">
      <c r="A21" s="366"/>
      <c r="B21" s="373"/>
      <c r="C21" s="367"/>
      <c r="D21" s="368"/>
      <c r="E21" s="369"/>
      <c r="F21" s="370"/>
      <c r="G21" s="371"/>
      <c r="H21" s="371"/>
      <c r="I21" s="372"/>
      <c r="J21" s="373"/>
      <c r="K21" s="371"/>
      <c r="L21" s="374"/>
      <c r="N21" s="30"/>
      <c r="S21" s="70"/>
      <c r="AB21" s="15"/>
      <c r="AD21" s="91"/>
      <c r="AE21" s="375"/>
    </row>
    <row r="22" spans="1:31">
      <c r="A22" s="378"/>
      <c r="B22" s="385"/>
      <c r="C22" s="379"/>
      <c r="D22" s="380"/>
      <c r="E22" s="381"/>
      <c r="F22" s="382"/>
      <c r="G22" s="383"/>
      <c r="H22" s="383"/>
      <c r="I22" s="384"/>
      <c r="J22" s="385"/>
      <c r="K22" s="383"/>
      <c r="L22" s="386"/>
      <c r="N22" s="191"/>
      <c r="S22" s="70"/>
      <c r="AB22" s="15"/>
      <c r="AD22" s="91"/>
      <c r="AE22" s="375"/>
    </row>
    <row r="23" spans="1:31">
      <c r="A23" s="15"/>
      <c r="C23" s="91"/>
      <c r="D23" s="398"/>
      <c r="E23" s="375"/>
      <c r="F23" s="387"/>
      <c r="G23" s="98"/>
      <c r="H23" s="98"/>
      <c r="I23" s="389"/>
      <c r="K23" s="98"/>
      <c r="L23" s="390"/>
      <c r="N23" s="30"/>
      <c r="S23" s="70"/>
      <c r="AB23" s="15"/>
      <c r="AD23" s="91"/>
      <c r="AE23" s="375"/>
    </row>
    <row r="24" spans="1:31">
      <c r="A24" s="399"/>
      <c r="B24" s="123"/>
      <c r="C24" s="400"/>
      <c r="D24" s="401"/>
      <c r="E24" s="402"/>
      <c r="F24" s="403"/>
      <c r="G24" s="153"/>
      <c r="H24" s="153"/>
      <c r="I24" s="404"/>
      <c r="J24" s="123"/>
      <c r="K24" s="153"/>
      <c r="L24" s="391"/>
      <c r="O24" s="70"/>
      <c r="P24" s="72"/>
      <c r="AB24" s="15"/>
      <c r="AD24" s="91"/>
      <c r="AE24" s="375"/>
    </row>
    <row r="25" spans="1:31">
      <c r="A25" s="66"/>
      <c r="B25" s="58"/>
      <c r="C25" s="58"/>
      <c r="D25" s="405"/>
      <c r="E25" s="58"/>
      <c r="F25" s="58"/>
      <c r="G25" s="58"/>
      <c r="H25" s="406"/>
      <c r="I25" s="406"/>
      <c r="J25" s="58"/>
      <c r="K25" s="406"/>
      <c r="O25" s="365"/>
      <c r="AB25" s="15"/>
      <c r="AD25" s="91"/>
      <c r="AE25" s="375"/>
    </row>
    <row r="26" spans="1:31">
      <c r="A26" s="85" t="s">
        <v>304</v>
      </c>
      <c r="B26" s="85"/>
      <c r="C26" s="85"/>
      <c r="D26" s="376">
        <f>SUM(D7:D25)</f>
        <v>0</v>
      </c>
      <c r="E26" s="407">
        <f>IF(D26=0,0,SUMPRODUCT(D7:D25,E7:E25)/D26)</f>
        <v>0</v>
      </c>
      <c r="F26" s="85"/>
      <c r="G26" s="85"/>
      <c r="H26" s="387">
        <f>IF(D26=0,0,SUMPRODUCT(D7:D25,H7:H25)/D26)</f>
        <v>0</v>
      </c>
      <c r="I26" s="85"/>
      <c r="J26" s="85"/>
      <c r="K26" s="387">
        <f>SUM(K7:K25)</f>
        <v>0</v>
      </c>
      <c r="L26" s="408">
        <f>IF(D26=0,0,K26/D26)</f>
        <v>0</v>
      </c>
      <c r="P26" t="s">
        <v>305</v>
      </c>
      <c r="U26" t="s">
        <v>306</v>
      </c>
      <c r="AB26" s="15"/>
      <c r="AD26" s="91"/>
      <c r="AE26" s="375"/>
    </row>
    <row r="27" spans="1:31">
      <c r="D27" s="140">
        <v>1</v>
      </c>
      <c r="N27" s="58"/>
      <c r="O27" s="58"/>
      <c r="P27" s="58"/>
      <c r="Q27" s="58"/>
      <c r="R27" s="58"/>
      <c r="S27" s="58"/>
      <c r="AB27" s="15"/>
      <c r="AD27" s="91"/>
      <c r="AE27" s="375"/>
    </row>
    <row r="28" spans="1:31">
      <c r="A28" s="160" t="s">
        <v>308</v>
      </c>
      <c r="B28" s="160"/>
      <c r="C28" s="160"/>
      <c r="D28" s="160"/>
      <c r="E28" s="160"/>
      <c r="F28" s="409" t="s">
        <v>309</v>
      </c>
      <c r="G28" s="409"/>
      <c r="H28" s="409" t="s">
        <v>310</v>
      </c>
      <c r="I28" s="409"/>
      <c r="J28" s="409"/>
      <c r="K28" s="409" t="s">
        <v>311</v>
      </c>
      <c r="P28" s="70"/>
      <c r="Q28" s="70"/>
      <c r="R28" s="70"/>
      <c r="S28" s="70"/>
      <c r="U28" s="70"/>
      <c r="V28" s="70"/>
      <c r="W28" s="70"/>
      <c r="X28" s="70"/>
      <c r="Y28" s="70"/>
      <c r="AB28" s="15"/>
      <c r="AD28" s="91"/>
      <c r="AE28" s="375"/>
    </row>
    <row r="29" spans="1:31">
      <c r="A29" t="s">
        <v>312</v>
      </c>
      <c r="F29" s="389"/>
      <c r="G29" s="15"/>
      <c r="H29" s="410">
        <v>0</v>
      </c>
      <c r="I29" s="15"/>
      <c r="J29" s="15"/>
      <c r="K29" s="22">
        <f>H29*D26*12</f>
        <v>0</v>
      </c>
      <c r="P29" s="70"/>
      <c r="Q29" s="70"/>
      <c r="R29" s="70"/>
      <c r="S29" s="70"/>
      <c r="U29" s="70"/>
      <c r="V29" s="70"/>
      <c r="W29" s="70"/>
      <c r="X29" s="70"/>
      <c r="Y29" s="70"/>
      <c r="AB29" s="15"/>
      <c r="AD29" s="91"/>
      <c r="AE29" s="375"/>
    </row>
    <row r="30" spans="1:31">
      <c r="A30" t="s">
        <v>313</v>
      </c>
      <c r="F30" s="389"/>
      <c r="G30" s="15"/>
      <c r="H30" s="22">
        <v>610</v>
      </c>
      <c r="I30" s="15"/>
      <c r="J30" s="15"/>
      <c r="K30" s="22">
        <f>H30*D26*12</f>
        <v>0</v>
      </c>
      <c r="P30" s="70"/>
      <c r="Q30" s="70"/>
      <c r="R30" s="70"/>
      <c r="S30" s="70"/>
      <c r="U30" s="70"/>
      <c r="V30" s="70"/>
      <c r="W30" s="70"/>
      <c r="X30" s="70"/>
      <c r="Y30" s="70"/>
      <c r="AB30" s="15"/>
      <c r="AD30" s="392"/>
      <c r="AE30" s="375"/>
    </row>
    <row r="31" spans="1:31">
      <c r="A31" t="s">
        <v>314</v>
      </c>
      <c r="D31" s="16"/>
      <c r="F31" s="389"/>
      <c r="G31" s="15"/>
      <c r="H31" s="22">
        <v>305</v>
      </c>
      <c r="I31" s="15"/>
      <c r="J31" s="15"/>
      <c r="K31" s="22">
        <f>H31*D26*12</f>
        <v>0</v>
      </c>
      <c r="P31" s="70"/>
      <c r="Q31" s="70"/>
      <c r="R31" s="70"/>
      <c r="S31" s="70"/>
      <c r="U31" s="70"/>
      <c r="V31" s="70"/>
      <c r="W31" s="70"/>
      <c r="X31" s="70"/>
      <c r="Y31" s="70"/>
      <c r="AB31" s="15"/>
      <c r="AE31" s="375"/>
    </row>
    <row r="32" spans="1:31">
      <c r="A32" t="s">
        <v>315</v>
      </c>
      <c r="F32" s="389"/>
      <c r="G32" s="15"/>
      <c r="H32" s="22">
        <v>122</v>
      </c>
      <c r="I32" s="15"/>
      <c r="J32" s="15"/>
      <c r="K32" s="22">
        <f>H32*D26*12</f>
        <v>0</v>
      </c>
      <c r="M32" s="12"/>
      <c r="P32" s="70"/>
      <c r="Q32" s="70"/>
      <c r="R32" s="70"/>
      <c r="S32" s="70"/>
      <c r="U32" s="70"/>
      <c r="V32" s="70"/>
      <c r="W32" s="70"/>
      <c r="X32" s="70"/>
      <c r="Y32" s="70"/>
      <c r="AB32" s="85"/>
      <c r="AC32" s="85"/>
      <c r="AD32" s="85"/>
      <c r="AE32" s="376"/>
    </row>
    <row r="33" spans="1:25">
      <c r="A33" s="58" t="s">
        <v>316</v>
      </c>
      <c r="B33" s="58"/>
      <c r="C33" s="58"/>
      <c r="D33" s="58"/>
      <c r="E33" s="58"/>
      <c r="F33" s="411"/>
      <c r="G33" s="66"/>
      <c r="H33" s="412">
        <v>122</v>
      </c>
      <c r="I33" s="66"/>
      <c r="J33" s="66"/>
      <c r="K33" s="412">
        <f>H33*D26*12</f>
        <v>0</v>
      </c>
      <c r="M33">
        <v>0.441853110917859</v>
      </c>
      <c r="P33" s="70"/>
      <c r="Q33" s="70"/>
      <c r="R33" s="70"/>
      <c r="S33" s="70"/>
      <c r="U33" s="70"/>
      <c r="V33" s="70"/>
      <c r="W33" s="70"/>
      <c r="X33" s="70"/>
      <c r="Y33" s="70"/>
    </row>
    <row r="34" spans="1:25">
      <c r="F34" s="22">
        <v>19</v>
      </c>
      <c r="G34" s="15"/>
      <c r="H34" s="22">
        <f>SUM(H29:H33)</f>
        <v>1159</v>
      </c>
      <c r="I34" s="15"/>
      <c r="J34" s="15"/>
      <c r="K34" s="22">
        <f>SUM(K29:K33)</f>
        <v>0</v>
      </c>
      <c r="P34" s="70"/>
      <c r="Q34" s="70"/>
      <c r="R34" s="70"/>
      <c r="S34" s="70"/>
      <c r="U34" s="70"/>
      <c r="V34" s="70"/>
      <c r="W34" s="70"/>
      <c r="X34" s="70"/>
      <c r="Y34" s="70"/>
    </row>
    <row r="35" spans="1:25">
      <c r="A35" s="160" t="s">
        <v>317</v>
      </c>
      <c r="B35" s="160"/>
      <c r="C35" s="160"/>
      <c r="D35" s="160"/>
      <c r="E35" s="160" t="s">
        <v>63</v>
      </c>
      <c r="F35" s="413"/>
      <c r="G35" s="409"/>
      <c r="H35" s="413" t="s">
        <v>318</v>
      </c>
      <c r="I35" s="409" t="s">
        <v>319</v>
      </c>
      <c r="J35" s="409" t="s">
        <v>320</v>
      </c>
      <c r="K35" s="413" t="s">
        <v>311</v>
      </c>
      <c r="P35" s="70"/>
      <c r="Q35" s="70"/>
      <c r="R35" s="70"/>
      <c r="S35" s="70"/>
      <c r="U35" s="70"/>
      <c r="V35" s="70"/>
      <c r="W35" s="70"/>
      <c r="X35" s="70"/>
      <c r="Y35" s="70"/>
    </row>
    <row r="36" spans="1:25">
      <c r="A36" t="s">
        <v>321</v>
      </c>
      <c r="E36" s="12"/>
      <c r="F36" s="22"/>
      <c r="G36" s="15"/>
      <c r="H36" s="22"/>
      <c r="I36" s="389">
        <v>0</v>
      </c>
      <c r="J36" s="389">
        <v>0</v>
      </c>
      <c r="K36" s="22"/>
      <c r="P36" s="70"/>
      <c r="Q36" s="70"/>
      <c r="R36" s="70"/>
      <c r="S36" s="70"/>
      <c r="U36" s="70"/>
      <c r="V36" s="70"/>
      <c r="W36" s="70"/>
      <c r="X36" s="70"/>
      <c r="Y36" s="70"/>
    </row>
    <row r="37" spans="1:25">
      <c r="F37" s="22"/>
      <c r="G37" s="15"/>
      <c r="H37" s="22"/>
      <c r="I37" s="15"/>
      <c r="J37" s="15"/>
      <c r="K37" s="22"/>
      <c r="N37" s="58"/>
      <c r="O37" s="58"/>
      <c r="P37" s="59"/>
      <c r="Q37" s="59"/>
      <c r="R37" s="59"/>
      <c r="S37" s="59"/>
      <c r="T37" s="58"/>
      <c r="U37" s="59"/>
      <c r="V37" s="59"/>
      <c r="W37" s="59"/>
      <c r="X37" s="59"/>
      <c r="Y37" s="59"/>
    </row>
    <row r="38" spans="1:25">
      <c r="A38" s="160" t="s">
        <v>322</v>
      </c>
      <c r="B38" s="160"/>
      <c r="C38" s="160" t="s">
        <v>323</v>
      </c>
      <c r="D38" s="160" t="s">
        <v>324</v>
      </c>
      <c r="H38" s="414" t="s">
        <v>325</v>
      </c>
      <c r="I38" s="415"/>
      <c r="J38" s="415"/>
      <c r="K38" s="416">
        <f>K26</f>
        <v>0</v>
      </c>
      <c r="P38" s="417"/>
      <c r="Q38" s="417"/>
      <c r="R38" s="417"/>
      <c r="S38" s="70"/>
      <c r="U38" s="70"/>
      <c r="V38" s="70"/>
      <c r="W38" s="70"/>
      <c r="X38" s="70"/>
    </row>
    <row r="39" spans="1:25">
      <c r="A39" t="s">
        <v>326</v>
      </c>
      <c r="C39" cm="1">
        <f t="array" ref="C39">SUMPRODUCT((LEFT(B7:B25,3)="PBV")*(D7:D25))</f>
        <v>0</v>
      </c>
      <c r="D39" s="72">
        <f>IF(C42=0,0,C39/C42)</f>
        <v>0</v>
      </c>
      <c r="H39" s="41" t="s">
        <v>308</v>
      </c>
      <c r="K39" s="418">
        <f>K34</f>
        <v>0</v>
      </c>
      <c r="P39" s="365"/>
    </row>
    <row r="40" spans="1:25">
      <c r="A40" t="s">
        <v>327</v>
      </c>
      <c r="C40" cm="1">
        <f t="array" ref="C40">SUMPRODUCT((LEFT(B7:B25,1)&lt;&gt;"")*(LEFT(B7:B25,3)&lt;&gt;"PBV")*(LEFT(B7:B25,3)&lt;&gt;"Mar")*(D7:D25))</f>
        <v>0</v>
      </c>
      <c r="D40" s="72">
        <f>IF(C42=0,0,C40/C42)</f>
        <v>0</v>
      </c>
      <c r="H40" s="41" t="s">
        <v>328</v>
      </c>
      <c r="I40" s="16"/>
      <c r="J40" s="16"/>
      <c r="K40" s="418">
        <f>J36</f>
        <v>0</v>
      </c>
      <c r="X40" s="70"/>
    </row>
    <row r="41" spans="1:25">
      <c r="A41" s="58" t="s">
        <v>329</v>
      </c>
      <c r="B41" s="58"/>
      <c r="C41" s="58" cm="1">
        <f t="array" ref="C41">SUMPRODUCT((B7:B25="Market")*(D7:D25))</f>
        <v>0</v>
      </c>
      <c r="D41" s="419">
        <f>IF(C42=0,0,C41/C42)</f>
        <v>0</v>
      </c>
      <c r="H41" s="60" t="s">
        <v>330</v>
      </c>
      <c r="I41" s="420"/>
      <c r="J41" s="421">
        <v>7.0000000000000007E-2</v>
      </c>
      <c r="K41" s="422">
        <f>-(K38+K39+K40)*J41</f>
        <v>0</v>
      </c>
      <c r="X41" s="70"/>
    </row>
    <row r="42" spans="1:25">
      <c r="A42" s="85" t="s">
        <v>131</v>
      </c>
      <c r="B42" s="85"/>
      <c r="C42" s="85">
        <f>SUM(C39:C41)</f>
        <v>0</v>
      </c>
      <c r="D42" s="423">
        <f>SUM(D39:D41)</f>
        <v>0</v>
      </c>
      <c r="H42" s="424" t="s">
        <v>331</v>
      </c>
      <c r="I42" s="425"/>
      <c r="J42" s="425"/>
      <c r="K42" s="426">
        <f>K38+K39+K40+K41</f>
        <v>0</v>
      </c>
      <c r="X42" s="70"/>
    </row>
    <row r="43" spans="1:25">
      <c r="X43" s="70"/>
    </row>
    <row r="44" spans="1:25">
      <c r="A44" s="427" t="s">
        <v>332</v>
      </c>
      <c r="B44" s="427"/>
      <c r="C44" s="428" t="s">
        <v>68</v>
      </c>
      <c r="D44" s="428" t="s">
        <v>69</v>
      </c>
      <c r="E44" s="428"/>
      <c r="F44" s="429" t="s">
        <v>131</v>
      </c>
      <c r="G44" s="428"/>
      <c r="H44" s="428" t="s">
        <v>333</v>
      </c>
      <c r="I44" s="428" t="s">
        <v>334</v>
      </c>
    </row>
    <row r="45" spans="1:25">
      <c r="A45" s="430" t="s">
        <v>54</v>
      </c>
      <c r="B45" s="430"/>
      <c r="C45" s="431" cm="1">
        <f t="array" ref="C45">SUMPRODUCT((C7:C25=0.3)*(LEFT(A7:A25,1)="3")*(D7:D25))</f>
        <v>0</v>
      </c>
      <c r="D45" s="431" cm="1">
        <f t="array" ref="D45">SUMPRODUCT((C7:C25=0.3)*(LEFT(A7:A25,1)="4")*(D7:D25))</f>
        <v>0</v>
      </c>
      <c r="E45" s="431"/>
      <c r="F45" s="431">
        <f>SUM(C45:E45)</f>
        <v>0</v>
      </c>
      <c r="G45" s="432"/>
      <c r="H45" s="433">
        <f>IF(F51=0,0,F45/F51)</f>
        <v>0</v>
      </c>
      <c r="I45" s="433">
        <f>IF(F51=0,0,F45/(F51-F50))</f>
        <v>0</v>
      </c>
      <c r="L45" s="70"/>
      <c r="M45" s="365"/>
    </row>
    <row r="46" spans="1:25">
      <c r="A46" s="430" t="s">
        <v>56</v>
      </c>
      <c r="B46" s="430"/>
      <c r="C46" s="431" cm="1">
        <f t="array" ref="C46">SUMPRODUCT((C7:C25&gt;=0.6)*(LEFT(A7:A25,1)="3")*(D7:D25))</f>
        <v>0</v>
      </c>
      <c r="D46" s="431" cm="1">
        <f t="array" ref="D46">SUMPRODUCT((C7:C25&gt;=0.6)*(LEFT(A7:A25,1)="4")*(D7:D25))</f>
        <v>0</v>
      </c>
      <c r="E46" s="431"/>
      <c r="F46" s="431">
        <f>SUM(C46:E46)</f>
        <v>0</v>
      </c>
      <c r="G46" s="432"/>
      <c r="H46" s="433">
        <f>IF(F51=0,0,F46/F51)</f>
        <v>0</v>
      </c>
      <c r="I46" s="433">
        <f>IF(F51=0,0,F46/(F51-F50))</f>
        <v>0</v>
      </c>
      <c r="L46" s="70"/>
      <c r="M46" s="365"/>
    </row>
    <row r="47" spans="1:25">
      <c r="A47" s="430"/>
      <c r="B47" s="430"/>
      <c r="C47" s="431"/>
      <c r="D47" s="431"/>
      <c r="E47" s="431"/>
      <c r="F47" s="431">
        <f>SUM(C47:E47)</f>
        <v>0</v>
      </c>
      <c r="G47" s="432"/>
      <c r="H47" s="433">
        <f>IF(F51=0,0,F47/F51)</f>
        <v>0</v>
      </c>
      <c r="I47" s="433">
        <f>IF(F51=0,0,F47/(F51-F50))</f>
        <v>0</v>
      </c>
      <c r="L47" s="70"/>
      <c r="M47" s="365"/>
    </row>
    <row r="48" spans="1:25">
      <c r="A48" s="434"/>
      <c r="B48" s="434"/>
      <c r="C48" s="435"/>
      <c r="D48" s="435"/>
      <c r="E48" s="435"/>
      <c r="F48" s="435">
        <f>SUM(C48:E48)</f>
        <v>0</v>
      </c>
      <c r="G48" s="436"/>
      <c r="H48" s="437">
        <f>IF(F51=0,0,F48/F51)</f>
        <v>0</v>
      </c>
      <c r="I48" s="437">
        <f>IF(F51=0,0,F48/(F51-F50))</f>
        <v>0</v>
      </c>
      <c r="L48" s="70"/>
    </row>
    <row r="49" spans="1:15">
      <c r="A49" s="438"/>
      <c r="B49" s="438"/>
      <c r="C49" s="439"/>
      <c r="D49" s="439"/>
      <c r="E49" s="439"/>
      <c r="F49" s="439">
        <f>SUM(C49:E49)</f>
        <v>0</v>
      </c>
      <c r="G49" s="440"/>
      <c r="H49" s="441">
        <f>IF(F51=0,0,F49/F51)</f>
        <v>0</v>
      </c>
      <c r="I49" s="441">
        <f>IF(F51=0,0,F49/(F51-F50))</f>
        <v>0</v>
      </c>
      <c r="J49" s="16"/>
      <c r="L49" s="70"/>
    </row>
    <row r="50" spans="1:15">
      <c r="A50" s="442"/>
      <c r="B50" s="442"/>
      <c r="C50" s="443"/>
      <c r="D50" s="443"/>
      <c r="E50" s="443"/>
      <c r="F50" s="443">
        <f>SUM(C50:E50)</f>
        <v>0</v>
      </c>
      <c r="G50" s="444"/>
      <c r="H50" s="445">
        <f>IF(F51=0,0,F50/F51)</f>
        <v>0</v>
      </c>
      <c r="I50" s="445"/>
      <c r="M50" s="70"/>
    </row>
    <row r="51" spans="1:15">
      <c r="A51" s="446" t="s">
        <v>131</v>
      </c>
      <c r="B51" s="446"/>
      <c r="C51" s="447">
        <f>SUM(C45:C50)</f>
        <v>0</v>
      </c>
      <c r="D51" s="447">
        <f>SUM(D45:D50)</f>
        <v>0</v>
      </c>
      <c r="E51" s="447"/>
      <c r="F51" s="447">
        <f>SUM(F45:F50)</f>
        <v>0</v>
      </c>
      <c r="G51" s="448"/>
      <c r="H51" s="449">
        <f>SUM(H45:H50)</f>
        <v>0</v>
      </c>
      <c r="I51" s="449">
        <f>SUM(I45:I50)</f>
        <v>0</v>
      </c>
      <c r="M51" s="70"/>
    </row>
    <row r="52" spans="1:15">
      <c r="A52" s="438" t="s">
        <v>335</v>
      </c>
      <c r="B52" s="438"/>
      <c r="C52" s="441">
        <f>IF(D26=0,0,C51/D26)</f>
        <v>0</v>
      </c>
      <c r="D52" s="441">
        <f>IF(D26=0,0,D51/D26)</f>
        <v>0</v>
      </c>
      <c r="E52" s="441"/>
      <c r="F52" s="450">
        <f>IF(D26=0,0,F51/D26)</f>
        <v>0</v>
      </c>
      <c r="G52" s="438"/>
      <c r="H52" s="438"/>
      <c r="I52" s="438"/>
      <c r="M52" s="70"/>
    </row>
    <row r="53" spans="1:15">
      <c r="M53" s="70"/>
    </row>
    <row r="54" spans="1:15">
      <c r="M54" s="70"/>
    </row>
    <row r="56" spans="1:15">
      <c r="C56" s="451">
        <f>D26</f>
        <v>0</v>
      </c>
      <c r="D56" s="451" cm="1">
        <f t="array" ref="D56">SUMPRODUCT((B7:B25="Market")*(D7:D25))</f>
        <v>0</v>
      </c>
      <c r="E56" s="451">
        <f>C56-D56</f>
        <v>0</v>
      </c>
      <c r="F56" s="451">
        <v>61</v>
      </c>
    </row>
    <row r="57" spans="1:15">
      <c r="C57" s="229">
        <f>IF(C56=0,0,D27/C56)</f>
        <v>0</v>
      </c>
      <c r="D57" s="452">
        <f>IF(C56=0,0,D56/C56)</f>
        <v>0</v>
      </c>
      <c r="E57" s="452">
        <f>IF(C56=0,0,E56/C56)</f>
        <v>0</v>
      </c>
      <c r="F57" s="452"/>
    </row>
    <row r="58" spans="1:15">
      <c r="B58" s="453"/>
    </row>
    <row r="59" spans="1:15" ht="43.5" customHeight="1">
      <c r="A59" s="454" t="s">
        <v>336</v>
      </c>
      <c r="B59" s="455"/>
      <c r="C59" s="456" t="s">
        <v>337</v>
      </c>
      <c r="D59" s="457" t="s">
        <v>338</v>
      </c>
      <c r="E59" s="458" t="s">
        <v>339</v>
      </c>
      <c r="F59" s="458" t="s">
        <v>340</v>
      </c>
      <c r="G59" s="458" t="s">
        <v>341</v>
      </c>
      <c r="H59" s="458" t="s">
        <v>342</v>
      </c>
      <c r="I59" s="458" t="s">
        <v>343</v>
      </c>
      <c r="J59" s="459"/>
      <c r="K59" s="456" t="s">
        <v>344</v>
      </c>
      <c r="O59" s="70"/>
    </row>
    <row r="60" spans="1:15" ht="16">
      <c r="A60" s="460" t="s">
        <v>345</v>
      </c>
      <c r="B60" s="461"/>
      <c r="C60" s="462" t="s">
        <v>346</v>
      </c>
      <c r="D60" s="462" t="s">
        <v>347</v>
      </c>
      <c r="E60" s="463"/>
      <c r="F60" s="464"/>
      <c r="G60" s="464"/>
      <c r="H60" s="464"/>
      <c r="I60" s="463"/>
      <c r="J60" s="465"/>
      <c r="K60" s="466" t="s">
        <v>940</v>
      </c>
      <c r="O60" s="70"/>
    </row>
    <row r="61" spans="1:15" ht="16">
      <c r="A61" s="460" t="s">
        <v>348</v>
      </c>
      <c r="B61" s="461"/>
      <c r="C61" s="462" t="s">
        <v>346</v>
      </c>
      <c r="D61" s="462" t="s">
        <v>347</v>
      </c>
      <c r="E61" s="463"/>
      <c r="F61" s="464"/>
      <c r="G61" s="464"/>
      <c r="H61" s="464"/>
      <c r="I61" s="463"/>
      <c r="J61" s="465"/>
      <c r="K61" s="466" t="s">
        <v>940</v>
      </c>
      <c r="O61" s="70"/>
    </row>
    <row r="62" spans="1:15" ht="16">
      <c r="A62" s="460" t="s">
        <v>349</v>
      </c>
      <c r="B62" s="461"/>
      <c r="C62" s="462" t="s">
        <v>346</v>
      </c>
      <c r="D62" s="467"/>
      <c r="E62" s="463"/>
      <c r="F62" s="464"/>
      <c r="G62" s="464"/>
      <c r="H62" s="464"/>
      <c r="I62" s="463"/>
      <c r="J62" s="465"/>
      <c r="K62" s="466" t="s">
        <v>940</v>
      </c>
      <c r="O62" s="70"/>
    </row>
    <row r="63" spans="1:15" ht="16">
      <c r="A63" s="460" t="s">
        <v>350</v>
      </c>
      <c r="B63" s="461"/>
      <c r="C63" s="462" t="s">
        <v>346</v>
      </c>
      <c r="D63" s="462" t="s">
        <v>347</v>
      </c>
      <c r="E63" s="463"/>
      <c r="F63" s="464"/>
      <c r="G63" s="464"/>
      <c r="H63" s="464"/>
      <c r="I63" s="463"/>
      <c r="J63" s="465"/>
      <c r="K63" s="466" t="s">
        <v>940</v>
      </c>
    </row>
    <row r="64" spans="1:15" ht="16">
      <c r="A64" s="460" t="s">
        <v>351</v>
      </c>
      <c r="B64" s="461"/>
      <c r="C64" s="462" t="s">
        <v>346</v>
      </c>
      <c r="D64" s="462" t="s">
        <v>347</v>
      </c>
      <c r="E64" s="463"/>
      <c r="F64" s="464"/>
      <c r="G64" s="464"/>
      <c r="H64" s="464"/>
      <c r="I64" s="463"/>
      <c r="J64" s="465"/>
      <c r="K64" s="466" t="s">
        <v>940</v>
      </c>
    </row>
    <row r="65" spans="1:11" ht="16">
      <c r="A65" s="460" t="s">
        <v>352</v>
      </c>
      <c r="B65" s="461"/>
      <c r="C65" s="462" t="s">
        <v>346</v>
      </c>
      <c r="D65" s="467"/>
      <c r="E65" s="463"/>
      <c r="F65" s="464"/>
      <c r="G65" s="464"/>
      <c r="H65" s="464"/>
      <c r="I65" s="463"/>
      <c r="J65" s="465"/>
      <c r="K65" s="466" t="s">
        <v>940</v>
      </c>
    </row>
    <row r="66" spans="1:11" ht="16">
      <c r="A66" s="460" t="s">
        <v>353</v>
      </c>
      <c r="B66" s="461"/>
      <c r="C66" s="462" t="s">
        <v>346</v>
      </c>
      <c r="D66" s="467"/>
      <c r="E66" s="463"/>
      <c r="F66" s="464"/>
      <c r="G66" s="464"/>
      <c r="H66" s="464"/>
      <c r="I66" s="463"/>
      <c r="J66" s="465"/>
      <c r="K66" s="466" t="s">
        <v>940</v>
      </c>
    </row>
    <row r="67" spans="1:11">
      <c r="A67" s="460" t="s">
        <v>354</v>
      </c>
      <c r="B67" s="461"/>
      <c r="C67" s="462" t="s">
        <v>355</v>
      </c>
      <c r="D67" s="467"/>
      <c r="E67" s="463"/>
      <c r="F67" s="464"/>
      <c r="G67" s="464"/>
      <c r="H67" s="464"/>
      <c r="I67" s="463"/>
      <c r="J67" s="465"/>
      <c r="K67" s="466"/>
    </row>
    <row r="68" spans="1:11" ht="16">
      <c r="A68" s="460" t="s">
        <v>356</v>
      </c>
      <c r="B68" s="461"/>
      <c r="C68" s="462" t="s">
        <v>346</v>
      </c>
      <c r="D68" s="462"/>
      <c r="E68" s="463"/>
      <c r="F68" s="464"/>
      <c r="G68" s="464"/>
      <c r="H68" s="464"/>
      <c r="I68" s="463"/>
      <c r="J68" s="465"/>
      <c r="K68" s="466" t="s">
        <v>940</v>
      </c>
    </row>
    <row r="69" spans="1:11">
      <c r="A69" s="468" t="s">
        <v>357</v>
      </c>
      <c r="B69" s="469"/>
      <c r="C69" s="462" t="s">
        <v>346</v>
      </c>
      <c r="D69" s="462"/>
      <c r="E69" s="463"/>
      <c r="F69" s="464"/>
      <c r="G69" s="464"/>
      <c r="H69" s="464"/>
      <c r="I69" s="463"/>
      <c r="J69" s="465"/>
      <c r="K69" s="470"/>
    </row>
    <row r="70" spans="1:11">
      <c r="A70" s="471"/>
      <c r="B70" s="472" t="s">
        <v>358</v>
      </c>
      <c r="C70" s="1417"/>
      <c r="D70" s="1417"/>
      <c r="E70" s="473" t="s">
        <v>359</v>
      </c>
      <c r="F70" s="474">
        <v>206</v>
      </c>
      <c r="G70" s="474">
        <v>269</v>
      </c>
      <c r="H70" s="474">
        <v>331</v>
      </c>
      <c r="I70" s="473" t="s">
        <v>360</v>
      </c>
      <c r="J70" s="475"/>
      <c r="K70" s="476"/>
    </row>
    <row r="71" spans="1:11">
      <c r="F71" s="15"/>
      <c r="G71" s="15"/>
      <c r="H71" s="15"/>
    </row>
  </sheetData>
  <mergeCells count="1">
    <mergeCell ref="C70:D70"/>
  </mergeCells>
  <phoneticPr fontId="168" type="noConversion"/>
  <pageMargins left="0.45" right="0.2" top="0.75" bottom="0.25" header="0.511811023622047" footer="0.511811023622047"/>
  <pageSetup fitToWidth="2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T199"/>
  <sheetViews>
    <sheetView showGridLines="0" topLeftCell="A42" zoomScale="110" zoomScaleNormal="110" zoomScalePageLayoutView="80" workbookViewId="0">
      <selection activeCell="E141" sqref="E141"/>
    </sheetView>
  </sheetViews>
  <sheetFormatPr baseColWidth="10" defaultColWidth="8.6640625" defaultRowHeight="15"/>
  <cols>
    <col min="1" max="1" width="27.5" customWidth="1"/>
    <col min="2" max="3" width="9.5" customWidth="1"/>
    <col min="4" max="4" width="3.5" customWidth="1"/>
    <col min="5" max="5" width="15.5" customWidth="1"/>
    <col min="6" max="6" width="14.5" customWidth="1"/>
    <col min="7" max="7" width="14" customWidth="1"/>
    <col min="8" max="8" width="12" customWidth="1"/>
    <col min="9" max="11" width="16.5" customWidth="1"/>
    <col min="12" max="12" width="12.5" customWidth="1"/>
    <col min="13" max="13" width="16.5" customWidth="1"/>
    <col min="14" max="14" width="13.5" customWidth="1"/>
    <col min="15" max="15" width="12.5" customWidth="1"/>
    <col min="16" max="16" width="14.5" customWidth="1"/>
    <col min="17" max="17" width="16.5" customWidth="1"/>
    <col min="18" max="18" width="11.5" customWidth="1"/>
    <col min="20" max="20" width="12" customWidth="1"/>
  </cols>
  <sheetData>
    <row r="1" spans="1:20" ht="18.75" customHeight="1">
      <c r="A1" s="100" t="s">
        <v>361</v>
      </c>
      <c r="B1" s="477"/>
      <c r="C1" s="477"/>
      <c r="D1" s="477"/>
      <c r="E1" s="477"/>
      <c r="F1" s="477"/>
      <c r="G1" s="477"/>
      <c r="J1" s="478"/>
      <c r="L1" s="360"/>
      <c r="M1" s="479" t="s">
        <v>894</v>
      </c>
      <c r="O1" s="479"/>
      <c r="Q1" s="479"/>
    </row>
    <row r="2" spans="1:20" ht="18.75" customHeight="1">
      <c r="A2" s="102" t="s">
        <v>935</v>
      </c>
      <c r="B2" s="480"/>
      <c r="C2" s="480"/>
      <c r="D2" s="480"/>
      <c r="E2" s="480"/>
      <c r="F2" s="480"/>
      <c r="G2" s="480"/>
      <c r="I2" s="199"/>
      <c r="J2" s="77"/>
      <c r="M2" s="481">
        <v>46111</v>
      </c>
      <c r="O2" s="482"/>
      <c r="Q2" s="482"/>
    </row>
    <row r="3" spans="1:20" ht="15.75" customHeight="1">
      <c r="A3" s="85"/>
      <c r="B3" s="85"/>
      <c r="C3" s="85"/>
      <c r="D3" s="85"/>
      <c r="E3" s="85"/>
      <c r="F3" s="85"/>
      <c r="G3" s="85"/>
      <c r="J3" s="199"/>
      <c r="K3" s="483"/>
      <c r="L3" s="484"/>
      <c r="M3" s="485"/>
      <c r="N3" s="486" t="s">
        <v>825</v>
      </c>
      <c r="Q3" s="487"/>
    </row>
    <row r="4" spans="1:20" s="181" customFormat="1" ht="12.75" customHeight="1">
      <c r="E4" s="488"/>
      <c r="F4" s="489"/>
    </row>
    <row r="5" spans="1:20" s="181" customFormat="1" ht="12.75" customHeight="1">
      <c r="E5" s="490" t="s">
        <v>37</v>
      </c>
      <c r="F5" s="491"/>
      <c r="J5" s="492" t="s">
        <v>362</v>
      </c>
      <c r="M5" s="493"/>
      <c r="P5" s="494"/>
      <c r="Q5" s="495"/>
      <c r="R5" s="494"/>
    </row>
    <row r="6" spans="1:20" s="181" customFormat="1" ht="12.75" customHeight="1">
      <c r="A6" s="496" t="s">
        <v>363</v>
      </c>
      <c r="B6" s="496"/>
      <c r="C6" s="496"/>
      <c r="D6" s="496"/>
      <c r="E6" s="497"/>
      <c r="F6" s="498" t="s">
        <v>127</v>
      </c>
      <c r="G6" s="496"/>
      <c r="J6" s="499">
        <v>61</v>
      </c>
      <c r="K6" s="181" t="s">
        <v>127</v>
      </c>
      <c r="L6" s="500"/>
      <c r="M6" s="501"/>
      <c r="P6" s="496"/>
      <c r="Q6" s="501"/>
      <c r="R6" s="496"/>
    </row>
    <row r="7" spans="1:20" s="504" customFormat="1" ht="12.75" customHeight="1">
      <c r="A7" s="502"/>
      <c r="B7" s="502"/>
      <c r="C7" s="502"/>
      <c r="D7" s="502"/>
      <c r="E7" s="497"/>
      <c r="F7" s="503"/>
      <c r="G7" s="502"/>
      <c r="M7" s="502"/>
      <c r="P7" s="505"/>
      <c r="Q7" s="502"/>
      <c r="R7" s="505"/>
    </row>
    <row r="8" spans="1:20" s="181" customFormat="1">
      <c r="A8" s="502" t="s">
        <v>364</v>
      </c>
      <c r="B8" s="502"/>
      <c r="C8" s="502"/>
      <c r="D8" s="502"/>
      <c r="E8" s="506" t="s">
        <v>824</v>
      </c>
      <c r="F8" s="507" t="s">
        <v>46</v>
      </c>
      <c r="G8" s="502"/>
      <c r="J8" s="508" t="s">
        <v>365</v>
      </c>
      <c r="K8" s="509">
        <v>108.98291964969501</v>
      </c>
      <c r="L8" s="510"/>
      <c r="M8" s="511"/>
      <c r="P8" s="512"/>
      <c r="Q8" s="511"/>
      <c r="R8" s="512"/>
    </row>
    <row r="9" spans="1:20" s="181" customFormat="1">
      <c r="A9" s="502"/>
      <c r="B9" s="502"/>
      <c r="C9" s="502"/>
      <c r="D9" s="502"/>
      <c r="E9" s="513"/>
      <c r="F9" s="514"/>
      <c r="G9" s="502"/>
      <c r="J9" s="515" t="s">
        <v>366</v>
      </c>
      <c r="K9" s="516">
        <v>370.96085719172601</v>
      </c>
      <c r="L9" s="517"/>
      <c r="M9" s="496"/>
      <c r="P9" s="518"/>
      <c r="Q9" s="496"/>
      <c r="R9" s="518"/>
    </row>
    <row r="10" spans="1:20" s="181" customFormat="1" ht="15" customHeight="1">
      <c r="A10" s="519" t="s">
        <v>367</v>
      </c>
      <c r="B10" s="502"/>
      <c r="C10" s="502"/>
      <c r="D10" s="502"/>
      <c r="E10" s="520">
        <v>0</v>
      </c>
      <c r="F10" s="521">
        <v>450</v>
      </c>
      <c r="G10" s="502"/>
      <c r="J10" s="522">
        <v>29276.570387326701</v>
      </c>
      <c r="K10" s="523">
        <v>479.94377684142199</v>
      </c>
      <c r="L10" s="524"/>
      <c r="M10" s="525"/>
      <c r="P10" s="526"/>
      <c r="Q10" s="525"/>
      <c r="R10" s="526"/>
    </row>
    <row r="11" spans="1:20" s="181" customFormat="1" ht="15" customHeight="1">
      <c r="A11" s="519" t="s">
        <v>368</v>
      </c>
      <c r="B11" s="502"/>
      <c r="C11" s="502"/>
      <c r="D11" s="502"/>
      <c r="E11" s="520">
        <v>0</v>
      </c>
      <c r="F11" s="521">
        <v>200</v>
      </c>
      <c r="G11" s="502"/>
      <c r="J11" s="522">
        <v>1743.7305610252999</v>
      </c>
      <c r="K11" s="523">
        <v>28.585746902054101</v>
      </c>
      <c r="L11" s="524"/>
      <c r="M11" s="525"/>
      <c r="P11" s="526"/>
      <c r="Q11" s="525"/>
      <c r="R11" s="526"/>
    </row>
    <row r="12" spans="1:20" s="181" customFormat="1" ht="15" customHeight="1">
      <c r="A12" s="519" t="s">
        <v>369</v>
      </c>
      <c r="B12" s="502"/>
      <c r="C12" s="502"/>
      <c r="D12" s="502"/>
      <c r="E12" s="520">
        <v>0</v>
      </c>
      <c r="F12" s="521">
        <v>1803.2786885245901</v>
      </c>
      <c r="G12" s="502"/>
      <c r="J12" s="522">
        <v>64858.661545032599</v>
      </c>
      <c r="K12" s="523">
        <v>1063.25674663988</v>
      </c>
      <c r="L12" s="524"/>
      <c r="M12" s="525"/>
      <c r="P12" s="526"/>
      <c r="Q12" s="525"/>
      <c r="R12" s="526"/>
    </row>
    <row r="13" spans="1:20" s="181" customFormat="1" ht="15" customHeight="1">
      <c r="A13" s="519" t="s">
        <v>370</v>
      </c>
      <c r="B13" s="502"/>
      <c r="C13" s="502"/>
      <c r="D13" s="502"/>
      <c r="E13" s="520">
        <v>0</v>
      </c>
      <c r="F13" s="521">
        <v>1407.0491803278701</v>
      </c>
      <c r="G13" s="502"/>
      <c r="J13" s="522">
        <v>32366.195414143302</v>
      </c>
      <c r="K13" s="523">
        <v>530.59336744497205</v>
      </c>
      <c r="L13" s="524"/>
      <c r="M13" s="525"/>
      <c r="P13" s="526"/>
      <c r="Q13" s="525"/>
      <c r="R13" s="526"/>
      <c r="T13" s="527"/>
    </row>
    <row r="14" spans="1:20" s="181" customFormat="1" ht="15" customHeight="1">
      <c r="A14" s="519" t="s">
        <v>371</v>
      </c>
      <c r="B14" s="502"/>
      <c r="C14" s="502"/>
      <c r="D14" s="502"/>
      <c r="E14" s="520">
        <v>0</v>
      </c>
      <c r="F14" s="521">
        <v>675</v>
      </c>
      <c r="G14" s="528" t="s">
        <v>372</v>
      </c>
      <c r="J14" s="522">
        <v>41931.691979477502</v>
      </c>
      <c r="K14" s="523">
        <v>687.40478654881099</v>
      </c>
      <c r="L14" s="524"/>
      <c r="M14" s="525"/>
      <c r="P14" s="526"/>
      <c r="Q14" s="525"/>
      <c r="R14" s="526"/>
      <c r="T14" s="527"/>
    </row>
    <row r="15" spans="1:20" s="181" customFormat="1" ht="15" customHeight="1">
      <c r="A15" s="519" t="s">
        <v>373</v>
      </c>
      <c r="B15" s="502"/>
      <c r="D15" s="529" t="s">
        <v>141</v>
      </c>
      <c r="E15" s="520">
        <v>0</v>
      </c>
      <c r="F15" s="521">
        <v>1195.90163934426</v>
      </c>
      <c r="G15" s="530" t="s">
        <v>374</v>
      </c>
      <c r="J15" s="522">
        <v>42065.068817787498</v>
      </c>
      <c r="K15" s="523">
        <v>689.59129209487696</v>
      </c>
      <c r="L15" s="524"/>
      <c r="M15" s="525"/>
      <c r="P15" s="526"/>
      <c r="Q15" s="525"/>
      <c r="R15" s="526"/>
    </row>
    <row r="16" spans="1:20" s="504" customFormat="1" ht="15" customHeight="1">
      <c r="A16" s="519" t="s">
        <v>375</v>
      </c>
      <c r="B16" s="502"/>
      <c r="C16" s="502"/>
      <c r="D16" s="502"/>
      <c r="E16" s="520">
        <v>0</v>
      </c>
      <c r="F16" s="521">
        <v>997.03278688524597</v>
      </c>
      <c r="G16" s="531"/>
      <c r="J16" s="522">
        <v>46358.9117107579</v>
      </c>
      <c r="K16" s="523">
        <v>759.98215919275196</v>
      </c>
      <c r="L16" s="524"/>
      <c r="M16" s="525"/>
      <c r="P16" s="526"/>
      <c r="Q16" s="525"/>
      <c r="R16" s="526"/>
    </row>
    <row r="17" spans="1:19" s="181" customFormat="1" ht="15" customHeight="1">
      <c r="A17" s="519" t="s">
        <v>376</v>
      </c>
      <c r="B17" s="502"/>
      <c r="C17" s="502"/>
      <c r="D17" s="502"/>
      <c r="E17" s="520">
        <v>0</v>
      </c>
      <c r="F17" s="521">
        <v>2500</v>
      </c>
      <c r="G17" s="530" t="s">
        <v>377</v>
      </c>
      <c r="J17" s="532">
        <v>43882.800040214803</v>
      </c>
      <c r="K17" s="533">
        <v>719.39016459368497</v>
      </c>
      <c r="L17" s="524"/>
      <c r="M17" s="525"/>
      <c r="P17" s="534"/>
      <c r="Q17" s="525"/>
      <c r="R17" s="534"/>
    </row>
    <row r="18" spans="1:19" s="181" customFormat="1" ht="15" customHeight="1">
      <c r="A18" s="519" t="s">
        <v>936</v>
      </c>
      <c r="B18" s="502"/>
      <c r="C18" s="502"/>
      <c r="D18" s="502"/>
      <c r="E18" s="520">
        <v>0</v>
      </c>
      <c r="F18" s="521">
        <v>0</v>
      </c>
      <c r="G18" s="530"/>
      <c r="J18" s="532"/>
      <c r="K18" s="533"/>
      <c r="L18" s="524"/>
      <c r="M18" s="525"/>
      <c r="P18" s="534"/>
      <c r="Q18" s="525"/>
      <c r="R18" s="534"/>
    </row>
    <row r="19" spans="1:19" s="504" customFormat="1" ht="15" customHeight="1">
      <c r="A19" s="535"/>
      <c r="B19" s="502"/>
      <c r="C19" s="502"/>
      <c r="D19" s="502"/>
      <c r="E19" s="536"/>
      <c r="F19" s="537"/>
      <c r="G19" s="502"/>
      <c r="J19" s="538"/>
      <c r="L19" s="539"/>
      <c r="M19" s="525"/>
      <c r="P19" s="540"/>
      <c r="Q19" s="525"/>
      <c r="R19" s="540"/>
    </row>
    <row r="20" spans="1:19" s="181" customFormat="1" ht="15" customHeight="1">
      <c r="A20" s="541"/>
      <c r="B20" s="542" t="s">
        <v>378</v>
      </c>
      <c r="E20" s="543">
        <v>562924</v>
      </c>
      <c r="F20" s="521">
        <v>9228.2622950819696</v>
      </c>
      <c r="J20" s="522">
        <v>302483.630455765</v>
      </c>
      <c r="K20" s="544">
        <v>4958.7480402584497</v>
      </c>
      <c r="L20" s="545"/>
      <c r="M20" s="546"/>
      <c r="P20" s="526"/>
      <c r="Q20" s="546"/>
      <c r="R20" s="526"/>
    </row>
    <row r="21" spans="1:19" s="181" customFormat="1" ht="14.25" customHeight="1">
      <c r="B21" s="547" t="s">
        <v>379</v>
      </c>
      <c r="E21" s="548">
        <v>18300</v>
      </c>
      <c r="F21" s="521">
        <v>300</v>
      </c>
      <c r="J21" s="549"/>
      <c r="K21" s="550"/>
      <c r="L21" s="551"/>
      <c r="M21" s="552"/>
      <c r="P21" s="553"/>
      <c r="Q21" s="552"/>
      <c r="R21" s="553"/>
    </row>
    <row r="22" spans="1:19" s="181" customFormat="1" ht="15" customHeight="1">
      <c r="B22" s="542" t="s">
        <v>380</v>
      </c>
      <c r="E22" s="554">
        <v>581224</v>
      </c>
      <c r="F22" s="555">
        <v>9528.2622950819696</v>
      </c>
      <c r="J22" s="556"/>
      <c r="K22" s="550"/>
      <c r="M22" s="557"/>
      <c r="P22" s="558"/>
      <c r="Q22" s="557"/>
      <c r="R22" s="558"/>
      <c r="S22" s="504"/>
    </row>
    <row r="23" spans="1:19" s="181" customFormat="1" ht="12.75" customHeight="1">
      <c r="E23" s="559"/>
      <c r="F23" s="560"/>
      <c r="J23" s="541"/>
      <c r="K23" s="137"/>
    </row>
    <row r="24" spans="1:19">
      <c r="A24" t="s">
        <v>381</v>
      </c>
      <c r="E24" s="98"/>
      <c r="F24" s="24"/>
      <c r="G24" t="s">
        <v>46</v>
      </c>
      <c r="J24" s="561"/>
      <c r="K24" s="550"/>
      <c r="L24" s="159"/>
    </row>
    <row r="25" spans="1:19" ht="15.75" customHeight="1">
      <c r="A25" t="s">
        <v>382</v>
      </c>
      <c r="E25" s="159">
        <v>562924</v>
      </c>
      <c r="F25" s="159">
        <v>9228.2622950819696</v>
      </c>
      <c r="G25" t="s">
        <v>46</v>
      </c>
      <c r="J25" s="121"/>
      <c r="K25" s="550"/>
      <c r="L25" s="159"/>
      <c r="M25" s="562"/>
      <c r="P25" s="563"/>
      <c r="Q25" s="562"/>
      <c r="R25" s="563"/>
    </row>
    <row r="26" spans="1:19" ht="16.5" customHeight="1">
      <c r="A26" s="564"/>
      <c r="B26" s="564"/>
      <c r="C26" s="564"/>
      <c r="D26" s="564"/>
      <c r="E26" s="565"/>
      <c r="F26" s="564"/>
      <c r="G26" s="564"/>
      <c r="H26" s="564"/>
      <c r="I26" s="565"/>
      <c r="J26" s="119"/>
      <c r="K26" s="566"/>
      <c r="L26" s="563"/>
      <c r="M26" s="566"/>
      <c r="P26" s="119"/>
      <c r="Q26" s="566"/>
      <c r="R26" s="119"/>
    </row>
    <row r="28" spans="1:19">
      <c r="A28" t="s">
        <v>383</v>
      </c>
      <c r="E28" s="16">
        <v>942655.44</v>
      </c>
      <c r="H28" s="98">
        <v>46910.333333333299</v>
      </c>
      <c r="J28" s="98"/>
    </row>
    <row r="29" spans="1:19">
      <c r="A29" t="s">
        <v>384</v>
      </c>
      <c r="E29" s="70">
        <v>0.59716835665850498</v>
      </c>
      <c r="F29" t="s">
        <v>385</v>
      </c>
      <c r="H29" s="70"/>
      <c r="J29" s="70"/>
      <c r="L29" s="70"/>
    </row>
    <row r="30" spans="1:19">
      <c r="A30" t="s">
        <v>386</v>
      </c>
      <c r="E30" s="70">
        <v>0.40283164334149502</v>
      </c>
      <c r="H30" s="70"/>
      <c r="J30" s="70"/>
      <c r="L30" s="70"/>
    </row>
    <row r="32" spans="1:19">
      <c r="B32" s="16"/>
      <c r="C32" s="16"/>
      <c r="D32" s="16"/>
      <c r="E32" s="16"/>
    </row>
    <row r="33" spans="1:18">
      <c r="A33" s="105"/>
      <c r="C33" s="1"/>
      <c r="F33" s="159"/>
    </row>
    <row r="34" spans="1:18">
      <c r="C34" s="1"/>
      <c r="E34" s="159"/>
      <c r="F34" s="159"/>
    </row>
    <row r="35" spans="1:18">
      <c r="A35" s="519"/>
      <c r="C35" s="1"/>
      <c r="E35" s="84"/>
      <c r="F35" s="567"/>
      <c r="G35" s="98"/>
      <c r="H35" s="98"/>
      <c r="I35" s="98"/>
    </row>
    <row r="36" spans="1:18">
      <c r="A36" s="519"/>
      <c r="C36" s="1"/>
      <c r="E36" s="84"/>
      <c r="F36" s="567"/>
      <c r="G36" s="98"/>
      <c r="H36" s="98"/>
      <c r="I36" s="98"/>
    </row>
    <row r="37" spans="1:18" ht="15.75" customHeight="1">
      <c r="A37" s="100" t="s">
        <v>361</v>
      </c>
    </row>
    <row r="38" spans="1:18" ht="18.75" customHeight="1">
      <c r="A38" s="102" t="s">
        <v>836</v>
      </c>
    </row>
    <row r="39" spans="1:18">
      <c r="A39" s="85"/>
      <c r="O39" s="568"/>
      <c r="P39" s="568"/>
    </row>
    <row r="40" spans="1:18">
      <c r="A40" s="181"/>
      <c r="G40" s="1418" t="s">
        <v>937</v>
      </c>
      <c r="H40" s="1418"/>
      <c r="I40" s="1418" t="s">
        <v>937</v>
      </c>
      <c r="J40" s="1418"/>
      <c r="K40" s="1418" t="s">
        <v>937</v>
      </c>
      <c r="L40" s="1418"/>
      <c r="M40" s="1418" t="s">
        <v>937</v>
      </c>
      <c r="N40" s="1418"/>
      <c r="O40" s="1418" t="s">
        <v>937</v>
      </c>
      <c r="P40" s="1418"/>
      <c r="Q40" s="1418" t="s">
        <v>937</v>
      </c>
      <c r="R40" s="1418"/>
    </row>
    <row r="41" spans="1:18">
      <c r="A41" s="181"/>
      <c r="G41" s="569" t="s">
        <v>818</v>
      </c>
      <c r="H41" s="181"/>
      <c r="I41" s="569" t="s">
        <v>819</v>
      </c>
      <c r="J41" s="181"/>
      <c r="K41" s="569" t="s">
        <v>820</v>
      </c>
      <c r="L41" s="181"/>
      <c r="M41" s="570" t="s">
        <v>821</v>
      </c>
      <c r="N41" s="181"/>
      <c r="O41" s="570" t="s">
        <v>822</v>
      </c>
      <c r="P41" s="181"/>
      <c r="Q41" s="570" t="s">
        <v>823</v>
      </c>
      <c r="R41" s="181"/>
    </row>
    <row r="42" spans="1:18">
      <c r="A42" s="496" t="s">
        <v>363</v>
      </c>
      <c r="E42" s="15"/>
      <c r="G42" s="571"/>
      <c r="H42" s="496" t="s">
        <v>127</v>
      </c>
      <c r="I42" s="571"/>
      <c r="J42" s="496" t="s">
        <v>127</v>
      </c>
      <c r="K42" s="571">
        <v>270</v>
      </c>
      <c r="L42" s="496" t="s">
        <v>127</v>
      </c>
      <c r="M42" s="571">
        <v>330</v>
      </c>
      <c r="N42" s="496" t="s">
        <v>127</v>
      </c>
      <c r="O42" s="571"/>
      <c r="P42" s="496" t="s">
        <v>127</v>
      </c>
      <c r="Q42" s="571"/>
      <c r="R42" s="496" t="s">
        <v>127</v>
      </c>
    </row>
    <row r="43" spans="1:18">
      <c r="A43" s="502"/>
      <c r="E43" s="15"/>
      <c r="K43" s="77"/>
    </row>
    <row r="44" spans="1:18">
      <c r="A44" s="496" t="s">
        <v>364</v>
      </c>
      <c r="E44" s="572"/>
      <c r="G44" s="77"/>
      <c r="I44" s="77"/>
      <c r="K44" s="77"/>
      <c r="M44" s="77"/>
      <c r="O44" s="77"/>
      <c r="Q44" s="77"/>
      <c r="R44" s="77"/>
    </row>
    <row r="45" spans="1:18">
      <c r="A45" s="502"/>
      <c r="E45" s="15"/>
      <c r="G45" s="77"/>
      <c r="I45" s="77"/>
      <c r="K45" s="77"/>
      <c r="M45" s="77"/>
      <c r="O45" s="77"/>
      <c r="Q45" s="77"/>
      <c r="R45" s="77"/>
    </row>
    <row r="46" spans="1:18">
      <c r="A46" s="502"/>
      <c r="B46" t="s">
        <v>387</v>
      </c>
      <c r="G46" s="77"/>
      <c r="H46" s="573">
        <v>0</v>
      </c>
      <c r="I46" s="77"/>
      <c r="J46" s="573">
        <v>0</v>
      </c>
      <c r="K46" s="77">
        <v>47873.01</v>
      </c>
      <c r="L46" s="573">
        <v>177.307444444444</v>
      </c>
      <c r="M46" s="77">
        <v>49265</v>
      </c>
      <c r="N46" s="573">
        <v>149.28787878787901</v>
      </c>
      <c r="O46" s="77"/>
      <c r="P46" s="573">
        <v>82.265928571428603</v>
      </c>
      <c r="Q46" s="77"/>
      <c r="R46" s="573">
        <v>245.03626609442099</v>
      </c>
    </row>
    <row r="47" spans="1:18">
      <c r="A47" s="574"/>
      <c r="B47" s="575" t="s">
        <v>388</v>
      </c>
      <c r="C47" s="575"/>
      <c r="D47" s="575"/>
      <c r="G47" s="576">
        <v>96635.82</v>
      </c>
      <c r="H47" s="573">
        <v>483.17910000000001</v>
      </c>
      <c r="I47" s="576">
        <v>115284.62</v>
      </c>
      <c r="J47" s="573">
        <v>603.58439790575903</v>
      </c>
      <c r="K47" s="576">
        <v>79063.199999999997</v>
      </c>
      <c r="L47" s="573">
        <v>292.82666666666699</v>
      </c>
      <c r="M47" s="576">
        <v>71665.960000000006</v>
      </c>
      <c r="N47" s="573">
        <v>217.16957575757601</v>
      </c>
      <c r="O47" s="576">
        <v>35454.080000000002</v>
      </c>
      <c r="P47" s="573">
        <v>253.24342857142901</v>
      </c>
      <c r="Q47" s="576">
        <v>175105.08</v>
      </c>
      <c r="R47" s="573">
        <v>375.761974248927</v>
      </c>
    </row>
    <row r="48" spans="1:18">
      <c r="A48" s="519" t="s">
        <v>389</v>
      </c>
      <c r="G48" s="77">
        <v>96635.82</v>
      </c>
      <c r="H48" s="573">
        <v>483.17910000000001</v>
      </c>
      <c r="I48" s="77">
        <v>115284.62</v>
      </c>
      <c r="J48" s="573">
        <v>603.58439790575903</v>
      </c>
      <c r="K48" s="77">
        <v>126936.21</v>
      </c>
      <c r="L48" s="573">
        <v>470.134111111111</v>
      </c>
      <c r="M48" s="77">
        <v>120930.96</v>
      </c>
      <c r="N48" s="573">
        <v>366.45745454545499</v>
      </c>
      <c r="O48" s="77">
        <v>46971.31</v>
      </c>
      <c r="P48" s="573">
        <v>335.50935714285703</v>
      </c>
      <c r="Q48" s="77">
        <v>289291.98</v>
      </c>
      <c r="R48" s="573">
        <v>620.79824034334797</v>
      </c>
    </row>
    <row r="49" spans="1:18">
      <c r="A49" s="519" t="s">
        <v>390</v>
      </c>
      <c r="G49" s="77"/>
      <c r="H49" s="573">
        <v>0</v>
      </c>
      <c r="I49" s="77"/>
      <c r="J49" s="573">
        <v>0</v>
      </c>
      <c r="K49" s="77">
        <v>7986.05</v>
      </c>
      <c r="L49" s="573">
        <v>29.577962962962999</v>
      </c>
      <c r="M49" s="77">
        <v>10952.49</v>
      </c>
      <c r="N49" s="573">
        <v>33.189363636363602</v>
      </c>
      <c r="O49" s="77"/>
      <c r="P49" s="573">
        <v>50.733785714285702</v>
      </c>
      <c r="Q49" s="77"/>
      <c r="R49" s="573">
        <v>58.013369098712403</v>
      </c>
    </row>
    <row r="50" spans="1:18">
      <c r="A50" s="519" t="s">
        <v>391</v>
      </c>
      <c r="G50" s="77"/>
      <c r="H50" s="573">
        <v>0</v>
      </c>
      <c r="I50" s="77"/>
      <c r="J50" s="573">
        <v>0</v>
      </c>
      <c r="K50" s="77">
        <v>376100.39</v>
      </c>
      <c r="L50" s="573">
        <v>1392.9644074074099</v>
      </c>
      <c r="M50" s="77">
        <v>528359.88</v>
      </c>
      <c r="N50" s="573">
        <v>1601.09054545455</v>
      </c>
      <c r="O50" s="77">
        <v>206601.03</v>
      </c>
      <c r="P50" s="573">
        <v>1475.7216428571401</v>
      </c>
      <c r="Q50" s="77"/>
      <c r="R50" s="573">
        <v>1909.7638841201699</v>
      </c>
    </row>
    <row r="51" spans="1:18" ht="15" customHeight="1">
      <c r="A51" s="519" t="s">
        <v>392</v>
      </c>
      <c r="G51" s="77"/>
      <c r="H51" s="573">
        <v>0</v>
      </c>
      <c r="I51" s="77"/>
      <c r="J51" s="573">
        <v>0</v>
      </c>
      <c r="K51" s="77">
        <v>203205.79</v>
      </c>
      <c r="L51" s="573">
        <v>752.61403703703695</v>
      </c>
      <c r="M51" s="77">
        <v>205305.75</v>
      </c>
      <c r="N51" s="573">
        <v>622.13863636363601</v>
      </c>
      <c r="O51" s="77"/>
      <c r="P51" s="573">
        <v>869.56064285714297</v>
      </c>
      <c r="Q51" s="77"/>
      <c r="R51" s="573">
        <v>939.24688841201703</v>
      </c>
    </row>
    <row r="52" spans="1:18" ht="15" customHeight="1">
      <c r="A52" s="519" t="s">
        <v>393</v>
      </c>
      <c r="G52" s="77"/>
      <c r="H52" s="573">
        <v>0</v>
      </c>
      <c r="I52" s="77"/>
      <c r="J52" s="573">
        <v>0</v>
      </c>
      <c r="K52" s="77">
        <v>258642.18</v>
      </c>
      <c r="L52" s="573">
        <v>957.93399999999997</v>
      </c>
      <c r="M52" s="77">
        <v>292920.98</v>
      </c>
      <c r="N52" s="573">
        <v>887.63933333333296</v>
      </c>
      <c r="O52" s="77">
        <v>84763.73</v>
      </c>
      <c r="P52" s="573">
        <v>605.45521428571396</v>
      </c>
      <c r="Q52" s="77"/>
      <c r="R52" s="573">
        <v>1673.4001716738201</v>
      </c>
    </row>
    <row r="53" spans="1:18" ht="15" customHeight="1">
      <c r="A53" s="519" t="s">
        <v>394</v>
      </c>
      <c r="C53" s="577" t="s">
        <v>395</v>
      </c>
      <c r="G53" s="77">
        <v>128012.75</v>
      </c>
      <c r="H53" s="573">
        <v>640.06375000000003</v>
      </c>
      <c r="I53" s="77">
        <v>141397.59</v>
      </c>
      <c r="J53" s="573">
        <v>740.30151832460695</v>
      </c>
      <c r="K53" s="77">
        <v>124275.6</v>
      </c>
      <c r="L53" s="573">
        <v>460.28</v>
      </c>
      <c r="M53" s="77">
        <v>500882.87</v>
      </c>
      <c r="N53" s="573">
        <v>1517.8268787878801</v>
      </c>
      <c r="O53" s="77">
        <v>43891.65</v>
      </c>
      <c r="P53" s="573">
        <v>313.51178571428602</v>
      </c>
      <c r="Q53" s="77">
        <v>216952.74</v>
      </c>
      <c r="R53" s="573">
        <v>465.56381974248899</v>
      </c>
    </row>
    <row r="54" spans="1:18">
      <c r="A54" s="519" t="s">
        <v>396</v>
      </c>
      <c r="G54" s="77"/>
      <c r="H54" s="573">
        <v>0</v>
      </c>
      <c r="I54" s="77"/>
      <c r="J54" s="573">
        <v>0</v>
      </c>
      <c r="K54" s="77">
        <v>318097.01</v>
      </c>
      <c r="L54" s="573">
        <v>1178.1370740740699</v>
      </c>
      <c r="M54" s="77">
        <v>413436.6</v>
      </c>
      <c r="N54" s="573">
        <v>1252.8381818181799</v>
      </c>
      <c r="O54" s="77"/>
      <c r="P54" s="573">
        <v>1059.7732142857101</v>
      </c>
      <c r="Q54" s="77"/>
      <c r="R54" s="573">
        <v>1069.14448497854</v>
      </c>
    </row>
    <row r="55" spans="1:18" ht="17.25" customHeight="1">
      <c r="A55" s="519" t="s">
        <v>397</v>
      </c>
      <c r="G55" s="576"/>
      <c r="H55" s="578">
        <v>0</v>
      </c>
      <c r="I55" s="576"/>
      <c r="J55" s="578">
        <v>0</v>
      </c>
      <c r="K55" s="576">
        <v>277166.78000000003</v>
      </c>
      <c r="L55" s="578">
        <v>1026.54362962963</v>
      </c>
      <c r="M55" s="576">
        <v>24333.7</v>
      </c>
      <c r="N55" s="578">
        <v>73.738484848484802</v>
      </c>
      <c r="O55" s="576"/>
      <c r="P55" s="578">
        <v>1457.8077142857101</v>
      </c>
      <c r="Q55" s="576"/>
      <c r="R55" s="578">
        <v>1758.2511587982799</v>
      </c>
    </row>
    <row r="56" spans="1:18">
      <c r="A56" s="535" t="s">
        <v>398</v>
      </c>
      <c r="E56" s="523"/>
      <c r="G56" s="77"/>
      <c r="I56" s="77"/>
      <c r="K56" s="77"/>
      <c r="M56" s="77"/>
      <c r="O56" s="77"/>
      <c r="Q56" s="77"/>
    </row>
    <row r="57" spans="1:18">
      <c r="A57" s="541"/>
      <c r="B57" t="s">
        <v>399</v>
      </c>
      <c r="E57" s="523"/>
      <c r="G57" s="77">
        <v>224648.57</v>
      </c>
      <c r="H57" s="159">
        <v>1123.2428500000001</v>
      </c>
      <c r="I57" s="77">
        <v>256682.21</v>
      </c>
      <c r="J57" s="159">
        <v>1343.88591623037</v>
      </c>
      <c r="K57" s="77">
        <v>1692410.01</v>
      </c>
      <c r="L57" s="159">
        <v>6268.1852222222196</v>
      </c>
      <c r="M57" s="77">
        <v>2097123.23</v>
      </c>
      <c r="N57" s="159">
        <v>6354.9188787878802</v>
      </c>
      <c r="O57" s="77">
        <v>863530.27</v>
      </c>
      <c r="P57" s="159">
        <v>6168.07335714286</v>
      </c>
      <c r="Q57" s="77">
        <v>3958288.82</v>
      </c>
      <c r="R57" s="159">
        <v>8494.1820171673808</v>
      </c>
    </row>
    <row r="58" spans="1:18">
      <c r="A58" s="181"/>
      <c r="E58" s="15"/>
      <c r="G58" s="77"/>
      <c r="I58" s="77"/>
      <c r="K58" s="77"/>
      <c r="M58" s="77"/>
      <c r="O58" s="77"/>
      <c r="Q58" s="77"/>
      <c r="R58" s="77"/>
    </row>
    <row r="59" spans="1:18">
      <c r="A59" s="579" t="s">
        <v>400</v>
      </c>
      <c r="G59" s="77"/>
      <c r="I59" s="77"/>
      <c r="K59" s="77"/>
      <c r="M59" s="77"/>
      <c r="O59" s="77"/>
      <c r="Q59" s="77"/>
      <c r="R59" s="77"/>
    </row>
    <row r="60" spans="1:18" ht="15" customHeight="1">
      <c r="A60" s="541"/>
      <c r="G60" s="1419" t="s">
        <v>401</v>
      </c>
      <c r="H60" s="1419"/>
      <c r="I60" s="1419" t="s">
        <v>402</v>
      </c>
      <c r="J60" s="1419"/>
      <c r="K60" s="1419" t="s">
        <v>403</v>
      </c>
      <c r="L60" s="1419"/>
      <c r="M60" s="1419" t="s">
        <v>404</v>
      </c>
      <c r="N60" s="1419"/>
      <c r="O60" s="1419" t="s">
        <v>405</v>
      </c>
      <c r="P60" s="1419"/>
      <c r="Q60" s="1419" t="s">
        <v>406</v>
      </c>
      <c r="R60" s="1419"/>
    </row>
    <row r="61" spans="1:18">
      <c r="A61" s="181"/>
      <c r="G61" s="1419"/>
      <c r="H61" s="1419"/>
      <c r="I61" s="1419"/>
      <c r="J61" s="1419"/>
      <c r="K61" s="1419"/>
      <c r="L61" s="1419"/>
      <c r="M61" s="1419"/>
      <c r="N61" s="1419"/>
      <c r="O61" s="1419"/>
      <c r="P61" s="1419"/>
      <c r="Q61" s="1419"/>
      <c r="R61" s="1419"/>
    </row>
    <row r="62" spans="1:18">
      <c r="G62" s="1419"/>
      <c r="H62" s="1419"/>
      <c r="I62" s="1419"/>
      <c r="J62" s="1419"/>
      <c r="K62" s="1419"/>
      <c r="L62" s="1419"/>
      <c r="M62" s="1419"/>
      <c r="N62" s="1419"/>
      <c r="O62" s="1419"/>
      <c r="P62" s="1419"/>
      <c r="Q62" s="1419"/>
      <c r="R62" s="1419"/>
    </row>
    <row r="63" spans="1:18">
      <c r="G63" s="1419"/>
      <c r="H63" s="1419"/>
      <c r="I63" s="1419"/>
      <c r="J63" s="1419"/>
      <c r="K63" s="1419"/>
      <c r="L63" s="1419"/>
      <c r="M63" s="1419"/>
      <c r="N63" s="1419"/>
      <c r="O63" s="1419"/>
      <c r="P63" s="1419"/>
      <c r="Q63" s="1419"/>
      <c r="R63" s="1419"/>
    </row>
    <row r="64" spans="1:18">
      <c r="G64" s="1419"/>
      <c r="H64" s="1419"/>
      <c r="I64" s="1419"/>
      <c r="J64" s="1419"/>
      <c r="K64" s="1419"/>
      <c r="L64" s="1419"/>
      <c r="M64" s="1419"/>
      <c r="N64" s="1419"/>
      <c r="O64" s="1419"/>
      <c r="P64" s="1419"/>
      <c r="Q64" s="1419"/>
      <c r="R64" s="1419"/>
    </row>
    <row r="65" spans="1:14">
      <c r="A65" s="580"/>
      <c r="E65" s="98"/>
      <c r="F65" s="24"/>
      <c r="H65" s="581"/>
      <c r="I65" s="582"/>
    </row>
    <row r="66" spans="1:14">
      <c r="A66" s="580"/>
      <c r="E66" s="98"/>
      <c r="F66" s="24"/>
      <c r="H66" s="581"/>
      <c r="I66" s="582"/>
    </row>
    <row r="67" spans="1:14">
      <c r="A67" s="580"/>
      <c r="E67" s="98"/>
      <c r="F67" s="24"/>
      <c r="H67" s="581"/>
      <c r="I67" s="582"/>
    </row>
    <row r="68" spans="1:14">
      <c r="A68" s="583" t="s">
        <v>407</v>
      </c>
      <c r="B68" s="446"/>
      <c r="C68" s="438"/>
      <c r="D68" s="438"/>
      <c r="E68" s="448" t="s">
        <v>408</v>
      </c>
      <c r="F68" s="584"/>
      <c r="J68" s="98"/>
      <c r="K68" s="24"/>
      <c r="M68" s="581"/>
      <c r="N68" s="582"/>
    </row>
    <row r="69" spans="1:14">
      <c r="A69" s="585"/>
      <c r="B69" s="438"/>
      <c r="C69" s="438"/>
      <c r="D69" s="438"/>
      <c r="E69" s="438"/>
      <c r="F69" s="584"/>
      <c r="J69" s="98"/>
      <c r="K69" s="24"/>
      <c r="M69" s="581"/>
      <c r="N69" s="582"/>
    </row>
    <row r="70" spans="1:14">
      <c r="A70" s="586" t="s">
        <v>409</v>
      </c>
      <c r="B70" s="438"/>
      <c r="C70" s="438"/>
      <c r="D70" s="438"/>
      <c r="E70" s="438"/>
      <c r="F70" s="584"/>
      <c r="J70" s="98"/>
      <c r="K70" s="24"/>
      <c r="M70" s="581"/>
      <c r="N70" s="582"/>
    </row>
    <row r="71" spans="1:14">
      <c r="A71" s="587" t="s">
        <v>410</v>
      </c>
      <c r="B71" s="438"/>
      <c r="C71" s="438"/>
      <c r="D71" s="438"/>
      <c r="E71" s="588"/>
      <c r="F71" s="584"/>
      <c r="J71" s="98"/>
      <c r="K71" s="24"/>
      <c r="M71" s="581"/>
      <c r="N71" s="582"/>
    </row>
    <row r="72" spans="1:14">
      <c r="A72" s="587" t="s">
        <v>411</v>
      </c>
      <c r="B72" s="438"/>
      <c r="C72" s="438"/>
      <c r="D72" s="438"/>
      <c r="E72" s="588"/>
      <c r="F72" s="584"/>
      <c r="J72" s="98"/>
      <c r="K72" s="24"/>
      <c r="M72" s="581"/>
      <c r="N72" s="582"/>
    </row>
    <row r="73" spans="1:14">
      <c r="A73" s="587" t="s">
        <v>412</v>
      </c>
      <c r="B73" s="438"/>
      <c r="C73" s="438"/>
      <c r="D73" s="438"/>
      <c r="E73" s="588"/>
      <c r="F73" s="584"/>
      <c r="J73" s="98"/>
      <c r="K73" s="24"/>
      <c r="M73" s="581"/>
      <c r="N73" s="582"/>
    </row>
    <row r="74" spans="1:14">
      <c r="A74" s="587" t="s">
        <v>413</v>
      </c>
      <c r="B74" s="438"/>
      <c r="C74" s="438"/>
      <c r="D74" s="438"/>
      <c r="E74" s="588"/>
      <c r="F74" s="584"/>
      <c r="J74" s="98"/>
      <c r="K74" s="24"/>
      <c r="M74" s="581"/>
      <c r="N74" s="582"/>
    </row>
    <row r="75" spans="1:14">
      <c r="A75" s="587" t="s">
        <v>414</v>
      </c>
      <c r="B75" s="438"/>
      <c r="C75" s="438"/>
      <c r="D75" s="438"/>
      <c r="E75" s="588"/>
      <c r="F75" s="584"/>
      <c r="J75" s="98"/>
      <c r="K75" s="24"/>
      <c r="M75" s="581"/>
      <c r="N75" s="582"/>
    </row>
    <row r="76" spans="1:14">
      <c r="A76" s="587" t="s">
        <v>415</v>
      </c>
      <c r="B76" s="438"/>
      <c r="C76" s="438"/>
      <c r="D76" s="438"/>
      <c r="E76" s="588"/>
      <c r="F76" s="584"/>
      <c r="J76" s="98"/>
      <c r="K76" s="24"/>
      <c r="M76" s="581"/>
      <c r="N76" s="582"/>
    </row>
    <row r="77" spans="1:14">
      <c r="A77" s="587" t="s">
        <v>416</v>
      </c>
      <c r="B77" s="438"/>
      <c r="C77" s="438"/>
      <c r="D77" s="438"/>
      <c r="E77" s="588"/>
      <c r="F77" s="584"/>
      <c r="J77" s="98"/>
      <c r="K77" s="24"/>
      <c r="M77" s="581"/>
      <c r="N77" s="582"/>
    </row>
    <row r="78" spans="1:14">
      <c r="A78" s="587" t="s">
        <v>417</v>
      </c>
      <c r="B78" s="438"/>
      <c r="C78" s="438"/>
      <c r="D78" s="438"/>
      <c r="E78" s="588"/>
      <c r="F78" s="584"/>
      <c r="J78" s="98"/>
      <c r="K78" s="24"/>
      <c r="M78" s="581"/>
      <c r="N78" s="582"/>
    </row>
    <row r="79" spans="1:14">
      <c r="A79" s="587" t="s">
        <v>418</v>
      </c>
      <c r="B79" s="438"/>
      <c r="C79" s="438"/>
      <c r="D79" s="438"/>
      <c r="E79" s="588"/>
      <c r="F79" s="584"/>
      <c r="J79" s="98"/>
      <c r="K79" s="24"/>
      <c r="M79" s="581"/>
      <c r="N79" s="582"/>
    </row>
    <row r="80" spans="1:14" ht="17.25" customHeight="1">
      <c r="A80" s="587" t="s">
        <v>419</v>
      </c>
      <c r="B80" s="438"/>
      <c r="C80" s="438"/>
      <c r="D80" s="438"/>
      <c r="E80" s="588"/>
      <c r="F80" s="584"/>
      <c r="J80" s="98"/>
      <c r="K80" s="24"/>
      <c r="M80" s="581"/>
      <c r="N80" s="582"/>
    </row>
    <row r="81" spans="1:14">
      <c r="A81" s="586" t="s">
        <v>420</v>
      </c>
      <c r="B81" s="438"/>
      <c r="C81" s="438"/>
      <c r="D81" s="438"/>
      <c r="E81" s="589">
        <v>27450</v>
      </c>
      <c r="F81" s="584"/>
      <c r="J81" s="98"/>
      <c r="K81" s="24"/>
      <c r="M81" s="581"/>
      <c r="N81" s="582"/>
    </row>
    <row r="82" spans="1:14">
      <c r="A82" s="585"/>
      <c r="B82" s="438"/>
      <c r="C82" s="438"/>
      <c r="D82" s="438"/>
      <c r="E82" s="585"/>
      <c r="F82" s="584"/>
      <c r="J82" s="98"/>
      <c r="K82" s="24"/>
      <c r="M82" s="581"/>
      <c r="N82" s="582"/>
    </row>
    <row r="83" spans="1:14">
      <c r="A83" s="586" t="s">
        <v>421</v>
      </c>
      <c r="B83" s="438"/>
      <c r="C83" s="438"/>
      <c r="D83" s="438"/>
      <c r="E83" s="586"/>
      <c r="F83" s="584"/>
      <c r="J83" s="98"/>
      <c r="K83" s="24"/>
      <c r="M83" s="581"/>
      <c r="N83" s="582"/>
    </row>
    <row r="84" spans="1:14">
      <c r="A84" s="587" t="s">
        <v>422</v>
      </c>
      <c r="B84" s="438"/>
      <c r="C84" s="438"/>
      <c r="D84" s="438"/>
      <c r="E84" s="588"/>
      <c r="F84" s="584"/>
      <c r="J84" s="98"/>
      <c r="K84" s="24"/>
      <c r="M84" s="581"/>
      <c r="N84" s="582"/>
    </row>
    <row r="85" spans="1:14" ht="17.25" customHeight="1">
      <c r="A85" s="587" t="s">
        <v>423</v>
      </c>
      <c r="B85" s="438"/>
      <c r="C85" s="438"/>
      <c r="D85" s="438"/>
      <c r="E85" s="588"/>
      <c r="F85" s="584"/>
      <c r="J85" s="98"/>
      <c r="K85" s="24"/>
      <c r="M85" s="581"/>
      <c r="N85" s="582"/>
    </row>
    <row r="86" spans="1:14">
      <c r="A86" s="586" t="s">
        <v>390</v>
      </c>
      <c r="B86" s="438"/>
      <c r="C86" s="438"/>
      <c r="D86" s="438"/>
      <c r="E86" s="589">
        <v>12200</v>
      </c>
      <c r="F86" s="584"/>
      <c r="J86" s="98"/>
      <c r="K86" s="24"/>
      <c r="M86" s="581"/>
      <c r="N86" s="582"/>
    </row>
    <row r="87" spans="1:14">
      <c r="A87" s="585"/>
      <c r="B87" s="438"/>
      <c r="C87" s="438"/>
      <c r="D87" s="438"/>
      <c r="E87" s="585"/>
      <c r="F87" s="584"/>
      <c r="J87" s="98"/>
      <c r="K87" s="24"/>
      <c r="M87" s="581"/>
      <c r="N87" s="582"/>
    </row>
    <row r="88" spans="1:14">
      <c r="A88" s="586" t="s">
        <v>424</v>
      </c>
      <c r="B88" s="438"/>
      <c r="C88" s="438"/>
      <c r="D88" s="438"/>
      <c r="E88" s="586"/>
      <c r="F88" s="584"/>
      <c r="J88" s="98"/>
      <c r="K88" s="24"/>
      <c r="M88" s="581"/>
      <c r="N88" s="582"/>
    </row>
    <row r="89" spans="1:14">
      <c r="A89" s="587" t="s">
        <v>425</v>
      </c>
      <c r="B89" s="438"/>
      <c r="C89" s="438"/>
      <c r="D89" s="438"/>
      <c r="E89" s="590"/>
      <c r="F89" s="584"/>
      <c r="J89" s="581"/>
      <c r="K89" s="24"/>
      <c r="M89" s="581"/>
      <c r="N89" s="582"/>
    </row>
    <row r="90" spans="1:14">
      <c r="A90" s="587" t="s">
        <v>426</v>
      </c>
      <c r="B90" s="438"/>
      <c r="C90" s="438"/>
      <c r="D90" s="438"/>
      <c r="E90" s="590"/>
      <c r="F90" s="584"/>
      <c r="J90" s="581"/>
      <c r="K90" s="24"/>
      <c r="M90" s="581"/>
      <c r="N90" s="582"/>
    </row>
    <row r="91" spans="1:14">
      <c r="A91" s="587" t="s">
        <v>427</v>
      </c>
      <c r="B91" s="438"/>
      <c r="C91" s="438"/>
      <c r="D91" s="438"/>
      <c r="E91" s="590"/>
      <c r="F91" s="584"/>
      <c r="J91" s="98"/>
      <c r="K91" s="24"/>
      <c r="M91" s="581"/>
      <c r="N91" s="582"/>
    </row>
    <row r="92" spans="1:14">
      <c r="A92" s="587" t="s">
        <v>428</v>
      </c>
      <c r="B92" s="438"/>
      <c r="C92" s="438"/>
      <c r="D92" s="438"/>
      <c r="E92" s="590"/>
      <c r="F92" s="584"/>
      <c r="J92" s="98"/>
      <c r="K92" s="24"/>
      <c r="M92" s="581"/>
      <c r="N92" s="582"/>
    </row>
    <row r="93" spans="1:14">
      <c r="A93" s="587" t="s">
        <v>429</v>
      </c>
      <c r="B93" s="438"/>
      <c r="C93" s="438"/>
      <c r="D93" s="438"/>
      <c r="E93" s="590"/>
      <c r="F93" s="584"/>
      <c r="J93" s="98"/>
      <c r="K93" s="24"/>
      <c r="M93" s="581"/>
      <c r="N93" s="582"/>
    </row>
    <row r="94" spans="1:14">
      <c r="A94" s="587" t="s">
        <v>430</v>
      </c>
      <c r="B94" s="438"/>
      <c r="C94" s="438"/>
      <c r="D94" s="438"/>
      <c r="E94" s="590"/>
      <c r="F94" s="584"/>
      <c r="J94" s="98"/>
      <c r="K94" s="24"/>
      <c r="M94" s="581"/>
      <c r="N94" s="582"/>
    </row>
    <row r="95" spans="1:14">
      <c r="A95" s="587" t="s">
        <v>431</v>
      </c>
      <c r="B95" s="438"/>
      <c r="C95" s="438"/>
      <c r="D95" s="438"/>
      <c r="E95" s="590">
        <v>22000</v>
      </c>
      <c r="F95" s="584"/>
      <c r="J95" s="98"/>
      <c r="K95" s="24"/>
      <c r="M95" s="581"/>
      <c r="N95" s="582"/>
    </row>
    <row r="96" spans="1:14">
      <c r="A96" s="586" t="s">
        <v>391</v>
      </c>
      <c r="B96" s="438"/>
      <c r="C96" s="438"/>
      <c r="D96" s="438"/>
      <c r="E96" s="589">
        <v>110000</v>
      </c>
      <c r="F96" s="584"/>
      <c r="J96" s="98"/>
      <c r="K96" s="24"/>
      <c r="M96" s="581"/>
      <c r="N96" s="582"/>
    </row>
    <row r="97" spans="1:14">
      <c r="A97" s="585"/>
      <c r="B97" s="438"/>
      <c r="C97" s="438"/>
      <c r="D97" s="438"/>
      <c r="E97" s="585"/>
      <c r="F97" s="584"/>
      <c r="J97" s="98"/>
      <c r="K97" s="24"/>
      <c r="M97" s="581"/>
      <c r="N97" s="582"/>
    </row>
    <row r="98" spans="1:14">
      <c r="A98" s="586" t="s">
        <v>432</v>
      </c>
      <c r="B98" s="438"/>
      <c r="C98" s="438"/>
      <c r="D98" s="438"/>
      <c r="E98" s="586"/>
      <c r="F98" s="584"/>
      <c r="J98" s="98"/>
      <c r="K98" s="24"/>
      <c r="M98" s="581"/>
      <c r="N98" s="582"/>
    </row>
    <row r="99" spans="1:14">
      <c r="A99" s="587" t="s">
        <v>433</v>
      </c>
      <c r="B99" s="438"/>
      <c r="C99" s="438"/>
      <c r="D99" s="438"/>
      <c r="E99" s="590"/>
      <c r="F99" s="584"/>
      <c r="J99" s="581"/>
      <c r="K99" s="24"/>
      <c r="M99" s="581"/>
      <c r="N99" s="582"/>
    </row>
    <row r="100" spans="1:14">
      <c r="A100" s="587" t="s">
        <v>434</v>
      </c>
      <c r="B100" s="438"/>
      <c r="C100" s="438"/>
      <c r="D100" s="438"/>
      <c r="E100" s="590"/>
      <c r="F100" s="584"/>
      <c r="J100" s="581"/>
      <c r="K100" s="24"/>
      <c r="M100" s="581"/>
      <c r="N100" s="582"/>
    </row>
    <row r="101" spans="1:14">
      <c r="A101" s="587" t="s">
        <v>435</v>
      </c>
      <c r="B101" s="438"/>
      <c r="C101" s="438"/>
      <c r="D101" s="438"/>
      <c r="E101" s="590"/>
      <c r="F101" s="584"/>
      <c r="J101" s="98"/>
      <c r="K101" s="24"/>
      <c r="M101" s="581"/>
      <c r="N101" s="582"/>
    </row>
    <row r="102" spans="1:14">
      <c r="A102" s="586" t="s">
        <v>436</v>
      </c>
      <c r="B102" s="438"/>
      <c r="C102" s="438"/>
      <c r="D102" s="438"/>
      <c r="E102" s="586"/>
      <c r="F102" s="584"/>
      <c r="J102" s="98"/>
      <c r="K102" s="24"/>
      <c r="M102" s="581"/>
      <c r="N102" s="582"/>
    </row>
    <row r="103" spans="1:14">
      <c r="A103" s="587" t="s">
        <v>437</v>
      </c>
      <c r="B103" s="438"/>
      <c r="C103" s="438"/>
      <c r="D103" s="438"/>
      <c r="E103" s="590"/>
      <c r="F103" s="584"/>
      <c r="J103" s="581"/>
      <c r="K103" s="24"/>
      <c r="M103" s="581"/>
      <c r="N103" s="582"/>
    </row>
    <row r="104" spans="1:14">
      <c r="A104" s="587" t="s">
        <v>438</v>
      </c>
      <c r="B104" s="438"/>
      <c r="C104" s="438"/>
      <c r="D104" s="438"/>
      <c r="E104" s="590"/>
      <c r="F104" s="584"/>
      <c r="J104" s="581"/>
      <c r="K104" s="24"/>
      <c r="M104" s="581"/>
      <c r="N104" s="582"/>
    </row>
    <row r="105" spans="1:14">
      <c r="A105" s="587" t="s">
        <v>439</v>
      </c>
      <c r="B105" s="438"/>
      <c r="C105" s="438"/>
      <c r="D105" s="438"/>
      <c r="E105" s="590"/>
      <c r="F105" s="584"/>
      <c r="J105" s="98"/>
      <c r="K105" s="24"/>
      <c r="M105" s="581"/>
      <c r="N105" s="582"/>
    </row>
    <row r="106" spans="1:14">
      <c r="A106" s="586" t="s">
        <v>392</v>
      </c>
      <c r="B106" s="438"/>
      <c r="C106" s="438"/>
      <c r="D106" s="438"/>
      <c r="E106" s="589">
        <v>85830</v>
      </c>
      <c r="F106" s="584"/>
      <c r="J106" s="98"/>
      <c r="K106" s="24"/>
      <c r="M106" s="581"/>
      <c r="N106" s="582"/>
    </row>
    <row r="107" spans="1:14">
      <c r="A107" s="585"/>
      <c r="B107" s="438"/>
      <c r="C107" s="438"/>
      <c r="D107" s="438"/>
      <c r="E107" s="585"/>
      <c r="F107" s="584"/>
      <c r="J107" s="98"/>
      <c r="K107" s="24"/>
      <c r="M107" s="581"/>
      <c r="N107" s="582"/>
    </row>
    <row r="108" spans="1:14">
      <c r="A108" s="586" t="s">
        <v>440</v>
      </c>
      <c r="B108" s="438"/>
      <c r="C108" s="438"/>
      <c r="D108" s="438"/>
      <c r="E108" s="586"/>
      <c r="F108" s="584"/>
      <c r="J108" s="98"/>
      <c r="K108" s="24"/>
      <c r="M108" s="581"/>
      <c r="N108" s="582"/>
    </row>
    <row r="109" spans="1:14">
      <c r="A109" s="587" t="s">
        <v>441</v>
      </c>
      <c r="B109" s="438"/>
      <c r="C109" s="438"/>
      <c r="D109" s="438"/>
      <c r="E109" s="590"/>
      <c r="F109" s="584"/>
      <c r="J109" s="98"/>
      <c r="K109" s="24"/>
      <c r="M109" s="581"/>
      <c r="N109" s="582"/>
    </row>
    <row r="110" spans="1:14">
      <c r="A110" s="587" t="s">
        <v>442</v>
      </c>
      <c r="B110" s="438"/>
      <c r="C110" s="438"/>
      <c r="D110" s="438"/>
      <c r="E110" s="1410"/>
      <c r="F110" s="584"/>
      <c r="J110" s="98"/>
      <c r="K110" s="24"/>
      <c r="M110" s="581"/>
      <c r="N110" s="582"/>
    </row>
    <row r="111" spans="1:14">
      <c r="A111" s="587" t="s">
        <v>443</v>
      </c>
      <c r="B111" s="438"/>
      <c r="C111" s="438"/>
      <c r="D111" s="438"/>
      <c r="E111" s="1410"/>
      <c r="F111" s="584"/>
      <c r="J111" s="98"/>
      <c r="K111" s="24"/>
      <c r="M111" s="581"/>
      <c r="N111" s="582"/>
    </row>
    <row r="112" spans="1:14">
      <c r="A112" s="587" t="s">
        <v>444</v>
      </c>
      <c r="B112" s="438"/>
      <c r="C112" s="438"/>
      <c r="D112" s="438"/>
      <c r="E112" s="1410"/>
      <c r="F112" s="584"/>
      <c r="J112" s="98"/>
      <c r="K112" s="24"/>
      <c r="M112" s="581"/>
      <c r="N112" s="582"/>
    </row>
    <row r="113" spans="1:14">
      <c r="A113" s="587" t="s">
        <v>445</v>
      </c>
      <c r="B113" s="438"/>
      <c r="C113" s="438"/>
      <c r="D113" s="438"/>
      <c r="E113" s="1410"/>
      <c r="F113" s="584"/>
      <c r="J113" s="98"/>
      <c r="K113" s="24"/>
      <c r="M113" s="581"/>
      <c r="N113" s="582"/>
    </row>
    <row r="114" spans="1:14">
      <c r="A114" s="586" t="s">
        <v>393</v>
      </c>
      <c r="B114" s="438"/>
      <c r="C114" s="438"/>
      <c r="D114" s="438"/>
      <c r="E114" s="589">
        <v>41175</v>
      </c>
      <c r="F114" s="584"/>
      <c r="J114" s="98"/>
      <c r="K114" s="24"/>
      <c r="M114" s="581"/>
      <c r="N114" s="582"/>
    </row>
    <row r="115" spans="1:14">
      <c r="A115" s="585"/>
      <c r="B115" s="438"/>
      <c r="C115" s="438"/>
      <c r="D115" s="438"/>
      <c r="E115" s="585"/>
      <c r="F115" s="584"/>
      <c r="J115" s="98"/>
      <c r="K115" s="24"/>
      <c r="M115" s="581"/>
      <c r="N115" s="582"/>
    </row>
    <row r="116" spans="1:14">
      <c r="A116" s="586" t="s">
        <v>446</v>
      </c>
      <c r="B116" s="438"/>
      <c r="C116" s="438"/>
      <c r="D116" s="438"/>
      <c r="E116" s="586"/>
      <c r="F116" s="584"/>
      <c r="J116" s="98"/>
      <c r="K116" s="24"/>
      <c r="M116" s="581"/>
      <c r="N116" s="582"/>
    </row>
    <row r="117" spans="1:14">
      <c r="A117" s="587" t="s">
        <v>447</v>
      </c>
      <c r="B117" s="438"/>
      <c r="C117" s="438"/>
      <c r="D117" s="438"/>
      <c r="E117" s="590"/>
      <c r="F117" s="584"/>
      <c r="J117" s="98"/>
      <c r="K117" s="24"/>
      <c r="M117" s="581"/>
      <c r="N117" s="582"/>
    </row>
    <row r="118" spans="1:14">
      <c r="A118" s="587" t="s">
        <v>448</v>
      </c>
      <c r="B118" s="438"/>
      <c r="C118" s="438"/>
      <c r="D118" s="438"/>
      <c r="E118" s="590"/>
      <c r="F118" s="584"/>
      <c r="J118" s="98"/>
      <c r="K118" s="24"/>
      <c r="M118" s="581"/>
      <c r="N118" s="582"/>
    </row>
    <row r="119" spans="1:14">
      <c r="A119" s="587" t="s">
        <v>449</v>
      </c>
      <c r="B119" s="438"/>
      <c r="C119" s="438"/>
      <c r="D119" s="438"/>
      <c r="E119" s="590"/>
      <c r="F119" s="584"/>
      <c r="J119" s="98"/>
      <c r="K119" s="24"/>
      <c r="M119" s="581"/>
      <c r="N119" s="582"/>
    </row>
    <row r="120" spans="1:14">
      <c r="A120" s="587" t="s">
        <v>450</v>
      </c>
      <c r="B120" s="438"/>
      <c r="C120" s="438"/>
      <c r="D120" s="438"/>
      <c r="E120" s="590"/>
      <c r="F120" s="584"/>
      <c r="J120" s="98"/>
      <c r="K120" s="24"/>
      <c r="M120" s="581"/>
      <c r="N120" s="582"/>
    </row>
    <row r="121" spans="1:14">
      <c r="A121" s="586" t="s">
        <v>394</v>
      </c>
      <c r="B121" s="438"/>
      <c r="C121" s="438"/>
      <c r="D121" s="438"/>
      <c r="E121" s="589">
        <v>72950</v>
      </c>
      <c r="F121" s="584"/>
      <c r="J121" s="98"/>
      <c r="K121" s="24"/>
      <c r="M121" s="581"/>
      <c r="N121" s="582"/>
    </row>
    <row r="122" spans="1:14">
      <c r="A122" s="585"/>
      <c r="B122" s="438"/>
      <c r="C122" s="438"/>
      <c r="D122" s="438"/>
      <c r="E122" s="585"/>
      <c r="F122" s="584"/>
      <c r="J122" s="98"/>
      <c r="K122" s="24"/>
      <c r="M122" s="581"/>
      <c r="N122" s="582"/>
    </row>
    <row r="123" spans="1:14">
      <c r="A123" s="586" t="s">
        <v>451</v>
      </c>
      <c r="B123" s="438"/>
      <c r="C123" s="438"/>
      <c r="D123" s="438"/>
      <c r="E123" s="586"/>
      <c r="F123" s="584"/>
      <c r="J123" s="98"/>
      <c r="K123" s="24"/>
      <c r="M123" s="581"/>
      <c r="N123" s="582"/>
    </row>
    <row r="124" spans="1:14">
      <c r="A124" s="587" t="s">
        <v>452</v>
      </c>
      <c r="B124" s="438"/>
      <c r="C124" s="438"/>
      <c r="D124" s="438"/>
      <c r="E124" s="1411"/>
      <c r="F124" s="584"/>
      <c r="J124" s="98"/>
      <c r="K124" s="24"/>
      <c r="M124" s="581"/>
      <c r="N124" s="582"/>
    </row>
    <row r="125" spans="1:14">
      <c r="A125" s="587" t="s">
        <v>453</v>
      </c>
      <c r="B125" s="438"/>
      <c r="C125" s="438"/>
      <c r="D125" s="438"/>
      <c r="E125" s="1410"/>
      <c r="F125" s="584"/>
      <c r="J125" s="98"/>
      <c r="K125" s="24"/>
      <c r="M125" s="581"/>
      <c r="N125" s="582"/>
    </row>
    <row r="126" spans="1:14">
      <c r="A126" s="587" t="s">
        <v>454</v>
      </c>
      <c r="B126" s="438"/>
      <c r="C126" s="438"/>
      <c r="D126" s="438"/>
      <c r="E126" s="1410"/>
      <c r="F126" s="584"/>
      <c r="H126" s="16"/>
      <c r="J126" s="98"/>
      <c r="K126" s="24"/>
      <c r="M126" s="581"/>
      <c r="N126" s="582"/>
    </row>
    <row r="127" spans="1:14">
      <c r="A127" s="587" t="s">
        <v>455</v>
      </c>
      <c r="B127" s="438"/>
      <c r="C127" s="438"/>
      <c r="D127" s="438"/>
      <c r="E127" s="1410"/>
      <c r="F127" s="584"/>
      <c r="J127" s="98"/>
      <c r="K127" s="24"/>
      <c r="M127" s="581"/>
      <c r="N127" s="582"/>
    </row>
    <row r="128" spans="1:14">
      <c r="A128" s="587" t="s">
        <v>428</v>
      </c>
      <c r="B128" s="438"/>
      <c r="C128" s="438"/>
      <c r="D128" s="438"/>
      <c r="E128" s="1410"/>
      <c r="F128" s="584" t="s">
        <v>456</v>
      </c>
      <c r="J128" s="98"/>
      <c r="K128" s="24"/>
      <c r="M128" s="581"/>
      <c r="N128" s="582"/>
    </row>
    <row r="129" spans="1:14">
      <c r="A129" s="587" t="s">
        <v>457</v>
      </c>
      <c r="B129" s="438"/>
      <c r="C129" s="438"/>
      <c r="D129" s="438"/>
      <c r="E129" s="1410"/>
      <c r="F129" s="584"/>
      <c r="J129" s="98"/>
      <c r="K129" s="24"/>
      <c r="M129" s="581"/>
      <c r="N129" s="582"/>
    </row>
    <row r="130" spans="1:14">
      <c r="A130" s="586" t="s">
        <v>396</v>
      </c>
      <c r="B130" s="438"/>
      <c r="C130" s="438"/>
      <c r="D130" s="438"/>
      <c r="E130" s="589">
        <v>60819</v>
      </c>
      <c r="F130" s="584"/>
      <c r="J130" s="98"/>
      <c r="K130" s="24"/>
      <c r="M130" s="581"/>
      <c r="N130" s="582"/>
    </row>
    <row r="131" spans="1:14">
      <c r="A131" s="585"/>
      <c r="B131" s="438"/>
      <c r="C131" s="438"/>
      <c r="D131" s="438"/>
      <c r="E131" s="585"/>
      <c r="F131" s="584"/>
      <c r="J131" s="98"/>
      <c r="K131" s="24"/>
      <c r="M131" s="581"/>
      <c r="N131" s="582"/>
    </row>
    <row r="132" spans="1:14">
      <c r="A132" s="586" t="s">
        <v>458</v>
      </c>
      <c r="B132" s="438"/>
      <c r="C132" s="438"/>
      <c r="D132" s="438"/>
      <c r="E132" s="586"/>
      <c r="I132" s="98"/>
      <c r="J132" s="24"/>
      <c r="L132" s="581"/>
      <c r="M132" s="582"/>
    </row>
    <row r="133" spans="1:14">
      <c r="A133" s="587" t="s">
        <v>459</v>
      </c>
      <c r="B133" s="438"/>
      <c r="C133" s="438"/>
      <c r="D133" s="438"/>
      <c r="E133" s="591"/>
      <c r="I133" s="98"/>
      <c r="J133" s="24"/>
      <c r="L133" s="581"/>
      <c r="M133" s="582"/>
    </row>
    <row r="134" spans="1:14">
      <c r="A134" s="587" t="s">
        <v>460</v>
      </c>
      <c r="B134" s="438"/>
      <c r="C134" s="438"/>
      <c r="D134" s="438"/>
      <c r="E134" s="590"/>
      <c r="F134" s="584"/>
      <c r="J134" s="98"/>
      <c r="K134" s="24"/>
      <c r="M134" s="581"/>
      <c r="N134" s="582"/>
    </row>
    <row r="135" spans="1:14">
      <c r="A135" s="587" t="s">
        <v>461</v>
      </c>
      <c r="B135" s="438"/>
      <c r="C135" s="438"/>
      <c r="D135" s="438"/>
      <c r="E135" s="590"/>
      <c r="F135" s="584"/>
      <c r="J135" s="98"/>
      <c r="K135" s="24"/>
      <c r="M135" s="581"/>
      <c r="N135" s="582"/>
    </row>
    <row r="136" spans="1:14">
      <c r="A136" s="586" t="s">
        <v>462</v>
      </c>
      <c r="B136" s="438"/>
      <c r="C136" s="438"/>
      <c r="D136" s="438"/>
      <c r="E136" s="592">
        <v>152500</v>
      </c>
      <c r="F136" s="584"/>
      <c r="J136" s="98"/>
      <c r="K136" s="24"/>
      <c r="M136" s="581"/>
      <c r="N136" s="582"/>
    </row>
    <row r="137" spans="1:14">
      <c r="A137" s="586"/>
      <c r="B137" s="438"/>
      <c r="C137" s="438"/>
      <c r="D137" s="438"/>
      <c r="E137" s="593"/>
      <c r="F137" s="584"/>
      <c r="J137" s="98"/>
      <c r="K137" s="24"/>
      <c r="M137" s="581"/>
      <c r="N137" s="582"/>
    </row>
    <row r="138" spans="1:14">
      <c r="A138" s="586" t="s">
        <v>463</v>
      </c>
      <c r="B138" s="438"/>
      <c r="C138" s="438"/>
      <c r="D138" s="438"/>
      <c r="E138" s="594"/>
      <c r="F138" s="584"/>
      <c r="J138" s="98"/>
      <c r="K138" s="24"/>
      <c r="M138" s="581"/>
      <c r="N138" s="582"/>
    </row>
    <row r="139" spans="1:14">
      <c r="A139" s="585"/>
      <c r="B139" s="438"/>
      <c r="C139" s="438"/>
      <c r="D139" s="438"/>
      <c r="E139" s="585"/>
      <c r="F139" s="584"/>
      <c r="J139" s="98"/>
      <c r="K139" s="24"/>
      <c r="M139" s="581"/>
      <c r="N139" s="582"/>
    </row>
    <row r="140" spans="1:14">
      <c r="A140" s="586" t="s">
        <v>464</v>
      </c>
      <c r="B140" s="438"/>
      <c r="C140" s="438"/>
      <c r="D140" s="438"/>
      <c r="E140" s="595">
        <f>E81+E86+E96+E106+E114+E121+E130+E136+E138</f>
        <v>562924</v>
      </c>
      <c r="F140" s="584"/>
      <c r="J140" s="98"/>
      <c r="K140" s="24"/>
      <c r="M140" s="581"/>
      <c r="N140" s="582"/>
    </row>
    <row r="141" spans="1:14">
      <c r="A141" s="584"/>
      <c r="B141" s="438"/>
      <c r="C141" s="438"/>
      <c r="D141" s="438"/>
      <c r="E141" s="388"/>
      <c r="F141" s="596"/>
      <c r="H141" s="581"/>
      <c r="I141" s="582"/>
    </row>
    <row r="142" spans="1:14">
      <c r="A142" s="584"/>
      <c r="B142" s="438"/>
      <c r="C142" s="438"/>
      <c r="D142" s="438"/>
      <c r="E142" s="388"/>
      <c r="F142" s="24"/>
      <c r="H142" s="581"/>
      <c r="I142" s="582"/>
    </row>
    <row r="143" spans="1:14">
      <c r="A143" s="580"/>
      <c r="E143" s="98"/>
      <c r="F143" s="24"/>
      <c r="H143" s="581"/>
      <c r="I143" s="582"/>
    </row>
    <row r="144" spans="1:14">
      <c r="A144" s="580"/>
      <c r="E144" s="98"/>
      <c r="F144" s="24"/>
      <c r="H144" s="581"/>
      <c r="I144" s="582"/>
    </row>
    <row r="145" spans="1:9">
      <c r="A145" s="580"/>
      <c r="E145" s="98"/>
      <c r="F145" s="24"/>
      <c r="H145" s="581"/>
      <c r="I145" s="582"/>
    </row>
    <row r="146" spans="1:9">
      <c r="A146" s="580"/>
      <c r="E146" s="98"/>
      <c r="F146" s="24"/>
      <c r="H146" s="581"/>
      <c r="I146" s="582"/>
    </row>
    <row r="147" spans="1:9">
      <c r="A147" s="580"/>
      <c r="E147" s="98"/>
      <c r="F147" s="24"/>
      <c r="H147" s="581"/>
      <c r="I147" s="582"/>
    </row>
    <row r="148" spans="1:9">
      <c r="A148" s="580"/>
      <c r="E148" s="98"/>
      <c r="F148" s="24"/>
      <c r="H148" s="581"/>
      <c r="I148" s="582"/>
    </row>
    <row r="149" spans="1:9">
      <c r="A149" s="580"/>
      <c r="E149" s="98"/>
      <c r="F149" s="24"/>
      <c r="H149" s="581"/>
      <c r="I149" s="582"/>
    </row>
    <row r="150" spans="1:9">
      <c r="A150" s="584"/>
      <c r="E150" s="98"/>
      <c r="F150" s="24"/>
      <c r="H150" s="581"/>
      <c r="I150" s="582"/>
    </row>
    <row r="151" spans="1:9">
      <c r="A151" s="580"/>
      <c r="E151" s="98"/>
      <c r="F151" s="24"/>
      <c r="H151" s="581"/>
      <c r="I151" s="582"/>
    </row>
    <row r="152" spans="1:9">
      <c r="A152" s="580"/>
      <c r="E152" s="98"/>
      <c r="F152" s="24"/>
      <c r="H152" s="581"/>
      <c r="I152" s="582"/>
    </row>
    <row r="153" spans="1:9">
      <c r="A153" s="580"/>
      <c r="E153" s="98"/>
      <c r="F153" s="24"/>
      <c r="H153" s="581"/>
      <c r="I153" s="582"/>
    </row>
    <row r="154" spans="1:9">
      <c r="A154" s="580"/>
      <c r="E154" s="98"/>
      <c r="F154" s="24"/>
      <c r="H154" s="581"/>
      <c r="I154" s="582"/>
    </row>
    <row r="155" spans="1:9">
      <c r="A155" s="580"/>
      <c r="E155" s="98"/>
      <c r="F155" s="24"/>
      <c r="H155" s="581"/>
      <c r="I155" s="582"/>
    </row>
    <row r="156" spans="1:9">
      <c r="A156" s="580"/>
      <c r="E156" s="98"/>
      <c r="F156" s="24"/>
      <c r="H156" s="581"/>
      <c r="I156" s="582"/>
    </row>
    <row r="157" spans="1:9">
      <c r="A157" s="580"/>
      <c r="E157" s="98"/>
      <c r="F157" s="24"/>
      <c r="H157" s="581"/>
      <c r="I157" s="582"/>
    </row>
    <row r="158" spans="1:9">
      <c r="A158" s="580"/>
      <c r="E158" s="581"/>
      <c r="F158" s="24"/>
      <c r="H158" s="581"/>
      <c r="I158" s="582"/>
    </row>
    <row r="159" spans="1:9">
      <c r="E159" s="98"/>
      <c r="F159" s="24"/>
      <c r="H159" s="581"/>
      <c r="I159" s="582"/>
    </row>
    <row r="160" spans="1:9">
      <c r="E160" s="98"/>
      <c r="F160" s="24"/>
      <c r="H160" s="581"/>
      <c r="I160" s="582"/>
    </row>
    <row r="161" spans="5:9">
      <c r="E161" s="98"/>
      <c r="F161" s="24"/>
      <c r="H161" s="581"/>
      <c r="I161" s="582"/>
    </row>
    <row r="162" spans="5:9">
      <c r="E162" s="98"/>
      <c r="F162" s="24"/>
      <c r="H162" s="581"/>
      <c r="I162" s="582"/>
    </row>
    <row r="163" spans="5:9">
      <c r="E163" s="98"/>
      <c r="F163" s="24"/>
      <c r="H163" s="581"/>
      <c r="I163" s="582"/>
    </row>
    <row r="164" spans="5:9">
      <c r="E164" s="98"/>
      <c r="F164" s="24"/>
      <c r="H164" s="581"/>
      <c r="I164" s="582"/>
    </row>
    <row r="165" spans="5:9">
      <c r="E165" s="98"/>
      <c r="F165" s="24"/>
      <c r="H165" s="581"/>
      <c r="I165" s="582"/>
    </row>
    <row r="166" spans="5:9">
      <c r="E166" s="98"/>
      <c r="F166" s="24"/>
      <c r="H166" s="581"/>
      <c r="I166" s="582"/>
    </row>
    <row r="167" spans="5:9">
      <c r="E167" s="597"/>
      <c r="F167" s="24"/>
      <c r="H167" s="581"/>
      <c r="I167" s="582"/>
    </row>
    <row r="168" spans="5:9">
      <c r="E168" s="98"/>
      <c r="F168" s="24"/>
      <c r="H168" s="581"/>
      <c r="I168" s="582"/>
    </row>
    <row r="169" spans="5:9">
      <c r="E169" s="581"/>
      <c r="F169" s="24"/>
      <c r="H169" s="581"/>
      <c r="I169" s="582"/>
    </row>
    <row r="170" spans="5:9">
      <c r="E170" s="98"/>
      <c r="F170" s="24"/>
      <c r="H170" s="581"/>
      <c r="I170" s="582"/>
    </row>
    <row r="171" spans="5:9">
      <c r="E171" s="98"/>
      <c r="F171" s="24"/>
      <c r="H171" s="581"/>
      <c r="I171" s="582"/>
    </row>
    <row r="172" spans="5:9">
      <c r="E172" s="98"/>
      <c r="F172" s="24"/>
      <c r="H172" s="581"/>
      <c r="I172" s="582"/>
    </row>
    <row r="173" spans="5:9">
      <c r="E173" s="98"/>
      <c r="F173" s="24"/>
      <c r="H173" s="581"/>
      <c r="I173" s="582"/>
    </row>
    <row r="174" spans="5:9">
      <c r="E174" s="98"/>
      <c r="F174" s="24"/>
      <c r="H174" s="581"/>
      <c r="I174" s="582"/>
    </row>
    <row r="175" spans="5:9">
      <c r="E175" s="98"/>
      <c r="F175" s="24"/>
      <c r="H175" s="581"/>
      <c r="I175" s="582"/>
    </row>
    <row r="176" spans="5:9">
      <c r="E176" s="98"/>
      <c r="F176" s="24"/>
      <c r="H176" s="581"/>
      <c r="I176" s="582"/>
    </row>
    <row r="177" spans="5:9">
      <c r="E177" s="581"/>
      <c r="F177" s="24"/>
      <c r="H177" s="581"/>
      <c r="I177" s="582"/>
    </row>
    <row r="178" spans="5:9">
      <c r="E178" s="581"/>
      <c r="F178" s="24"/>
      <c r="H178" s="581"/>
      <c r="I178" s="582"/>
    </row>
    <row r="179" spans="5:9">
      <c r="E179" s="98"/>
      <c r="F179" s="24"/>
      <c r="H179" s="581"/>
      <c r="I179" s="582"/>
    </row>
    <row r="180" spans="5:9">
      <c r="E180" s="98"/>
      <c r="F180" s="24"/>
      <c r="H180" s="581"/>
      <c r="I180" s="582"/>
    </row>
    <row r="181" spans="5:9">
      <c r="E181" s="98"/>
      <c r="F181" s="24"/>
      <c r="H181" s="581"/>
      <c r="I181" s="582"/>
    </row>
    <row r="182" spans="5:9">
      <c r="E182" s="98"/>
      <c r="F182" s="24"/>
      <c r="H182" s="581"/>
      <c r="I182" s="582"/>
    </row>
    <row r="183" spans="5:9">
      <c r="E183" s="98"/>
      <c r="F183" s="24"/>
      <c r="H183" s="581"/>
      <c r="I183" s="582"/>
    </row>
    <row r="184" spans="5:9">
      <c r="E184" s="98"/>
      <c r="F184" s="24"/>
      <c r="H184" s="581"/>
      <c r="I184" s="582"/>
    </row>
    <row r="185" spans="5:9">
      <c r="E185" s="98"/>
      <c r="F185" s="24"/>
      <c r="H185" s="581"/>
      <c r="I185" s="582"/>
    </row>
    <row r="186" spans="5:9">
      <c r="E186" s="98"/>
      <c r="F186" s="24"/>
      <c r="H186" s="581"/>
      <c r="I186" s="582"/>
    </row>
    <row r="187" spans="5:9">
      <c r="E187" s="98"/>
      <c r="F187" s="24"/>
      <c r="H187" s="581"/>
      <c r="I187" s="582"/>
    </row>
    <row r="188" spans="5:9">
      <c r="E188" s="98"/>
      <c r="F188" s="24"/>
      <c r="H188" s="581"/>
      <c r="I188" s="582"/>
    </row>
    <row r="189" spans="5:9">
      <c r="E189" s="98"/>
      <c r="F189" s="24"/>
      <c r="H189" s="581"/>
      <c r="I189" s="582"/>
    </row>
    <row r="190" spans="5:9">
      <c r="E190" s="581"/>
      <c r="F190" s="24"/>
      <c r="H190" s="581"/>
      <c r="I190" s="582"/>
    </row>
    <row r="191" spans="5:9">
      <c r="E191" s="98"/>
      <c r="F191" s="24"/>
      <c r="H191" s="581"/>
      <c r="I191" s="582"/>
    </row>
    <row r="192" spans="5:9">
      <c r="E192" s="98"/>
      <c r="F192" s="24"/>
      <c r="H192" s="581"/>
      <c r="I192" s="582"/>
    </row>
    <row r="193" spans="5:9">
      <c r="E193" s="98"/>
      <c r="F193" s="24"/>
      <c r="H193" s="581"/>
      <c r="I193" s="582"/>
    </row>
    <row r="194" spans="5:9">
      <c r="E194" s="98"/>
      <c r="F194" s="24"/>
      <c r="H194" s="581"/>
      <c r="I194" s="582"/>
    </row>
    <row r="195" spans="5:9">
      <c r="E195" s="98"/>
      <c r="F195" s="24"/>
      <c r="H195" s="581"/>
      <c r="I195" s="582"/>
    </row>
    <row r="196" spans="5:9">
      <c r="E196" s="98"/>
      <c r="F196" s="24"/>
      <c r="H196" s="581"/>
      <c r="I196" s="582"/>
    </row>
    <row r="197" spans="5:9">
      <c r="E197" s="98"/>
      <c r="F197" s="24"/>
      <c r="H197" s="581"/>
      <c r="I197" s="582"/>
    </row>
    <row r="198" spans="5:9">
      <c r="E198" s="581"/>
      <c r="F198" s="24"/>
      <c r="H198" s="581"/>
      <c r="I198" s="582"/>
    </row>
    <row r="199" spans="5:9">
      <c r="E199" s="581"/>
      <c r="F199" s="24"/>
      <c r="H199" s="581"/>
      <c r="I199" s="582"/>
    </row>
  </sheetData>
  <mergeCells count="12">
    <mergeCell ref="Q40:R40"/>
    <mergeCell ref="G60:H64"/>
    <mergeCell ref="I60:J64"/>
    <mergeCell ref="K60:L64"/>
    <mergeCell ref="M60:N64"/>
    <mergeCell ref="O60:P64"/>
    <mergeCell ref="Q60:R64"/>
    <mergeCell ref="G40:H40"/>
    <mergeCell ref="I40:J40"/>
    <mergeCell ref="K40:L40"/>
    <mergeCell ref="M40:N40"/>
    <mergeCell ref="O40:P40"/>
  </mergeCells>
  <pageMargins left="0.45" right="0.2" top="0.75" bottom="0.25" header="0.511811023622047" footer="0.511811023622047"/>
  <pageSetup fitToWidth="2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M96"/>
  <sheetViews>
    <sheetView showGridLines="0" zoomScale="110" zoomScaleNormal="110" workbookViewId="0">
      <selection activeCell="F24" sqref="F24"/>
    </sheetView>
  </sheetViews>
  <sheetFormatPr baseColWidth="10" defaultColWidth="8.6640625" defaultRowHeight="15"/>
  <cols>
    <col min="1" max="1" width="6.5" customWidth="1"/>
    <col min="2" max="2" width="15.5" customWidth="1"/>
    <col min="3" max="3" width="17.5" customWidth="1"/>
    <col min="4" max="4" width="12.5" customWidth="1"/>
    <col min="5" max="5" width="18" customWidth="1"/>
    <col min="6" max="6" width="14.5" customWidth="1"/>
    <col min="7" max="7" width="14" customWidth="1"/>
    <col min="8" max="8" width="15.5" customWidth="1"/>
    <col min="9" max="10" width="14.5" customWidth="1"/>
    <col min="11" max="12" width="15.5" customWidth="1"/>
    <col min="13" max="15" width="14.5" customWidth="1"/>
    <col min="16" max="16" width="13.5" customWidth="1"/>
    <col min="17" max="20" width="15" customWidth="1"/>
    <col min="21" max="21" width="13.5" customWidth="1"/>
    <col min="22" max="22" width="15.5" customWidth="1"/>
    <col min="23" max="23" width="14.5" customWidth="1"/>
    <col min="24" max="24" width="13.5" customWidth="1"/>
    <col min="25" max="25" width="15.5" customWidth="1"/>
    <col min="26" max="26" width="11.5" customWidth="1"/>
  </cols>
  <sheetData>
    <row r="1" spans="1:25" ht="18.75" customHeight="1">
      <c r="A1" s="477" t="s">
        <v>465</v>
      </c>
      <c r="D1" s="1420">
        <v>46111</v>
      </c>
      <c r="E1" s="1420"/>
      <c r="L1" s="360"/>
    </row>
    <row r="2" spans="1:25" ht="15.75" customHeight="1">
      <c r="A2" s="598" t="s">
        <v>466</v>
      </c>
      <c r="F2" s="1421" t="s">
        <v>892</v>
      </c>
      <c r="G2" s="1421"/>
      <c r="H2" s="1421"/>
      <c r="I2" s="1421"/>
      <c r="J2" s="1421"/>
      <c r="K2" s="599">
        <v>46111</v>
      </c>
      <c r="N2" s="1422"/>
      <c r="O2" s="1422"/>
      <c r="P2" s="1422"/>
      <c r="Q2" s="1422"/>
      <c r="R2" s="1422"/>
    </row>
    <row r="3" spans="1:25" ht="8.25" customHeight="1"/>
    <row r="4" spans="1:25" ht="13.5" customHeight="1">
      <c r="C4" s="1423" t="s">
        <v>467</v>
      </c>
      <c r="D4" s="1423"/>
      <c r="F4" s="15">
        <v>1</v>
      </c>
      <c r="G4" s="15">
        <v>2</v>
      </c>
      <c r="H4" s="15">
        <v>3</v>
      </c>
      <c r="I4" s="15">
        <v>4</v>
      </c>
      <c r="J4" s="15">
        <v>5</v>
      </c>
      <c r="K4" s="15">
        <v>6</v>
      </c>
      <c r="L4" s="15">
        <v>7</v>
      </c>
      <c r="M4" s="15">
        <v>8</v>
      </c>
      <c r="N4" s="15">
        <v>9</v>
      </c>
      <c r="O4" s="15">
        <v>10</v>
      </c>
      <c r="P4" s="15">
        <v>11</v>
      </c>
      <c r="Q4" s="15">
        <v>12</v>
      </c>
      <c r="R4" s="15">
        <v>13</v>
      </c>
      <c r="S4" s="15">
        <v>14</v>
      </c>
      <c r="T4" s="15">
        <v>15</v>
      </c>
      <c r="U4">
        <v>16</v>
      </c>
      <c r="V4">
        <v>17</v>
      </c>
      <c r="W4">
        <v>18</v>
      </c>
      <c r="X4">
        <v>19</v>
      </c>
      <c r="Y4">
        <v>20</v>
      </c>
    </row>
    <row r="5" spans="1:25" ht="15" customHeight="1">
      <c r="A5" t="s">
        <v>468</v>
      </c>
      <c r="C5" s="600">
        <f>_xlfn.SINGLE(TotalUnitCount)</f>
        <v>61</v>
      </c>
      <c r="F5" s="601" t="s">
        <v>469</v>
      </c>
      <c r="G5" s="2"/>
      <c r="H5" s="602">
        <v>0.02</v>
      </c>
      <c r="I5" s="2" t="s">
        <v>470</v>
      </c>
      <c r="J5" s="603"/>
      <c r="K5" s="601" t="s">
        <v>471</v>
      </c>
      <c r="L5" s="2"/>
      <c r="M5" s="604">
        <v>9228.2622950819696</v>
      </c>
      <c r="N5" s="133" t="s">
        <v>472</v>
      </c>
      <c r="O5" s="605" t="s">
        <v>473</v>
      </c>
      <c r="P5" s="15"/>
      <c r="Q5" s="604"/>
      <c r="R5" s="566" t="s">
        <v>474</v>
      </c>
      <c r="S5" s="15"/>
      <c r="T5" s="15"/>
    </row>
    <row r="6" spans="1:25" ht="15" customHeight="1">
      <c r="A6" t="s">
        <v>475</v>
      </c>
      <c r="C6" s="606">
        <f>'Rent Schedule'!E26*'Rent Schedule'!D26</f>
        <v>0</v>
      </c>
      <c r="D6" s="1"/>
      <c r="F6" s="181" t="s">
        <v>476</v>
      </c>
      <c r="G6" s="2"/>
      <c r="H6" s="602"/>
      <c r="I6" s="2"/>
      <c r="J6" s="2"/>
      <c r="K6" s="601" t="s">
        <v>477</v>
      </c>
      <c r="L6" s="2"/>
      <c r="M6" s="607">
        <v>300</v>
      </c>
      <c r="N6" s="15"/>
      <c r="O6" s="605" t="s">
        <v>478</v>
      </c>
      <c r="P6" s="15"/>
      <c r="Q6" s="604"/>
      <c r="R6" s="566" t="s">
        <v>474</v>
      </c>
      <c r="S6" s="15"/>
      <c r="T6" s="15"/>
    </row>
    <row r="7" spans="1:25" ht="15" customHeight="1">
      <c r="A7" t="s">
        <v>479</v>
      </c>
      <c r="C7" s="1"/>
      <c r="D7" s="1"/>
      <c r="F7" s="15"/>
      <c r="G7" s="15"/>
      <c r="H7" s="15"/>
      <c r="I7" s="15"/>
      <c r="J7" s="15"/>
      <c r="K7" s="15"/>
      <c r="L7" s="15"/>
      <c r="M7" s="608">
        <v>9528.2622950819696</v>
      </c>
      <c r="N7" s="15"/>
      <c r="O7" s="605" t="s">
        <v>480</v>
      </c>
      <c r="P7" s="15"/>
      <c r="Q7" s="604"/>
      <c r="R7" s="566" t="s">
        <v>474</v>
      </c>
      <c r="S7" s="15"/>
      <c r="T7" s="15"/>
    </row>
    <row r="8" spans="1:25" ht="15" customHeight="1">
      <c r="C8" s="1"/>
      <c r="D8" s="1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5">
      <c r="C9" s="609"/>
      <c r="D9" s="1"/>
      <c r="E9" s="610"/>
      <c r="F9" s="15" t="s">
        <v>896</v>
      </c>
      <c r="G9" s="15" t="s">
        <v>897</v>
      </c>
      <c r="H9" s="15" t="s">
        <v>898</v>
      </c>
      <c r="I9" s="15" t="s">
        <v>899</v>
      </c>
      <c r="J9" s="15" t="s">
        <v>900</v>
      </c>
      <c r="K9" s="15" t="s">
        <v>901</v>
      </c>
      <c r="L9" s="15" t="s">
        <v>902</v>
      </c>
      <c r="M9" s="15" t="s">
        <v>903</v>
      </c>
      <c r="N9" s="15" t="s">
        <v>904</v>
      </c>
      <c r="O9" s="15" t="s">
        <v>905</v>
      </c>
      <c r="P9" s="15" t="s">
        <v>906</v>
      </c>
      <c r="Q9" s="15" t="s">
        <v>907</v>
      </c>
      <c r="R9" s="15" t="s">
        <v>908</v>
      </c>
      <c r="S9" s="15" t="s">
        <v>909</v>
      </c>
      <c r="T9" s="15" t="s">
        <v>910</v>
      </c>
      <c r="U9" s="611" t="s">
        <v>481</v>
      </c>
      <c r="V9" s="611" t="s">
        <v>482</v>
      </c>
      <c r="W9" s="611" t="s">
        <v>483</v>
      </c>
      <c r="X9" s="611" t="s">
        <v>484</v>
      </c>
      <c r="Y9" s="611" t="s">
        <v>485</v>
      </c>
    </row>
    <row r="10" spans="1:25" s="612" customFormat="1" ht="12" customHeight="1">
      <c r="E10" s="612" t="s">
        <v>486</v>
      </c>
      <c r="F10" s="195"/>
      <c r="G10" s="195">
        <v>2029</v>
      </c>
      <c r="H10" s="195">
        <v>2030</v>
      </c>
      <c r="I10" s="195">
        <v>2031</v>
      </c>
      <c r="J10" s="195">
        <v>2032</v>
      </c>
      <c r="K10" s="195">
        <v>2033</v>
      </c>
      <c r="L10" s="195">
        <v>2034</v>
      </c>
      <c r="M10" s="195">
        <v>2035</v>
      </c>
      <c r="N10" s="195">
        <v>2036</v>
      </c>
      <c r="O10" s="195">
        <v>2037</v>
      </c>
      <c r="P10" s="195">
        <v>2038</v>
      </c>
      <c r="Q10" s="195">
        <v>2039</v>
      </c>
      <c r="R10" s="195">
        <v>2040</v>
      </c>
      <c r="S10" s="195">
        <v>2041</v>
      </c>
      <c r="T10" s="195">
        <v>2042</v>
      </c>
      <c r="U10" s="613">
        <v>2043</v>
      </c>
      <c r="V10" s="613">
        <v>2044</v>
      </c>
      <c r="W10" s="613">
        <v>2045</v>
      </c>
      <c r="X10" s="613">
        <v>2046</v>
      </c>
      <c r="Y10" s="613">
        <v>2047</v>
      </c>
    </row>
    <row r="11" spans="1:25" s="15" customFormat="1">
      <c r="E11" s="614" t="s">
        <v>487</v>
      </c>
      <c r="F11" s="615"/>
      <c r="G11" s="615"/>
      <c r="H11" s="615"/>
      <c r="I11" s="615"/>
      <c r="J11" s="615"/>
      <c r="K11" s="615"/>
      <c r="L11" s="615"/>
      <c r="M11" s="615"/>
      <c r="N11" s="615"/>
      <c r="O11" s="615"/>
      <c r="P11" s="615"/>
      <c r="Q11" s="615"/>
      <c r="R11" s="615"/>
      <c r="S11" s="615"/>
      <c r="T11" s="615"/>
      <c r="U11" s="616"/>
      <c r="V11" s="616"/>
      <c r="W11" s="616"/>
      <c r="X11" s="616"/>
      <c r="Y11" s="616"/>
    </row>
    <row r="12" spans="1:25">
      <c r="A12" s="617" t="s">
        <v>488</v>
      </c>
      <c r="B12" s="617"/>
      <c r="C12" s="617"/>
      <c r="D12" s="617"/>
      <c r="E12" s="618">
        <f>'Rent Schedule'!K26</f>
        <v>0</v>
      </c>
      <c r="F12" s="619">
        <f>E12*(1+$H$5)</f>
        <v>0</v>
      </c>
      <c r="G12" s="620">
        <f>F12*(1+$H$5)</f>
        <v>0</v>
      </c>
      <c r="H12" s="620">
        <f t="shared" ref="H12:Y12" si="0">G12*(1+$H$5)</f>
        <v>0</v>
      </c>
      <c r="I12" s="620">
        <f t="shared" si="0"/>
        <v>0</v>
      </c>
      <c r="J12" s="620">
        <f t="shared" si="0"/>
        <v>0</v>
      </c>
      <c r="K12" s="620">
        <f t="shared" si="0"/>
        <v>0</v>
      </c>
      <c r="L12" s="620">
        <f t="shared" si="0"/>
        <v>0</v>
      </c>
      <c r="M12" s="620">
        <f t="shared" si="0"/>
        <v>0</v>
      </c>
      <c r="N12" s="620">
        <f t="shared" si="0"/>
        <v>0</v>
      </c>
      <c r="O12" s="620">
        <f t="shared" si="0"/>
        <v>0</v>
      </c>
      <c r="P12" s="620">
        <f t="shared" si="0"/>
        <v>0</v>
      </c>
      <c r="Q12" s="620">
        <f t="shared" si="0"/>
        <v>0</v>
      </c>
      <c r="R12" s="620">
        <f t="shared" si="0"/>
        <v>0</v>
      </c>
      <c r="S12" s="620">
        <f t="shared" si="0"/>
        <v>0</v>
      </c>
      <c r="T12" s="620">
        <f t="shared" si="0"/>
        <v>0</v>
      </c>
      <c r="U12" s="620">
        <f t="shared" si="0"/>
        <v>0</v>
      </c>
      <c r="V12" s="620">
        <f t="shared" si="0"/>
        <v>0</v>
      </c>
      <c r="W12" s="620">
        <f t="shared" si="0"/>
        <v>0</v>
      </c>
      <c r="X12" s="620">
        <f t="shared" si="0"/>
        <v>0</v>
      </c>
      <c r="Y12" s="620">
        <f t="shared" si="0"/>
        <v>0</v>
      </c>
    </row>
    <row r="13" spans="1:25">
      <c r="A13" s="622" t="s">
        <v>489</v>
      </c>
      <c r="B13" s="623" t="s">
        <v>490</v>
      </c>
      <c r="C13" s="623"/>
      <c r="D13" s="623"/>
      <c r="E13" s="624">
        <f>K29+K30</f>
        <v>0</v>
      </c>
      <c r="F13" s="619">
        <f>E13*(1+$H$5)</f>
        <v>0</v>
      </c>
      <c r="G13" s="620">
        <f>F13*(1+$H$5)</f>
        <v>0</v>
      </c>
      <c r="H13" s="620">
        <f t="shared" ref="H13:Y13" si="1">G13*(1+$H$5)</f>
        <v>0</v>
      </c>
      <c r="I13" s="620">
        <f t="shared" si="1"/>
        <v>0</v>
      </c>
      <c r="J13" s="620">
        <f t="shared" si="1"/>
        <v>0</v>
      </c>
      <c r="K13" s="620">
        <f t="shared" si="1"/>
        <v>0</v>
      </c>
      <c r="L13" s="620">
        <f t="shared" si="1"/>
        <v>0</v>
      </c>
      <c r="M13" s="620">
        <f t="shared" si="1"/>
        <v>0</v>
      </c>
      <c r="N13" s="620">
        <f t="shared" si="1"/>
        <v>0</v>
      </c>
      <c r="O13" s="620">
        <f t="shared" si="1"/>
        <v>0</v>
      </c>
      <c r="P13" s="620">
        <f t="shared" si="1"/>
        <v>0</v>
      </c>
      <c r="Q13" s="620">
        <f t="shared" si="1"/>
        <v>0</v>
      </c>
      <c r="R13" s="620">
        <f t="shared" si="1"/>
        <v>0</v>
      </c>
      <c r="S13" s="620">
        <f t="shared" si="1"/>
        <v>0</v>
      </c>
      <c r="T13" s="620">
        <f t="shared" si="1"/>
        <v>0</v>
      </c>
      <c r="U13" s="620">
        <f t="shared" si="1"/>
        <v>0</v>
      </c>
      <c r="V13" s="620">
        <f t="shared" si="1"/>
        <v>0</v>
      </c>
      <c r="W13" s="620">
        <f t="shared" si="1"/>
        <v>0</v>
      </c>
      <c r="X13" s="620">
        <f t="shared" si="1"/>
        <v>0</v>
      </c>
      <c r="Y13" s="620">
        <f t="shared" si="1"/>
        <v>0</v>
      </c>
    </row>
    <row r="14" spans="1:25">
      <c r="A14" s="617"/>
      <c r="B14" s="617"/>
      <c r="C14" s="617"/>
      <c r="D14" s="617"/>
      <c r="E14" s="625"/>
      <c r="F14" s="159"/>
      <c r="G14" s="159"/>
      <c r="U14" s="430"/>
      <c r="V14" s="430"/>
      <c r="W14" s="430"/>
      <c r="X14" s="430"/>
      <c r="Y14" s="430"/>
    </row>
    <row r="15" spans="1:25">
      <c r="A15" s="617" t="s">
        <v>325</v>
      </c>
      <c r="B15" s="617"/>
      <c r="C15" s="617"/>
      <c r="D15" s="617"/>
      <c r="E15" s="626">
        <f>E12+E13</f>
        <v>0</v>
      </c>
      <c r="F15" s="627">
        <f>F12+F13</f>
        <v>0</v>
      </c>
      <c r="G15" s="627">
        <f>G12+G13</f>
        <v>0</v>
      </c>
      <c r="H15" s="627">
        <f t="shared" ref="H15:Y15" si="2">H12+H13</f>
        <v>0</v>
      </c>
      <c r="I15" s="627">
        <f t="shared" si="2"/>
        <v>0</v>
      </c>
      <c r="J15" s="627">
        <f t="shared" si="2"/>
        <v>0</v>
      </c>
      <c r="K15" s="627">
        <f t="shared" si="2"/>
        <v>0</v>
      </c>
      <c r="L15" s="627">
        <f t="shared" si="2"/>
        <v>0</v>
      </c>
      <c r="M15" s="627">
        <f t="shared" si="2"/>
        <v>0</v>
      </c>
      <c r="N15" s="627">
        <f t="shared" si="2"/>
        <v>0</v>
      </c>
      <c r="O15" s="627">
        <f t="shared" si="2"/>
        <v>0</v>
      </c>
      <c r="P15" s="627">
        <f t="shared" si="2"/>
        <v>0</v>
      </c>
      <c r="Q15" s="627">
        <f t="shared" si="2"/>
        <v>0</v>
      </c>
      <c r="R15" s="627">
        <f t="shared" si="2"/>
        <v>0</v>
      </c>
      <c r="S15" s="627">
        <f t="shared" si="2"/>
        <v>0</v>
      </c>
      <c r="T15" s="627">
        <f t="shared" si="2"/>
        <v>0</v>
      </c>
      <c r="U15" s="627">
        <f t="shared" si="2"/>
        <v>0</v>
      </c>
      <c r="V15" s="627">
        <f t="shared" si="2"/>
        <v>0</v>
      </c>
      <c r="W15" s="627">
        <f t="shared" si="2"/>
        <v>0</v>
      </c>
      <c r="X15" s="627">
        <f t="shared" si="2"/>
        <v>0</v>
      </c>
      <c r="Y15" s="627">
        <f t="shared" si="2"/>
        <v>0</v>
      </c>
    </row>
    <row r="16" spans="1:25">
      <c r="A16" s="623"/>
      <c r="B16" s="623"/>
      <c r="C16" s="623"/>
      <c r="D16" s="623"/>
      <c r="E16" s="625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628"/>
      <c r="V16" s="628"/>
      <c r="W16" s="628"/>
      <c r="X16" s="628"/>
      <c r="Y16" s="628"/>
    </row>
    <row r="17" spans="1:25">
      <c r="A17" s="622" t="s">
        <v>491</v>
      </c>
      <c r="B17" s="623" t="s">
        <v>492</v>
      </c>
      <c r="C17" s="623"/>
      <c r="D17" s="623"/>
      <c r="E17" s="629">
        <f>E15*J5</f>
        <v>0</v>
      </c>
      <c r="F17" s="619">
        <f>F15*$J$5</f>
        <v>0</v>
      </c>
      <c r="G17" s="620">
        <f>G15*$J$5</f>
        <v>0</v>
      </c>
      <c r="H17" s="620">
        <f t="shared" ref="H17:Y17" si="3">H15*$J$5</f>
        <v>0</v>
      </c>
      <c r="I17" s="620">
        <f t="shared" si="3"/>
        <v>0</v>
      </c>
      <c r="J17" s="620">
        <f t="shared" si="3"/>
        <v>0</v>
      </c>
      <c r="K17" s="620">
        <f t="shared" si="3"/>
        <v>0</v>
      </c>
      <c r="L17" s="620">
        <f t="shared" si="3"/>
        <v>0</v>
      </c>
      <c r="M17" s="620">
        <f t="shared" si="3"/>
        <v>0</v>
      </c>
      <c r="N17" s="620">
        <f t="shared" si="3"/>
        <v>0</v>
      </c>
      <c r="O17" s="620">
        <f t="shared" si="3"/>
        <v>0</v>
      </c>
      <c r="P17" s="620">
        <f t="shared" si="3"/>
        <v>0</v>
      </c>
      <c r="Q17" s="620">
        <f t="shared" si="3"/>
        <v>0</v>
      </c>
      <c r="R17" s="620">
        <f t="shared" si="3"/>
        <v>0</v>
      </c>
      <c r="S17" s="620">
        <f t="shared" si="3"/>
        <v>0</v>
      </c>
      <c r="T17" s="620">
        <f t="shared" si="3"/>
        <v>0</v>
      </c>
      <c r="U17" s="620">
        <f t="shared" si="3"/>
        <v>0</v>
      </c>
      <c r="V17" s="620">
        <f t="shared" si="3"/>
        <v>0</v>
      </c>
      <c r="W17" s="620">
        <f t="shared" si="3"/>
        <v>0</v>
      </c>
      <c r="X17" s="620">
        <f t="shared" si="3"/>
        <v>0</v>
      </c>
      <c r="Y17" s="620">
        <f t="shared" si="3"/>
        <v>0</v>
      </c>
    </row>
    <row r="18" spans="1:25">
      <c r="A18" s="617"/>
      <c r="B18" s="617"/>
      <c r="C18" s="617"/>
      <c r="D18" s="617"/>
      <c r="E18" s="625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628"/>
      <c r="V18" s="628"/>
      <c r="W18" s="628"/>
      <c r="X18" s="628"/>
      <c r="Y18" s="628"/>
    </row>
    <row r="19" spans="1:25">
      <c r="A19" s="617" t="s">
        <v>493</v>
      </c>
      <c r="B19" s="617"/>
      <c r="C19" s="617"/>
      <c r="D19" s="617"/>
      <c r="E19" s="626">
        <f>E15-E17</f>
        <v>0</v>
      </c>
      <c r="F19" s="627">
        <f>F15-F17</f>
        <v>0</v>
      </c>
      <c r="G19" s="627">
        <f>G15-G17</f>
        <v>0</v>
      </c>
      <c r="H19" s="627">
        <f t="shared" ref="H19:Y19" si="4">H15-H17</f>
        <v>0</v>
      </c>
      <c r="I19" s="627">
        <f t="shared" si="4"/>
        <v>0</v>
      </c>
      <c r="J19" s="627">
        <f t="shared" si="4"/>
        <v>0</v>
      </c>
      <c r="K19" s="627">
        <f t="shared" si="4"/>
        <v>0</v>
      </c>
      <c r="L19" s="627">
        <f t="shared" si="4"/>
        <v>0</v>
      </c>
      <c r="M19" s="627">
        <f t="shared" si="4"/>
        <v>0</v>
      </c>
      <c r="N19" s="627">
        <f t="shared" si="4"/>
        <v>0</v>
      </c>
      <c r="O19" s="627">
        <f t="shared" si="4"/>
        <v>0</v>
      </c>
      <c r="P19" s="627">
        <f t="shared" si="4"/>
        <v>0</v>
      </c>
      <c r="Q19" s="627">
        <f t="shared" si="4"/>
        <v>0</v>
      </c>
      <c r="R19" s="627">
        <f t="shared" si="4"/>
        <v>0</v>
      </c>
      <c r="S19" s="627">
        <f t="shared" si="4"/>
        <v>0</v>
      </c>
      <c r="T19" s="627">
        <f t="shared" si="4"/>
        <v>0</v>
      </c>
      <c r="U19" s="627">
        <f t="shared" si="4"/>
        <v>0</v>
      </c>
      <c r="V19" s="627">
        <f t="shared" si="4"/>
        <v>0</v>
      </c>
      <c r="W19" s="627">
        <f t="shared" si="4"/>
        <v>0</v>
      </c>
      <c r="X19" s="627">
        <f t="shared" si="4"/>
        <v>0</v>
      </c>
      <c r="Y19" s="627">
        <f t="shared" si="4"/>
        <v>0</v>
      </c>
    </row>
    <row r="20" spans="1:25">
      <c r="A20" s="623"/>
      <c r="B20" s="623"/>
      <c r="C20" s="623"/>
      <c r="D20" s="623"/>
      <c r="E20" s="625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628"/>
      <c r="V20" s="628"/>
      <c r="W20" s="628"/>
      <c r="X20" s="628"/>
      <c r="Y20" s="628"/>
    </row>
    <row r="21" spans="1:25">
      <c r="A21" s="622" t="s">
        <v>491</v>
      </c>
      <c r="B21" s="623" t="s">
        <v>494</v>
      </c>
      <c r="C21" s="623"/>
      <c r="D21" s="623"/>
      <c r="E21" s="630">
        <f>'Operating Expense'!H19</f>
        <v>0</v>
      </c>
      <c r="F21" s="619" t="e">
        <f>E21*(1+$I$5)</f>
        <v>#VALUE!</v>
      </c>
      <c r="G21" s="620" t="e">
        <f>F21*(1+$I$5)</f>
        <v>#VALUE!</v>
      </c>
      <c r="H21" s="620" t="e">
        <f t="shared" ref="H21:Y21" si="5">G21*(1+$I$5)</f>
        <v>#VALUE!</v>
      </c>
      <c r="I21" s="620" t="e">
        <f t="shared" si="5"/>
        <v>#VALUE!</v>
      </c>
      <c r="J21" s="620" t="e">
        <f t="shared" si="5"/>
        <v>#VALUE!</v>
      </c>
      <c r="K21" s="620" t="e">
        <f t="shared" si="5"/>
        <v>#VALUE!</v>
      </c>
      <c r="L21" s="620" t="e">
        <f t="shared" si="5"/>
        <v>#VALUE!</v>
      </c>
      <c r="M21" s="620" t="e">
        <f t="shared" si="5"/>
        <v>#VALUE!</v>
      </c>
      <c r="N21" s="620" t="e">
        <f t="shared" si="5"/>
        <v>#VALUE!</v>
      </c>
      <c r="O21" s="620" t="e">
        <f t="shared" si="5"/>
        <v>#VALUE!</v>
      </c>
      <c r="P21" s="620" t="e">
        <f t="shared" si="5"/>
        <v>#VALUE!</v>
      </c>
      <c r="Q21" s="620" t="e">
        <f t="shared" si="5"/>
        <v>#VALUE!</v>
      </c>
      <c r="R21" s="620" t="e">
        <f t="shared" si="5"/>
        <v>#VALUE!</v>
      </c>
      <c r="S21" s="620" t="e">
        <f t="shared" si="5"/>
        <v>#VALUE!</v>
      </c>
      <c r="T21" s="620" t="e">
        <f t="shared" si="5"/>
        <v>#VALUE!</v>
      </c>
      <c r="U21" s="620" t="e">
        <f t="shared" si="5"/>
        <v>#VALUE!</v>
      </c>
      <c r="V21" s="620" t="e">
        <f t="shared" si="5"/>
        <v>#VALUE!</v>
      </c>
      <c r="W21" s="620" t="e">
        <f t="shared" si="5"/>
        <v>#VALUE!</v>
      </c>
      <c r="X21" s="620" t="e">
        <f t="shared" si="5"/>
        <v>#VALUE!</v>
      </c>
      <c r="Y21" s="620" t="e">
        <f t="shared" si="5"/>
        <v>#VALUE!</v>
      </c>
    </row>
    <row r="22" spans="1:25">
      <c r="A22" s="622" t="s">
        <v>495</v>
      </c>
      <c r="B22" s="623"/>
      <c r="C22" s="623"/>
      <c r="D22" s="623" t="s">
        <v>911</v>
      </c>
      <c r="E22" s="630">
        <v>0</v>
      </c>
      <c r="F22" s="619">
        <v>0</v>
      </c>
      <c r="G22" s="620">
        <v>0</v>
      </c>
      <c r="H22" s="620">
        <v>0</v>
      </c>
      <c r="I22" s="620">
        <v>0</v>
      </c>
      <c r="J22" s="620">
        <v>0</v>
      </c>
      <c r="K22" s="620">
        <v>0</v>
      </c>
      <c r="L22" s="620">
        <v>0</v>
      </c>
      <c r="M22" s="620">
        <v>0</v>
      </c>
      <c r="N22" s="620">
        <v>0</v>
      </c>
      <c r="O22" s="620">
        <v>0</v>
      </c>
      <c r="P22" s="620">
        <v>0</v>
      </c>
      <c r="Q22" s="620">
        <v>0</v>
      </c>
      <c r="R22" s="620">
        <v>0</v>
      </c>
      <c r="S22" s="620">
        <v>0</v>
      </c>
      <c r="T22" s="620">
        <v>0</v>
      </c>
      <c r="U22" s="620">
        <v>0</v>
      </c>
      <c r="V22" s="620">
        <v>0</v>
      </c>
      <c r="W22" s="620">
        <v>0</v>
      </c>
      <c r="X22" s="620">
        <v>0</v>
      </c>
      <c r="Y22" s="620">
        <v>0</v>
      </c>
    </row>
    <row r="23" spans="1:25">
      <c r="A23" s="622" t="s">
        <v>491</v>
      </c>
      <c r="B23" s="623" t="s">
        <v>379</v>
      </c>
      <c r="C23" s="623"/>
      <c r="D23" s="623"/>
      <c r="E23" s="631">
        <f>'Operating Expense'!H31</f>
        <v>0</v>
      </c>
      <c r="F23" s="619" t="e">
        <f>E23*(1+$I$5)</f>
        <v>#VALUE!</v>
      </c>
      <c r="G23" s="620" t="e">
        <f>F23*(1+$I$5)</f>
        <v>#VALUE!</v>
      </c>
      <c r="H23" s="620" t="e">
        <f t="shared" ref="H23:Y23" si="6">G23*(1+$I$5)</f>
        <v>#VALUE!</v>
      </c>
      <c r="I23" s="620" t="e">
        <f t="shared" si="6"/>
        <v>#VALUE!</v>
      </c>
      <c r="J23" s="620" t="e">
        <f t="shared" si="6"/>
        <v>#VALUE!</v>
      </c>
      <c r="K23" s="620" t="e">
        <f t="shared" si="6"/>
        <v>#VALUE!</v>
      </c>
      <c r="L23" s="620" t="e">
        <f t="shared" si="6"/>
        <v>#VALUE!</v>
      </c>
      <c r="M23" s="620" t="e">
        <f t="shared" si="6"/>
        <v>#VALUE!</v>
      </c>
      <c r="N23" s="620" t="e">
        <f t="shared" si="6"/>
        <v>#VALUE!</v>
      </c>
      <c r="O23" s="620" t="e">
        <f t="shared" si="6"/>
        <v>#VALUE!</v>
      </c>
      <c r="P23" s="620" t="e">
        <f t="shared" si="6"/>
        <v>#VALUE!</v>
      </c>
      <c r="Q23" s="620" t="e">
        <f t="shared" si="6"/>
        <v>#VALUE!</v>
      </c>
      <c r="R23" s="620" t="e">
        <f t="shared" si="6"/>
        <v>#VALUE!</v>
      </c>
      <c r="S23" s="620" t="e">
        <f t="shared" si="6"/>
        <v>#VALUE!</v>
      </c>
      <c r="T23" s="620" t="e">
        <f t="shared" si="6"/>
        <v>#VALUE!</v>
      </c>
      <c r="U23" s="620" t="e">
        <f t="shared" si="6"/>
        <v>#VALUE!</v>
      </c>
      <c r="V23" s="620" t="e">
        <f t="shared" si="6"/>
        <v>#VALUE!</v>
      </c>
      <c r="W23" s="620" t="e">
        <f t="shared" si="6"/>
        <v>#VALUE!</v>
      </c>
      <c r="X23" s="620" t="e">
        <f t="shared" si="6"/>
        <v>#VALUE!</v>
      </c>
      <c r="Y23" s="620" t="e">
        <f t="shared" si="6"/>
        <v>#VALUE!</v>
      </c>
    </row>
    <row r="24" spans="1:25" s="85" customFormat="1">
      <c r="A24" s="617" t="s">
        <v>496</v>
      </c>
      <c r="B24" s="617"/>
      <c r="C24" s="617"/>
      <c r="D24" s="617"/>
      <c r="E24" s="632">
        <f>E19-E21+E22-E23</f>
        <v>0</v>
      </c>
      <c r="F24" s="633" t="e">
        <f>F19-F21+F22-F23</f>
        <v>#VALUE!</v>
      </c>
      <c r="G24" s="633" t="e">
        <f>G19-G21+G22-G23</f>
        <v>#VALUE!</v>
      </c>
      <c r="H24" s="633" t="e">
        <f t="shared" ref="H24:Y24" si="7">H19-H21+H22-H23</f>
        <v>#VALUE!</v>
      </c>
      <c r="I24" s="633" t="e">
        <f t="shared" si="7"/>
        <v>#VALUE!</v>
      </c>
      <c r="J24" s="633" t="e">
        <f t="shared" si="7"/>
        <v>#VALUE!</v>
      </c>
      <c r="K24" s="633" t="e">
        <f t="shared" si="7"/>
        <v>#VALUE!</v>
      </c>
      <c r="L24" s="633" t="e">
        <f t="shared" si="7"/>
        <v>#VALUE!</v>
      </c>
      <c r="M24" s="633" t="e">
        <f t="shared" si="7"/>
        <v>#VALUE!</v>
      </c>
      <c r="N24" s="633" t="e">
        <f t="shared" si="7"/>
        <v>#VALUE!</v>
      </c>
      <c r="O24" s="633" t="e">
        <f t="shared" si="7"/>
        <v>#VALUE!</v>
      </c>
      <c r="P24" s="633" t="e">
        <f t="shared" si="7"/>
        <v>#VALUE!</v>
      </c>
      <c r="Q24" s="633" t="e">
        <f t="shared" si="7"/>
        <v>#VALUE!</v>
      </c>
      <c r="R24" s="633" t="e">
        <f t="shared" si="7"/>
        <v>#VALUE!</v>
      </c>
      <c r="S24" s="633" t="e">
        <f t="shared" si="7"/>
        <v>#VALUE!</v>
      </c>
      <c r="T24" s="633" t="e">
        <f t="shared" si="7"/>
        <v>#VALUE!</v>
      </c>
      <c r="U24" s="633" t="e">
        <f t="shared" si="7"/>
        <v>#VALUE!</v>
      </c>
      <c r="V24" s="633" t="e">
        <f t="shared" si="7"/>
        <v>#VALUE!</v>
      </c>
      <c r="W24" s="633" t="e">
        <f t="shared" si="7"/>
        <v>#VALUE!</v>
      </c>
      <c r="X24" s="633" t="e">
        <f t="shared" si="7"/>
        <v>#VALUE!</v>
      </c>
      <c r="Y24" s="633" t="e">
        <f t="shared" si="7"/>
        <v>#VALUE!</v>
      </c>
    </row>
    <row r="25" spans="1:25">
      <c r="A25" s="623"/>
      <c r="B25" s="623"/>
      <c r="C25" s="623"/>
      <c r="D25" s="623"/>
      <c r="F25" s="70"/>
      <c r="G25" s="159"/>
      <c r="U25" s="430"/>
      <c r="V25" s="430"/>
      <c r="W25" s="430"/>
      <c r="X25" s="430"/>
      <c r="Y25" s="430"/>
    </row>
    <row r="26" spans="1:25">
      <c r="A26" s="623"/>
      <c r="B26" s="634" t="s">
        <v>497</v>
      </c>
      <c r="C26" s="623"/>
      <c r="D26" s="623"/>
      <c r="F26" s="159"/>
      <c r="G26" s="159"/>
      <c r="U26" s="430"/>
      <c r="V26" s="430"/>
      <c r="W26" s="430"/>
      <c r="X26" s="430"/>
      <c r="Y26" s="430"/>
    </row>
    <row r="27" spans="1:25">
      <c r="A27" s="598" t="s">
        <v>491</v>
      </c>
      <c r="B27" s="635" t="s">
        <v>498</v>
      </c>
      <c r="C27" s="636"/>
      <c r="D27" s="637"/>
      <c r="E27" s="638">
        <f>IFERROR(#REF!,0)</f>
        <v>0</v>
      </c>
      <c r="F27" s="620">
        <f>IFERROR(#REF!,0)</f>
        <v>0</v>
      </c>
      <c r="G27" s="620">
        <f>F27</f>
        <v>0</v>
      </c>
      <c r="H27" s="620">
        <f t="shared" ref="H27:Y27" si="8">G27</f>
        <v>0</v>
      </c>
      <c r="I27" s="620">
        <f t="shared" si="8"/>
        <v>0</v>
      </c>
      <c r="J27" s="620">
        <f t="shared" si="8"/>
        <v>0</v>
      </c>
      <c r="K27" s="620">
        <f t="shared" si="8"/>
        <v>0</v>
      </c>
      <c r="L27" s="620">
        <f t="shared" si="8"/>
        <v>0</v>
      </c>
      <c r="M27" s="620">
        <f t="shared" si="8"/>
        <v>0</v>
      </c>
      <c r="N27" s="620">
        <f t="shared" si="8"/>
        <v>0</v>
      </c>
      <c r="O27" s="620">
        <f t="shared" si="8"/>
        <v>0</v>
      </c>
      <c r="P27" s="620">
        <f t="shared" si="8"/>
        <v>0</v>
      </c>
      <c r="Q27" s="620">
        <f t="shared" si="8"/>
        <v>0</v>
      </c>
      <c r="R27" s="620">
        <f t="shared" si="8"/>
        <v>0</v>
      </c>
      <c r="S27" s="620">
        <f t="shared" si="8"/>
        <v>0</v>
      </c>
      <c r="T27" s="620">
        <f t="shared" si="8"/>
        <v>0</v>
      </c>
      <c r="U27" s="620">
        <f t="shared" si="8"/>
        <v>0</v>
      </c>
      <c r="V27" s="620">
        <f t="shared" si="8"/>
        <v>0</v>
      </c>
      <c r="W27" s="620">
        <f t="shared" si="8"/>
        <v>0</v>
      </c>
      <c r="X27" s="620">
        <f t="shared" si="8"/>
        <v>0</v>
      </c>
      <c r="Y27" s="620">
        <f t="shared" si="8"/>
        <v>0</v>
      </c>
    </row>
    <row r="28" spans="1:25">
      <c r="A28" s="598"/>
      <c r="B28" s="639" t="s">
        <v>499</v>
      </c>
      <c r="C28" s="640"/>
      <c r="D28" s="623"/>
      <c r="E28" s="641">
        <f>IFERROR(#REF!,0)</f>
        <v>0</v>
      </c>
      <c r="F28" s="620">
        <f>IFERROR(#REF!,0)</f>
        <v>0</v>
      </c>
      <c r="G28" s="620">
        <f>F28</f>
        <v>0</v>
      </c>
      <c r="H28" s="620">
        <f t="shared" ref="H28:Y28" si="9">G28</f>
        <v>0</v>
      </c>
      <c r="I28" s="620">
        <f t="shared" si="9"/>
        <v>0</v>
      </c>
      <c r="J28" s="620">
        <f t="shared" si="9"/>
        <v>0</v>
      </c>
      <c r="K28" s="620">
        <f t="shared" si="9"/>
        <v>0</v>
      </c>
      <c r="L28" s="620">
        <f t="shared" si="9"/>
        <v>0</v>
      </c>
      <c r="M28" s="620">
        <f t="shared" si="9"/>
        <v>0</v>
      </c>
      <c r="N28" s="620">
        <f t="shared" si="9"/>
        <v>0</v>
      </c>
      <c r="O28" s="620">
        <f t="shared" si="9"/>
        <v>0</v>
      </c>
      <c r="P28" s="620">
        <f t="shared" si="9"/>
        <v>0</v>
      </c>
      <c r="Q28" s="620">
        <f t="shared" si="9"/>
        <v>0</v>
      </c>
      <c r="R28" s="620">
        <f t="shared" si="9"/>
        <v>0</v>
      </c>
      <c r="S28" s="620">
        <f t="shared" si="9"/>
        <v>0</v>
      </c>
      <c r="T28" s="620">
        <f t="shared" si="9"/>
        <v>0</v>
      </c>
      <c r="U28" s="620">
        <f t="shared" si="9"/>
        <v>0</v>
      </c>
      <c r="V28" s="620">
        <f t="shared" si="9"/>
        <v>0</v>
      </c>
      <c r="W28" s="620">
        <f t="shared" si="9"/>
        <v>0</v>
      </c>
      <c r="X28" s="620">
        <f t="shared" si="9"/>
        <v>0</v>
      </c>
      <c r="Y28" s="620">
        <f t="shared" si="9"/>
        <v>0</v>
      </c>
    </row>
    <row r="29" spans="1:25">
      <c r="A29" s="598"/>
      <c r="B29" s="639" t="s">
        <v>500</v>
      </c>
      <c r="C29" s="640"/>
      <c r="D29" s="623"/>
      <c r="E29" s="642">
        <f>IFERROR(#REF!,0)</f>
        <v>0</v>
      </c>
      <c r="F29" s="620">
        <f>IFERROR(#REF!,0)</f>
        <v>0</v>
      </c>
      <c r="G29" s="620">
        <f>F29</f>
        <v>0</v>
      </c>
      <c r="H29" s="620">
        <f t="shared" ref="H29:Y29" si="10">G29</f>
        <v>0</v>
      </c>
      <c r="I29" s="620">
        <f t="shared" si="10"/>
        <v>0</v>
      </c>
      <c r="J29" s="620">
        <f t="shared" si="10"/>
        <v>0</v>
      </c>
      <c r="K29" s="620">
        <f t="shared" si="10"/>
        <v>0</v>
      </c>
      <c r="L29" s="620">
        <f t="shared" si="10"/>
        <v>0</v>
      </c>
      <c r="M29" s="620">
        <f t="shared" si="10"/>
        <v>0</v>
      </c>
      <c r="N29" s="620">
        <f t="shared" si="10"/>
        <v>0</v>
      </c>
      <c r="O29" s="620">
        <f t="shared" si="10"/>
        <v>0</v>
      </c>
      <c r="P29" s="620">
        <f t="shared" si="10"/>
        <v>0</v>
      </c>
      <c r="Q29" s="620">
        <f t="shared" si="10"/>
        <v>0</v>
      </c>
      <c r="R29" s="620">
        <f t="shared" si="10"/>
        <v>0</v>
      </c>
      <c r="S29" s="620">
        <f t="shared" si="10"/>
        <v>0</v>
      </c>
      <c r="T29" s="620">
        <f t="shared" si="10"/>
        <v>0</v>
      </c>
      <c r="U29" s="620">
        <f t="shared" si="10"/>
        <v>0</v>
      </c>
      <c r="V29" s="620">
        <f t="shared" si="10"/>
        <v>0</v>
      </c>
      <c r="W29" s="620">
        <f t="shared" si="10"/>
        <v>0</v>
      </c>
      <c r="X29" s="620">
        <f t="shared" si="10"/>
        <v>0</v>
      </c>
      <c r="Y29" s="620">
        <f t="shared" si="10"/>
        <v>0</v>
      </c>
    </row>
    <row r="30" spans="1:25">
      <c r="A30" s="598"/>
      <c r="B30" s="639" t="s">
        <v>501</v>
      </c>
      <c r="C30" s="640"/>
      <c r="D30" s="623"/>
      <c r="E30" s="641">
        <v>0</v>
      </c>
      <c r="F30" s="620">
        <f>IFERROR(#REF!,0)</f>
        <v>0</v>
      </c>
      <c r="G30" s="620">
        <f>F30</f>
        <v>0</v>
      </c>
      <c r="H30" s="620">
        <f t="shared" ref="H30:Y30" si="11">G30</f>
        <v>0</v>
      </c>
      <c r="I30" s="620">
        <f t="shared" si="11"/>
        <v>0</v>
      </c>
      <c r="J30" s="620">
        <f t="shared" si="11"/>
        <v>0</v>
      </c>
      <c r="K30" s="620">
        <f t="shared" si="11"/>
        <v>0</v>
      </c>
      <c r="L30" s="620">
        <f t="shared" si="11"/>
        <v>0</v>
      </c>
      <c r="M30" s="620">
        <f t="shared" si="11"/>
        <v>0</v>
      </c>
      <c r="N30" s="620">
        <f t="shared" si="11"/>
        <v>0</v>
      </c>
      <c r="O30" s="620">
        <f t="shared" si="11"/>
        <v>0</v>
      </c>
      <c r="P30" s="620">
        <f t="shared" si="11"/>
        <v>0</v>
      </c>
      <c r="Q30" s="620">
        <f t="shared" si="11"/>
        <v>0</v>
      </c>
      <c r="R30" s="620">
        <f t="shared" si="11"/>
        <v>0</v>
      </c>
      <c r="S30" s="620">
        <f t="shared" si="11"/>
        <v>0</v>
      </c>
      <c r="T30" s="620">
        <f t="shared" si="11"/>
        <v>0</v>
      </c>
      <c r="U30" s="620">
        <f t="shared" si="11"/>
        <v>0</v>
      </c>
      <c r="V30" s="620">
        <f t="shared" si="11"/>
        <v>0</v>
      </c>
      <c r="W30" s="620">
        <f t="shared" si="11"/>
        <v>0</v>
      </c>
      <c r="X30" s="620">
        <f t="shared" si="11"/>
        <v>0</v>
      </c>
      <c r="Y30" s="620">
        <f t="shared" si="11"/>
        <v>0</v>
      </c>
    </row>
    <row r="31" spans="1:25" hidden="1">
      <c r="A31" s="598"/>
      <c r="B31" s="639" t="s">
        <v>502</v>
      </c>
      <c r="C31" s="640"/>
      <c r="D31" s="623"/>
      <c r="E31" s="396">
        <v>0</v>
      </c>
      <c r="F31" s="620">
        <f>IFERROR(#REF!,0)</f>
        <v>0</v>
      </c>
      <c r="G31" s="620">
        <f>F31</f>
        <v>0</v>
      </c>
      <c r="H31" s="620">
        <f t="shared" ref="H31:Y31" si="12">G31</f>
        <v>0</v>
      </c>
      <c r="I31" s="620">
        <f t="shared" si="12"/>
        <v>0</v>
      </c>
      <c r="J31" s="620">
        <f t="shared" si="12"/>
        <v>0</v>
      </c>
      <c r="K31" s="620">
        <f t="shared" si="12"/>
        <v>0</v>
      </c>
      <c r="L31" s="620">
        <f t="shared" si="12"/>
        <v>0</v>
      </c>
      <c r="M31" s="620">
        <f t="shared" si="12"/>
        <v>0</v>
      </c>
      <c r="N31" s="620">
        <f t="shared" si="12"/>
        <v>0</v>
      </c>
      <c r="O31" s="620">
        <f t="shared" si="12"/>
        <v>0</v>
      </c>
      <c r="P31" s="620">
        <f t="shared" si="12"/>
        <v>0</v>
      </c>
      <c r="Q31" s="620">
        <f t="shared" si="12"/>
        <v>0</v>
      </c>
      <c r="R31" s="620">
        <f t="shared" si="12"/>
        <v>0</v>
      </c>
      <c r="S31" s="620">
        <f t="shared" si="12"/>
        <v>0</v>
      </c>
      <c r="T31" s="620">
        <f t="shared" si="12"/>
        <v>0</v>
      </c>
      <c r="U31" s="620">
        <f t="shared" si="12"/>
        <v>0</v>
      </c>
      <c r="V31" s="620">
        <f t="shared" si="12"/>
        <v>0</v>
      </c>
      <c r="W31" s="620">
        <f t="shared" si="12"/>
        <v>0</v>
      </c>
      <c r="X31" s="620">
        <f t="shared" si="12"/>
        <v>0</v>
      </c>
      <c r="Y31" s="620">
        <f t="shared" si="12"/>
        <v>0</v>
      </c>
    </row>
    <row r="32" spans="1:25" ht="14.25" hidden="1" customHeight="1">
      <c r="A32" s="598"/>
      <c r="B32" s="639" t="s">
        <v>503</v>
      </c>
      <c r="C32" s="640"/>
      <c r="D32" s="623"/>
      <c r="E32" s="396"/>
      <c r="F32" s="620"/>
      <c r="G32" s="620"/>
      <c r="H32" s="620"/>
      <c r="I32" s="620"/>
      <c r="J32" s="620"/>
      <c r="K32" s="620"/>
      <c r="L32" s="620"/>
      <c r="M32" s="620"/>
      <c r="N32" s="620"/>
      <c r="O32" s="620"/>
      <c r="P32" s="620"/>
      <c r="Q32" s="620"/>
      <c r="R32" s="620"/>
      <c r="S32" s="620"/>
      <c r="T32" s="620"/>
      <c r="U32" s="621"/>
      <c r="V32" s="621"/>
      <c r="W32" s="621"/>
      <c r="X32" s="621"/>
      <c r="Y32" s="621"/>
    </row>
    <row r="33" spans="1:25">
      <c r="A33" s="72"/>
      <c r="B33" s="643"/>
      <c r="C33" s="644" t="s">
        <v>504</v>
      </c>
      <c r="D33" s="644"/>
      <c r="E33" s="645">
        <v>12</v>
      </c>
      <c r="F33" s="646" t="e">
        <f>F39+F41</f>
        <v>#VALUE!</v>
      </c>
      <c r="G33" s="646" t="e">
        <f>G39+G41</f>
        <v>#VALUE!</v>
      </c>
      <c r="H33" s="646" t="e">
        <f t="shared" ref="H33:Y33" si="13">H39+H41</f>
        <v>#VALUE!</v>
      </c>
      <c r="I33" s="646" t="e">
        <f t="shared" si="13"/>
        <v>#VALUE!</v>
      </c>
      <c r="J33" s="646" t="e">
        <f t="shared" si="13"/>
        <v>#VALUE!</v>
      </c>
      <c r="K33" s="646" t="e">
        <f t="shared" si="13"/>
        <v>#VALUE!</v>
      </c>
      <c r="L33" s="646" t="e">
        <f t="shared" si="13"/>
        <v>#VALUE!</v>
      </c>
      <c r="M33" s="646" t="e">
        <f t="shared" si="13"/>
        <v>#VALUE!</v>
      </c>
      <c r="N33" s="646" t="e">
        <f t="shared" si="13"/>
        <v>#VALUE!</v>
      </c>
      <c r="O33" s="646" t="e">
        <f t="shared" si="13"/>
        <v>#VALUE!</v>
      </c>
      <c r="P33" s="646" t="e">
        <f t="shared" si="13"/>
        <v>#VALUE!</v>
      </c>
      <c r="Q33" s="646" t="e">
        <f t="shared" si="13"/>
        <v>#VALUE!</v>
      </c>
      <c r="R33" s="646" t="e">
        <f t="shared" si="13"/>
        <v>#VALUE!</v>
      </c>
      <c r="S33" s="646" t="e">
        <f t="shared" si="13"/>
        <v>#VALUE!</v>
      </c>
      <c r="T33" s="646" t="e">
        <f t="shared" si="13"/>
        <v>#VALUE!</v>
      </c>
      <c r="U33" s="646" t="e">
        <f t="shared" si="13"/>
        <v>#VALUE!</v>
      </c>
      <c r="V33" s="646" t="e">
        <f t="shared" si="13"/>
        <v>#VALUE!</v>
      </c>
      <c r="W33" s="646" t="e">
        <f t="shared" si="13"/>
        <v>#VALUE!</v>
      </c>
      <c r="X33" s="646" t="e">
        <f t="shared" si="13"/>
        <v>#VALUE!</v>
      </c>
      <c r="Y33" s="646" t="e">
        <f t="shared" si="13"/>
        <v>#VALUE!</v>
      </c>
    </row>
    <row r="34" spans="1:25">
      <c r="B34" s="623"/>
      <c r="C34" s="623"/>
      <c r="D34" s="623"/>
      <c r="F34" s="620"/>
      <c r="G34" s="620"/>
      <c r="H34" s="648"/>
      <c r="I34" s="648"/>
      <c r="J34" s="648"/>
      <c r="K34" s="648"/>
      <c r="L34" s="648"/>
      <c r="M34" s="648"/>
      <c r="N34" s="648"/>
      <c r="O34" s="648"/>
      <c r="P34" s="648"/>
      <c r="Q34" s="648"/>
      <c r="R34" s="648"/>
      <c r="S34" s="648"/>
      <c r="T34" s="648"/>
      <c r="U34" s="647"/>
      <c r="V34" s="647"/>
      <c r="W34" s="647"/>
      <c r="X34" s="647"/>
      <c r="Y34" s="647"/>
    </row>
    <row r="35" spans="1:25">
      <c r="A35" s="85" t="s">
        <v>505</v>
      </c>
      <c r="B35" s="623"/>
      <c r="C35" s="623"/>
      <c r="D35" s="623"/>
      <c r="F35" s="649"/>
      <c r="G35" s="649"/>
      <c r="H35" s="650"/>
      <c r="I35" s="650"/>
      <c r="J35" s="650"/>
      <c r="K35" s="650"/>
      <c r="L35" s="650"/>
      <c r="M35" s="650"/>
      <c r="N35" s="650"/>
      <c r="O35" s="650"/>
      <c r="P35" s="650"/>
      <c r="Q35" s="650"/>
      <c r="R35" s="650"/>
      <c r="S35" s="650"/>
      <c r="T35" s="650"/>
      <c r="U35" s="651"/>
      <c r="V35" s="651"/>
      <c r="W35" s="651"/>
      <c r="X35" s="651"/>
      <c r="Y35" s="651"/>
    </row>
    <row r="36" spans="1:25">
      <c r="B36" s="623" t="s">
        <v>506</v>
      </c>
      <c r="C36" s="623"/>
      <c r="D36" s="623"/>
      <c r="E36">
        <f>E24</f>
        <v>0</v>
      </c>
      <c r="F36" s="649" t="e">
        <f>F24</f>
        <v>#VALUE!</v>
      </c>
      <c r="G36" s="649" t="e">
        <f>G24</f>
        <v>#VALUE!</v>
      </c>
      <c r="H36" s="649" t="e">
        <f t="shared" ref="H36:Y36" si="14">H24</f>
        <v>#VALUE!</v>
      </c>
      <c r="I36" s="649" t="e">
        <f t="shared" si="14"/>
        <v>#VALUE!</v>
      </c>
      <c r="J36" s="649" t="e">
        <f t="shared" si="14"/>
        <v>#VALUE!</v>
      </c>
      <c r="K36" s="649" t="e">
        <f t="shared" si="14"/>
        <v>#VALUE!</v>
      </c>
      <c r="L36" s="649" t="e">
        <f t="shared" si="14"/>
        <v>#VALUE!</v>
      </c>
      <c r="M36" s="649" t="e">
        <f t="shared" si="14"/>
        <v>#VALUE!</v>
      </c>
      <c r="N36" s="649" t="e">
        <f t="shared" si="14"/>
        <v>#VALUE!</v>
      </c>
      <c r="O36" s="649" t="e">
        <f t="shared" si="14"/>
        <v>#VALUE!</v>
      </c>
      <c r="P36" s="649" t="e">
        <f t="shared" si="14"/>
        <v>#VALUE!</v>
      </c>
      <c r="Q36" s="649" t="e">
        <f t="shared" si="14"/>
        <v>#VALUE!</v>
      </c>
      <c r="R36" s="649" t="e">
        <f t="shared" si="14"/>
        <v>#VALUE!</v>
      </c>
      <c r="S36" s="649" t="e">
        <f t="shared" si="14"/>
        <v>#VALUE!</v>
      </c>
      <c r="T36" s="649" t="e">
        <f t="shared" si="14"/>
        <v>#VALUE!</v>
      </c>
      <c r="U36" s="649" t="e">
        <f t="shared" si="14"/>
        <v>#VALUE!</v>
      </c>
      <c r="V36" s="649" t="e">
        <f t="shared" si="14"/>
        <v>#VALUE!</v>
      </c>
      <c r="W36" s="649" t="e">
        <f t="shared" si="14"/>
        <v>#VALUE!</v>
      </c>
      <c r="X36" s="649" t="e">
        <f t="shared" si="14"/>
        <v>#VALUE!</v>
      </c>
      <c r="Y36" s="649" t="e">
        <f t="shared" si="14"/>
        <v>#VALUE!</v>
      </c>
    </row>
    <row r="37" spans="1:25">
      <c r="B37" s="623" t="s">
        <v>507</v>
      </c>
      <c r="C37" s="623"/>
      <c r="D37" s="623"/>
      <c r="E37" s="653">
        <f>-E27</f>
        <v>0</v>
      </c>
      <c r="F37" s="649">
        <f>-F27</f>
        <v>0</v>
      </c>
      <c r="G37" s="649">
        <f>-G27</f>
        <v>0</v>
      </c>
      <c r="H37" s="649">
        <f t="shared" ref="H37:Y37" si="15">-H27</f>
        <v>0</v>
      </c>
      <c r="I37" s="649">
        <f t="shared" si="15"/>
        <v>0</v>
      </c>
      <c r="J37" s="649">
        <f t="shared" si="15"/>
        <v>0</v>
      </c>
      <c r="K37" s="649">
        <f t="shared" si="15"/>
        <v>0</v>
      </c>
      <c r="L37" s="649">
        <f t="shared" si="15"/>
        <v>0</v>
      </c>
      <c r="M37" s="649">
        <f t="shared" si="15"/>
        <v>0</v>
      </c>
      <c r="N37" s="649">
        <f t="shared" si="15"/>
        <v>0</v>
      </c>
      <c r="O37" s="649">
        <f t="shared" si="15"/>
        <v>0</v>
      </c>
      <c r="P37" s="649">
        <f t="shared" si="15"/>
        <v>0</v>
      </c>
      <c r="Q37" s="649">
        <f t="shared" si="15"/>
        <v>0</v>
      </c>
      <c r="R37" s="649">
        <f t="shared" si="15"/>
        <v>0</v>
      </c>
      <c r="S37" s="649">
        <f t="shared" si="15"/>
        <v>0</v>
      </c>
      <c r="T37" s="649">
        <f t="shared" si="15"/>
        <v>0</v>
      </c>
      <c r="U37" s="649">
        <f t="shared" si="15"/>
        <v>0</v>
      </c>
      <c r="V37" s="649">
        <f t="shared" si="15"/>
        <v>0</v>
      </c>
      <c r="W37" s="649">
        <f t="shared" si="15"/>
        <v>0</v>
      </c>
      <c r="X37" s="649">
        <f t="shared" si="15"/>
        <v>0</v>
      </c>
      <c r="Y37" s="649">
        <f t="shared" si="15"/>
        <v>0</v>
      </c>
    </row>
    <row r="38" spans="1:25">
      <c r="B38" s="623" t="s">
        <v>508</v>
      </c>
      <c r="C38" s="623"/>
      <c r="D38" s="623"/>
      <c r="E38" s="653">
        <f>-E28</f>
        <v>0</v>
      </c>
      <c r="F38" s="654">
        <f>-F28</f>
        <v>0</v>
      </c>
      <c r="G38" s="654">
        <f>-G28</f>
        <v>0</v>
      </c>
      <c r="H38" s="654">
        <f t="shared" ref="H38:Y38" si="16">-H28</f>
        <v>0</v>
      </c>
      <c r="I38" s="654">
        <f t="shared" si="16"/>
        <v>0</v>
      </c>
      <c r="J38" s="654">
        <f t="shared" si="16"/>
        <v>0</v>
      </c>
      <c r="K38" s="654">
        <f t="shared" si="16"/>
        <v>0</v>
      </c>
      <c r="L38" s="654">
        <f t="shared" si="16"/>
        <v>0</v>
      </c>
      <c r="M38" s="654">
        <f t="shared" si="16"/>
        <v>0</v>
      </c>
      <c r="N38" s="654">
        <f t="shared" si="16"/>
        <v>0</v>
      </c>
      <c r="O38" s="654">
        <f t="shared" si="16"/>
        <v>0</v>
      </c>
      <c r="P38" s="654">
        <f t="shared" si="16"/>
        <v>0</v>
      </c>
      <c r="Q38" s="654">
        <f t="shared" si="16"/>
        <v>0</v>
      </c>
      <c r="R38" s="654">
        <f t="shared" si="16"/>
        <v>0</v>
      </c>
      <c r="S38" s="654">
        <f t="shared" si="16"/>
        <v>0</v>
      </c>
      <c r="T38" s="654">
        <f t="shared" si="16"/>
        <v>0</v>
      </c>
      <c r="U38" s="654">
        <f t="shared" si="16"/>
        <v>0</v>
      </c>
      <c r="V38" s="654">
        <f t="shared" si="16"/>
        <v>0</v>
      </c>
      <c r="W38" s="654">
        <f t="shared" si="16"/>
        <v>0</v>
      </c>
      <c r="X38" s="654">
        <f t="shared" si="16"/>
        <v>0</v>
      </c>
      <c r="Y38" s="654">
        <f t="shared" si="16"/>
        <v>0</v>
      </c>
    </row>
    <row r="39" spans="1:25" s="85" customFormat="1">
      <c r="B39" s="655" t="s">
        <v>509</v>
      </c>
      <c r="C39" s="655"/>
      <c r="D39" s="655"/>
      <c r="E39" s="656">
        <f>E36+E37+E38</f>
        <v>0</v>
      </c>
      <c r="F39" s="657" t="e">
        <f>F36+F37+F38</f>
        <v>#VALUE!</v>
      </c>
      <c r="G39" s="657" t="e">
        <f>G36+G37+G38</f>
        <v>#VALUE!</v>
      </c>
      <c r="H39" s="657" t="e">
        <f t="shared" ref="H39:Y39" si="17">H36+H37+H38</f>
        <v>#VALUE!</v>
      </c>
      <c r="I39" s="657" t="e">
        <f t="shared" si="17"/>
        <v>#VALUE!</v>
      </c>
      <c r="J39" s="657" t="e">
        <f t="shared" si="17"/>
        <v>#VALUE!</v>
      </c>
      <c r="K39" s="657" t="e">
        <f t="shared" si="17"/>
        <v>#VALUE!</v>
      </c>
      <c r="L39" s="657" t="e">
        <f t="shared" si="17"/>
        <v>#VALUE!</v>
      </c>
      <c r="M39" s="657" t="e">
        <f t="shared" si="17"/>
        <v>#VALUE!</v>
      </c>
      <c r="N39" s="657" t="e">
        <f t="shared" si="17"/>
        <v>#VALUE!</v>
      </c>
      <c r="O39" s="657" t="e">
        <f t="shared" si="17"/>
        <v>#VALUE!</v>
      </c>
      <c r="P39" s="657" t="e">
        <f t="shared" si="17"/>
        <v>#VALUE!</v>
      </c>
      <c r="Q39" s="657" t="e">
        <f t="shared" si="17"/>
        <v>#VALUE!</v>
      </c>
      <c r="R39" s="657" t="e">
        <f t="shared" si="17"/>
        <v>#VALUE!</v>
      </c>
      <c r="S39" s="657" t="e">
        <f t="shared" si="17"/>
        <v>#VALUE!</v>
      </c>
      <c r="T39" s="657" t="e">
        <f t="shared" si="17"/>
        <v>#VALUE!</v>
      </c>
      <c r="U39" s="657" t="e">
        <f t="shared" si="17"/>
        <v>#VALUE!</v>
      </c>
      <c r="V39" s="657" t="e">
        <f t="shared" si="17"/>
        <v>#VALUE!</v>
      </c>
      <c r="W39" s="657" t="e">
        <f t="shared" si="17"/>
        <v>#VALUE!</v>
      </c>
      <c r="X39" s="657" t="e">
        <f t="shared" si="17"/>
        <v>#VALUE!</v>
      </c>
      <c r="Y39" s="657" t="e">
        <f t="shared" si="17"/>
        <v>#VALUE!</v>
      </c>
    </row>
    <row r="40" spans="1:25">
      <c r="B40" s="623"/>
      <c r="C40" s="623"/>
      <c r="D40" s="623"/>
      <c r="E40" s="577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52"/>
      <c r="V40" s="652"/>
      <c r="W40" s="652"/>
      <c r="X40" s="652"/>
      <c r="Y40" s="652"/>
    </row>
    <row r="41" spans="1:25">
      <c r="B41" s="623" t="s">
        <v>510</v>
      </c>
      <c r="C41" s="623"/>
      <c r="D41" s="623"/>
      <c r="E41" s="653" t="s">
        <v>511</v>
      </c>
      <c r="F41" s="649">
        <f>-F82</f>
        <v>-8500</v>
      </c>
      <c r="G41" s="649" t="e">
        <f>-G82</f>
        <v>#VALUE!</v>
      </c>
      <c r="H41" s="649" t="e">
        <f t="shared" ref="H41:Y41" si="18">-H82</f>
        <v>#VALUE!</v>
      </c>
      <c r="I41" s="649" t="e">
        <f t="shared" si="18"/>
        <v>#VALUE!</v>
      </c>
      <c r="J41" s="649" t="e">
        <f t="shared" si="18"/>
        <v>#VALUE!</v>
      </c>
      <c r="K41" s="649" t="e">
        <f t="shared" si="18"/>
        <v>#VALUE!</v>
      </c>
      <c r="L41" s="649" t="e">
        <f t="shared" si="18"/>
        <v>#VALUE!</v>
      </c>
      <c r="M41" s="649" t="e">
        <f t="shared" si="18"/>
        <v>#VALUE!</v>
      </c>
      <c r="N41" s="649" t="e">
        <f t="shared" si="18"/>
        <v>#VALUE!</v>
      </c>
      <c r="O41" s="649" t="e">
        <f t="shared" si="18"/>
        <v>#VALUE!</v>
      </c>
      <c r="P41" s="649" t="e">
        <f t="shared" si="18"/>
        <v>#VALUE!</v>
      </c>
      <c r="Q41" s="649" t="e">
        <f t="shared" si="18"/>
        <v>#VALUE!</v>
      </c>
      <c r="R41" s="649" t="e">
        <f t="shared" si="18"/>
        <v>#VALUE!</v>
      </c>
      <c r="S41" s="649" t="e">
        <f t="shared" si="18"/>
        <v>#VALUE!</v>
      </c>
      <c r="T41" s="649" t="e">
        <f t="shared" si="18"/>
        <v>#VALUE!</v>
      </c>
      <c r="U41" s="649" t="e">
        <f t="shared" si="18"/>
        <v>#VALUE!</v>
      </c>
      <c r="V41" s="649" t="e">
        <f t="shared" si="18"/>
        <v>#VALUE!</v>
      </c>
      <c r="W41" s="649" t="e">
        <f t="shared" si="18"/>
        <v>#VALUE!</v>
      </c>
      <c r="X41" s="649" t="e">
        <f t="shared" si="18"/>
        <v>#VALUE!</v>
      </c>
      <c r="Y41" s="649" t="e">
        <f t="shared" si="18"/>
        <v>#VALUE!</v>
      </c>
    </row>
    <row r="42" spans="1:25">
      <c r="B42" s="623" t="s">
        <v>512</v>
      </c>
      <c r="C42" s="623"/>
      <c r="D42" s="658"/>
      <c r="E42" s="653" t="s">
        <v>513</v>
      </c>
      <c r="F42" s="582" t="e">
        <f>-IF(SUM(F39:F41)&gt;0,MIN(SUM(F39:F41),F63),0)</f>
        <v>#VALUE!</v>
      </c>
      <c r="G42" s="659" t="e">
        <f>-IF(SUM(G39:G41)&gt;0,MIN(SUM(G39:G41),G63),0)</f>
        <v>#VALUE!</v>
      </c>
      <c r="H42" s="659" t="e">
        <f t="shared" ref="H42:Y42" si="19">-IF(SUM(H39:H41)&gt;0,MIN(SUM(H39:H41),H63),0)</f>
        <v>#VALUE!</v>
      </c>
      <c r="I42" s="659" t="e">
        <f t="shared" si="19"/>
        <v>#VALUE!</v>
      </c>
      <c r="J42" s="659" t="e">
        <f t="shared" si="19"/>
        <v>#VALUE!</v>
      </c>
      <c r="K42" s="659" t="e">
        <f t="shared" si="19"/>
        <v>#VALUE!</v>
      </c>
      <c r="L42" s="659" t="e">
        <f t="shared" si="19"/>
        <v>#VALUE!</v>
      </c>
      <c r="M42" s="659" t="e">
        <f t="shared" si="19"/>
        <v>#VALUE!</v>
      </c>
      <c r="N42" s="659" t="e">
        <f t="shared" si="19"/>
        <v>#VALUE!</v>
      </c>
      <c r="O42" s="659" t="e">
        <f t="shared" si="19"/>
        <v>#VALUE!</v>
      </c>
      <c r="P42" s="659" t="e">
        <f t="shared" si="19"/>
        <v>#VALUE!</v>
      </c>
      <c r="Q42" s="659" t="e">
        <f t="shared" si="19"/>
        <v>#VALUE!</v>
      </c>
      <c r="R42" s="659" t="e">
        <f t="shared" si="19"/>
        <v>#VALUE!</v>
      </c>
      <c r="S42" s="659" t="e">
        <f t="shared" si="19"/>
        <v>#VALUE!</v>
      </c>
      <c r="T42" s="659" t="e">
        <f t="shared" si="19"/>
        <v>#VALUE!</v>
      </c>
      <c r="U42" s="659" t="e">
        <f t="shared" si="19"/>
        <v>#VALUE!</v>
      </c>
      <c r="V42" s="659" t="e">
        <f t="shared" si="19"/>
        <v>#VALUE!</v>
      </c>
      <c r="W42" s="659" t="e">
        <f t="shared" si="19"/>
        <v>#VALUE!</v>
      </c>
      <c r="X42" s="659" t="e">
        <f t="shared" si="19"/>
        <v>#VALUE!</v>
      </c>
      <c r="Y42" s="659" t="e">
        <f t="shared" si="19"/>
        <v>#VALUE!</v>
      </c>
    </row>
    <row r="43" spans="1:25">
      <c r="B43" s="623" t="s">
        <v>514</v>
      </c>
      <c r="C43" s="623"/>
      <c r="D43" s="623"/>
      <c r="E43" s="653" t="s">
        <v>511</v>
      </c>
      <c r="F43" s="582">
        <v>0</v>
      </c>
      <c r="G43" s="582">
        <v>0</v>
      </c>
      <c r="H43" s="582">
        <v>0</v>
      </c>
      <c r="I43" s="582">
        <v>0</v>
      </c>
      <c r="J43" s="582">
        <v>0</v>
      </c>
      <c r="K43" s="582">
        <v>0</v>
      </c>
      <c r="L43" s="582">
        <v>0</v>
      </c>
      <c r="M43" s="582">
        <v>0</v>
      </c>
      <c r="N43" s="582">
        <v>0</v>
      </c>
      <c r="O43" s="582">
        <v>0</v>
      </c>
      <c r="P43" s="582">
        <v>0</v>
      </c>
      <c r="Q43" s="582">
        <v>0</v>
      </c>
      <c r="R43" s="582">
        <v>0</v>
      </c>
      <c r="S43" s="582">
        <v>0</v>
      </c>
      <c r="T43" s="582">
        <v>0</v>
      </c>
      <c r="U43" s="582">
        <v>0</v>
      </c>
      <c r="V43" s="582">
        <v>0</v>
      </c>
      <c r="W43" s="582">
        <v>0</v>
      </c>
      <c r="X43" s="582">
        <v>0</v>
      </c>
      <c r="Y43" s="582">
        <v>0</v>
      </c>
    </row>
    <row r="44" spans="1:25">
      <c r="B44" s="623" t="s">
        <v>515</v>
      </c>
      <c r="C44" s="623"/>
      <c r="D44" s="660"/>
      <c r="E44" s="653" t="s">
        <v>511</v>
      </c>
      <c r="F44" s="582">
        <v>0</v>
      </c>
      <c r="G44" s="582">
        <v>0</v>
      </c>
      <c r="H44" s="582">
        <v>0</v>
      </c>
      <c r="I44" s="582">
        <v>0</v>
      </c>
      <c r="J44" s="582">
        <v>0</v>
      </c>
      <c r="K44" s="582">
        <v>0</v>
      </c>
      <c r="L44" s="582">
        <v>0</v>
      </c>
      <c r="M44" s="582">
        <v>0</v>
      </c>
      <c r="N44" s="582">
        <v>0</v>
      </c>
      <c r="O44" s="582">
        <v>0</v>
      </c>
      <c r="P44" s="582">
        <v>0</v>
      </c>
      <c r="Q44" s="582">
        <v>0</v>
      </c>
      <c r="R44" s="582">
        <v>0</v>
      </c>
      <c r="S44" s="582">
        <v>0</v>
      </c>
      <c r="T44" s="582">
        <v>0</v>
      </c>
      <c r="U44" s="582">
        <v>0</v>
      </c>
      <c r="V44" s="582">
        <v>0</v>
      </c>
      <c r="W44" s="582">
        <v>0</v>
      </c>
      <c r="X44" s="582">
        <v>0</v>
      </c>
      <c r="Y44" s="582">
        <v>0</v>
      </c>
    </row>
    <row r="45" spans="1:25">
      <c r="B45" s="623" t="s">
        <v>516</v>
      </c>
      <c r="C45" s="623"/>
      <c r="D45" s="661"/>
      <c r="E45" s="653" t="s">
        <v>511</v>
      </c>
      <c r="F45" s="582">
        <v>0</v>
      </c>
      <c r="G45" s="582">
        <v>0</v>
      </c>
      <c r="H45" s="582">
        <v>0</v>
      </c>
      <c r="I45" s="582">
        <v>0</v>
      </c>
      <c r="J45" s="582">
        <v>0</v>
      </c>
      <c r="K45" s="582">
        <v>0</v>
      </c>
      <c r="L45" s="582">
        <v>0</v>
      </c>
      <c r="M45" s="582">
        <v>0</v>
      </c>
      <c r="N45" s="582">
        <v>0</v>
      </c>
      <c r="O45" s="582">
        <v>0</v>
      </c>
      <c r="P45" s="582">
        <v>0</v>
      </c>
      <c r="Q45" s="582">
        <v>0</v>
      </c>
      <c r="R45" s="582">
        <v>0</v>
      </c>
      <c r="S45" s="582">
        <v>0</v>
      </c>
      <c r="T45" s="582">
        <v>0</v>
      </c>
      <c r="U45" s="582">
        <v>0</v>
      </c>
      <c r="V45" s="582">
        <v>0</v>
      </c>
      <c r="W45" s="582">
        <v>0</v>
      </c>
      <c r="X45" s="582">
        <v>0</v>
      </c>
      <c r="Y45" s="582">
        <v>0</v>
      </c>
    </row>
    <row r="46" spans="1:25">
      <c r="B46" s="623" t="s">
        <v>517</v>
      </c>
      <c r="C46" s="623"/>
      <c r="D46" s="660"/>
      <c r="E46" s="653" t="s">
        <v>511</v>
      </c>
      <c r="F46" s="582">
        <v>0</v>
      </c>
      <c r="G46" s="582">
        <v>0</v>
      </c>
      <c r="H46" s="582">
        <v>0</v>
      </c>
      <c r="I46" s="582">
        <v>0</v>
      </c>
      <c r="J46" s="582">
        <v>0</v>
      </c>
      <c r="K46" s="582">
        <v>0</v>
      </c>
      <c r="L46" s="582">
        <v>0</v>
      </c>
      <c r="M46" s="582">
        <v>0</v>
      </c>
      <c r="N46" s="582">
        <v>0</v>
      </c>
      <c r="O46" s="582">
        <v>0</v>
      </c>
      <c r="P46" s="582">
        <v>0</v>
      </c>
      <c r="Q46" s="582">
        <v>0</v>
      </c>
      <c r="R46" s="582">
        <v>0</v>
      </c>
      <c r="S46" s="582">
        <v>0</v>
      </c>
      <c r="T46" s="582">
        <v>0</v>
      </c>
      <c r="U46" s="582">
        <v>0</v>
      </c>
      <c r="V46" s="582">
        <v>0</v>
      </c>
      <c r="W46" s="582">
        <v>0</v>
      </c>
      <c r="X46" s="582">
        <v>0</v>
      </c>
      <c r="Y46" s="582">
        <v>0</v>
      </c>
    </row>
    <row r="47" spans="1:25">
      <c r="B47" s="623" t="s">
        <v>518</v>
      </c>
      <c r="C47" s="623"/>
      <c r="D47" s="662"/>
      <c r="E47" s="653" t="s">
        <v>513</v>
      </c>
      <c r="F47" s="582" t="e">
        <f>#REF!+#REF!</f>
        <v>#REF!</v>
      </c>
      <c r="G47" s="582" t="e">
        <f>F47</f>
        <v>#REF!</v>
      </c>
      <c r="H47" s="582" t="e">
        <f t="shared" ref="H47:Y47" si="20">G47</f>
        <v>#REF!</v>
      </c>
      <c r="I47" s="582" t="e">
        <f t="shared" si="20"/>
        <v>#REF!</v>
      </c>
      <c r="J47" s="582" t="e">
        <f t="shared" si="20"/>
        <v>#REF!</v>
      </c>
      <c r="K47" s="582" t="e">
        <f t="shared" si="20"/>
        <v>#REF!</v>
      </c>
      <c r="L47" s="582" t="e">
        <f t="shared" si="20"/>
        <v>#REF!</v>
      </c>
      <c r="M47" s="582" t="e">
        <f t="shared" si="20"/>
        <v>#REF!</v>
      </c>
      <c r="N47" s="582" t="e">
        <f t="shared" si="20"/>
        <v>#REF!</v>
      </c>
      <c r="O47" s="582" t="e">
        <f t="shared" si="20"/>
        <v>#REF!</v>
      </c>
      <c r="P47" s="582" t="e">
        <f t="shared" si="20"/>
        <v>#REF!</v>
      </c>
      <c r="Q47" s="582" t="e">
        <f t="shared" si="20"/>
        <v>#REF!</v>
      </c>
      <c r="R47" s="582" t="e">
        <f t="shared" si="20"/>
        <v>#REF!</v>
      </c>
      <c r="S47" s="582" t="e">
        <f t="shared" si="20"/>
        <v>#REF!</v>
      </c>
      <c r="T47" s="582" t="e">
        <f t="shared" si="20"/>
        <v>#REF!</v>
      </c>
      <c r="U47" s="582" t="e">
        <f t="shared" si="20"/>
        <v>#REF!</v>
      </c>
      <c r="V47" s="582" t="e">
        <f t="shared" si="20"/>
        <v>#REF!</v>
      </c>
      <c r="W47" s="582" t="e">
        <f t="shared" si="20"/>
        <v>#REF!</v>
      </c>
      <c r="X47" s="582" t="e">
        <f t="shared" si="20"/>
        <v>#REF!</v>
      </c>
      <c r="Y47" s="582" t="e">
        <f t="shared" si="20"/>
        <v>#REF!</v>
      </c>
    </row>
    <row r="48" spans="1:25">
      <c r="B48" s="623" t="s">
        <v>519</v>
      </c>
      <c r="C48" s="623"/>
      <c r="D48" s="662"/>
      <c r="E48" s="653" t="s">
        <v>513</v>
      </c>
      <c r="F48" s="663">
        <v>0</v>
      </c>
      <c r="G48" s="663">
        <v>0</v>
      </c>
      <c r="H48" s="663">
        <v>0</v>
      </c>
      <c r="I48" s="663">
        <v>0</v>
      </c>
      <c r="J48" s="663">
        <v>0</v>
      </c>
      <c r="K48" s="663">
        <v>0</v>
      </c>
      <c r="L48" s="663">
        <v>0</v>
      </c>
      <c r="M48" s="663">
        <v>0</v>
      </c>
      <c r="N48" s="663">
        <v>0</v>
      </c>
      <c r="O48" s="663">
        <v>0</v>
      </c>
      <c r="P48" s="663">
        <v>0</v>
      </c>
      <c r="Q48" s="663">
        <v>0</v>
      </c>
      <c r="R48" s="663">
        <v>0</v>
      </c>
      <c r="S48" s="663">
        <v>0</v>
      </c>
      <c r="T48" s="663">
        <v>0</v>
      </c>
      <c r="U48" s="663">
        <v>0</v>
      </c>
      <c r="V48" s="663">
        <v>0</v>
      </c>
      <c r="W48" s="663">
        <v>0</v>
      </c>
      <c r="X48" s="663">
        <v>0</v>
      </c>
      <c r="Y48" s="663">
        <v>0</v>
      </c>
    </row>
    <row r="49" spans="1:25" s="85" customFormat="1">
      <c r="B49" s="664" t="s">
        <v>520</v>
      </c>
      <c r="C49" s="617"/>
      <c r="D49" s="617"/>
      <c r="E49" s="85">
        <f>SUM(E39:E48)</f>
        <v>0</v>
      </c>
      <c r="F49" s="665" t="e">
        <f>SUM(F39:F48)</f>
        <v>#VALUE!</v>
      </c>
      <c r="G49" s="665" t="e">
        <f>SUM(G39:G48)</f>
        <v>#VALUE!</v>
      </c>
      <c r="H49" s="665" t="e">
        <f t="shared" ref="H49:Y49" si="21">SUM(H39:H48)</f>
        <v>#VALUE!</v>
      </c>
      <c r="I49" s="665" t="e">
        <f t="shared" si="21"/>
        <v>#VALUE!</v>
      </c>
      <c r="J49" s="665" t="e">
        <f t="shared" si="21"/>
        <v>#VALUE!</v>
      </c>
      <c r="K49" s="665" t="e">
        <f t="shared" si="21"/>
        <v>#VALUE!</v>
      </c>
      <c r="L49" s="665" t="e">
        <f t="shared" si="21"/>
        <v>#VALUE!</v>
      </c>
      <c r="M49" s="665" t="e">
        <f t="shared" si="21"/>
        <v>#VALUE!</v>
      </c>
      <c r="N49" s="665" t="e">
        <f t="shared" si="21"/>
        <v>#VALUE!</v>
      </c>
      <c r="O49" s="665" t="e">
        <f t="shared" si="21"/>
        <v>#VALUE!</v>
      </c>
      <c r="P49" s="665" t="e">
        <f t="shared" si="21"/>
        <v>#VALUE!</v>
      </c>
      <c r="Q49" s="665" t="e">
        <f t="shared" si="21"/>
        <v>#VALUE!</v>
      </c>
      <c r="R49" s="665" t="e">
        <f t="shared" si="21"/>
        <v>#VALUE!</v>
      </c>
      <c r="S49" s="665" t="e">
        <f t="shared" si="21"/>
        <v>#VALUE!</v>
      </c>
      <c r="T49" s="665" t="e">
        <f t="shared" si="21"/>
        <v>#VALUE!</v>
      </c>
      <c r="U49" s="665" t="e">
        <f t="shared" si="21"/>
        <v>#VALUE!</v>
      </c>
      <c r="V49" s="665" t="e">
        <f t="shared" si="21"/>
        <v>#VALUE!</v>
      </c>
      <c r="W49" s="665" t="e">
        <f t="shared" si="21"/>
        <v>#VALUE!</v>
      </c>
      <c r="X49" s="665" t="e">
        <f t="shared" si="21"/>
        <v>#VALUE!</v>
      </c>
      <c r="Y49" s="665" t="e">
        <f t="shared" si="21"/>
        <v>#VALUE!</v>
      </c>
    </row>
    <row r="50" spans="1:25" ht="15" customHeight="1">
      <c r="A50" s="623"/>
      <c r="B50" s="623"/>
      <c r="C50" s="623"/>
      <c r="D50" s="623"/>
      <c r="F50" s="562"/>
      <c r="U50" s="430"/>
      <c r="V50" s="430"/>
      <c r="W50" s="430"/>
      <c r="X50" s="430"/>
      <c r="Y50" s="430"/>
    </row>
    <row r="51" spans="1:25" ht="15" customHeight="1">
      <c r="A51" s="623"/>
      <c r="B51" s="623" t="s">
        <v>521</v>
      </c>
      <c r="C51" s="623"/>
      <c r="D51" s="623"/>
      <c r="E51">
        <f>IF(-(E37+E38)=0,0,E36/-(E37+E38))</f>
        <v>0</v>
      </c>
      <c r="F51" s="666">
        <f>IF(-(F37+F38)=0,0,F36/-(F37+F38))</f>
        <v>0</v>
      </c>
      <c r="G51" s="667">
        <f>IF(-(G37+G38)=0,0,G36/-(G37+G38))</f>
        <v>0</v>
      </c>
      <c r="H51" s="667">
        <f t="shared" ref="H51:Y51" si="22">IF(-(H37+H38)=0,0,H36/-(H37+H38))</f>
        <v>0</v>
      </c>
      <c r="I51" s="667">
        <f t="shared" si="22"/>
        <v>0</v>
      </c>
      <c r="J51" s="667">
        <f t="shared" si="22"/>
        <v>0</v>
      </c>
      <c r="K51" s="667">
        <f t="shared" si="22"/>
        <v>0</v>
      </c>
      <c r="L51" s="667">
        <f t="shared" si="22"/>
        <v>0</v>
      </c>
      <c r="M51" s="667">
        <f t="shared" si="22"/>
        <v>0</v>
      </c>
      <c r="N51" s="667">
        <f t="shared" si="22"/>
        <v>0</v>
      </c>
      <c r="O51" s="667">
        <f t="shared" si="22"/>
        <v>0</v>
      </c>
      <c r="P51" s="667">
        <f t="shared" si="22"/>
        <v>0</v>
      </c>
      <c r="Q51" s="667">
        <f t="shared" si="22"/>
        <v>0</v>
      </c>
      <c r="R51" s="667">
        <f t="shared" si="22"/>
        <v>0</v>
      </c>
      <c r="S51" s="667">
        <f t="shared" si="22"/>
        <v>0</v>
      </c>
      <c r="T51" s="667">
        <f t="shared" si="22"/>
        <v>0</v>
      </c>
      <c r="U51" s="667">
        <f t="shared" si="22"/>
        <v>0</v>
      </c>
      <c r="V51" s="667">
        <f t="shared" si="22"/>
        <v>0</v>
      </c>
      <c r="W51" s="667">
        <f t="shared" si="22"/>
        <v>0</v>
      </c>
      <c r="X51" s="667">
        <f t="shared" si="22"/>
        <v>0</v>
      </c>
      <c r="Y51" s="667">
        <f t="shared" si="22"/>
        <v>0</v>
      </c>
    </row>
    <row r="52" spans="1:25" ht="15" customHeight="1">
      <c r="A52" s="623"/>
      <c r="B52" s="623" t="s">
        <v>522</v>
      </c>
      <c r="C52" s="623"/>
      <c r="D52" s="623"/>
      <c r="F52" s="668" t="e">
        <f>IF(-(F37+F38+F42)=0,0,F36/-(F37+F38+F42))</f>
        <v>#VALUE!</v>
      </c>
      <c r="G52" s="668" t="e">
        <f>IF(-(G37+G38+G42)=0,0,G36/-(G37+G38+G42))</f>
        <v>#VALUE!</v>
      </c>
      <c r="H52" s="668" t="e">
        <f t="shared" ref="H52:Y52" si="23">IF(-(H37+H38+H42)=0,0,H36/-(H37+H38+H42))</f>
        <v>#VALUE!</v>
      </c>
      <c r="I52" s="668" t="e">
        <f t="shared" si="23"/>
        <v>#VALUE!</v>
      </c>
      <c r="J52" s="668" t="e">
        <f t="shared" si="23"/>
        <v>#VALUE!</v>
      </c>
      <c r="K52" s="668" t="e">
        <f t="shared" si="23"/>
        <v>#VALUE!</v>
      </c>
      <c r="L52" s="668" t="e">
        <f t="shared" si="23"/>
        <v>#VALUE!</v>
      </c>
      <c r="M52" s="668" t="e">
        <f t="shared" si="23"/>
        <v>#VALUE!</v>
      </c>
      <c r="N52" s="668" t="e">
        <f t="shared" si="23"/>
        <v>#VALUE!</v>
      </c>
      <c r="O52" s="668" t="e">
        <f t="shared" si="23"/>
        <v>#VALUE!</v>
      </c>
      <c r="P52" s="668" t="e">
        <f t="shared" si="23"/>
        <v>#VALUE!</v>
      </c>
      <c r="Q52" s="668" t="e">
        <f t="shared" si="23"/>
        <v>#VALUE!</v>
      </c>
      <c r="R52" s="668" t="e">
        <f t="shared" si="23"/>
        <v>#VALUE!</v>
      </c>
      <c r="S52" s="668" t="e">
        <f t="shared" si="23"/>
        <v>#VALUE!</v>
      </c>
      <c r="T52" s="668" t="e">
        <f t="shared" si="23"/>
        <v>#VALUE!</v>
      </c>
      <c r="U52" s="668" t="e">
        <f t="shared" si="23"/>
        <v>#VALUE!</v>
      </c>
      <c r="V52" s="668" t="e">
        <f t="shared" si="23"/>
        <v>#VALUE!</v>
      </c>
      <c r="W52" s="668" t="e">
        <f t="shared" si="23"/>
        <v>#VALUE!</v>
      </c>
      <c r="X52" s="668" t="e">
        <f t="shared" si="23"/>
        <v>#VALUE!</v>
      </c>
      <c r="Y52" s="668" t="e">
        <f t="shared" si="23"/>
        <v>#VALUE!</v>
      </c>
    </row>
    <row r="53" spans="1:25" ht="15" customHeight="1">
      <c r="A53" s="623"/>
      <c r="B53" s="623"/>
      <c r="C53" s="623"/>
      <c r="D53" s="623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15"/>
      <c r="V53" s="15"/>
      <c r="W53" s="15"/>
    </row>
    <row r="54" spans="1:25" ht="15" customHeight="1">
      <c r="A54" s="623"/>
      <c r="B54" s="623"/>
      <c r="C54" s="623" t="e">
        <f>SUM(F54:Y54)</f>
        <v>#REF!</v>
      </c>
      <c r="D54" s="623"/>
      <c r="F54" t="e">
        <f>IF(F63&gt;0,1,0)</f>
        <v>#REF!</v>
      </c>
      <c r="G54" t="e">
        <f>IF(G63&gt;0,1,0)</f>
        <v>#REF!</v>
      </c>
      <c r="H54" t="e">
        <f t="shared" ref="H54:Y54" si="24">IF(H63&gt;0,1,0)</f>
        <v>#REF!</v>
      </c>
      <c r="I54" t="e">
        <f t="shared" si="24"/>
        <v>#REF!</v>
      </c>
      <c r="J54" t="e">
        <f t="shared" si="24"/>
        <v>#REF!</v>
      </c>
      <c r="K54" t="e">
        <f t="shared" si="24"/>
        <v>#REF!</v>
      </c>
      <c r="L54" t="e">
        <f t="shared" si="24"/>
        <v>#REF!</v>
      </c>
      <c r="M54" t="e">
        <f t="shared" si="24"/>
        <v>#REF!</v>
      </c>
      <c r="N54" t="e">
        <f t="shared" si="24"/>
        <v>#REF!</v>
      </c>
      <c r="O54" t="e">
        <f t="shared" si="24"/>
        <v>#REF!</v>
      </c>
      <c r="P54" t="e">
        <f t="shared" si="24"/>
        <v>#REF!</v>
      </c>
      <c r="Q54" t="e">
        <f t="shared" si="24"/>
        <v>#REF!</v>
      </c>
      <c r="R54" t="e">
        <f t="shared" si="24"/>
        <v>#REF!</v>
      </c>
      <c r="S54" t="e">
        <f t="shared" si="24"/>
        <v>#REF!</v>
      </c>
      <c r="T54" t="e">
        <f t="shared" si="24"/>
        <v>#REF!</v>
      </c>
      <c r="U54" t="e">
        <f t="shared" si="24"/>
        <v>#REF!</v>
      </c>
      <c r="V54" t="e">
        <f t="shared" si="24"/>
        <v>#REF!</v>
      </c>
      <c r="W54" t="e">
        <f t="shared" si="24"/>
        <v>#REF!</v>
      </c>
      <c r="X54" t="e">
        <f t="shared" si="24"/>
        <v>#REF!</v>
      </c>
      <c r="Y54" t="e">
        <f t="shared" si="24"/>
        <v>#REF!</v>
      </c>
    </row>
    <row r="55" spans="1:25" ht="15" hidden="1" customHeight="1">
      <c r="A55" s="670"/>
      <c r="B55" s="671" t="s">
        <v>523</v>
      </c>
      <c r="C55" s="672"/>
      <c r="D55" s="672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3"/>
      <c r="P55" s="673"/>
      <c r="Q55" s="673"/>
      <c r="R55" s="673"/>
      <c r="S55" s="673"/>
      <c r="T55" s="673"/>
      <c r="U55" s="673"/>
      <c r="V55" s="673"/>
      <c r="W55" s="673"/>
      <c r="X55" s="673"/>
      <c r="Y55" s="674"/>
    </row>
    <row r="56" spans="1:25" s="577" customFormat="1" ht="15" hidden="1" customHeight="1">
      <c r="A56" s="675"/>
      <c r="B56" s="676" t="s">
        <v>524</v>
      </c>
      <c r="C56" s="677"/>
      <c r="D56" s="677"/>
      <c r="E56" s="677"/>
      <c r="F56" s="677">
        <v>0</v>
      </c>
      <c r="G56" s="677">
        <v>0</v>
      </c>
      <c r="H56" s="677">
        <v>0</v>
      </c>
      <c r="I56" s="677">
        <v>0</v>
      </c>
      <c r="J56" s="677">
        <v>0</v>
      </c>
      <c r="K56" s="677">
        <v>0</v>
      </c>
      <c r="L56" s="677">
        <v>0</v>
      </c>
      <c r="M56" s="677">
        <v>0</v>
      </c>
      <c r="N56" s="677">
        <v>0</v>
      </c>
      <c r="O56" s="677">
        <v>0</v>
      </c>
      <c r="P56" s="677">
        <v>0</v>
      </c>
      <c r="Q56" s="677">
        <v>0</v>
      </c>
      <c r="R56" s="677">
        <v>0</v>
      </c>
      <c r="S56" s="677">
        <v>0</v>
      </c>
      <c r="T56" s="677">
        <v>0</v>
      </c>
      <c r="U56" s="677">
        <v>0</v>
      </c>
      <c r="V56" s="677">
        <v>0</v>
      </c>
      <c r="W56" s="677">
        <v>0</v>
      </c>
      <c r="X56" s="677">
        <v>0</v>
      </c>
      <c r="Y56" s="677">
        <v>0</v>
      </c>
    </row>
    <row r="57" spans="1:25" ht="15" hidden="1" customHeight="1">
      <c r="A57" s="623"/>
      <c r="B57" s="623"/>
      <c r="C57" s="623"/>
      <c r="D57" s="623"/>
      <c r="Y57" s="187"/>
    </row>
    <row r="58" spans="1:25" ht="15" hidden="1" customHeight="1">
      <c r="A58" s="670"/>
      <c r="B58" s="671" t="s">
        <v>525</v>
      </c>
      <c r="C58" s="672"/>
      <c r="D58" s="672"/>
      <c r="E58" s="673"/>
      <c r="F58" s="673"/>
      <c r="G58" s="673"/>
      <c r="H58" s="673"/>
      <c r="I58" s="673"/>
      <c r="J58" s="673"/>
      <c r="K58" s="673"/>
      <c r="L58" s="673"/>
      <c r="M58" s="673"/>
      <c r="N58" s="673"/>
      <c r="O58" s="673"/>
      <c r="P58" s="673"/>
      <c r="Q58" s="673"/>
      <c r="R58" s="673"/>
      <c r="S58" s="673"/>
      <c r="T58" s="673"/>
      <c r="U58" s="673"/>
      <c r="V58" s="673"/>
      <c r="W58" s="673"/>
      <c r="X58" s="673"/>
      <c r="Y58" s="674"/>
    </row>
    <row r="59" spans="1:25" s="577" customFormat="1" ht="15" hidden="1" customHeight="1">
      <c r="A59" s="675"/>
      <c r="B59" s="676" t="s">
        <v>524</v>
      </c>
      <c r="C59" s="677"/>
      <c r="D59" s="677"/>
      <c r="E59" s="677"/>
      <c r="F59" s="677"/>
      <c r="G59" s="677"/>
      <c r="H59" s="677"/>
      <c r="I59" s="677"/>
      <c r="J59" s="677"/>
      <c r="K59" s="677"/>
      <c r="L59" s="677"/>
      <c r="M59" s="677"/>
      <c r="N59" s="677"/>
      <c r="O59" s="677"/>
      <c r="P59" s="677"/>
      <c r="Q59" s="677"/>
      <c r="R59" s="677"/>
      <c r="S59" s="677"/>
      <c r="T59" s="677"/>
      <c r="U59" s="677"/>
      <c r="V59" s="677"/>
      <c r="W59" s="677"/>
      <c r="X59" s="677"/>
      <c r="Y59" s="678"/>
    </row>
    <row r="60" spans="1:25" ht="14.25" hidden="1" customHeight="1">
      <c r="Y60" s="187"/>
    </row>
    <row r="61" spans="1:25" ht="15" hidden="1" customHeight="1">
      <c r="A61" s="670"/>
      <c r="B61" s="671" t="s">
        <v>523</v>
      </c>
      <c r="C61" s="672"/>
      <c r="D61" s="672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3"/>
      <c r="P61" s="673"/>
      <c r="Q61" s="673"/>
      <c r="R61" s="673"/>
      <c r="S61" s="673"/>
      <c r="T61" s="673"/>
      <c r="U61" s="673"/>
      <c r="V61" s="673"/>
      <c r="W61" s="673"/>
      <c r="X61" s="673"/>
      <c r="Y61" s="674"/>
    </row>
    <row r="62" spans="1:25" s="577" customFormat="1" ht="15" hidden="1" customHeight="1">
      <c r="A62" s="675"/>
      <c r="B62" s="676" t="s">
        <v>524</v>
      </c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77"/>
      <c r="P62" s="677"/>
      <c r="Q62" s="677"/>
      <c r="R62" s="677"/>
      <c r="S62" s="677"/>
      <c r="T62" s="677"/>
      <c r="U62" s="677"/>
      <c r="V62" s="677"/>
      <c r="W62" s="677"/>
      <c r="X62" s="677"/>
      <c r="Y62" s="678"/>
    </row>
    <row r="63" spans="1:25">
      <c r="C63" s="679" t="s">
        <v>526</v>
      </c>
      <c r="D63" s="87"/>
      <c r="E63" s="87"/>
      <c r="F63" s="680" t="e">
        <f>#REF!</f>
        <v>#REF!</v>
      </c>
      <c r="G63" s="680" t="e">
        <f>F63+F64+F65</f>
        <v>#REF!</v>
      </c>
      <c r="H63" s="680" t="e">
        <f t="shared" ref="H63:Y63" si="25">G63+G64+G65</f>
        <v>#REF!</v>
      </c>
      <c r="I63" s="680" t="e">
        <f t="shared" si="25"/>
        <v>#REF!</v>
      </c>
      <c r="J63" s="680" t="e">
        <f t="shared" si="25"/>
        <v>#REF!</v>
      </c>
      <c r="K63" s="680" t="e">
        <f t="shared" si="25"/>
        <v>#REF!</v>
      </c>
      <c r="L63" s="680" t="e">
        <f t="shared" si="25"/>
        <v>#REF!</v>
      </c>
      <c r="M63" s="680" t="e">
        <f t="shared" si="25"/>
        <v>#REF!</v>
      </c>
      <c r="N63" s="680" t="e">
        <f t="shared" si="25"/>
        <v>#REF!</v>
      </c>
      <c r="O63" s="680" t="e">
        <f t="shared" si="25"/>
        <v>#REF!</v>
      </c>
      <c r="P63" s="680" t="e">
        <f t="shared" si="25"/>
        <v>#REF!</v>
      </c>
      <c r="Q63" s="680" t="e">
        <f t="shared" si="25"/>
        <v>#REF!</v>
      </c>
      <c r="R63" s="680" t="e">
        <f t="shared" si="25"/>
        <v>#REF!</v>
      </c>
      <c r="S63" s="680" t="e">
        <f t="shared" si="25"/>
        <v>#REF!</v>
      </c>
      <c r="T63" s="680" t="e">
        <f t="shared" si="25"/>
        <v>#REF!</v>
      </c>
      <c r="U63" s="680" t="e">
        <f t="shared" si="25"/>
        <v>#REF!</v>
      </c>
      <c r="V63" s="680" t="e">
        <f t="shared" si="25"/>
        <v>#REF!</v>
      </c>
      <c r="W63" s="680" t="e">
        <f t="shared" si="25"/>
        <v>#REF!</v>
      </c>
      <c r="X63" s="680" t="e">
        <f t="shared" si="25"/>
        <v>#REF!</v>
      </c>
      <c r="Y63" s="680" t="e">
        <f t="shared" si="25"/>
        <v>#REF!</v>
      </c>
    </row>
    <row r="64" spans="1:25">
      <c r="C64" s="681" t="s">
        <v>527</v>
      </c>
      <c r="D64" s="72"/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</row>
    <row r="65" spans="2:39">
      <c r="C65" s="682" t="s">
        <v>528</v>
      </c>
      <c r="D65" s="58"/>
      <c r="E65" s="683">
        <v>-1972779.1</v>
      </c>
      <c r="F65" s="683" t="e">
        <f>F42</f>
        <v>#VALUE!</v>
      </c>
      <c r="G65" s="683" t="e">
        <f>G42</f>
        <v>#VALUE!</v>
      </c>
      <c r="H65" s="683" t="e">
        <f t="shared" ref="H65:Y65" si="26">H42</f>
        <v>#VALUE!</v>
      </c>
      <c r="I65" s="683" t="e">
        <f t="shared" si="26"/>
        <v>#VALUE!</v>
      </c>
      <c r="J65" s="683" t="e">
        <f t="shared" si="26"/>
        <v>#VALUE!</v>
      </c>
      <c r="K65" s="683" t="e">
        <f t="shared" si="26"/>
        <v>#VALUE!</v>
      </c>
      <c r="L65" s="683" t="e">
        <f t="shared" si="26"/>
        <v>#VALUE!</v>
      </c>
      <c r="M65" s="683" t="e">
        <f t="shared" si="26"/>
        <v>#VALUE!</v>
      </c>
      <c r="N65" s="683" t="e">
        <f t="shared" si="26"/>
        <v>#VALUE!</v>
      </c>
      <c r="O65" s="683" t="e">
        <f t="shared" si="26"/>
        <v>#VALUE!</v>
      </c>
      <c r="P65" s="683" t="e">
        <f t="shared" si="26"/>
        <v>#VALUE!</v>
      </c>
      <c r="Q65" s="683" t="e">
        <f t="shared" si="26"/>
        <v>#VALUE!</v>
      </c>
      <c r="R65" s="683" t="e">
        <f t="shared" si="26"/>
        <v>#VALUE!</v>
      </c>
      <c r="S65" s="683" t="e">
        <f t="shared" si="26"/>
        <v>#VALUE!</v>
      </c>
      <c r="T65" s="683" t="e">
        <f t="shared" si="26"/>
        <v>#VALUE!</v>
      </c>
      <c r="U65" s="683" t="e">
        <f t="shared" si="26"/>
        <v>#VALUE!</v>
      </c>
      <c r="V65" s="683" t="e">
        <f t="shared" si="26"/>
        <v>#VALUE!</v>
      </c>
      <c r="W65" s="683" t="e">
        <f t="shared" si="26"/>
        <v>#VALUE!</v>
      </c>
      <c r="X65" s="683" t="e">
        <f t="shared" si="26"/>
        <v>#VALUE!</v>
      </c>
      <c r="Y65" s="683" t="e">
        <f t="shared" si="26"/>
        <v>#VALUE!</v>
      </c>
    </row>
    <row r="66" spans="2:39">
      <c r="C66" s="598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</row>
    <row r="67" spans="2:39">
      <c r="C67" s="598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</row>
    <row r="68" spans="2:39">
      <c r="B68" s="684" t="s">
        <v>529</v>
      </c>
      <c r="C68" s="87"/>
      <c r="D68" s="87"/>
      <c r="E68" s="685" t="e">
        <f>(#REF!-#REF!)*0.4</f>
        <v>#REF!</v>
      </c>
      <c r="F68" t="e">
        <f>(#REF!-#REF!)*0.4</f>
        <v>#REF!</v>
      </c>
      <c r="G68" t="e">
        <f>F68</f>
        <v>#REF!</v>
      </c>
      <c r="H68" t="e">
        <f t="shared" ref="H68:Y68" si="27">G68</f>
        <v>#REF!</v>
      </c>
      <c r="I68" t="e">
        <f t="shared" si="27"/>
        <v>#REF!</v>
      </c>
      <c r="J68" t="e">
        <f t="shared" si="27"/>
        <v>#REF!</v>
      </c>
      <c r="K68" t="e">
        <f t="shared" si="27"/>
        <v>#REF!</v>
      </c>
      <c r="L68" t="e">
        <f t="shared" si="27"/>
        <v>#REF!</v>
      </c>
      <c r="M68" t="e">
        <f t="shared" si="27"/>
        <v>#REF!</v>
      </c>
      <c r="N68" t="e">
        <f t="shared" si="27"/>
        <v>#REF!</v>
      </c>
      <c r="O68" t="e">
        <f t="shared" si="27"/>
        <v>#REF!</v>
      </c>
      <c r="P68" t="e">
        <f t="shared" si="27"/>
        <v>#REF!</v>
      </c>
      <c r="Q68" t="e">
        <f t="shared" si="27"/>
        <v>#REF!</v>
      </c>
      <c r="R68" t="e">
        <f t="shared" si="27"/>
        <v>#REF!</v>
      </c>
      <c r="S68" t="e">
        <f t="shared" si="27"/>
        <v>#REF!</v>
      </c>
      <c r="T68" t="e">
        <f t="shared" si="27"/>
        <v>#REF!</v>
      </c>
      <c r="U68" t="e">
        <f t="shared" si="27"/>
        <v>#REF!</v>
      </c>
      <c r="V68" t="e">
        <f t="shared" si="27"/>
        <v>#REF!</v>
      </c>
      <c r="W68" t="e">
        <f t="shared" si="27"/>
        <v>#REF!</v>
      </c>
      <c r="X68" t="e">
        <f t="shared" si="27"/>
        <v>#REF!</v>
      </c>
      <c r="Y68" t="e">
        <f t="shared" si="27"/>
        <v>#REF!</v>
      </c>
    </row>
    <row r="69" spans="2:39">
      <c r="B69" s="681" t="s">
        <v>530</v>
      </c>
      <c r="E69" s="686">
        <v>676086.20969759999</v>
      </c>
      <c r="F69" s="687" t="e">
        <f>-F42*0.4</f>
        <v>#VALUE!</v>
      </c>
      <c r="G69" s="687" t="e">
        <f>-G42*0.4</f>
        <v>#VALUE!</v>
      </c>
      <c r="H69" s="687" t="e">
        <f t="shared" ref="H69:Y69" si="28">-H42*0.4</f>
        <v>#VALUE!</v>
      </c>
      <c r="I69" s="687" t="e">
        <f t="shared" si="28"/>
        <v>#VALUE!</v>
      </c>
      <c r="J69" s="687" t="e">
        <f t="shared" si="28"/>
        <v>#VALUE!</v>
      </c>
      <c r="K69" s="687" t="e">
        <f t="shared" si="28"/>
        <v>#VALUE!</v>
      </c>
      <c r="L69" s="687" t="e">
        <f t="shared" si="28"/>
        <v>#VALUE!</v>
      </c>
      <c r="M69" s="687" t="e">
        <f t="shared" si="28"/>
        <v>#VALUE!</v>
      </c>
      <c r="N69" s="687" t="e">
        <f t="shared" si="28"/>
        <v>#VALUE!</v>
      </c>
      <c r="O69" s="687" t="e">
        <f t="shared" si="28"/>
        <v>#VALUE!</v>
      </c>
      <c r="P69" s="687" t="e">
        <f t="shared" si="28"/>
        <v>#VALUE!</v>
      </c>
      <c r="Q69" s="687" t="e">
        <f t="shared" si="28"/>
        <v>#VALUE!</v>
      </c>
      <c r="R69" s="687" t="e">
        <f t="shared" si="28"/>
        <v>#VALUE!</v>
      </c>
      <c r="S69" s="687" t="e">
        <f t="shared" si="28"/>
        <v>#VALUE!</v>
      </c>
      <c r="T69" s="687" t="e">
        <f t="shared" si="28"/>
        <v>#VALUE!</v>
      </c>
      <c r="U69" s="687" t="e">
        <f t="shared" si="28"/>
        <v>#VALUE!</v>
      </c>
      <c r="V69" s="687" t="e">
        <f t="shared" si="28"/>
        <v>#VALUE!</v>
      </c>
      <c r="W69" s="687" t="e">
        <f t="shared" si="28"/>
        <v>#VALUE!</v>
      </c>
      <c r="X69" s="687" t="e">
        <f t="shared" si="28"/>
        <v>#VALUE!</v>
      </c>
      <c r="Y69" s="687" t="e">
        <f t="shared" si="28"/>
        <v>#VALUE!</v>
      </c>
      <c r="Z69" s="577"/>
      <c r="AA69" s="577"/>
      <c r="AB69" s="577"/>
      <c r="AC69" s="577"/>
      <c r="AD69" s="577"/>
      <c r="AE69" s="577"/>
      <c r="AF69" s="577"/>
      <c r="AG69" s="577"/>
      <c r="AH69" s="577"/>
      <c r="AI69" s="577"/>
    </row>
    <row r="70" spans="2:39">
      <c r="B70" s="681" t="s">
        <v>531</v>
      </c>
      <c r="E70" s="686">
        <v>742314.00877418299</v>
      </c>
      <c r="F70" s="688">
        <v>0</v>
      </c>
      <c r="G70" s="688">
        <v>0</v>
      </c>
      <c r="H70" s="688">
        <v>0</v>
      </c>
      <c r="I70" s="688">
        <v>0</v>
      </c>
      <c r="J70" s="688">
        <v>0</v>
      </c>
      <c r="K70" s="688">
        <v>0</v>
      </c>
      <c r="L70" s="688">
        <v>0</v>
      </c>
      <c r="M70" s="688">
        <v>0</v>
      </c>
      <c r="N70" s="688">
        <v>0</v>
      </c>
      <c r="O70" s="688">
        <v>0</v>
      </c>
      <c r="P70" s="688">
        <v>0</v>
      </c>
      <c r="Q70" s="688">
        <v>0</v>
      </c>
      <c r="R70" s="688">
        <v>0</v>
      </c>
      <c r="S70" s="688">
        <v>0</v>
      </c>
      <c r="T70" s="688">
        <v>0</v>
      </c>
      <c r="U70" s="688">
        <v>0</v>
      </c>
      <c r="V70" s="688">
        <v>0</v>
      </c>
      <c r="W70" s="688">
        <v>0</v>
      </c>
      <c r="X70" s="688">
        <v>0</v>
      </c>
      <c r="Y70" s="688">
        <v>0</v>
      </c>
      <c r="Z70" s="689">
        <v>81605.277363706802</v>
      </c>
      <c r="AA70" s="689">
        <v>84053.435684618002</v>
      </c>
      <c r="AB70" s="689">
        <v>86575.038755156595</v>
      </c>
      <c r="AC70" s="689">
        <v>89172.2899178113</v>
      </c>
      <c r="AD70" s="689">
        <v>91847.458615345604</v>
      </c>
      <c r="AE70" s="689">
        <v>94602.882373806002</v>
      </c>
      <c r="AF70" s="689">
        <v>97440.968845020194</v>
      </c>
      <c r="AG70" s="689">
        <v>100364.197910371</v>
      </c>
      <c r="AH70" s="689">
        <v>103375.123847682</v>
      </c>
      <c r="AI70" s="689">
        <v>106476.37756311199</v>
      </c>
      <c r="AJ70" s="689"/>
      <c r="AK70" s="689"/>
      <c r="AL70" s="689"/>
      <c r="AM70" s="689"/>
    </row>
    <row r="71" spans="2:39">
      <c r="B71" s="681" t="s">
        <v>532</v>
      </c>
      <c r="E71" s="686">
        <v>0</v>
      </c>
      <c r="F71" s="688">
        <v>0</v>
      </c>
      <c r="G71" s="688">
        <v>0</v>
      </c>
      <c r="H71" s="688">
        <v>0</v>
      </c>
      <c r="I71" s="688">
        <v>0</v>
      </c>
      <c r="J71" s="688">
        <v>0</v>
      </c>
      <c r="K71" s="688">
        <v>0</v>
      </c>
      <c r="L71" s="688">
        <v>0</v>
      </c>
      <c r="M71" s="688">
        <v>0</v>
      </c>
      <c r="N71" s="688">
        <v>0</v>
      </c>
      <c r="O71" s="688">
        <v>0</v>
      </c>
      <c r="P71" s="688">
        <v>0</v>
      </c>
      <c r="Q71" s="688">
        <v>0</v>
      </c>
      <c r="R71" s="688">
        <v>0</v>
      </c>
      <c r="S71" s="688">
        <v>0</v>
      </c>
      <c r="T71" s="688">
        <v>0</v>
      </c>
      <c r="U71" s="688">
        <v>0</v>
      </c>
      <c r="V71" s="688">
        <v>0</v>
      </c>
      <c r="W71" s="688">
        <v>0</v>
      </c>
      <c r="X71" s="688">
        <v>0</v>
      </c>
      <c r="Y71" s="688">
        <v>0</v>
      </c>
      <c r="Z71" s="689">
        <v>0</v>
      </c>
      <c r="AA71" s="689">
        <v>0</v>
      </c>
      <c r="AB71" s="689">
        <v>0</v>
      </c>
      <c r="AC71" s="689">
        <v>0</v>
      </c>
      <c r="AD71" s="689">
        <v>0</v>
      </c>
      <c r="AE71" s="689">
        <v>0</v>
      </c>
      <c r="AF71" s="689">
        <v>0</v>
      </c>
      <c r="AG71" s="689">
        <v>0</v>
      </c>
      <c r="AH71" s="689">
        <v>0</v>
      </c>
      <c r="AI71" s="689">
        <v>0</v>
      </c>
      <c r="AJ71" s="689"/>
      <c r="AK71" s="689"/>
      <c r="AL71" s="689"/>
      <c r="AM71" s="689"/>
    </row>
    <row r="72" spans="2:39">
      <c r="B72" s="681" t="s">
        <v>533</v>
      </c>
      <c r="E72" s="690">
        <v>296925.60350967298</v>
      </c>
      <c r="F72" s="688">
        <v>0</v>
      </c>
      <c r="G72" s="688">
        <v>0</v>
      </c>
      <c r="H72" s="688">
        <v>0</v>
      </c>
      <c r="I72" s="688">
        <v>0</v>
      </c>
      <c r="J72" s="688">
        <v>0</v>
      </c>
      <c r="K72" s="688">
        <v>0</v>
      </c>
      <c r="L72" s="688">
        <v>72.904963921892104</v>
      </c>
      <c r="M72" s="688">
        <v>38388.981989248699</v>
      </c>
      <c r="N72" s="688">
        <v>38116.975238872699</v>
      </c>
      <c r="O72" s="688">
        <v>37800.430040184299</v>
      </c>
      <c r="P72" s="688">
        <v>37437.282674818198</v>
      </c>
      <c r="Q72" s="688">
        <v>37025.392961559599</v>
      </c>
      <c r="R72" s="688">
        <v>36562.541671433297</v>
      </c>
      <c r="S72" s="688">
        <v>36046.427859423697</v>
      </c>
      <c r="T72" s="688">
        <v>35474.666110210797</v>
      </c>
      <c r="U72" s="688">
        <v>34844.783695221602</v>
      </c>
      <c r="V72" s="688">
        <v>34154.217638216804</v>
      </c>
      <c r="W72" s="688">
        <v>33400.311686544599</v>
      </c>
      <c r="X72" s="688">
        <v>32580.313185105799</v>
      </c>
      <c r="Y72" s="688">
        <v>31691.369849983199</v>
      </c>
      <c r="Z72" s="689">
        <v>31691.369849983199</v>
      </c>
      <c r="AA72" s="689">
        <v>31691.369849983199</v>
      </c>
      <c r="AB72" s="689">
        <v>31691.369849983199</v>
      </c>
      <c r="AC72" s="689">
        <v>31691.369849983199</v>
      </c>
      <c r="AD72" s="689">
        <v>31691.369849983199</v>
      </c>
      <c r="AE72" s="689">
        <v>31691.369849983199</v>
      </c>
      <c r="AF72" s="689">
        <v>31691.369849983199</v>
      </c>
      <c r="AG72" s="689">
        <v>31691.369849983199</v>
      </c>
      <c r="AH72" s="689">
        <v>31691.369849983199</v>
      </c>
      <c r="AI72" s="689">
        <v>31691.369849983199</v>
      </c>
    </row>
    <row r="73" spans="2:39">
      <c r="B73" s="691" t="s">
        <v>534</v>
      </c>
      <c r="C73" s="58"/>
      <c r="D73" s="58"/>
      <c r="E73" s="692">
        <v>1715325.8219814601</v>
      </c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577"/>
      <c r="X73" s="577"/>
      <c r="Y73" s="577"/>
      <c r="Z73" s="577"/>
      <c r="AA73" s="577"/>
      <c r="AB73" s="577"/>
      <c r="AC73" s="577"/>
      <c r="AD73" s="577"/>
      <c r="AE73" s="577"/>
      <c r="AF73" s="577"/>
      <c r="AG73" s="577"/>
      <c r="AH73" s="577"/>
      <c r="AI73" s="577"/>
    </row>
    <row r="74" spans="2:39">
      <c r="B74" s="693"/>
      <c r="E74" s="694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7"/>
      <c r="Q74" s="577"/>
      <c r="R74" s="577"/>
      <c r="S74" s="577"/>
      <c r="T74" s="577"/>
      <c r="U74" s="577"/>
      <c r="V74" s="577"/>
      <c r="W74" s="577"/>
      <c r="X74" s="577"/>
      <c r="Y74" s="577"/>
      <c r="Z74" s="577"/>
      <c r="AA74" s="577"/>
      <c r="AB74" s="577"/>
      <c r="AC74" s="577"/>
      <c r="AD74" s="577"/>
      <c r="AE74" s="577"/>
      <c r="AF74" s="577"/>
      <c r="AG74" s="577"/>
      <c r="AH74" s="577"/>
      <c r="AI74" s="577"/>
    </row>
    <row r="75" spans="2:39">
      <c r="C75" t="s">
        <v>535</v>
      </c>
      <c r="F75" s="77" t="s">
        <v>141</v>
      </c>
    </row>
    <row r="76" spans="2:39">
      <c r="D76" t="s">
        <v>536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-182.26240980473</v>
      </c>
      <c r="N76" s="77">
        <v>-96154.717382926494</v>
      </c>
      <c r="O76" s="77">
        <v>-191447.15548010799</v>
      </c>
      <c r="P76" s="77">
        <v>-285948.23058056901</v>
      </c>
      <c r="Q76" s="77">
        <v>-379541.43726761499</v>
      </c>
      <c r="R76" s="77">
        <v>-472104.91967151401</v>
      </c>
      <c r="S76" s="77">
        <v>-563511.27385009697</v>
      </c>
      <c r="T76" s="77">
        <v>-653627.34349865594</v>
      </c>
      <c r="U76" s="77">
        <v>-742314.00877418299</v>
      </c>
      <c r="V76" s="77">
        <v>-829425.96801223699</v>
      </c>
      <c r="W76" s="77">
        <v>-914811.51210777904</v>
      </c>
      <c r="X76" s="77">
        <v>-998312.29132414097</v>
      </c>
      <c r="Y76" s="77">
        <v>-1079763.07428691</v>
      </c>
    </row>
    <row r="77" spans="2:39">
      <c r="D77" t="s">
        <v>527</v>
      </c>
      <c r="F77" s="98">
        <v>0</v>
      </c>
      <c r="G77" s="98">
        <v>0</v>
      </c>
      <c r="H77" s="98">
        <v>0</v>
      </c>
      <c r="I77" s="98">
        <v>0</v>
      </c>
      <c r="J77" s="98">
        <v>0</v>
      </c>
      <c r="K77" s="98">
        <v>0</v>
      </c>
      <c r="L77" s="98">
        <v>0</v>
      </c>
      <c r="M77" s="98">
        <v>0</v>
      </c>
      <c r="N77" s="98">
        <v>0</v>
      </c>
      <c r="O77" s="98">
        <v>0</v>
      </c>
      <c r="P77" s="98">
        <v>0</v>
      </c>
      <c r="Q77" s="98">
        <v>0</v>
      </c>
      <c r="R77" s="98">
        <v>0</v>
      </c>
      <c r="S77" s="98">
        <v>0</v>
      </c>
      <c r="T77" s="98">
        <v>0</v>
      </c>
      <c r="U77" s="98">
        <v>0</v>
      </c>
      <c r="V77" s="98">
        <v>0</v>
      </c>
      <c r="W77" s="98">
        <v>0</v>
      </c>
      <c r="X77" s="98">
        <v>0</v>
      </c>
      <c r="Y77" s="98">
        <v>0</v>
      </c>
    </row>
    <row r="78" spans="2:39">
      <c r="D78" t="s">
        <v>528</v>
      </c>
      <c r="F78" s="695">
        <v>0</v>
      </c>
      <c r="G78" s="695">
        <v>0</v>
      </c>
      <c r="H78" s="695">
        <v>0</v>
      </c>
      <c r="I78" s="695">
        <v>0</v>
      </c>
      <c r="J78" s="695">
        <v>0</v>
      </c>
      <c r="K78" s="695">
        <v>0</v>
      </c>
      <c r="L78" s="695">
        <v>-182.26240980473</v>
      </c>
      <c r="M78" s="695">
        <v>-95972.454973121799</v>
      </c>
      <c r="N78" s="695">
        <v>-95292.438097181701</v>
      </c>
      <c r="O78" s="695">
        <v>-94501.075100460803</v>
      </c>
      <c r="P78" s="695">
        <v>-93593.206687045502</v>
      </c>
      <c r="Q78" s="695">
        <v>-92563.482403899106</v>
      </c>
      <c r="R78" s="695">
        <v>-91406.354178583206</v>
      </c>
      <c r="S78" s="695">
        <v>-90116.069648559307</v>
      </c>
      <c r="T78" s="695">
        <v>-88686.665275527004</v>
      </c>
      <c r="U78" s="695">
        <v>-87111.959238053998</v>
      </c>
      <c r="V78" s="695">
        <v>-85385.544095542005</v>
      </c>
      <c r="W78" s="695">
        <v>-83500.779216361407</v>
      </c>
      <c r="X78" s="695">
        <v>-81450.782962764599</v>
      </c>
      <c r="Y78" s="695">
        <v>-79228.424624958105</v>
      </c>
    </row>
    <row r="79" spans="2:39">
      <c r="D79" t="s">
        <v>537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-182.26240980473</v>
      </c>
      <c r="M79" s="77">
        <v>-96154.717382926494</v>
      </c>
      <c r="N79" s="77">
        <v>-191447.15548010799</v>
      </c>
      <c r="O79" s="77">
        <v>-285948.23058056901</v>
      </c>
      <c r="P79" s="77">
        <v>-379541.43726761499</v>
      </c>
      <c r="Q79" s="77">
        <v>-472104.91967151401</v>
      </c>
      <c r="R79" s="77">
        <v>-563511.27385009697</v>
      </c>
      <c r="S79" s="77">
        <v>-653627.34349865594</v>
      </c>
      <c r="T79" s="77">
        <v>-742314.00877418299</v>
      </c>
      <c r="U79" s="77">
        <v>-829425.96801223699</v>
      </c>
      <c r="V79" s="77">
        <v>-914811.51210777904</v>
      </c>
      <c r="W79" s="77">
        <v>-998312.29132414097</v>
      </c>
      <c r="X79" s="77">
        <v>-1079763.07428691</v>
      </c>
      <c r="Y79" s="77">
        <v>-1158991.4989118599</v>
      </c>
    </row>
    <row r="81" spans="2:25">
      <c r="B81" t="s">
        <v>538</v>
      </c>
    </row>
    <row r="82" spans="2:25">
      <c r="C82" s="605" t="s">
        <v>473</v>
      </c>
      <c r="D82" s="15"/>
      <c r="E82" s="696"/>
      <c r="F82" s="1525">
        <v>8500</v>
      </c>
      <c r="G82" s="562" t="e">
        <f>F82*(1+$I$5)</f>
        <v>#VALUE!</v>
      </c>
      <c r="H82" s="562" t="e">
        <f t="shared" ref="H82:Y82" si="29">G82*(1+$I$5)</f>
        <v>#VALUE!</v>
      </c>
      <c r="I82" s="562" t="e">
        <f t="shared" si="29"/>
        <v>#VALUE!</v>
      </c>
      <c r="J82" s="562" t="e">
        <f t="shared" si="29"/>
        <v>#VALUE!</v>
      </c>
      <c r="K82" s="562" t="e">
        <f t="shared" si="29"/>
        <v>#VALUE!</v>
      </c>
      <c r="L82" s="562" t="e">
        <f t="shared" si="29"/>
        <v>#VALUE!</v>
      </c>
      <c r="M82" s="562" t="e">
        <f t="shared" si="29"/>
        <v>#VALUE!</v>
      </c>
      <c r="N82" s="562" t="e">
        <f t="shared" si="29"/>
        <v>#VALUE!</v>
      </c>
      <c r="O82" s="562" t="e">
        <f t="shared" si="29"/>
        <v>#VALUE!</v>
      </c>
      <c r="P82" s="562" t="e">
        <f t="shared" si="29"/>
        <v>#VALUE!</v>
      </c>
      <c r="Q82" s="562" t="e">
        <f t="shared" si="29"/>
        <v>#VALUE!</v>
      </c>
      <c r="R82" s="562" t="e">
        <f t="shared" si="29"/>
        <v>#VALUE!</v>
      </c>
      <c r="S82" s="562" t="e">
        <f t="shared" si="29"/>
        <v>#VALUE!</v>
      </c>
      <c r="T82" s="562" t="e">
        <f t="shared" si="29"/>
        <v>#VALUE!</v>
      </c>
      <c r="U82" s="562" t="e">
        <f t="shared" si="29"/>
        <v>#VALUE!</v>
      </c>
      <c r="V82" s="562" t="e">
        <f t="shared" si="29"/>
        <v>#VALUE!</v>
      </c>
      <c r="W82" s="562" t="e">
        <f t="shared" si="29"/>
        <v>#VALUE!</v>
      </c>
      <c r="X82" s="562" t="e">
        <f t="shared" si="29"/>
        <v>#VALUE!</v>
      </c>
      <c r="Y82" s="562" t="e">
        <f t="shared" si="29"/>
        <v>#VALUE!</v>
      </c>
    </row>
    <row r="83" spans="2:25">
      <c r="C83" s="605" t="s">
        <v>480</v>
      </c>
      <c r="D83" s="15"/>
      <c r="E83" s="696"/>
      <c r="F83" s="562">
        <f>F82</f>
        <v>8500</v>
      </c>
      <c r="G83" s="562" t="e">
        <f>G82</f>
        <v>#VALUE!</v>
      </c>
      <c r="H83" s="562" t="e">
        <f t="shared" ref="H83:Y83" si="30">H82</f>
        <v>#VALUE!</v>
      </c>
      <c r="I83" s="562" t="e">
        <f t="shared" si="30"/>
        <v>#VALUE!</v>
      </c>
      <c r="J83" s="562" t="e">
        <f t="shared" si="30"/>
        <v>#VALUE!</v>
      </c>
      <c r="K83" s="562" t="e">
        <f t="shared" si="30"/>
        <v>#VALUE!</v>
      </c>
      <c r="L83" s="562" t="e">
        <f t="shared" si="30"/>
        <v>#VALUE!</v>
      </c>
      <c r="M83" s="562" t="e">
        <f t="shared" si="30"/>
        <v>#VALUE!</v>
      </c>
      <c r="N83" s="562" t="e">
        <f t="shared" si="30"/>
        <v>#VALUE!</v>
      </c>
      <c r="O83" s="562" t="e">
        <f t="shared" si="30"/>
        <v>#VALUE!</v>
      </c>
      <c r="P83" s="562" t="e">
        <f t="shared" si="30"/>
        <v>#VALUE!</v>
      </c>
      <c r="Q83" s="562" t="e">
        <f t="shared" si="30"/>
        <v>#VALUE!</v>
      </c>
      <c r="R83" s="562" t="e">
        <f t="shared" si="30"/>
        <v>#VALUE!</v>
      </c>
      <c r="S83" s="562" t="e">
        <f t="shared" si="30"/>
        <v>#VALUE!</v>
      </c>
      <c r="T83" s="562" t="e">
        <f t="shared" si="30"/>
        <v>#VALUE!</v>
      </c>
      <c r="U83" s="562" t="e">
        <f t="shared" si="30"/>
        <v>#VALUE!</v>
      </c>
      <c r="V83" s="562" t="e">
        <f t="shared" si="30"/>
        <v>#VALUE!</v>
      </c>
      <c r="W83" s="562" t="e">
        <f t="shared" si="30"/>
        <v>#VALUE!</v>
      </c>
      <c r="X83" s="562" t="e">
        <f t="shared" si="30"/>
        <v>#VALUE!</v>
      </c>
      <c r="Y83" s="562" t="e">
        <f t="shared" si="30"/>
        <v>#VALUE!</v>
      </c>
    </row>
    <row r="86" spans="2:25">
      <c r="B86" t="s">
        <v>539</v>
      </c>
      <c r="C86" s="85"/>
      <c r="D86" s="697"/>
      <c r="E86" s="85"/>
      <c r="F86" s="600"/>
      <c r="G86" s="600"/>
      <c r="H86" s="600"/>
      <c r="I86" s="600"/>
      <c r="J86" s="600"/>
      <c r="K86" s="600"/>
      <c r="L86" s="600"/>
      <c r="M86" s="600"/>
      <c r="N86" s="600"/>
      <c r="O86" s="600"/>
      <c r="P86" s="600"/>
      <c r="Q86" s="600"/>
      <c r="R86" s="600"/>
      <c r="S86" s="600"/>
      <c r="T86" s="600"/>
      <c r="U86" s="600"/>
      <c r="V86" s="600"/>
      <c r="W86" s="600"/>
      <c r="X86" s="600"/>
      <c r="Y86" s="600"/>
    </row>
    <row r="87" spans="2:25">
      <c r="B87" s="698" t="s">
        <v>540</v>
      </c>
      <c r="D87" s="699"/>
      <c r="F87" s="582">
        <v>0</v>
      </c>
      <c r="G87" s="582">
        <v>0</v>
      </c>
      <c r="H87" s="582">
        <v>0</v>
      </c>
      <c r="I87" s="582">
        <v>0</v>
      </c>
      <c r="J87" s="582">
        <v>0</v>
      </c>
      <c r="K87" s="582">
        <v>0</v>
      </c>
      <c r="L87" s="582">
        <v>0</v>
      </c>
      <c r="M87" s="582">
        <v>0</v>
      </c>
      <c r="N87" s="582">
        <v>0</v>
      </c>
      <c r="O87" s="582">
        <v>0</v>
      </c>
      <c r="P87" s="582">
        <v>0</v>
      </c>
      <c r="Q87" s="582">
        <v>0</v>
      </c>
      <c r="R87" s="582">
        <v>0</v>
      </c>
      <c r="S87" s="582">
        <v>0</v>
      </c>
      <c r="T87" s="582">
        <v>0</v>
      </c>
      <c r="U87" s="582">
        <v>0</v>
      </c>
      <c r="V87" s="582">
        <v>0</v>
      </c>
      <c r="W87" s="582">
        <v>0</v>
      </c>
      <c r="X87" s="582">
        <v>0</v>
      </c>
      <c r="Y87" s="582">
        <v>0</v>
      </c>
    </row>
    <row r="88" spans="2:25">
      <c r="B88" s="698" t="s">
        <v>541</v>
      </c>
      <c r="D88" s="700"/>
      <c r="F88" s="582">
        <f>0.12*F19</f>
        <v>0</v>
      </c>
      <c r="G88" s="582">
        <f>0.12*G19</f>
        <v>0</v>
      </c>
      <c r="H88" s="582">
        <f t="shared" ref="H88:Y88" si="31">0.12*H19</f>
        <v>0</v>
      </c>
      <c r="I88" s="582">
        <f t="shared" si="31"/>
        <v>0</v>
      </c>
      <c r="J88" s="582">
        <f t="shared" si="31"/>
        <v>0</v>
      </c>
      <c r="K88" s="582">
        <f t="shared" si="31"/>
        <v>0</v>
      </c>
      <c r="L88" s="582">
        <f t="shared" si="31"/>
        <v>0</v>
      </c>
      <c r="M88" s="582">
        <f t="shared" si="31"/>
        <v>0</v>
      </c>
      <c r="N88" s="582">
        <f t="shared" si="31"/>
        <v>0</v>
      </c>
      <c r="O88" s="582">
        <f t="shared" si="31"/>
        <v>0</v>
      </c>
      <c r="P88" s="582">
        <f t="shared" si="31"/>
        <v>0</v>
      </c>
      <c r="Q88" s="582">
        <f t="shared" si="31"/>
        <v>0</v>
      </c>
      <c r="R88" s="582">
        <f t="shared" si="31"/>
        <v>0</v>
      </c>
      <c r="S88" s="582">
        <f t="shared" si="31"/>
        <v>0</v>
      </c>
      <c r="T88" s="582">
        <f t="shared" si="31"/>
        <v>0</v>
      </c>
      <c r="U88" s="582">
        <f t="shared" si="31"/>
        <v>0</v>
      </c>
      <c r="V88" s="582">
        <f t="shared" si="31"/>
        <v>0</v>
      </c>
      <c r="W88" s="582">
        <f t="shared" si="31"/>
        <v>0</v>
      </c>
      <c r="X88" s="582">
        <f t="shared" si="31"/>
        <v>0</v>
      </c>
      <c r="Y88" s="582">
        <f t="shared" si="31"/>
        <v>0</v>
      </c>
    </row>
    <row r="89" spans="2:25">
      <c r="B89" s="698" t="s">
        <v>542</v>
      </c>
      <c r="D89" s="701"/>
      <c r="F89" s="149">
        <v>0</v>
      </c>
      <c r="G89" s="149">
        <v>0</v>
      </c>
      <c r="H89" s="149">
        <v>0</v>
      </c>
      <c r="I89" s="149">
        <v>0</v>
      </c>
      <c r="J89" s="149">
        <v>0</v>
      </c>
      <c r="K89" s="149">
        <v>0</v>
      </c>
      <c r="L89" s="149">
        <v>0</v>
      </c>
      <c r="M89" s="149">
        <v>0</v>
      </c>
      <c r="N89" s="149">
        <v>0</v>
      </c>
      <c r="O89" s="149">
        <v>0</v>
      </c>
      <c r="P89" s="149">
        <v>0</v>
      </c>
      <c r="Q89" s="149">
        <v>0</v>
      </c>
      <c r="R89" s="149">
        <v>0</v>
      </c>
      <c r="S89" s="149">
        <v>0</v>
      </c>
      <c r="T89" s="149">
        <v>0</v>
      </c>
      <c r="U89" s="149">
        <v>0</v>
      </c>
      <c r="V89" s="149">
        <v>0</v>
      </c>
      <c r="W89" s="149">
        <v>0</v>
      </c>
      <c r="X89" s="149">
        <v>0</v>
      </c>
      <c r="Y89" s="149">
        <v>0</v>
      </c>
    </row>
    <row r="90" spans="2:25">
      <c r="B90" s="698"/>
      <c r="C90" s="119" t="s">
        <v>543</v>
      </c>
      <c r="D90" s="701"/>
    </row>
    <row r="91" spans="2:25">
      <c r="B91" s="698"/>
      <c r="D91" s="701" t="s">
        <v>544</v>
      </c>
      <c r="F91" s="702">
        <f>F88*0.5</f>
        <v>0</v>
      </c>
      <c r="G91" s="702">
        <f>G88*0.5</f>
        <v>0</v>
      </c>
      <c r="H91" s="702">
        <f t="shared" ref="H91:Y91" si="32">H88*0.5</f>
        <v>0</v>
      </c>
      <c r="I91" s="702">
        <f t="shared" si="32"/>
        <v>0</v>
      </c>
      <c r="J91" s="702">
        <f t="shared" si="32"/>
        <v>0</v>
      </c>
      <c r="K91" s="702">
        <f t="shared" si="32"/>
        <v>0</v>
      </c>
      <c r="L91" s="702">
        <f t="shared" si="32"/>
        <v>0</v>
      </c>
      <c r="M91" s="702">
        <f t="shared" si="32"/>
        <v>0</v>
      </c>
      <c r="N91" s="702">
        <f t="shared" si="32"/>
        <v>0</v>
      </c>
      <c r="O91" s="702">
        <f t="shared" si="32"/>
        <v>0</v>
      </c>
      <c r="P91" s="702">
        <f t="shared" si="32"/>
        <v>0</v>
      </c>
      <c r="Q91" s="702">
        <f t="shared" si="32"/>
        <v>0</v>
      </c>
      <c r="R91" s="702">
        <f t="shared" si="32"/>
        <v>0</v>
      </c>
      <c r="S91" s="702">
        <f t="shared" si="32"/>
        <v>0</v>
      </c>
      <c r="T91" s="702">
        <f t="shared" si="32"/>
        <v>0</v>
      </c>
      <c r="U91" s="702">
        <f t="shared" si="32"/>
        <v>0</v>
      </c>
      <c r="V91" s="702">
        <f t="shared" si="32"/>
        <v>0</v>
      </c>
      <c r="W91" s="702">
        <f t="shared" si="32"/>
        <v>0</v>
      </c>
      <c r="X91" s="702">
        <f t="shared" si="32"/>
        <v>0</v>
      </c>
      <c r="Y91" s="702">
        <f t="shared" si="32"/>
        <v>0</v>
      </c>
    </row>
    <row r="92" spans="2:25">
      <c r="D92" s="577" t="s">
        <v>545</v>
      </c>
      <c r="F92" s="702">
        <f>F82</f>
        <v>8500</v>
      </c>
      <c r="G92" s="702" t="e">
        <f>G82</f>
        <v>#VALUE!</v>
      </c>
      <c r="H92" s="702" t="e">
        <f t="shared" ref="H92:Y92" si="33">H82</f>
        <v>#VALUE!</v>
      </c>
      <c r="I92" s="702" t="e">
        <f t="shared" si="33"/>
        <v>#VALUE!</v>
      </c>
      <c r="J92" s="702" t="e">
        <f t="shared" si="33"/>
        <v>#VALUE!</v>
      </c>
      <c r="K92" s="702" t="e">
        <f t="shared" si="33"/>
        <v>#VALUE!</v>
      </c>
      <c r="L92" s="702" t="e">
        <f t="shared" si="33"/>
        <v>#VALUE!</v>
      </c>
      <c r="M92" s="702" t="e">
        <f t="shared" si="33"/>
        <v>#VALUE!</v>
      </c>
      <c r="N92" s="702" t="e">
        <f t="shared" si="33"/>
        <v>#VALUE!</v>
      </c>
      <c r="O92" s="702" t="e">
        <f t="shared" si="33"/>
        <v>#VALUE!</v>
      </c>
      <c r="P92" s="702" t="e">
        <f t="shared" si="33"/>
        <v>#VALUE!</v>
      </c>
      <c r="Q92" s="702" t="e">
        <f t="shared" si="33"/>
        <v>#VALUE!</v>
      </c>
      <c r="R92" s="702" t="e">
        <f t="shared" si="33"/>
        <v>#VALUE!</v>
      </c>
      <c r="S92" s="702" t="e">
        <f t="shared" si="33"/>
        <v>#VALUE!</v>
      </c>
      <c r="T92" s="702" t="e">
        <f t="shared" si="33"/>
        <v>#VALUE!</v>
      </c>
      <c r="U92" s="702" t="e">
        <f t="shared" si="33"/>
        <v>#VALUE!</v>
      </c>
      <c r="V92" s="702" t="e">
        <f t="shared" si="33"/>
        <v>#VALUE!</v>
      </c>
      <c r="W92" s="702" t="e">
        <f t="shared" si="33"/>
        <v>#VALUE!</v>
      </c>
      <c r="X92" s="702" t="e">
        <f t="shared" si="33"/>
        <v>#VALUE!</v>
      </c>
      <c r="Y92" s="702" t="e">
        <f t="shared" si="33"/>
        <v>#VALUE!</v>
      </c>
    </row>
    <row r="93" spans="2:25">
      <c r="D93" s="703" t="s">
        <v>546</v>
      </c>
      <c r="E93" s="704"/>
      <c r="F93" s="677">
        <v>0</v>
      </c>
      <c r="G93" s="677">
        <v>0</v>
      </c>
      <c r="H93" s="677">
        <v>0</v>
      </c>
      <c r="I93" s="677">
        <v>0</v>
      </c>
      <c r="J93" s="677">
        <v>0</v>
      </c>
      <c r="K93" s="677">
        <v>0</v>
      </c>
      <c r="L93" s="677">
        <v>0</v>
      </c>
      <c r="M93" s="677">
        <v>0</v>
      </c>
      <c r="N93" s="677">
        <v>0</v>
      </c>
      <c r="O93" s="677">
        <v>0</v>
      </c>
      <c r="P93" s="677">
        <v>0</v>
      </c>
      <c r="Q93" s="677">
        <v>0</v>
      </c>
      <c r="R93" s="677">
        <v>0</v>
      </c>
      <c r="S93" s="677">
        <v>0</v>
      </c>
      <c r="T93" s="677">
        <v>0</v>
      </c>
      <c r="U93" s="677">
        <v>0</v>
      </c>
      <c r="V93" s="677">
        <v>0</v>
      </c>
      <c r="W93" s="677">
        <v>0</v>
      </c>
      <c r="X93" s="677">
        <v>0</v>
      </c>
      <c r="Y93" s="677">
        <v>0</v>
      </c>
    </row>
    <row r="94" spans="2:25">
      <c r="D94" s="701" t="s">
        <v>547</v>
      </c>
      <c r="F94" s="702">
        <f>F91+F92</f>
        <v>8500</v>
      </c>
      <c r="G94" s="702" t="e">
        <f>G91+G92</f>
        <v>#VALUE!</v>
      </c>
      <c r="H94" s="702" t="e">
        <f t="shared" ref="H94:Y94" si="34">H91+H92</f>
        <v>#VALUE!</v>
      </c>
      <c r="I94" s="702" t="e">
        <f t="shared" si="34"/>
        <v>#VALUE!</v>
      </c>
      <c r="J94" s="702" t="e">
        <f t="shared" si="34"/>
        <v>#VALUE!</v>
      </c>
      <c r="K94" s="702" t="e">
        <f t="shared" si="34"/>
        <v>#VALUE!</v>
      </c>
      <c r="L94" s="702" t="e">
        <f t="shared" si="34"/>
        <v>#VALUE!</v>
      </c>
      <c r="M94" s="702" t="e">
        <f t="shared" si="34"/>
        <v>#VALUE!</v>
      </c>
      <c r="N94" s="702" t="e">
        <f t="shared" si="34"/>
        <v>#VALUE!</v>
      </c>
      <c r="O94" s="702" t="e">
        <f t="shared" si="34"/>
        <v>#VALUE!</v>
      </c>
      <c r="P94" s="702" t="e">
        <f t="shared" si="34"/>
        <v>#VALUE!</v>
      </c>
      <c r="Q94" s="702" t="e">
        <f t="shared" si="34"/>
        <v>#VALUE!</v>
      </c>
      <c r="R94" s="702" t="e">
        <f t="shared" si="34"/>
        <v>#VALUE!</v>
      </c>
      <c r="S94" s="702" t="e">
        <f t="shared" si="34"/>
        <v>#VALUE!</v>
      </c>
      <c r="T94" s="702" t="e">
        <f t="shared" si="34"/>
        <v>#VALUE!</v>
      </c>
      <c r="U94" s="702" t="e">
        <f t="shared" si="34"/>
        <v>#VALUE!</v>
      </c>
      <c r="V94" s="702" t="e">
        <f t="shared" si="34"/>
        <v>#VALUE!</v>
      </c>
      <c r="W94" s="702" t="e">
        <f t="shared" si="34"/>
        <v>#VALUE!</v>
      </c>
      <c r="X94" s="702" t="e">
        <f t="shared" si="34"/>
        <v>#VALUE!</v>
      </c>
      <c r="Y94" s="702" t="e">
        <f t="shared" si="34"/>
        <v>#VALUE!</v>
      </c>
    </row>
    <row r="95" spans="2:25">
      <c r="D95" s="701" t="s">
        <v>548</v>
      </c>
      <c r="F95" s="702">
        <f>F94-F82-F83</f>
        <v>-8500</v>
      </c>
      <c r="G95" s="702" t="e">
        <f>G94-G82-G83</f>
        <v>#VALUE!</v>
      </c>
      <c r="H95" s="702" t="e">
        <f t="shared" ref="H95:Y95" si="35">H94-H82-H83</f>
        <v>#VALUE!</v>
      </c>
      <c r="I95" s="702" t="e">
        <f t="shared" si="35"/>
        <v>#VALUE!</v>
      </c>
      <c r="J95" s="702" t="e">
        <f t="shared" si="35"/>
        <v>#VALUE!</v>
      </c>
      <c r="K95" s="702" t="e">
        <f t="shared" si="35"/>
        <v>#VALUE!</v>
      </c>
      <c r="L95" s="702" t="e">
        <f t="shared" si="35"/>
        <v>#VALUE!</v>
      </c>
      <c r="M95" s="702" t="e">
        <f t="shared" si="35"/>
        <v>#VALUE!</v>
      </c>
      <c r="N95" s="702" t="e">
        <f t="shared" si="35"/>
        <v>#VALUE!</v>
      </c>
      <c r="O95" s="702" t="e">
        <f t="shared" si="35"/>
        <v>#VALUE!</v>
      </c>
      <c r="P95" s="702" t="e">
        <f t="shared" si="35"/>
        <v>#VALUE!</v>
      </c>
      <c r="Q95" s="702" t="e">
        <f t="shared" si="35"/>
        <v>#VALUE!</v>
      </c>
      <c r="R95" s="702" t="e">
        <f t="shared" si="35"/>
        <v>#VALUE!</v>
      </c>
      <c r="S95" s="702" t="e">
        <f t="shared" si="35"/>
        <v>#VALUE!</v>
      </c>
      <c r="T95" s="702" t="e">
        <f t="shared" si="35"/>
        <v>#VALUE!</v>
      </c>
      <c r="U95" s="702" t="e">
        <f t="shared" si="35"/>
        <v>#VALUE!</v>
      </c>
      <c r="V95" s="702" t="e">
        <f t="shared" si="35"/>
        <v>#VALUE!</v>
      </c>
      <c r="W95" s="702" t="e">
        <f t="shared" si="35"/>
        <v>#VALUE!</v>
      </c>
      <c r="X95" s="702" t="e">
        <f t="shared" si="35"/>
        <v>#VALUE!</v>
      </c>
      <c r="Y95" s="702" t="e">
        <f t="shared" si="35"/>
        <v>#VALUE!</v>
      </c>
    </row>
    <row r="96" spans="2:25">
      <c r="I96" s="562"/>
    </row>
  </sheetData>
  <mergeCells count="4">
    <mergeCell ref="D1:E1"/>
    <mergeCell ref="F2:J2"/>
    <mergeCell ref="N2:R2"/>
    <mergeCell ref="C4:D4"/>
  </mergeCells>
  <pageMargins left="0.45" right="0.2" top="0.75" bottom="0.25" header="0.511811023622047" footer="0.511811023622047"/>
  <pageSetup fitToWidth="2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B1:AJ74"/>
  <sheetViews>
    <sheetView showGridLines="0" topLeftCell="A37" zoomScale="80" zoomScaleNormal="80" workbookViewId="0">
      <selection activeCell="N61" sqref="N61"/>
    </sheetView>
  </sheetViews>
  <sheetFormatPr baseColWidth="10" defaultColWidth="8.6640625" defaultRowHeight="15"/>
  <cols>
    <col min="1" max="1" width="2.5" customWidth="1"/>
    <col min="2" max="2" width="11.5" customWidth="1"/>
    <col min="6" max="6" width="13.1640625" customWidth="1"/>
    <col min="7" max="7" width="14" customWidth="1"/>
    <col min="8" max="8" width="10.5" style="705" customWidth="1"/>
    <col min="10" max="10" width="11.1640625" customWidth="1"/>
    <col min="12" max="12" width="18.5" customWidth="1"/>
    <col min="14" max="14" width="12.83203125" customWidth="1"/>
    <col min="15" max="17" width="12.5" customWidth="1"/>
    <col min="18" max="18" width="2.5" customWidth="1"/>
    <col min="19" max="19" width="10.5" customWidth="1"/>
    <col min="22" max="22" width="10.5" style="577" customWidth="1"/>
    <col min="23" max="23" width="8.5" style="577" customWidth="1"/>
  </cols>
  <sheetData>
    <row r="1" spans="2:23" ht="18.75" customHeight="1">
      <c r="B1" s="706" t="s">
        <v>935</v>
      </c>
      <c r="C1" s="707"/>
      <c r="D1" s="707"/>
      <c r="E1" s="707"/>
      <c r="F1" s="707"/>
      <c r="G1" s="708" t="s">
        <v>941</v>
      </c>
      <c r="H1" s="709"/>
      <c r="I1" s="707"/>
      <c r="J1" s="707"/>
      <c r="K1" s="707"/>
      <c r="L1" s="710"/>
      <c r="M1" s="711"/>
      <c r="N1" s="707"/>
      <c r="O1" s="707"/>
      <c r="P1" s="707"/>
      <c r="Q1" s="712"/>
      <c r="R1" s="707"/>
      <c r="S1" s="707"/>
      <c r="T1" s="707"/>
    </row>
    <row r="2" spans="2:23" ht="18.75" customHeight="1">
      <c r="B2" s="706"/>
      <c r="C2" s="707"/>
      <c r="D2" s="707"/>
      <c r="E2" s="707"/>
      <c r="F2" s="707"/>
      <c r="G2" s="707"/>
      <c r="H2" s="713"/>
      <c r="I2" s="707"/>
      <c r="N2" s="714" t="s">
        <v>141</v>
      </c>
      <c r="O2" s="715"/>
      <c r="P2" s="715"/>
      <c r="Q2" s="715"/>
      <c r="R2" s="707"/>
      <c r="S2" s="707"/>
      <c r="T2" s="707"/>
    </row>
    <row r="3" spans="2:23">
      <c r="B3" s="707"/>
      <c r="C3" s="707" t="s">
        <v>549</v>
      </c>
      <c r="D3" s="707"/>
      <c r="E3" s="707"/>
      <c r="F3" s="716">
        <v>0</v>
      </c>
      <c r="G3" s="707"/>
      <c r="H3" s="713"/>
      <c r="I3" s="707"/>
      <c r="J3" s="707" t="s">
        <v>550</v>
      </c>
      <c r="K3" s="707"/>
      <c r="L3" s="707"/>
      <c r="M3" s="707"/>
      <c r="N3" s="717">
        <v>0</v>
      </c>
      <c r="O3" s="717"/>
      <c r="P3" s="718" t="s">
        <v>96</v>
      </c>
      <c r="Q3" s="710"/>
      <c r="R3" s="707"/>
      <c r="S3" s="707"/>
      <c r="T3" s="707"/>
    </row>
    <row r="4" spans="2:23">
      <c r="B4" s="707"/>
      <c r="C4" s="707" t="s">
        <v>551</v>
      </c>
      <c r="D4" s="707"/>
      <c r="E4" s="707"/>
      <c r="F4" s="719">
        <v>0</v>
      </c>
      <c r="G4" s="707"/>
      <c r="H4" s="713"/>
      <c r="I4" s="707"/>
      <c r="J4" s="707" t="s">
        <v>552</v>
      </c>
      <c r="K4" s="707"/>
      <c r="L4" s="707"/>
      <c r="M4" s="707"/>
      <c r="N4" s="720">
        <v>0.99990000000000001</v>
      </c>
      <c r="O4" s="720"/>
      <c r="P4" s="721" t="s">
        <v>553</v>
      </c>
      <c r="Q4" s="707"/>
      <c r="R4" s="707"/>
      <c r="S4" s="707"/>
      <c r="T4" s="707"/>
    </row>
    <row r="5" spans="2:23">
      <c r="B5" s="707"/>
      <c r="C5" s="707" t="s">
        <v>554</v>
      </c>
      <c r="D5" s="707"/>
      <c r="E5" s="707"/>
      <c r="F5" s="722"/>
      <c r="G5" s="707"/>
      <c r="H5" s="713"/>
      <c r="I5" s="707"/>
      <c r="J5" s="707" t="s">
        <v>555</v>
      </c>
      <c r="K5" s="707"/>
      <c r="L5" s="707"/>
      <c r="M5" s="707"/>
      <c r="N5" s="723">
        <v>0</v>
      </c>
      <c r="O5" s="724"/>
      <c r="P5" s="725" t="s">
        <v>98</v>
      </c>
      <c r="Q5" s="710"/>
      <c r="R5" s="707"/>
      <c r="S5" s="707"/>
      <c r="T5" s="707"/>
    </row>
    <row r="6" spans="2:23">
      <c r="B6" s="707"/>
      <c r="C6" s="707" t="s">
        <v>556</v>
      </c>
      <c r="D6" s="707"/>
      <c r="E6" s="707"/>
      <c r="F6" s="726">
        <v>0</v>
      </c>
      <c r="G6" s="707"/>
      <c r="H6" s="713"/>
      <c r="I6" s="707"/>
      <c r="J6" s="707"/>
      <c r="K6" s="707"/>
      <c r="L6" s="707"/>
      <c r="M6" s="707"/>
      <c r="N6" s="707"/>
      <c r="O6" s="707"/>
      <c r="P6" s="727"/>
      <c r="Q6" s="707"/>
      <c r="R6" s="707"/>
      <c r="S6" s="707"/>
      <c r="T6" s="707"/>
    </row>
    <row r="7" spans="2:23" ht="15.75" customHeight="1">
      <c r="B7" s="707"/>
      <c r="C7" s="707"/>
      <c r="D7" s="707"/>
      <c r="E7" s="707"/>
      <c r="F7" s="707"/>
      <c r="G7" s="707"/>
      <c r="H7" s="713"/>
      <c r="I7" s="707"/>
      <c r="J7" s="728"/>
      <c r="K7" s="729" t="s">
        <v>557</v>
      </c>
      <c r="L7" s="729"/>
      <c r="M7" s="729"/>
      <c r="N7" s="730">
        <v>0</v>
      </c>
      <c r="O7" s="731"/>
      <c r="P7" s="732" t="s">
        <v>558</v>
      </c>
      <c r="Q7" s="707"/>
      <c r="R7" s="707"/>
      <c r="S7" s="707"/>
      <c r="T7" s="707"/>
    </row>
    <row r="8" spans="2:23" ht="15.75" customHeight="1">
      <c r="B8" s="733" t="s">
        <v>559</v>
      </c>
      <c r="C8" s="734"/>
      <c r="D8" s="734"/>
      <c r="E8" s="735"/>
      <c r="F8" s="736"/>
      <c r="G8" s="707"/>
      <c r="H8" s="713"/>
      <c r="I8" s="707"/>
      <c r="J8" s="707"/>
      <c r="K8" s="707"/>
      <c r="L8" s="707"/>
      <c r="M8" s="707"/>
      <c r="N8" s="717"/>
      <c r="O8" s="717"/>
      <c r="P8" s="718"/>
      <c r="Q8" s="707"/>
      <c r="R8" s="707"/>
      <c r="S8" s="707"/>
      <c r="T8" s="707"/>
    </row>
    <row r="9" spans="2:23">
      <c r="B9" s="707"/>
      <c r="C9" s="737" t="s">
        <v>560</v>
      </c>
      <c r="D9" s="707"/>
      <c r="E9" s="707"/>
      <c r="F9" s="707"/>
      <c r="G9" s="707"/>
      <c r="H9" s="713"/>
      <c r="I9" s="707"/>
      <c r="J9" s="707"/>
      <c r="K9" s="707"/>
      <c r="L9" s="707"/>
      <c r="M9" s="707"/>
      <c r="N9" s="707"/>
      <c r="O9" s="707"/>
      <c r="P9" s="707"/>
      <c r="Q9" s="707"/>
      <c r="R9" s="707"/>
      <c r="S9" s="707"/>
      <c r="T9" s="707"/>
    </row>
    <row r="10" spans="2:23">
      <c r="B10" s="738" t="s">
        <v>467</v>
      </c>
      <c r="C10" s="738" t="s">
        <v>561</v>
      </c>
      <c r="D10" s="738" t="s">
        <v>562</v>
      </c>
      <c r="E10" s="738" t="s">
        <v>563</v>
      </c>
      <c r="F10" s="738" t="s">
        <v>318</v>
      </c>
      <c r="G10" s="707"/>
      <c r="H10" s="713"/>
      <c r="I10" s="739" t="s">
        <v>564</v>
      </c>
      <c r="J10" s="740"/>
      <c r="K10" s="740"/>
      <c r="L10" s="740"/>
      <c r="M10" s="740"/>
      <c r="N10" s="740"/>
      <c r="O10" s="740"/>
      <c r="P10" s="740"/>
      <c r="Q10" s="741"/>
      <c r="R10" s="707"/>
      <c r="S10" s="707"/>
      <c r="T10" s="707"/>
    </row>
    <row r="11" spans="2:23" ht="15.75" customHeight="1">
      <c r="B11" s="742">
        <v>2027</v>
      </c>
      <c r="C11" s="743" t="s">
        <v>565</v>
      </c>
      <c r="D11" s="743" t="s">
        <v>566</v>
      </c>
      <c r="E11" s="743" t="s">
        <v>567</v>
      </c>
      <c r="F11" s="743" t="s">
        <v>568</v>
      </c>
      <c r="G11" s="707"/>
      <c r="H11" s="713"/>
      <c r="I11" s="744"/>
      <c r="J11" s="745"/>
      <c r="K11" s="746" t="s">
        <v>91</v>
      </c>
      <c r="L11" s="747" t="s">
        <v>569</v>
      </c>
      <c r="M11" s="748" t="s">
        <v>570</v>
      </c>
      <c r="N11" s="746" t="s">
        <v>571</v>
      </c>
      <c r="O11" s="748" t="s">
        <v>572</v>
      </c>
      <c r="P11" s="749" t="s">
        <v>573</v>
      </c>
      <c r="Q11" s="748" t="s">
        <v>574</v>
      </c>
      <c r="R11" s="707"/>
      <c r="S11" s="707"/>
      <c r="T11" s="707"/>
    </row>
    <row r="12" spans="2:23" ht="15.75" customHeight="1">
      <c r="B12" s="750" t="s">
        <v>575</v>
      </c>
      <c r="C12" s="751"/>
      <c r="D12" s="752">
        <v>0</v>
      </c>
      <c r="E12" s="753"/>
      <c r="F12" s="754">
        <v>0</v>
      </c>
      <c r="G12" s="707"/>
      <c r="H12" s="755">
        <v>45658</v>
      </c>
      <c r="I12" s="756"/>
      <c r="J12" s="757" t="s">
        <v>575</v>
      </c>
      <c r="K12" s="31"/>
      <c r="L12" s="31"/>
      <c r="M12" s="394"/>
      <c r="N12" s="87"/>
      <c r="O12" s="87"/>
      <c r="P12" s="28"/>
      <c r="Q12" s="394"/>
      <c r="R12" s="707"/>
      <c r="S12" s="707"/>
      <c r="T12" s="707"/>
    </row>
    <row r="13" spans="2:23">
      <c r="B13" s="750" t="s">
        <v>576</v>
      </c>
      <c r="C13" s="751"/>
      <c r="D13" s="752">
        <v>0</v>
      </c>
      <c r="E13" s="753"/>
      <c r="F13" s="754">
        <v>0</v>
      </c>
      <c r="G13" s="707"/>
      <c r="H13" s="755">
        <v>45689</v>
      </c>
      <c r="I13" s="758"/>
      <c r="J13" s="759" t="s">
        <v>576</v>
      </c>
      <c r="K13" s="41"/>
      <c r="L13" s="41"/>
      <c r="M13" s="396"/>
      <c r="P13" s="760"/>
      <c r="Q13" s="396"/>
      <c r="R13" s="707"/>
      <c r="S13" s="761"/>
    </row>
    <row r="14" spans="2:23">
      <c r="B14" s="750" t="s">
        <v>577</v>
      </c>
      <c r="C14" s="751"/>
      <c r="D14" s="752">
        <v>0</v>
      </c>
      <c r="E14" s="753"/>
      <c r="F14" s="754">
        <v>0</v>
      </c>
      <c r="G14" s="707"/>
      <c r="H14" s="755">
        <v>45717</v>
      </c>
      <c r="I14" s="758"/>
      <c r="J14" s="759" t="s">
        <v>577</v>
      </c>
      <c r="K14" s="760"/>
      <c r="L14" s="41"/>
      <c r="N14" s="41"/>
      <c r="P14" s="760"/>
      <c r="Q14" s="760"/>
      <c r="R14" s="707"/>
      <c r="S14" s="707"/>
      <c r="T14" s="707"/>
      <c r="V14" s="762"/>
      <c r="W14" s="762"/>
    </row>
    <row r="15" spans="2:23">
      <c r="B15" s="750" t="s">
        <v>578</v>
      </c>
      <c r="C15" s="751"/>
      <c r="D15" s="752">
        <v>0</v>
      </c>
      <c r="E15" s="753"/>
      <c r="F15" s="754">
        <v>0</v>
      </c>
      <c r="G15" s="707"/>
      <c r="H15" s="755">
        <v>45748</v>
      </c>
      <c r="I15" s="758"/>
      <c r="J15" s="763" t="s">
        <v>579</v>
      </c>
      <c r="K15" s="764"/>
      <c r="L15" s="41"/>
      <c r="M15" s="765"/>
      <c r="N15" s="766"/>
      <c r="O15" s="438"/>
      <c r="P15" s="767"/>
      <c r="Q15" s="768"/>
      <c r="R15" s="707"/>
      <c r="S15" s="707"/>
      <c r="T15" s="707"/>
      <c r="V15" s="762"/>
      <c r="W15" s="762"/>
    </row>
    <row r="16" spans="2:23">
      <c r="B16" s="750" t="s">
        <v>580</v>
      </c>
      <c r="C16" s="751"/>
      <c r="D16" s="752">
        <v>0</v>
      </c>
      <c r="E16" s="753"/>
      <c r="F16" s="754">
        <v>0</v>
      </c>
      <c r="G16" s="707"/>
      <c r="H16" s="755">
        <v>45778</v>
      </c>
      <c r="I16" s="758"/>
      <c r="J16" s="759" t="s">
        <v>581</v>
      </c>
      <c r="K16" s="41"/>
      <c r="L16" s="769"/>
      <c r="M16" s="396"/>
      <c r="P16" s="760"/>
      <c r="Q16" s="396"/>
      <c r="R16" s="707"/>
      <c r="S16" s="707"/>
      <c r="T16" s="707"/>
      <c r="V16" s="762"/>
      <c r="W16" s="762"/>
    </row>
    <row r="17" spans="2:36">
      <c r="B17" s="750" t="s">
        <v>582</v>
      </c>
      <c r="C17" s="751"/>
      <c r="D17" s="752">
        <v>0</v>
      </c>
      <c r="E17" s="753"/>
      <c r="F17" s="754">
        <v>0</v>
      </c>
      <c r="G17" s="707"/>
      <c r="H17" s="755">
        <v>45809</v>
      </c>
      <c r="I17" s="758"/>
      <c r="J17" s="759" t="s">
        <v>582</v>
      </c>
      <c r="K17" s="41"/>
      <c r="L17" s="41"/>
      <c r="M17" s="396"/>
      <c r="P17" s="760"/>
      <c r="Q17" s="396"/>
      <c r="R17" s="707"/>
      <c r="S17" s="707"/>
      <c r="T17" s="707"/>
      <c r="V17" s="762"/>
      <c r="W17" s="762"/>
    </row>
    <row r="18" spans="2:36">
      <c r="B18" s="750" t="s">
        <v>583</v>
      </c>
      <c r="C18" s="751"/>
      <c r="D18" s="752">
        <v>0</v>
      </c>
      <c r="E18" s="753"/>
      <c r="F18" s="754">
        <v>0</v>
      </c>
      <c r="G18" s="707"/>
      <c r="H18" s="755">
        <v>45839</v>
      </c>
      <c r="I18" s="758"/>
      <c r="J18" s="770" t="s">
        <v>583</v>
      </c>
      <c r="K18" s="41"/>
      <c r="L18" s="41"/>
      <c r="M18" s="396"/>
      <c r="P18" s="760"/>
      <c r="Q18" s="760"/>
      <c r="R18" s="707"/>
      <c r="S18" s="771"/>
      <c r="T18" s="761"/>
      <c r="V18" s="762"/>
      <c r="W18" s="762"/>
      <c r="X18" s="707"/>
      <c r="Y18" s="707"/>
      <c r="Z18" s="707"/>
      <c r="AA18" s="707"/>
      <c r="AB18" s="707"/>
      <c r="AC18" s="707"/>
      <c r="AD18" s="707"/>
      <c r="AE18" s="707"/>
      <c r="AF18" s="707"/>
      <c r="AG18" s="707"/>
      <c r="AH18" s="707"/>
      <c r="AI18" s="772"/>
      <c r="AJ18" s="773"/>
    </row>
    <row r="19" spans="2:36">
      <c r="B19" s="750" t="s">
        <v>584</v>
      </c>
      <c r="C19" s="751"/>
      <c r="D19" s="752">
        <v>0</v>
      </c>
      <c r="E19" s="753"/>
      <c r="F19" s="754">
        <v>0</v>
      </c>
      <c r="G19" s="707"/>
      <c r="H19" s="755">
        <v>45870</v>
      </c>
      <c r="I19" s="758"/>
      <c r="J19" s="770" t="s">
        <v>585</v>
      </c>
      <c r="K19" s="41"/>
      <c r="L19" s="774"/>
      <c r="M19" s="396"/>
      <c r="N19" s="775"/>
      <c r="P19" s="760"/>
      <c r="Q19" s="776"/>
      <c r="R19" s="707"/>
      <c r="S19" s="777"/>
      <c r="T19" s="707"/>
      <c r="U19" s="707"/>
      <c r="V19" s="762"/>
      <c r="W19" s="762"/>
      <c r="X19" s="707"/>
      <c r="Y19" s="707"/>
      <c r="Z19" s="707"/>
      <c r="AA19" s="707"/>
      <c r="AB19" s="707"/>
      <c r="AC19" s="707"/>
      <c r="AD19" s="707"/>
      <c r="AE19" s="707"/>
      <c r="AF19" s="707"/>
      <c r="AG19" s="707"/>
      <c r="AH19" s="707"/>
      <c r="AI19" s="772"/>
      <c r="AJ19" s="773"/>
    </row>
    <row r="20" spans="2:36">
      <c r="B20" s="750" t="s">
        <v>586</v>
      </c>
      <c r="C20" s="751"/>
      <c r="D20" s="752">
        <v>0</v>
      </c>
      <c r="E20" s="753"/>
      <c r="F20" s="754">
        <v>0</v>
      </c>
      <c r="G20" s="707"/>
      <c r="H20" s="755">
        <v>45901</v>
      </c>
      <c r="I20" s="758"/>
      <c r="J20" s="770" t="s">
        <v>586</v>
      </c>
      <c r="K20" s="41"/>
      <c r="L20" s="774"/>
      <c r="M20" s="396"/>
      <c r="N20" s="775"/>
      <c r="P20" s="760"/>
      <c r="Q20" s="776"/>
      <c r="R20" s="707"/>
      <c r="S20" s="777"/>
      <c r="T20" s="707"/>
      <c r="U20" s="707"/>
      <c r="V20" s="762"/>
      <c r="W20" s="762"/>
      <c r="X20" s="707"/>
      <c r="Y20" s="707"/>
      <c r="Z20" s="707"/>
      <c r="AA20" s="707"/>
      <c r="AB20" s="707"/>
      <c r="AC20" s="707"/>
      <c r="AD20" s="707"/>
      <c r="AE20" s="707"/>
      <c r="AF20" s="707"/>
      <c r="AG20" s="707"/>
      <c r="AH20" s="707"/>
      <c r="AI20" s="772"/>
      <c r="AJ20" s="773"/>
    </row>
    <row r="21" spans="2:36">
      <c r="B21" s="750" t="s">
        <v>587</v>
      </c>
      <c r="C21" s="751"/>
      <c r="D21" s="752">
        <v>0</v>
      </c>
      <c r="E21" s="753"/>
      <c r="F21" s="754">
        <v>0</v>
      </c>
      <c r="G21" s="707"/>
      <c r="H21" s="755">
        <v>45931</v>
      </c>
      <c r="I21" s="758"/>
      <c r="J21" s="770" t="s">
        <v>587</v>
      </c>
      <c r="K21" s="41"/>
      <c r="L21" s="774"/>
      <c r="M21" s="396"/>
      <c r="N21" s="775"/>
      <c r="P21" s="760"/>
      <c r="Q21" s="776"/>
      <c r="R21" s="707"/>
      <c r="T21" s="707"/>
      <c r="U21" s="707"/>
      <c r="V21" s="762"/>
      <c r="W21" s="762"/>
      <c r="X21" s="707"/>
      <c r="Y21" s="707"/>
      <c r="Z21" s="707"/>
      <c r="AA21" s="707"/>
      <c r="AB21" s="707"/>
      <c r="AC21" s="707"/>
      <c r="AD21" s="707"/>
      <c r="AE21" s="707"/>
      <c r="AF21" s="707"/>
      <c r="AG21" s="707"/>
      <c r="AH21" s="707"/>
      <c r="AI21" s="772"/>
      <c r="AJ21" s="773"/>
    </row>
    <row r="22" spans="2:36">
      <c r="B22" s="750" t="s">
        <v>588</v>
      </c>
      <c r="C22" s="751"/>
      <c r="D22" s="752">
        <v>0</v>
      </c>
      <c r="E22" s="753"/>
      <c r="F22" s="754">
        <v>0</v>
      </c>
      <c r="G22" s="778"/>
      <c r="H22" s="779">
        <v>45962</v>
      </c>
      <c r="I22" s="780"/>
      <c r="J22" s="781" t="s">
        <v>588</v>
      </c>
      <c r="K22" s="782"/>
      <c r="L22" s="783" t="s">
        <v>589</v>
      </c>
      <c r="M22" s="784"/>
      <c r="N22" s="785">
        <v>0</v>
      </c>
      <c r="O22" s="786"/>
      <c r="P22" s="787"/>
      <c r="Q22" s="788"/>
      <c r="R22" s="707"/>
      <c r="S22" s="777"/>
      <c r="T22" s="707"/>
      <c r="U22" s="707"/>
      <c r="V22" s="762"/>
      <c r="W22" s="762"/>
      <c r="X22" s="707"/>
      <c r="Y22" s="707"/>
      <c r="Z22" s="707"/>
      <c r="AA22" s="707"/>
      <c r="AB22" s="707"/>
      <c r="AC22" s="707"/>
      <c r="AD22" s="707"/>
      <c r="AE22" s="707"/>
      <c r="AF22" s="707"/>
      <c r="AG22" s="707"/>
      <c r="AH22" s="707"/>
      <c r="AI22" s="772"/>
      <c r="AJ22" s="773"/>
    </row>
    <row r="23" spans="2:36" ht="15.75" customHeight="1">
      <c r="B23" s="789" t="s">
        <v>590</v>
      </c>
      <c r="C23" s="790"/>
      <c r="D23" s="752">
        <v>0</v>
      </c>
      <c r="E23" s="791"/>
      <c r="F23" s="792">
        <v>0</v>
      </c>
      <c r="G23" s="707"/>
      <c r="H23" s="755">
        <v>45992</v>
      </c>
      <c r="I23" s="793"/>
      <c r="J23" s="770" t="s">
        <v>590</v>
      </c>
      <c r="K23" s="60">
        <v>1</v>
      </c>
      <c r="L23" s="794"/>
      <c r="M23" s="795"/>
      <c r="N23" s="796"/>
      <c r="O23" s="797"/>
      <c r="P23" s="798"/>
      <c r="Q23" s="799"/>
      <c r="R23" s="707"/>
      <c r="S23" s="771"/>
      <c r="T23" s="707"/>
      <c r="U23" s="707"/>
      <c r="V23" s="762"/>
      <c r="W23" s="762"/>
      <c r="X23" s="707"/>
      <c r="Y23" s="707"/>
      <c r="Z23" s="707"/>
      <c r="AA23" s="707"/>
      <c r="AB23" s="707"/>
      <c r="AC23" s="707"/>
      <c r="AD23" s="707"/>
      <c r="AE23" s="707"/>
      <c r="AF23" s="707"/>
      <c r="AG23" s="707"/>
      <c r="AH23" s="707"/>
      <c r="AI23" s="772"/>
      <c r="AJ23" s="773"/>
    </row>
    <row r="24" spans="2:36" ht="15.75" customHeight="1">
      <c r="B24" s="800" t="s">
        <v>591</v>
      </c>
      <c r="C24" s="801">
        <v>0</v>
      </c>
      <c r="D24" s="802">
        <v>0</v>
      </c>
      <c r="E24" s="803"/>
      <c r="F24" s="804">
        <v>0</v>
      </c>
      <c r="G24" s="707"/>
      <c r="H24" s="755">
        <v>46023</v>
      </c>
      <c r="I24" s="756">
        <v>2026</v>
      </c>
      <c r="J24" s="805" t="s">
        <v>575</v>
      </c>
      <c r="K24" s="806">
        <v>2</v>
      </c>
      <c r="L24" s="807"/>
      <c r="M24" s="808"/>
      <c r="N24" s="809"/>
      <c r="O24" s="810"/>
      <c r="P24" s="438"/>
      <c r="Q24" s="811"/>
      <c r="R24" s="707"/>
      <c r="S24" s="771"/>
      <c r="T24" s="707"/>
      <c r="U24" s="707"/>
      <c r="V24" s="762"/>
      <c r="W24" s="762"/>
      <c r="X24" s="707"/>
      <c r="Y24" s="707"/>
      <c r="Z24" s="707"/>
      <c r="AA24" s="707"/>
      <c r="AB24" s="707"/>
      <c r="AC24" s="707"/>
      <c r="AD24" s="707"/>
      <c r="AE24" s="707"/>
      <c r="AF24" s="707"/>
      <c r="AG24" s="707"/>
      <c r="AH24" s="707"/>
      <c r="AI24" s="772"/>
      <c r="AJ24" s="773"/>
    </row>
    <row r="25" spans="2:36">
      <c r="B25" s="707"/>
      <c r="C25" s="707"/>
      <c r="D25" s="707"/>
      <c r="E25" s="707"/>
      <c r="F25" s="707"/>
      <c r="G25" s="707"/>
      <c r="H25" s="755">
        <v>46054</v>
      </c>
      <c r="I25" s="758"/>
      <c r="J25" s="770" t="s">
        <v>576</v>
      </c>
      <c r="K25" s="760">
        <v>3</v>
      </c>
      <c r="N25" s="41"/>
      <c r="O25" s="396"/>
      <c r="Q25" s="760"/>
      <c r="R25" s="707"/>
      <c r="S25" s="771"/>
      <c r="T25" s="707"/>
      <c r="U25" s="707"/>
      <c r="V25" s="762"/>
      <c r="W25" s="762"/>
      <c r="X25" s="707"/>
      <c r="Y25" s="707"/>
      <c r="Z25" s="707"/>
      <c r="AA25" s="707"/>
      <c r="AB25" s="707"/>
      <c r="AC25" s="707"/>
      <c r="AD25" s="707"/>
      <c r="AE25" s="707"/>
      <c r="AF25" s="707"/>
      <c r="AG25" s="707"/>
      <c r="AH25" s="707"/>
      <c r="AI25" s="772"/>
      <c r="AJ25" s="773"/>
    </row>
    <row r="26" spans="2:36">
      <c r="B26" s="707"/>
      <c r="C26" s="707"/>
      <c r="D26" s="707"/>
      <c r="E26" s="707"/>
      <c r="F26" s="707"/>
      <c r="G26" s="707"/>
      <c r="H26" s="755">
        <v>46082</v>
      </c>
      <c r="I26" s="758"/>
      <c r="J26" s="770" t="s">
        <v>577</v>
      </c>
      <c r="K26" s="760">
        <v>4</v>
      </c>
      <c r="L26" s="41"/>
      <c r="M26" s="812"/>
      <c r="N26" s="41"/>
      <c r="O26" s="813"/>
      <c r="P26" s="22"/>
      <c r="Q26" s="760"/>
      <c r="R26" s="707"/>
      <c r="S26" s="771"/>
      <c r="T26" s="707"/>
      <c r="U26" s="707"/>
      <c r="V26" s="762"/>
      <c r="W26" s="762"/>
      <c r="X26" s="707"/>
      <c r="Y26" s="707"/>
      <c r="Z26" s="707"/>
      <c r="AA26" s="707"/>
      <c r="AB26" s="707"/>
      <c r="AC26" s="707"/>
      <c r="AD26" s="707"/>
      <c r="AE26" s="707"/>
      <c r="AF26" s="707"/>
      <c r="AG26" s="707"/>
      <c r="AH26" s="707"/>
      <c r="AI26" s="772"/>
      <c r="AJ26" s="773"/>
    </row>
    <row r="27" spans="2:36">
      <c r="B27" s="738" t="s">
        <v>467</v>
      </c>
      <c r="C27" s="738" t="s">
        <v>561</v>
      </c>
      <c r="D27" s="738" t="s">
        <v>562</v>
      </c>
      <c r="E27" s="738" t="s">
        <v>563</v>
      </c>
      <c r="F27" s="738" t="s">
        <v>318</v>
      </c>
      <c r="G27" s="707"/>
      <c r="H27" s="755">
        <v>46113</v>
      </c>
      <c r="I27" s="758"/>
      <c r="J27" s="770" t="s">
        <v>579</v>
      </c>
      <c r="K27" s="760">
        <v>5</v>
      </c>
      <c r="L27" s="807"/>
      <c r="M27" s="438"/>
      <c r="N27" s="814"/>
      <c r="O27" s="765"/>
      <c r="P27" s="438"/>
      <c r="Q27" s="815"/>
      <c r="R27" s="707"/>
      <c r="S27" s="761"/>
      <c r="T27" s="707"/>
      <c r="U27" s="707"/>
      <c r="V27" s="762"/>
      <c r="W27" s="762"/>
      <c r="X27" s="707"/>
      <c r="Y27" s="707"/>
      <c r="Z27" s="707"/>
      <c r="AA27" s="707"/>
      <c r="AB27" s="707"/>
      <c r="AC27" s="707"/>
      <c r="AD27" s="707"/>
      <c r="AE27" s="707"/>
      <c r="AF27" s="707"/>
      <c r="AG27" s="707"/>
      <c r="AH27" s="707"/>
      <c r="AI27" s="772"/>
      <c r="AJ27" s="773"/>
    </row>
    <row r="28" spans="2:36" ht="15.75" customHeight="1">
      <c r="B28" s="742">
        <v>2028</v>
      </c>
      <c r="C28" s="743" t="s">
        <v>565</v>
      </c>
      <c r="D28" s="743" t="s">
        <v>566</v>
      </c>
      <c r="E28" s="743" t="s">
        <v>567</v>
      </c>
      <c r="F28" s="743" t="s">
        <v>568</v>
      </c>
      <c r="G28" s="707"/>
      <c r="H28" s="755">
        <v>46143</v>
      </c>
      <c r="I28" s="758"/>
      <c r="J28" s="770" t="s">
        <v>581</v>
      </c>
      <c r="K28" s="760">
        <v>6</v>
      </c>
      <c r="L28" s="41"/>
      <c r="N28" s="41"/>
      <c r="O28" s="816"/>
      <c r="P28" s="752"/>
      <c r="Q28" s="760"/>
      <c r="R28" s="707"/>
      <c r="S28" s="771"/>
      <c r="T28" s="707"/>
      <c r="U28" s="707"/>
      <c r="V28" s="762"/>
      <c r="W28" s="762"/>
      <c r="X28" s="707"/>
      <c r="Y28" s="707"/>
      <c r="Z28" s="707"/>
      <c r="AA28" s="707"/>
      <c r="AB28" s="707"/>
      <c r="AC28" s="707"/>
      <c r="AD28" s="707"/>
      <c r="AE28" s="707"/>
      <c r="AF28" s="707"/>
      <c r="AG28" s="707"/>
      <c r="AH28" s="707"/>
      <c r="AI28" s="772"/>
      <c r="AJ28" s="773"/>
    </row>
    <row r="29" spans="2:36" ht="15.75" customHeight="1">
      <c r="B29" s="750" t="s">
        <v>575</v>
      </c>
      <c r="C29" s="751"/>
      <c r="D29" s="752">
        <v>0</v>
      </c>
      <c r="E29" s="753">
        <v>1159.78335787943</v>
      </c>
      <c r="F29" s="754">
        <v>0</v>
      </c>
      <c r="G29" s="707"/>
      <c r="H29" s="755">
        <v>46174</v>
      </c>
      <c r="I29" s="758"/>
      <c r="J29" s="770" t="s">
        <v>582</v>
      </c>
      <c r="K29" s="760">
        <v>7</v>
      </c>
      <c r="L29" s="774"/>
      <c r="N29" s="817"/>
      <c r="O29" s="396"/>
      <c r="Q29" s="818"/>
      <c r="S29" s="771"/>
      <c r="T29" s="707"/>
      <c r="U29" s="707"/>
      <c r="V29" s="762"/>
      <c r="W29" s="762"/>
      <c r="X29" s="707"/>
      <c r="Y29" s="707"/>
      <c r="Z29" s="707"/>
      <c r="AA29" s="707"/>
      <c r="AB29" s="707"/>
      <c r="AC29" s="707"/>
      <c r="AD29" s="707"/>
      <c r="AE29" s="707"/>
      <c r="AF29" s="707"/>
      <c r="AG29" s="707"/>
      <c r="AH29" s="707"/>
      <c r="AI29" s="772"/>
      <c r="AJ29" s="773"/>
    </row>
    <row r="30" spans="2:36">
      <c r="B30" s="750" t="s">
        <v>576</v>
      </c>
      <c r="C30" s="819"/>
      <c r="D30" s="1477">
        <v>0</v>
      </c>
      <c r="E30" s="753">
        <v>1159.78335787943</v>
      </c>
      <c r="F30" s="754">
        <v>0</v>
      </c>
      <c r="G30" s="707"/>
      <c r="H30" s="755">
        <v>46204</v>
      </c>
      <c r="I30" s="758"/>
      <c r="J30" s="770" t="s">
        <v>583</v>
      </c>
      <c r="K30" s="760">
        <v>8</v>
      </c>
      <c r="L30" s="774"/>
      <c r="N30" s="817"/>
      <c r="O30" s="396"/>
      <c r="Q30" s="818"/>
      <c r="R30" s="707"/>
      <c r="S30" s="771"/>
      <c r="T30" s="707"/>
      <c r="U30" s="707"/>
      <c r="V30" s="762"/>
      <c r="W30" s="762"/>
      <c r="X30" s="707"/>
      <c r="Y30" s="707"/>
      <c r="Z30" s="707"/>
      <c r="AA30" s="707"/>
      <c r="AB30" s="707"/>
      <c r="AC30" s="707"/>
      <c r="AD30" s="707"/>
      <c r="AE30" s="707"/>
      <c r="AF30" s="707"/>
      <c r="AG30" s="707"/>
      <c r="AH30" s="707"/>
      <c r="AI30" s="772"/>
      <c r="AJ30" s="773"/>
    </row>
    <row r="31" spans="2:36">
      <c r="B31" s="750" t="s">
        <v>577</v>
      </c>
      <c r="C31" s="819"/>
      <c r="D31" s="1477">
        <v>0</v>
      </c>
      <c r="E31" s="753">
        <v>1159.78335787943</v>
      </c>
      <c r="F31" s="754">
        <v>0</v>
      </c>
      <c r="G31" s="707"/>
      <c r="H31" s="755">
        <v>46235</v>
      </c>
      <c r="I31" s="758"/>
      <c r="J31" s="770" t="s">
        <v>585</v>
      </c>
      <c r="K31" s="760">
        <v>9</v>
      </c>
      <c r="L31" s="774"/>
      <c r="N31" s="817"/>
      <c r="O31" s="396"/>
      <c r="Q31" s="818"/>
      <c r="R31" s="707"/>
      <c r="S31" s="771"/>
      <c r="T31" s="707"/>
      <c r="U31" s="707"/>
      <c r="V31" s="762"/>
      <c r="W31" s="762"/>
      <c r="X31" s="707"/>
      <c r="Y31" s="707"/>
      <c r="Z31" s="707"/>
      <c r="AA31" s="707"/>
      <c r="AB31" s="707"/>
      <c r="AC31" s="707"/>
      <c r="AD31" s="707"/>
      <c r="AE31" s="707"/>
      <c r="AF31" s="707"/>
      <c r="AG31" s="707"/>
      <c r="AH31" s="707"/>
      <c r="AI31" s="772"/>
      <c r="AJ31" s="773"/>
    </row>
    <row r="32" spans="2:36">
      <c r="B32" s="750" t="s">
        <v>578</v>
      </c>
      <c r="C32" s="819"/>
      <c r="D32" s="1477">
        <v>0</v>
      </c>
      <c r="E32" s="753">
        <v>1159.78335787943</v>
      </c>
      <c r="F32" s="754">
        <v>0</v>
      </c>
      <c r="G32" s="707"/>
      <c r="H32" s="755">
        <v>46266</v>
      </c>
      <c r="I32" s="758"/>
      <c r="J32" s="770" t="s">
        <v>586</v>
      </c>
      <c r="K32" s="760">
        <v>10</v>
      </c>
      <c r="L32" s="41"/>
      <c r="M32" s="812"/>
      <c r="N32" s="41"/>
      <c r="O32" s="813"/>
      <c r="P32" s="22"/>
      <c r="Q32" s="760"/>
      <c r="R32" s="707"/>
      <c r="S32" s="771"/>
      <c r="T32" s="771"/>
      <c r="U32" s="707"/>
      <c r="V32" s="762"/>
      <c r="W32" s="762"/>
      <c r="X32" s="707"/>
      <c r="Y32" s="707"/>
      <c r="Z32" s="707"/>
      <c r="AA32" s="707"/>
      <c r="AB32" s="707"/>
      <c r="AC32" s="707"/>
      <c r="AD32" s="707"/>
      <c r="AE32" s="707"/>
      <c r="AF32" s="707"/>
      <c r="AG32" s="707"/>
      <c r="AH32" s="707"/>
      <c r="AI32" s="772"/>
      <c r="AJ32" s="773"/>
    </row>
    <row r="33" spans="2:36">
      <c r="B33" s="750" t="s">
        <v>580</v>
      </c>
      <c r="C33" s="819"/>
      <c r="D33" s="1477">
        <v>0</v>
      </c>
      <c r="E33" s="753">
        <v>1159.78335787943</v>
      </c>
      <c r="F33" s="754">
        <v>0</v>
      </c>
      <c r="G33" s="707"/>
      <c r="H33" s="755">
        <v>46296</v>
      </c>
      <c r="I33" s="820"/>
      <c r="J33" s="821" t="s">
        <v>587</v>
      </c>
      <c r="K33" s="822">
        <v>11</v>
      </c>
      <c r="L33" s="783" t="s">
        <v>592</v>
      </c>
      <c r="M33" s="434"/>
      <c r="N33" s="823">
        <v>0</v>
      </c>
      <c r="O33" s="824"/>
      <c r="P33" s="434"/>
      <c r="Q33" s="825"/>
      <c r="R33" s="707"/>
      <c r="S33" s="771"/>
      <c r="T33" s="771"/>
      <c r="U33" s="707"/>
      <c r="V33" s="762"/>
      <c r="W33" s="762"/>
      <c r="X33" s="707"/>
      <c r="Y33" s="707"/>
      <c r="Z33" s="707"/>
      <c r="AA33" s="707"/>
      <c r="AB33" s="707"/>
      <c r="AC33" s="707"/>
      <c r="AD33" s="707"/>
      <c r="AE33" s="707"/>
      <c r="AF33" s="707"/>
      <c r="AG33" s="707"/>
      <c r="AH33" s="707"/>
      <c r="AI33" s="772"/>
      <c r="AJ33" s="773"/>
    </row>
    <row r="34" spans="2:36">
      <c r="B34" s="750" t="s">
        <v>582</v>
      </c>
      <c r="C34" s="819"/>
      <c r="D34" s="1477">
        <v>0</v>
      </c>
      <c r="E34" s="753">
        <v>1159.78335787943</v>
      </c>
      <c r="F34" s="754">
        <v>0</v>
      </c>
      <c r="G34" s="707"/>
      <c r="H34" s="755">
        <v>46327</v>
      </c>
      <c r="I34" s="826"/>
      <c r="J34" s="770" t="s">
        <v>588</v>
      </c>
      <c r="K34" s="760">
        <v>12</v>
      </c>
      <c r="M34" s="812"/>
      <c r="N34" s="41"/>
      <c r="O34" s="816"/>
      <c r="P34" s="752"/>
      <c r="Q34" s="760"/>
      <c r="U34" s="707"/>
      <c r="V34" s="762"/>
      <c r="W34" s="762"/>
      <c r="X34" s="707"/>
      <c r="Y34" s="707"/>
      <c r="Z34" s="707"/>
      <c r="AA34" s="707"/>
      <c r="AB34" s="707"/>
      <c r="AC34" s="707"/>
      <c r="AD34" s="707"/>
      <c r="AE34" s="707"/>
      <c r="AF34" s="707"/>
      <c r="AG34" s="707"/>
      <c r="AH34" s="707"/>
      <c r="AI34" s="772"/>
      <c r="AJ34" s="773"/>
    </row>
    <row r="35" spans="2:36" ht="15.75" customHeight="1">
      <c r="B35" s="750" t="s">
        <v>583</v>
      </c>
      <c r="C35" s="819"/>
      <c r="D35" s="1477">
        <v>0</v>
      </c>
      <c r="E35" s="753">
        <v>1159.78335787943</v>
      </c>
      <c r="F35" s="754">
        <v>0</v>
      </c>
      <c r="G35" s="707"/>
      <c r="H35" s="755">
        <v>46357</v>
      </c>
      <c r="I35" s="827"/>
      <c r="J35" s="770" t="s">
        <v>590</v>
      </c>
      <c r="K35" s="828">
        <v>13</v>
      </c>
      <c r="L35" s="829"/>
      <c r="M35" s="830"/>
      <c r="N35" s="831"/>
      <c r="O35" s="832"/>
      <c r="P35" s="830"/>
      <c r="Q35" s="833"/>
      <c r="R35" s="707"/>
      <c r="S35" s="771"/>
      <c r="T35" s="707"/>
      <c r="U35" s="707"/>
      <c r="V35" s="762"/>
      <c r="W35" s="762"/>
      <c r="X35" s="707"/>
      <c r="Y35" s="707"/>
      <c r="Z35" s="707"/>
      <c r="AA35" s="707"/>
      <c r="AB35" s="707"/>
      <c r="AC35" s="707"/>
      <c r="AD35" s="707"/>
      <c r="AE35" s="707"/>
      <c r="AF35" s="707"/>
      <c r="AG35" s="707"/>
      <c r="AH35" s="707"/>
      <c r="AI35" s="772"/>
      <c r="AJ35" s="773"/>
    </row>
    <row r="36" spans="2:36">
      <c r="B36" s="834" t="s">
        <v>584</v>
      </c>
      <c r="C36" s="835"/>
      <c r="D36" s="1478">
        <v>0</v>
      </c>
      <c r="E36" s="836">
        <v>1159.78335787943</v>
      </c>
      <c r="F36" s="837">
        <v>0</v>
      </c>
      <c r="G36" s="707"/>
      <c r="H36" s="755">
        <v>46388</v>
      </c>
      <c r="I36" s="756">
        <v>2027</v>
      </c>
      <c r="J36" s="757" t="s">
        <v>575</v>
      </c>
      <c r="K36" s="28">
        <v>14</v>
      </c>
      <c r="N36" s="41"/>
      <c r="O36" s="396"/>
      <c r="Q36" s="760"/>
      <c r="R36" s="707"/>
      <c r="S36" s="761"/>
      <c r="T36" s="707"/>
      <c r="U36" s="707"/>
      <c r="V36" s="762"/>
      <c r="W36" s="762"/>
      <c r="X36" s="707"/>
      <c r="Y36" s="707"/>
      <c r="Z36" s="707"/>
      <c r="AA36" s="707"/>
      <c r="AB36" s="707"/>
      <c r="AC36" s="707"/>
      <c r="AD36" s="707"/>
      <c r="AE36" s="707"/>
      <c r="AF36" s="707"/>
      <c r="AG36" s="707"/>
      <c r="AH36" s="707"/>
      <c r="AI36" s="772"/>
      <c r="AJ36" s="773"/>
    </row>
    <row r="37" spans="2:36">
      <c r="B37" s="750" t="s">
        <v>586</v>
      </c>
      <c r="C37" s="819"/>
      <c r="D37" s="1477">
        <v>0</v>
      </c>
      <c r="E37" s="753">
        <v>1159.78335787943</v>
      </c>
      <c r="F37" s="754">
        <v>0</v>
      </c>
      <c r="G37" s="707"/>
      <c r="H37" s="755">
        <v>46419</v>
      </c>
      <c r="I37" s="838"/>
      <c r="J37" s="759" t="s">
        <v>576</v>
      </c>
      <c r="K37" s="760">
        <v>15</v>
      </c>
      <c r="L37" s="41"/>
      <c r="M37" s="812"/>
      <c r="N37" s="41"/>
      <c r="O37" s="813"/>
      <c r="P37" s="22"/>
      <c r="Q37" s="760"/>
      <c r="R37" s="707"/>
      <c r="S37" s="771"/>
      <c r="T37" s="707"/>
      <c r="U37" s="707"/>
      <c r="V37" s="762"/>
      <c r="W37" s="762"/>
      <c r="X37" s="707"/>
      <c r="Y37" s="707"/>
      <c r="Z37" s="707"/>
      <c r="AA37" s="707"/>
      <c r="AB37" s="707"/>
      <c r="AC37" s="707"/>
      <c r="AD37" s="707"/>
      <c r="AE37" s="707"/>
      <c r="AF37" s="707"/>
      <c r="AG37" s="707"/>
      <c r="AH37" s="707"/>
      <c r="AI37" s="772"/>
      <c r="AJ37" s="773"/>
    </row>
    <row r="38" spans="2:36" ht="15.75" customHeight="1">
      <c r="B38" s="839" t="s">
        <v>587</v>
      </c>
      <c r="C38" s="840"/>
      <c r="D38" s="1479">
        <v>0</v>
      </c>
      <c r="E38" s="841">
        <v>1159.78335787943</v>
      </c>
      <c r="F38" s="842">
        <v>0</v>
      </c>
      <c r="G38" s="707"/>
      <c r="H38" s="755">
        <v>46447</v>
      </c>
      <c r="I38" s="838"/>
      <c r="J38" s="759" t="s">
        <v>577</v>
      </c>
      <c r="K38" s="760">
        <v>16</v>
      </c>
      <c r="L38" s="41"/>
      <c r="M38" s="843"/>
      <c r="N38" s="844"/>
      <c r="O38" s="816"/>
      <c r="P38" s="752"/>
      <c r="Q38" s="818"/>
      <c r="R38" s="707"/>
      <c r="S38" s="771"/>
      <c r="T38" s="707"/>
      <c r="U38" s="707"/>
      <c r="V38" s="762"/>
      <c r="W38" s="762"/>
      <c r="X38" s="707"/>
      <c r="Y38" s="707"/>
      <c r="Z38" s="707"/>
      <c r="AA38" s="707"/>
      <c r="AB38" s="707"/>
      <c r="AC38" s="707"/>
      <c r="AD38" s="707"/>
      <c r="AE38" s="707"/>
      <c r="AF38" s="707"/>
      <c r="AG38" s="707"/>
      <c r="AH38" s="707"/>
      <c r="AI38" s="772"/>
      <c r="AJ38" s="773"/>
    </row>
    <row r="39" spans="2:36">
      <c r="B39" s="750" t="s">
        <v>588</v>
      </c>
      <c r="C39" s="819"/>
      <c r="D39" s="1477">
        <v>0</v>
      </c>
      <c r="E39" s="753">
        <v>1159.78335787943</v>
      </c>
      <c r="F39" s="754">
        <v>0</v>
      </c>
      <c r="G39" s="707"/>
      <c r="H39" s="755">
        <v>46478</v>
      </c>
      <c r="I39" s="838"/>
      <c r="J39" s="759" t="s">
        <v>579</v>
      </c>
      <c r="K39" s="760">
        <v>17</v>
      </c>
      <c r="L39" s="774"/>
      <c r="N39" s="817"/>
      <c r="O39" s="396"/>
      <c r="Q39" s="845"/>
      <c r="R39" s="707"/>
      <c r="S39" s="771"/>
      <c r="T39" s="707"/>
      <c r="U39" s="707"/>
      <c r="V39" s="762"/>
      <c r="W39" s="762"/>
      <c r="X39" s="707"/>
      <c r="Y39" s="707"/>
      <c r="Z39" s="707"/>
      <c r="AA39" s="707"/>
      <c r="AB39" s="707"/>
      <c r="AC39" s="707"/>
      <c r="AD39" s="707"/>
      <c r="AE39" s="707"/>
      <c r="AF39" s="707"/>
      <c r="AG39" s="707"/>
      <c r="AH39" s="707"/>
      <c r="AI39" s="772"/>
      <c r="AJ39" s="773"/>
    </row>
    <row r="40" spans="2:36" ht="15.75" customHeight="1">
      <c r="B40" s="789" t="s">
        <v>590</v>
      </c>
      <c r="C40" s="846"/>
      <c r="D40" s="1480">
        <v>0</v>
      </c>
      <c r="E40" s="791">
        <v>1159.78335787943</v>
      </c>
      <c r="F40" s="792">
        <v>0</v>
      </c>
      <c r="G40" s="707"/>
      <c r="H40" s="755">
        <v>46508</v>
      </c>
      <c r="I40" s="838"/>
      <c r="J40" s="759" t="s">
        <v>581</v>
      </c>
      <c r="K40" s="760">
        <v>18</v>
      </c>
      <c r="L40" s="774"/>
      <c r="N40" s="817"/>
      <c r="O40" s="396"/>
      <c r="Q40" s="845"/>
      <c r="R40" s="707"/>
      <c r="S40" s="761"/>
      <c r="T40" s="707"/>
      <c r="U40" s="707"/>
      <c r="V40" s="762"/>
      <c r="W40" s="762"/>
      <c r="X40" s="707"/>
      <c r="Y40" s="707"/>
      <c r="Z40" s="707"/>
      <c r="AA40" s="707"/>
      <c r="AB40" s="707"/>
      <c r="AC40" s="707"/>
      <c r="AD40" s="707"/>
      <c r="AE40" s="707"/>
      <c r="AF40" s="707"/>
      <c r="AG40" s="707"/>
      <c r="AH40" s="707"/>
      <c r="AI40" s="772"/>
      <c r="AJ40" s="773"/>
    </row>
    <row r="41" spans="2:36" ht="15.75" customHeight="1">
      <c r="B41" s="800" t="s">
        <v>591</v>
      </c>
      <c r="C41" s="801">
        <v>0</v>
      </c>
      <c r="D41" s="1481">
        <v>0</v>
      </c>
      <c r="E41" s="803"/>
      <c r="F41" s="804">
        <v>0</v>
      </c>
      <c r="G41" s="707"/>
      <c r="H41" s="755">
        <v>46539</v>
      </c>
      <c r="I41" s="838"/>
      <c r="J41" s="759" t="s">
        <v>582</v>
      </c>
      <c r="K41" s="760">
        <v>19</v>
      </c>
      <c r="L41" s="774"/>
      <c r="N41" s="817"/>
      <c r="O41" s="396"/>
      <c r="Q41" s="845"/>
      <c r="R41" s="707"/>
      <c r="S41" s="771"/>
      <c r="T41" s="707"/>
      <c r="U41" s="707"/>
      <c r="V41" s="762"/>
      <c r="W41" s="762"/>
      <c r="X41" s="707"/>
      <c r="Y41" s="707"/>
      <c r="Z41" s="707"/>
      <c r="AA41" s="707"/>
      <c r="AB41" s="707"/>
      <c r="AC41" s="707"/>
      <c r="AD41" s="707"/>
      <c r="AE41" s="707"/>
      <c r="AF41" s="707"/>
      <c r="AG41" s="707"/>
      <c r="AH41" s="707"/>
      <c r="AI41" s="772"/>
      <c r="AJ41" s="773"/>
    </row>
    <row r="42" spans="2:36">
      <c r="B42" s="707"/>
      <c r="C42" s="707"/>
      <c r="D42" s="707"/>
      <c r="E42" s="707"/>
      <c r="F42" s="707"/>
      <c r="G42" s="707"/>
      <c r="H42" s="755">
        <v>46569</v>
      </c>
      <c r="I42" s="758"/>
      <c r="J42" s="759" t="s">
        <v>583</v>
      </c>
      <c r="K42" s="760">
        <v>20</v>
      </c>
      <c r="L42" s="774" t="s">
        <v>141</v>
      </c>
      <c r="M42" s="843"/>
      <c r="N42" s="41"/>
      <c r="O42" s="396"/>
      <c r="Q42" s="818"/>
      <c r="R42" s="707"/>
      <c r="S42" s="771"/>
      <c r="T42" s="707"/>
      <c r="U42" s="707"/>
      <c r="V42" s="762"/>
      <c r="W42" s="762"/>
      <c r="X42" s="707"/>
      <c r="Y42" s="707"/>
      <c r="Z42" s="707"/>
      <c r="AA42" s="707"/>
      <c r="AB42" s="707"/>
      <c r="AC42" s="707"/>
      <c r="AD42" s="707"/>
      <c r="AE42" s="707"/>
      <c r="AF42" s="707"/>
      <c r="AG42" s="707"/>
      <c r="AH42" s="707"/>
      <c r="AI42" s="772"/>
      <c r="AJ42" s="773"/>
    </row>
    <row r="43" spans="2:36">
      <c r="B43" s="707"/>
      <c r="C43" s="707"/>
      <c r="D43" s="707"/>
      <c r="E43" s="707"/>
      <c r="F43" s="707"/>
      <c r="G43" s="707"/>
      <c r="H43" s="755">
        <v>46600</v>
      </c>
      <c r="I43" s="758"/>
      <c r="J43" s="759" t="s">
        <v>585</v>
      </c>
      <c r="K43" s="760">
        <v>21</v>
      </c>
      <c r="L43" s="774"/>
      <c r="N43" s="817"/>
      <c r="O43" s="396"/>
      <c r="Q43" s="818"/>
      <c r="R43" s="707"/>
      <c r="S43" s="771"/>
      <c r="T43" s="707"/>
      <c r="U43" s="707"/>
      <c r="V43" s="762"/>
      <c r="W43" s="762"/>
      <c r="X43" s="707"/>
      <c r="Y43" s="707"/>
      <c r="Z43" s="707"/>
      <c r="AA43" s="707"/>
      <c r="AB43" s="707"/>
      <c r="AC43" s="707"/>
      <c r="AD43" s="707"/>
      <c r="AE43" s="707"/>
      <c r="AF43" s="707"/>
      <c r="AG43" s="707"/>
      <c r="AH43" s="707"/>
      <c r="AI43" s="772"/>
      <c r="AJ43" s="707"/>
    </row>
    <row r="44" spans="2:36">
      <c r="B44" s="738" t="s">
        <v>467</v>
      </c>
      <c r="C44" s="738" t="s">
        <v>561</v>
      </c>
      <c r="D44" s="738" t="s">
        <v>562</v>
      </c>
      <c r="E44" s="738" t="s">
        <v>563</v>
      </c>
      <c r="F44" s="738" t="s">
        <v>318</v>
      </c>
      <c r="G44" s="707"/>
      <c r="H44" s="755">
        <v>46631</v>
      </c>
      <c r="I44" s="780"/>
      <c r="J44" s="847" t="s">
        <v>586</v>
      </c>
      <c r="K44" s="848">
        <v>22</v>
      </c>
      <c r="L44" s="783" t="s">
        <v>593</v>
      </c>
      <c r="M44" s="849"/>
      <c r="N44" s="823">
        <v>0</v>
      </c>
      <c r="O44" s="850"/>
      <c r="P44" s="851"/>
      <c r="Q44" s="852"/>
      <c r="R44" s="707"/>
      <c r="S44" s="771" t="s">
        <v>594</v>
      </c>
      <c r="T44" s="707"/>
      <c r="U44" s="707"/>
      <c r="V44" s="762"/>
      <c r="W44" s="762"/>
      <c r="X44" s="707"/>
      <c r="Y44" s="707"/>
      <c r="Z44" s="707"/>
      <c r="AA44" s="707"/>
      <c r="AB44" s="707"/>
      <c r="AC44" s="707"/>
      <c r="AD44" s="707"/>
      <c r="AE44" s="707"/>
      <c r="AF44" s="707"/>
      <c r="AG44" s="707"/>
      <c r="AH44" s="707"/>
      <c r="AI44" s="772"/>
      <c r="AJ44" s="707"/>
    </row>
    <row r="45" spans="2:36" ht="15.75" customHeight="1">
      <c r="B45" s="742">
        <v>2029</v>
      </c>
      <c r="C45" s="743" t="s">
        <v>565</v>
      </c>
      <c r="D45" s="743" t="s">
        <v>566</v>
      </c>
      <c r="E45" s="743" t="s">
        <v>567</v>
      </c>
      <c r="F45" s="743" t="s">
        <v>568</v>
      </c>
      <c r="G45" s="707"/>
      <c r="H45" s="755">
        <v>46661</v>
      </c>
      <c r="I45" s="826"/>
      <c r="J45" s="759" t="s">
        <v>587</v>
      </c>
      <c r="K45" s="760">
        <v>23</v>
      </c>
      <c r="L45" s="853"/>
      <c r="M45" s="752"/>
      <c r="N45" s="844"/>
      <c r="O45" s="816"/>
      <c r="P45" s="752"/>
      <c r="Q45" s="818"/>
      <c r="R45" s="707"/>
      <c r="S45" s="771"/>
      <c r="T45" s="761"/>
      <c r="U45" s="707" t="s">
        <v>595</v>
      </c>
      <c r="V45" s="762"/>
      <c r="W45" s="762"/>
      <c r="X45" s="707"/>
      <c r="Y45" s="707"/>
      <c r="Z45" s="707"/>
      <c r="AA45" s="707"/>
      <c r="AB45" s="707"/>
      <c r="AC45" s="707"/>
      <c r="AD45" s="707"/>
      <c r="AE45" s="707"/>
      <c r="AF45" s="707"/>
      <c r="AG45" s="707"/>
      <c r="AH45" s="707"/>
      <c r="AI45" s="772"/>
      <c r="AJ45" s="707"/>
    </row>
    <row r="46" spans="2:36" ht="15.75" customHeight="1">
      <c r="B46" s="750" t="s">
        <v>575</v>
      </c>
      <c r="C46" s="751"/>
      <c r="D46" s="1477">
        <v>0</v>
      </c>
      <c r="E46" s="753">
        <v>1159.78335787943</v>
      </c>
      <c r="F46" s="754">
        <v>0</v>
      </c>
      <c r="G46" s="707"/>
      <c r="H46" s="755">
        <v>46692</v>
      </c>
      <c r="I46" s="826"/>
      <c r="J46" s="759" t="s">
        <v>588</v>
      </c>
      <c r="K46" s="760">
        <v>24</v>
      </c>
      <c r="L46" s="853"/>
      <c r="M46" s="752"/>
      <c r="N46" s="854"/>
      <c r="O46" s="855"/>
      <c r="P46" s="856"/>
      <c r="Q46" s="818"/>
      <c r="R46" s="707"/>
      <c r="S46" s="771"/>
      <c r="T46" s="707"/>
      <c r="U46" s="707"/>
      <c r="V46" s="762"/>
      <c r="W46" s="762"/>
      <c r="X46" s="707"/>
      <c r="Y46" s="707"/>
      <c r="Z46" s="707"/>
      <c r="AA46" s="707"/>
      <c r="AB46" s="707"/>
      <c r="AC46" s="707"/>
      <c r="AD46" s="707"/>
      <c r="AE46" s="707"/>
      <c r="AF46" s="707"/>
      <c r="AG46" s="707"/>
      <c r="AH46" s="707"/>
      <c r="AI46" s="772"/>
      <c r="AJ46" s="707"/>
    </row>
    <row r="47" spans="2:36">
      <c r="B47" s="750" t="s">
        <v>576</v>
      </c>
      <c r="C47" s="751"/>
      <c r="D47" s="1477">
        <v>0</v>
      </c>
      <c r="E47" s="753">
        <v>1159.78335787943</v>
      </c>
      <c r="F47" s="754">
        <v>0</v>
      </c>
      <c r="G47" s="707"/>
      <c r="H47" s="755">
        <v>46722</v>
      </c>
      <c r="I47" s="827"/>
      <c r="J47" s="857" t="s">
        <v>590</v>
      </c>
      <c r="K47" s="828">
        <v>25</v>
      </c>
      <c r="L47" s="60"/>
      <c r="M47" s="58"/>
      <c r="N47" s="60"/>
      <c r="O47" s="81"/>
      <c r="P47" s="58"/>
      <c r="Q47" s="828"/>
      <c r="R47" s="707"/>
      <c r="S47" s="771"/>
      <c r="T47" s="707"/>
      <c r="U47" s="707"/>
      <c r="V47" s="762"/>
      <c r="W47" s="762"/>
      <c r="X47" s="707"/>
      <c r="Y47" s="707"/>
      <c r="Z47" s="707"/>
      <c r="AA47" s="707"/>
      <c r="AB47" s="707"/>
      <c r="AC47" s="707"/>
      <c r="AD47" s="707"/>
      <c r="AE47" s="707"/>
      <c r="AF47" s="707"/>
      <c r="AG47" s="707"/>
      <c r="AH47" s="772"/>
      <c r="AI47" s="772"/>
      <c r="AJ47" s="773"/>
    </row>
    <row r="48" spans="2:36">
      <c r="B48" s="750" t="s">
        <v>577</v>
      </c>
      <c r="C48" s="751"/>
      <c r="D48" s="1477">
        <v>0</v>
      </c>
      <c r="E48" s="753">
        <v>1159.78335787943</v>
      </c>
      <c r="F48" s="754">
        <v>0</v>
      </c>
      <c r="G48" s="707"/>
      <c r="H48" s="755">
        <v>46753</v>
      </c>
      <c r="I48" s="756">
        <v>2028</v>
      </c>
      <c r="J48" s="757" t="s">
        <v>575</v>
      </c>
      <c r="K48" s="28">
        <v>26</v>
      </c>
      <c r="L48" s="87"/>
      <c r="M48" s="87"/>
      <c r="N48" s="31"/>
      <c r="O48" s="394"/>
      <c r="P48" s="87"/>
      <c r="Q48" s="28"/>
      <c r="R48" s="707"/>
      <c r="S48" s="771"/>
      <c r="T48" s="761"/>
      <c r="U48" s="707"/>
      <c r="V48" s="762"/>
      <c r="W48" s="762"/>
      <c r="X48" s="707"/>
      <c r="Y48" s="707"/>
      <c r="Z48" s="707"/>
      <c r="AA48" s="707"/>
      <c r="AB48" s="707"/>
      <c r="AC48" s="707"/>
      <c r="AD48" s="707"/>
      <c r="AE48" s="707"/>
      <c r="AF48" s="707"/>
      <c r="AG48" s="707"/>
      <c r="AH48" s="707"/>
      <c r="AI48" s="772"/>
      <c r="AJ48" s="707"/>
    </row>
    <row r="49" spans="2:36">
      <c r="B49" s="750" t="s">
        <v>578</v>
      </c>
      <c r="C49" s="751"/>
      <c r="D49" s="1477">
        <v>0</v>
      </c>
      <c r="E49" s="753">
        <v>1159.78335787943</v>
      </c>
      <c r="F49" s="754">
        <v>0</v>
      </c>
      <c r="G49" s="707"/>
      <c r="H49" s="755">
        <v>46784</v>
      </c>
      <c r="I49" s="838"/>
      <c r="J49" s="759" t="s">
        <v>576</v>
      </c>
      <c r="K49" s="760">
        <v>27</v>
      </c>
      <c r="L49" s="41"/>
      <c r="N49" s="41"/>
      <c r="O49" s="396"/>
      <c r="Q49" s="760"/>
      <c r="R49" s="707"/>
      <c r="S49" s="707"/>
      <c r="T49" s="707"/>
      <c r="U49" s="707"/>
      <c r="V49" s="858"/>
      <c r="W49" s="858"/>
      <c r="X49" s="707"/>
      <c r="Y49" s="707"/>
      <c r="Z49" s="707"/>
      <c r="AA49" s="707"/>
      <c r="AB49" s="707"/>
      <c r="AC49" s="707"/>
      <c r="AD49" s="707"/>
      <c r="AE49" s="707"/>
      <c r="AF49" s="707"/>
      <c r="AG49" s="707"/>
      <c r="AH49" s="707"/>
      <c r="AI49" s="772"/>
      <c r="AJ49" s="707"/>
    </row>
    <row r="50" spans="2:36">
      <c r="B50" s="750" t="s">
        <v>580</v>
      </c>
      <c r="C50" s="751"/>
      <c r="D50" s="1477">
        <v>0</v>
      </c>
      <c r="E50" s="753">
        <v>1159.78335787943</v>
      </c>
      <c r="F50" s="754">
        <v>0</v>
      </c>
      <c r="G50" s="707"/>
      <c r="H50" s="755">
        <v>46813</v>
      </c>
      <c r="I50" s="838"/>
      <c r="J50" s="759" t="s">
        <v>577</v>
      </c>
      <c r="K50" s="760">
        <v>28</v>
      </c>
      <c r="N50" s="41"/>
      <c r="O50" s="396"/>
      <c r="Q50" s="760"/>
      <c r="R50" s="707"/>
      <c r="S50" s="707"/>
      <c r="T50" s="707"/>
      <c r="U50" s="707"/>
      <c r="V50" s="858"/>
      <c r="W50" s="858"/>
      <c r="X50" s="707"/>
      <c r="Y50" s="707"/>
      <c r="Z50" s="707"/>
      <c r="AA50" s="707"/>
      <c r="AB50" s="707"/>
      <c r="AC50" s="707"/>
      <c r="AD50" s="707"/>
      <c r="AE50" s="707"/>
      <c r="AF50" s="707"/>
      <c r="AG50" s="707"/>
      <c r="AH50" s="707"/>
      <c r="AI50" s="772"/>
    </row>
    <row r="51" spans="2:36">
      <c r="B51" s="750" t="s">
        <v>582</v>
      </c>
      <c r="C51" s="751"/>
      <c r="D51" s="1477">
        <v>0</v>
      </c>
      <c r="E51" s="753">
        <v>1159.78335787943</v>
      </c>
      <c r="F51" s="754">
        <v>0</v>
      </c>
      <c r="G51" s="707"/>
      <c r="H51" s="755">
        <v>46844</v>
      </c>
      <c r="I51" s="838"/>
      <c r="J51" s="763" t="s">
        <v>579</v>
      </c>
      <c r="K51" s="767">
        <v>29</v>
      </c>
      <c r="L51" s="859"/>
      <c r="M51" s="438"/>
      <c r="N51" s="814"/>
      <c r="O51" s="765"/>
      <c r="P51" s="438"/>
      <c r="Q51" s="815"/>
      <c r="R51" s="707"/>
      <c r="S51" s="707"/>
      <c r="T51" s="707"/>
      <c r="U51" s="707"/>
      <c r="V51" s="858"/>
      <c r="W51" s="858"/>
      <c r="X51" s="707"/>
      <c r="Y51" s="707"/>
      <c r="Z51" s="707"/>
      <c r="AA51" s="707"/>
      <c r="AB51" s="707"/>
      <c r="AC51" s="707"/>
      <c r="AD51" s="707"/>
      <c r="AE51" s="707"/>
      <c r="AF51" s="707"/>
      <c r="AG51" s="707"/>
      <c r="AH51" s="707"/>
      <c r="AI51" s="772"/>
    </row>
    <row r="52" spans="2:36">
      <c r="B52" s="750" t="s">
        <v>583</v>
      </c>
      <c r="C52" s="751"/>
      <c r="D52" s="1477">
        <v>0</v>
      </c>
      <c r="E52" s="753">
        <v>1159.78335787943</v>
      </c>
      <c r="F52" s="754">
        <v>0</v>
      </c>
      <c r="G52" s="707"/>
      <c r="H52" s="755">
        <v>46874</v>
      </c>
      <c r="I52" s="838"/>
      <c r="J52" s="759" t="s">
        <v>581</v>
      </c>
      <c r="K52" s="760">
        <v>30</v>
      </c>
      <c r="L52" s="859"/>
      <c r="M52" s="438"/>
      <c r="N52" s="814"/>
      <c r="O52" s="765"/>
      <c r="P52" s="438"/>
      <c r="Q52" s="860"/>
      <c r="R52" s="707"/>
      <c r="S52" s="707"/>
      <c r="T52" s="707"/>
      <c r="U52" s="707"/>
      <c r="V52" s="858"/>
      <c r="W52" s="858"/>
      <c r="X52" s="707"/>
      <c r="Y52" s="707"/>
      <c r="Z52" s="707"/>
      <c r="AA52" s="707"/>
      <c r="AB52" s="707"/>
      <c r="AC52" s="707"/>
      <c r="AD52" s="707"/>
      <c r="AE52" s="707"/>
      <c r="AF52" s="707"/>
      <c r="AG52" s="707"/>
      <c r="AH52" s="707"/>
      <c r="AI52" s="707"/>
    </row>
    <row r="53" spans="2:36">
      <c r="B53" s="750" t="s">
        <v>584</v>
      </c>
      <c r="C53" s="751"/>
      <c r="D53" s="1477">
        <v>0</v>
      </c>
      <c r="E53" s="753">
        <v>1159.78335787943</v>
      </c>
      <c r="F53" s="754">
        <v>0</v>
      </c>
      <c r="G53" s="707"/>
      <c r="H53" s="755">
        <v>46905</v>
      </c>
      <c r="I53" s="838"/>
      <c r="J53" s="763" t="s">
        <v>582</v>
      </c>
      <c r="K53" s="767">
        <v>31</v>
      </c>
      <c r="L53" s="769"/>
      <c r="N53" s="817"/>
      <c r="O53" s="396"/>
      <c r="Q53" s="818"/>
      <c r="R53" s="707"/>
      <c r="S53" s="707"/>
      <c r="T53" s="707"/>
      <c r="U53" s="707"/>
      <c r="V53" s="858"/>
      <c r="W53" s="858"/>
      <c r="X53" s="707"/>
      <c r="Y53" s="707"/>
      <c r="Z53" s="707"/>
      <c r="AA53" s="707"/>
      <c r="AB53" s="707"/>
      <c r="AC53" s="707"/>
      <c r="AD53" s="707"/>
      <c r="AE53" s="707"/>
      <c r="AF53" s="707"/>
      <c r="AG53" s="707"/>
      <c r="AH53" s="707"/>
      <c r="AI53" s="707"/>
    </row>
    <row r="54" spans="2:36">
      <c r="B54" s="750" t="s">
        <v>586</v>
      </c>
      <c r="C54" s="751"/>
      <c r="D54" s="1477">
        <v>0</v>
      </c>
      <c r="E54" s="753">
        <v>1159.78335787943</v>
      </c>
      <c r="F54" s="754">
        <v>0</v>
      </c>
      <c r="G54" s="707"/>
      <c r="H54" s="755">
        <v>46935</v>
      </c>
      <c r="I54" s="838"/>
      <c r="J54" s="763" t="s">
        <v>583</v>
      </c>
      <c r="K54" s="767">
        <v>32</v>
      </c>
      <c r="L54" s="859"/>
      <c r="M54" s="438"/>
      <c r="N54" s="814"/>
      <c r="O54" s="765"/>
      <c r="P54" s="438"/>
      <c r="Q54" s="815"/>
      <c r="R54" s="707"/>
      <c r="S54" s="707"/>
      <c r="T54" s="707"/>
      <c r="U54" s="707"/>
      <c r="V54" s="858"/>
      <c r="W54" s="858"/>
      <c r="X54" s="707"/>
      <c r="Y54" s="707"/>
      <c r="Z54" s="707"/>
      <c r="AA54" s="707"/>
      <c r="AB54" s="707"/>
      <c r="AC54" s="707"/>
      <c r="AD54" s="707"/>
      <c r="AE54" s="707"/>
      <c r="AF54" s="707"/>
      <c r="AG54" s="707"/>
      <c r="AH54" s="707"/>
      <c r="AI54" s="707"/>
    </row>
    <row r="55" spans="2:36">
      <c r="B55" s="750" t="s">
        <v>587</v>
      </c>
      <c r="C55" s="751"/>
      <c r="D55" s="1477">
        <v>0</v>
      </c>
      <c r="E55" s="753">
        <v>1159.78335787943</v>
      </c>
      <c r="F55" s="754">
        <v>0</v>
      </c>
      <c r="G55" s="707"/>
      <c r="H55" s="755">
        <v>46966</v>
      </c>
      <c r="I55" s="861"/>
      <c r="J55" s="759" t="s">
        <v>584</v>
      </c>
      <c r="K55" s="760">
        <v>33</v>
      </c>
      <c r="L55" s="862"/>
      <c r="N55" s="863"/>
      <c r="O55" s="396"/>
      <c r="Q55" s="864"/>
      <c r="R55" s="707"/>
      <c r="S55" s="865"/>
      <c r="T55" s="707"/>
      <c r="U55" s="707"/>
      <c r="V55" s="858"/>
      <c r="W55" s="858"/>
      <c r="X55" s="707"/>
      <c r="Y55" s="707"/>
      <c r="Z55" s="707"/>
      <c r="AA55" s="707"/>
      <c r="AB55" s="707"/>
      <c r="AC55" s="707"/>
      <c r="AD55" s="707"/>
      <c r="AE55" s="707"/>
      <c r="AF55" s="707"/>
      <c r="AG55" s="707"/>
      <c r="AH55" s="707"/>
      <c r="AI55" s="707"/>
    </row>
    <row r="56" spans="2:36">
      <c r="B56" s="750" t="s">
        <v>588</v>
      </c>
      <c r="C56" s="751"/>
      <c r="D56" s="1477">
        <v>0</v>
      </c>
      <c r="E56" s="753">
        <v>1159.78335787943</v>
      </c>
      <c r="F56" s="754">
        <v>0</v>
      </c>
      <c r="G56" s="707"/>
      <c r="H56" s="755">
        <v>46997</v>
      </c>
      <c r="I56" s="838"/>
      <c r="J56" s="763" t="s">
        <v>586</v>
      </c>
      <c r="K56" s="767">
        <v>34</v>
      </c>
      <c r="L56" s="769"/>
      <c r="N56" s="817"/>
      <c r="O56" s="396"/>
      <c r="Q56" s="818"/>
      <c r="R56" s="707"/>
      <c r="S56" s="707"/>
      <c r="T56" s="707"/>
      <c r="U56" s="707"/>
      <c r="W56" s="858"/>
      <c r="X56" s="707"/>
      <c r="Y56" s="707"/>
      <c r="Z56" s="707"/>
      <c r="AA56" s="707"/>
      <c r="AB56" s="707"/>
      <c r="AC56" s="707"/>
      <c r="AD56" s="707"/>
      <c r="AE56" s="707"/>
      <c r="AF56" s="707"/>
      <c r="AG56" s="707"/>
      <c r="AH56" s="707"/>
      <c r="AI56" s="707"/>
    </row>
    <row r="57" spans="2:36" ht="15.75" customHeight="1">
      <c r="B57" s="789" t="s">
        <v>590</v>
      </c>
      <c r="C57" s="790"/>
      <c r="D57" s="1480">
        <v>0</v>
      </c>
      <c r="E57" s="791">
        <v>1159.78335787943</v>
      </c>
      <c r="F57" s="792">
        <v>0</v>
      </c>
      <c r="G57" s="707"/>
      <c r="H57" s="755">
        <v>47027</v>
      </c>
      <c r="I57" s="838"/>
      <c r="J57" s="759" t="s">
        <v>587</v>
      </c>
      <c r="K57" s="760">
        <v>35</v>
      </c>
      <c r="L57" s="769"/>
      <c r="N57" s="817"/>
      <c r="O57" s="396"/>
      <c r="Q57" s="818"/>
      <c r="R57" s="707"/>
      <c r="S57" s="707"/>
      <c r="T57" s="707"/>
      <c r="U57" s="707"/>
      <c r="V57" s="858"/>
      <c r="W57" s="858"/>
      <c r="X57" s="707"/>
      <c r="Y57" s="707"/>
      <c r="Z57" s="707"/>
      <c r="AA57" s="707"/>
      <c r="AB57" s="707"/>
      <c r="AC57" s="707"/>
      <c r="AD57" s="707"/>
      <c r="AE57" s="707"/>
      <c r="AF57" s="707"/>
      <c r="AG57" s="707"/>
      <c r="AH57" s="707"/>
      <c r="AI57" s="707"/>
    </row>
    <row r="58" spans="2:36" ht="15.75" customHeight="1">
      <c r="B58" s="800" t="s">
        <v>591</v>
      </c>
      <c r="C58" s="801"/>
      <c r="D58" s="1481">
        <v>0</v>
      </c>
      <c r="E58" s="803"/>
      <c r="F58" s="804">
        <v>0</v>
      </c>
      <c r="G58" s="707"/>
      <c r="H58" s="755">
        <v>47058</v>
      </c>
      <c r="I58" s="866"/>
      <c r="J58" s="867" t="s">
        <v>588</v>
      </c>
      <c r="K58" s="822">
        <v>36</v>
      </c>
      <c r="L58" s="868" t="s">
        <v>99</v>
      </c>
      <c r="M58" s="434"/>
      <c r="N58" s="823">
        <v>0</v>
      </c>
      <c r="O58" s="824"/>
      <c r="P58" s="434"/>
      <c r="Q58" s="852">
        <v>0.35980000000000001</v>
      </c>
      <c r="R58" s="707"/>
      <c r="S58" s="707"/>
      <c r="T58" s="707"/>
      <c r="U58" s="707"/>
      <c r="V58" s="858"/>
      <c r="W58" s="858"/>
      <c r="X58" s="707"/>
      <c r="Y58" s="707"/>
      <c r="Z58" s="707"/>
      <c r="AA58" s="707"/>
      <c r="AB58" s="707"/>
      <c r="AC58" s="707"/>
      <c r="AD58" s="707"/>
      <c r="AE58" s="707"/>
      <c r="AF58" s="707"/>
      <c r="AG58" s="707"/>
      <c r="AH58" s="707"/>
      <c r="AI58" s="707"/>
    </row>
    <row r="59" spans="2:36">
      <c r="H59" s="755">
        <v>47088</v>
      </c>
      <c r="I59" s="800"/>
      <c r="J59" s="869" t="s">
        <v>590</v>
      </c>
      <c r="K59" s="870">
        <v>37</v>
      </c>
      <c r="L59" s="871"/>
      <c r="M59" s="58"/>
      <c r="N59" s="872"/>
      <c r="O59" s="81"/>
      <c r="P59" s="58"/>
      <c r="Q59" s="799"/>
      <c r="R59" s="707"/>
      <c r="S59" s="707"/>
      <c r="T59" s="707"/>
      <c r="U59" s="707"/>
      <c r="V59" s="858"/>
      <c r="W59" s="858"/>
    </row>
    <row r="60" spans="2:36">
      <c r="K60" t="s">
        <v>596</v>
      </c>
      <c r="N60" s="98" t="s">
        <v>938</v>
      </c>
      <c r="Q60" s="70">
        <v>1</v>
      </c>
      <c r="R60" s="707"/>
      <c r="S60" s="707"/>
      <c r="T60" s="707"/>
      <c r="U60" s="707"/>
      <c r="V60" s="858"/>
      <c r="W60" s="858"/>
    </row>
    <row r="61" spans="2:36">
      <c r="N61" s="873">
        <v>0</v>
      </c>
    </row>
    <row r="67" spans="7:20">
      <c r="G67" s="707"/>
      <c r="H67" s="713"/>
      <c r="I67" s="707"/>
      <c r="J67" s="707"/>
      <c r="K67" s="707"/>
      <c r="L67" s="707"/>
      <c r="M67" s="707"/>
      <c r="N67" s="707"/>
      <c r="O67" s="707"/>
      <c r="P67" s="707"/>
      <c r="Q67" s="707"/>
    </row>
    <row r="68" spans="7:20">
      <c r="G68" s="707"/>
      <c r="H68" s="713"/>
      <c r="I68" s="707"/>
      <c r="J68" s="707"/>
      <c r="K68" s="707"/>
      <c r="L68" s="707"/>
      <c r="M68" s="707"/>
      <c r="N68" s="707"/>
      <c r="O68" s="707"/>
      <c r="P68" s="707"/>
      <c r="Q68" s="707"/>
      <c r="R68" s="707"/>
      <c r="S68" s="707"/>
      <c r="T68" s="707"/>
    </row>
    <row r="69" spans="7:20">
      <c r="G69" s="707"/>
      <c r="H69" s="713"/>
      <c r="I69" s="707"/>
      <c r="J69" s="707"/>
      <c r="K69" s="707"/>
      <c r="L69" s="707"/>
      <c r="M69" s="707"/>
      <c r="N69" s="707"/>
      <c r="O69" s="707"/>
      <c r="P69" s="707"/>
      <c r="Q69" s="707"/>
      <c r="R69" s="707"/>
      <c r="S69" s="707"/>
      <c r="T69" s="707"/>
    </row>
    <row r="70" spans="7:20">
      <c r="R70" s="707"/>
      <c r="S70" s="707"/>
      <c r="T70" s="707"/>
    </row>
    <row r="72" spans="7:20">
      <c r="G72" s="778"/>
      <c r="H72" s="874"/>
      <c r="I72" s="778"/>
      <c r="J72" s="778"/>
      <c r="K72" s="778"/>
      <c r="L72" s="778"/>
      <c r="M72" s="778"/>
      <c r="N72" s="778"/>
      <c r="O72" s="778"/>
      <c r="P72" s="778"/>
      <c r="Q72" s="778"/>
    </row>
    <row r="73" spans="7:20">
      <c r="G73" s="752"/>
      <c r="H73" s="875"/>
      <c r="I73" s="707"/>
      <c r="J73" s="707"/>
      <c r="K73" s="707"/>
      <c r="L73" s="707"/>
      <c r="M73" s="707"/>
      <c r="N73" s="707"/>
      <c r="O73" s="707"/>
      <c r="P73" s="707"/>
      <c r="Q73" s="707"/>
      <c r="R73" s="778"/>
      <c r="S73" s="876"/>
      <c r="T73" s="876"/>
    </row>
    <row r="74" spans="7:20">
      <c r="R74" s="707"/>
      <c r="S74" s="707"/>
      <c r="T74" s="707"/>
    </row>
  </sheetData>
  <pageMargins left="0.45" right="0.2" top="0.75" bottom="0.25" header="0.511811023622047" footer="0.511811023622047"/>
  <pageSetup fitToWidth="2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2F0D9"/>
    <pageSetUpPr fitToPage="1"/>
  </sheetPr>
  <dimension ref="A1:CA160"/>
  <sheetViews>
    <sheetView showGridLines="0" zoomScale="90" zoomScaleNormal="90" workbookViewId="0">
      <pane xSplit="7" ySplit="5" topLeftCell="H6" activePane="bottomRight" state="frozen"/>
      <selection pane="topRight" activeCell="W1" sqref="W1"/>
      <selection pane="bottomLeft" activeCell="A70" sqref="A70"/>
      <selection pane="bottomRight" activeCell="G2" sqref="G2"/>
    </sheetView>
  </sheetViews>
  <sheetFormatPr baseColWidth="10" defaultColWidth="8.5" defaultRowHeight="14"/>
  <cols>
    <col min="1" max="1" width="4.5" style="494" customWidth="1"/>
    <col min="2" max="2" width="10.5" style="494" customWidth="1"/>
    <col min="3" max="3" width="19.5" style="494" customWidth="1"/>
    <col min="4" max="4" width="10.5" style="494" customWidth="1"/>
    <col min="5" max="5" width="9.5" style="494" customWidth="1"/>
    <col min="6" max="6" width="14.5" style="494" customWidth="1"/>
    <col min="7" max="7" width="14" style="494" customWidth="1"/>
    <col min="8" max="19" width="14.5" style="494" customWidth="1"/>
    <col min="20" max="20" width="17.5" style="494" customWidth="1"/>
    <col min="21" max="24" width="14.5" style="494" customWidth="1"/>
    <col min="25" max="25" width="16.5" style="494" customWidth="1"/>
    <col min="26" max="26" width="14.5" style="494" customWidth="1"/>
    <col min="27" max="27" width="16.5" style="494" customWidth="1"/>
    <col min="28" max="28" width="19.5" style="494" customWidth="1"/>
    <col min="29" max="29" width="14.5" style="494" customWidth="1"/>
    <col min="30" max="30" width="16.5" style="494" customWidth="1"/>
    <col min="31" max="31" width="21.5" style="494" customWidth="1"/>
    <col min="32" max="39" width="14.5" style="494" customWidth="1"/>
    <col min="40" max="40" width="15.5" style="494" customWidth="1"/>
    <col min="41" max="41" width="18.1640625" style="494" customWidth="1"/>
    <col min="42" max="42" width="17.5" style="494" customWidth="1"/>
    <col min="43" max="43" width="20.5" style="494" customWidth="1"/>
    <col min="44" max="46" width="18" style="494" customWidth="1"/>
    <col min="47" max="47" width="14.5" style="494" customWidth="1"/>
    <col min="48" max="49" width="18.5" style="494" customWidth="1"/>
    <col min="50" max="50" width="4.5" style="494" customWidth="1"/>
    <col min="51" max="51" width="8.5" style="494"/>
    <col min="52" max="52" width="11.5" style="494" customWidth="1"/>
    <col min="53" max="53" width="12.5" style="494" customWidth="1"/>
    <col min="54" max="16384" width="8.5" style="494"/>
  </cols>
  <sheetData>
    <row r="1" spans="1:79" ht="21.75" customHeight="1">
      <c r="A1" s="877"/>
      <c r="B1" s="878" t="s">
        <v>597</v>
      </c>
      <c r="C1" s="877"/>
      <c r="D1" s="877"/>
      <c r="E1" s="877"/>
      <c r="F1" s="879"/>
      <c r="G1" s="880" t="s">
        <v>941</v>
      </c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7"/>
      <c r="AL1" s="877"/>
      <c r="AM1" s="877"/>
      <c r="AN1" s="877"/>
      <c r="AO1" s="877"/>
      <c r="AP1" s="877"/>
      <c r="AQ1" s="877"/>
      <c r="AR1" s="877"/>
      <c r="AS1" s="877"/>
      <c r="AT1" s="877"/>
      <c r="AU1" s="877"/>
      <c r="AV1" s="877"/>
      <c r="AW1" s="877"/>
      <c r="AX1" s="881"/>
      <c r="AY1" s="882"/>
      <c r="AZ1" s="882"/>
      <c r="BA1" s="882"/>
      <c r="BB1" s="882"/>
      <c r="BC1" s="882"/>
      <c r="BD1" s="882"/>
      <c r="BE1" s="882"/>
      <c r="BF1" s="882"/>
      <c r="BG1" s="882"/>
      <c r="BH1" s="882"/>
      <c r="BI1" s="882"/>
      <c r="BJ1" s="882"/>
      <c r="BK1" s="882"/>
      <c r="BL1" s="882"/>
      <c r="BM1" s="882"/>
      <c r="BN1" s="882"/>
      <c r="BO1" s="882"/>
      <c r="BP1" s="882"/>
      <c r="BQ1" s="882"/>
      <c r="BR1" s="882"/>
      <c r="BS1" s="882"/>
      <c r="BT1" s="882"/>
      <c r="BU1" s="882"/>
      <c r="BV1" s="882"/>
      <c r="BW1" s="882"/>
      <c r="BX1" s="882"/>
      <c r="BY1" s="882"/>
      <c r="BZ1" s="882"/>
      <c r="CA1" s="882"/>
    </row>
    <row r="2" spans="1:79" ht="18" customHeight="1">
      <c r="A2" s="883"/>
      <c r="B2" s="884" t="s">
        <v>892</v>
      </c>
      <c r="C2" s="883"/>
      <c r="D2" s="883"/>
      <c r="E2" s="883"/>
      <c r="F2" s="885"/>
      <c r="G2" s="883"/>
      <c r="H2" s="883">
        <v>0</v>
      </c>
      <c r="I2" s="883">
        <v>1</v>
      </c>
      <c r="J2" s="883">
        <v>2</v>
      </c>
      <c r="K2" s="883">
        <v>3</v>
      </c>
      <c r="L2" s="883">
        <v>4</v>
      </c>
      <c r="M2" s="883">
        <v>5</v>
      </c>
      <c r="N2" s="883">
        <v>6</v>
      </c>
      <c r="O2" s="883">
        <v>7</v>
      </c>
      <c r="P2" s="883">
        <v>8</v>
      </c>
      <c r="Q2" s="883">
        <v>9</v>
      </c>
      <c r="R2" s="883">
        <v>10</v>
      </c>
      <c r="S2" s="883">
        <v>11</v>
      </c>
      <c r="T2" s="883">
        <v>12</v>
      </c>
      <c r="U2" s="883">
        <v>13</v>
      </c>
      <c r="V2" s="883">
        <v>14</v>
      </c>
      <c r="W2" s="883">
        <v>15</v>
      </c>
      <c r="X2" s="883">
        <v>16</v>
      </c>
      <c r="Y2" s="883">
        <v>17</v>
      </c>
      <c r="Z2" s="883">
        <v>18</v>
      </c>
      <c r="AA2" s="883">
        <v>19</v>
      </c>
      <c r="AB2" s="883">
        <v>20</v>
      </c>
      <c r="AC2" s="883">
        <v>21</v>
      </c>
      <c r="AD2" s="883">
        <v>22</v>
      </c>
      <c r="AE2" s="883">
        <v>23</v>
      </c>
      <c r="AF2" s="883">
        <v>24</v>
      </c>
      <c r="AG2" s="883">
        <v>25</v>
      </c>
      <c r="AH2" s="883">
        <v>26</v>
      </c>
      <c r="AI2" s="883">
        <v>27</v>
      </c>
      <c r="AJ2" s="883">
        <v>28</v>
      </c>
      <c r="AK2" s="883">
        <v>29</v>
      </c>
      <c r="AL2" s="883">
        <v>30</v>
      </c>
      <c r="AM2" s="883">
        <v>31</v>
      </c>
      <c r="AN2" s="883">
        <v>32</v>
      </c>
      <c r="AO2" s="883">
        <v>33</v>
      </c>
      <c r="AP2" s="883">
        <v>34</v>
      </c>
      <c r="AQ2" s="883">
        <v>35</v>
      </c>
      <c r="AR2" s="883">
        <v>36</v>
      </c>
      <c r="AS2" s="883">
        <v>37</v>
      </c>
      <c r="AT2" s="883">
        <v>38</v>
      </c>
      <c r="AU2" s="883">
        <v>39</v>
      </c>
      <c r="AV2" s="886"/>
      <c r="AW2" s="886"/>
      <c r="AX2" s="887"/>
      <c r="AY2" s="883"/>
      <c r="AZ2" s="883"/>
      <c r="BA2" s="883"/>
      <c r="BB2" s="883"/>
      <c r="BC2" s="883"/>
      <c r="BD2" s="883"/>
      <c r="BE2" s="883"/>
      <c r="BF2" s="883"/>
      <c r="BG2" s="883"/>
      <c r="BH2" s="883"/>
      <c r="BI2" s="883"/>
      <c r="BJ2" s="883"/>
      <c r="BK2" s="883"/>
      <c r="BL2" s="883"/>
      <c r="BM2" s="883"/>
      <c r="BN2" s="883"/>
      <c r="BO2" s="883"/>
      <c r="BP2" s="883"/>
      <c r="BQ2" s="883"/>
      <c r="BR2" s="883"/>
      <c r="BS2" s="883"/>
      <c r="BT2" s="883"/>
      <c r="BU2" s="883"/>
      <c r="BV2" s="883"/>
      <c r="BW2" s="883"/>
      <c r="BX2" s="883"/>
      <c r="BY2" s="883"/>
      <c r="BZ2" s="883"/>
      <c r="CA2" s="883"/>
    </row>
    <row r="3" spans="1:79" s="895" customFormat="1" ht="16.5" customHeight="1">
      <c r="A3" s="888"/>
      <c r="B3" s="889" t="s">
        <v>323</v>
      </c>
      <c r="C3" s="888"/>
      <c r="D3" s="888"/>
      <c r="E3" s="888"/>
      <c r="F3" s="890"/>
      <c r="G3" s="891"/>
      <c r="H3" s="891"/>
      <c r="I3" s="891">
        <v>45992</v>
      </c>
      <c r="J3" s="891">
        <v>46023</v>
      </c>
      <c r="K3" s="891">
        <v>46054</v>
      </c>
      <c r="L3" s="891">
        <v>46082</v>
      </c>
      <c r="M3" s="891">
        <v>46113</v>
      </c>
      <c r="N3" s="891">
        <v>46143</v>
      </c>
      <c r="O3" s="891">
        <v>46174</v>
      </c>
      <c r="P3" s="891">
        <v>46204</v>
      </c>
      <c r="Q3" s="891">
        <v>46235</v>
      </c>
      <c r="R3" s="891">
        <v>46266</v>
      </c>
      <c r="S3" s="891">
        <v>46296</v>
      </c>
      <c r="T3" s="891">
        <v>46327</v>
      </c>
      <c r="U3" s="891">
        <v>46357</v>
      </c>
      <c r="V3" s="891">
        <v>46388</v>
      </c>
      <c r="W3" s="891">
        <v>46419</v>
      </c>
      <c r="X3" s="891">
        <v>46447</v>
      </c>
      <c r="Y3" s="891">
        <v>46478</v>
      </c>
      <c r="Z3" s="891">
        <v>46508</v>
      </c>
      <c r="AA3" s="891">
        <v>46539</v>
      </c>
      <c r="AB3" s="891">
        <v>46569</v>
      </c>
      <c r="AC3" s="891">
        <v>46600</v>
      </c>
      <c r="AD3" s="891">
        <v>46631</v>
      </c>
      <c r="AE3" s="891">
        <v>46661</v>
      </c>
      <c r="AF3" s="891">
        <v>46692</v>
      </c>
      <c r="AG3" s="891">
        <v>46722</v>
      </c>
      <c r="AH3" s="891">
        <v>46753</v>
      </c>
      <c r="AI3" s="891">
        <v>46784</v>
      </c>
      <c r="AJ3" s="891">
        <v>46813</v>
      </c>
      <c r="AK3" s="891">
        <v>46844</v>
      </c>
      <c r="AL3" s="891">
        <v>46874</v>
      </c>
      <c r="AM3" s="891">
        <v>46905</v>
      </c>
      <c r="AN3" s="891">
        <v>46935</v>
      </c>
      <c r="AO3" s="891">
        <v>46966</v>
      </c>
      <c r="AP3" s="891">
        <v>46997</v>
      </c>
      <c r="AQ3" s="891">
        <v>47027</v>
      </c>
      <c r="AR3" s="891">
        <v>47058</v>
      </c>
      <c r="AS3" s="891">
        <v>47088</v>
      </c>
      <c r="AT3" s="891">
        <v>47119</v>
      </c>
      <c r="AU3" s="891">
        <v>47150</v>
      </c>
      <c r="AV3" s="892"/>
      <c r="AW3" s="892"/>
      <c r="AX3" s="893"/>
      <c r="AY3" s="894"/>
      <c r="AZ3" s="888"/>
      <c r="BA3" s="888"/>
      <c r="BB3" s="888"/>
      <c r="BC3" s="888"/>
      <c r="BD3" s="888"/>
      <c r="BE3" s="888"/>
      <c r="BF3" s="888"/>
      <c r="BG3" s="888"/>
      <c r="BH3" s="888"/>
      <c r="BI3" s="888"/>
      <c r="BJ3" s="888"/>
      <c r="BK3" s="888"/>
      <c r="BL3" s="888"/>
      <c r="BM3" s="888"/>
      <c r="BN3" s="888"/>
      <c r="BO3" s="888"/>
      <c r="BP3" s="888"/>
      <c r="BQ3" s="888"/>
      <c r="BR3" s="888"/>
      <c r="BS3" s="888"/>
      <c r="BT3" s="888"/>
      <c r="BU3" s="888"/>
      <c r="BV3" s="888"/>
      <c r="BW3" s="888"/>
      <c r="BX3" s="888"/>
      <c r="BY3" s="888"/>
      <c r="BZ3" s="888"/>
      <c r="CA3" s="888"/>
    </row>
    <row r="4" spans="1:79" ht="18" customHeight="1">
      <c r="A4" s="896"/>
      <c r="B4" s="882"/>
      <c r="C4" s="882"/>
      <c r="D4" s="882"/>
      <c r="E4" s="897"/>
      <c r="F4" s="898" t="s">
        <v>221</v>
      </c>
      <c r="G4" s="898" t="s">
        <v>598</v>
      </c>
      <c r="H4" s="899" t="s">
        <v>96</v>
      </c>
      <c r="I4" s="900" t="s">
        <v>599</v>
      </c>
      <c r="J4" s="898"/>
      <c r="K4" s="898"/>
      <c r="L4" s="898"/>
      <c r="M4" s="898"/>
      <c r="N4" s="898"/>
      <c r="O4" s="898"/>
      <c r="P4" s="898"/>
      <c r="Q4" s="901"/>
      <c r="R4" s="901"/>
      <c r="S4" s="901" t="s">
        <v>600</v>
      </c>
      <c r="T4" s="901"/>
      <c r="U4" s="898"/>
      <c r="V4" s="898"/>
      <c r="W4" s="902"/>
      <c r="X4" s="898"/>
      <c r="Y4" s="902"/>
      <c r="Z4" s="898"/>
      <c r="AA4" s="901"/>
      <c r="AB4" s="903"/>
      <c r="AC4" s="898"/>
      <c r="AD4" s="901" t="s">
        <v>601</v>
      </c>
      <c r="AE4" s="899" t="s">
        <v>602</v>
      </c>
      <c r="AF4" s="898"/>
      <c r="AG4" s="898"/>
      <c r="AH4" s="898"/>
      <c r="AI4" s="898"/>
      <c r="AJ4" s="898"/>
      <c r="AK4" s="898"/>
      <c r="AL4" s="902"/>
      <c r="AM4" s="898"/>
      <c r="AN4" s="902"/>
      <c r="AO4" s="902"/>
      <c r="AP4" s="902"/>
      <c r="AQ4" s="902"/>
      <c r="AR4" s="904" t="s">
        <v>99</v>
      </c>
      <c r="AS4" s="902"/>
      <c r="AT4" s="902"/>
      <c r="AU4" s="898"/>
      <c r="AV4" s="905" t="s">
        <v>603</v>
      </c>
      <c r="AW4" s="906" t="s">
        <v>307</v>
      </c>
      <c r="AX4" s="887"/>
      <c r="AY4" s="883"/>
      <c r="AZ4" s="883"/>
      <c r="BA4" s="882"/>
      <c r="BB4" s="882"/>
      <c r="BC4" s="882"/>
      <c r="BD4" s="882"/>
      <c r="BE4" s="882"/>
      <c r="BF4" s="882"/>
      <c r="BG4" s="882"/>
      <c r="BH4" s="882"/>
      <c r="BI4" s="882"/>
      <c r="BJ4" s="882"/>
      <c r="BK4" s="882"/>
      <c r="BL4" s="882"/>
      <c r="BM4" s="882"/>
      <c r="BN4" s="882"/>
      <c r="BO4" s="882"/>
      <c r="BP4" s="882"/>
      <c r="BQ4" s="882"/>
      <c r="BR4" s="882"/>
      <c r="BS4" s="882"/>
      <c r="BT4" s="882"/>
      <c r="BU4" s="882"/>
      <c r="BV4" s="882"/>
      <c r="BW4" s="882"/>
      <c r="BX4" s="882"/>
      <c r="BY4" s="882"/>
      <c r="BZ4" s="882"/>
      <c r="CA4" s="882"/>
    </row>
    <row r="5" spans="1:79" ht="15.75" customHeight="1">
      <c r="A5" s="907" t="s">
        <v>604</v>
      </c>
      <c r="B5" s="882"/>
      <c r="C5" s="882"/>
      <c r="D5" s="882"/>
      <c r="E5" s="897"/>
      <c r="F5" s="908"/>
      <c r="G5" s="908"/>
      <c r="H5" s="909"/>
      <c r="I5" s="908"/>
      <c r="J5" s="908"/>
      <c r="K5" s="908"/>
      <c r="L5" s="908"/>
      <c r="M5" s="908"/>
      <c r="N5" s="908"/>
      <c r="O5" s="908"/>
      <c r="P5" s="908"/>
      <c r="Q5" s="910"/>
      <c r="R5" s="908"/>
      <c r="S5" s="911"/>
      <c r="T5" s="908"/>
      <c r="U5" s="908"/>
      <c r="V5" s="911"/>
      <c r="W5" s="911"/>
      <c r="X5" s="911"/>
      <c r="Y5" s="911"/>
      <c r="Z5" s="912"/>
      <c r="AA5" s="910"/>
      <c r="AB5" s="910"/>
      <c r="AC5" s="912"/>
      <c r="AD5" s="912" t="s">
        <v>605</v>
      </c>
      <c r="AE5" s="913" t="s">
        <v>605</v>
      </c>
      <c r="AF5" s="912"/>
      <c r="AG5" s="912"/>
      <c r="AH5" s="912"/>
      <c r="AI5" s="912"/>
      <c r="AJ5" s="912"/>
      <c r="AK5" s="912"/>
      <c r="AL5" s="911"/>
      <c r="AM5" s="912"/>
      <c r="AN5" s="911"/>
      <c r="AO5" s="911"/>
      <c r="AP5" s="911"/>
      <c r="AQ5" s="911"/>
      <c r="AR5" s="914" t="s">
        <v>606</v>
      </c>
      <c r="AS5" s="911"/>
      <c r="AT5" s="911"/>
      <c r="AU5" s="912"/>
      <c r="AV5" s="915"/>
      <c r="AW5" s="916"/>
      <c r="AX5" s="887"/>
      <c r="AY5" s="883"/>
      <c r="AZ5" s="883"/>
      <c r="BA5" s="882"/>
      <c r="BB5" s="882"/>
      <c r="BC5" s="882"/>
      <c r="BD5" s="882"/>
      <c r="BE5" s="882"/>
      <c r="BF5" s="882"/>
      <c r="BG5" s="882"/>
      <c r="BH5" s="882"/>
      <c r="BI5" s="882"/>
      <c r="BJ5" s="882"/>
      <c r="BK5" s="882"/>
      <c r="BL5" s="882"/>
      <c r="BM5" s="882"/>
      <c r="BN5" s="882"/>
      <c r="BO5" s="882"/>
      <c r="BP5" s="882"/>
      <c r="BQ5" s="882"/>
      <c r="BR5" s="882"/>
      <c r="BS5" s="882"/>
      <c r="BT5" s="882"/>
      <c r="BU5" s="882"/>
      <c r="BV5" s="882"/>
      <c r="BW5" s="882"/>
      <c r="BX5" s="882"/>
      <c r="BY5" s="882"/>
      <c r="BZ5" s="882"/>
      <c r="CA5" s="882"/>
    </row>
    <row r="6" spans="1:79" ht="15.75" customHeight="1">
      <c r="A6" s="889"/>
      <c r="B6" s="917" t="s">
        <v>607</v>
      </c>
      <c r="C6" s="917"/>
      <c r="D6" s="917"/>
      <c r="E6" s="918">
        <v>0</v>
      </c>
      <c r="F6" s="919">
        <f>'Perm Sources-Uses'!K67</f>
        <v>0</v>
      </c>
      <c r="G6" s="920">
        <v>0</v>
      </c>
      <c r="H6" s="921">
        <v>0</v>
      </c>
      <c r="I6" s="920">
        <v>0</v>
      </c>
      <c r="J6" s="920">
        <v>0</v>
      </c>
      <c r="K6" s="920">
        <v>0</v>
      </c>
      <c r="L6" s="920">
        <v>0</v>
      </c>
      <c r="M6" s="920">
        <v>0</v>
      </c>
      <c r="N6" s="920">
        <v>0</v>
      </c>
      <c r="O6" s="920">
        <v>0</v>
      </c>
      <c r="P6" s="920">
        <v>0</v>
      </c>
      <c r="Q6" s="922">
        <v>0</v>
      </c>
      <c r="R6" s="920">
        <v>0</v>
      </c>
      <c r="S6" s="923">
        <v>0</v>
      </c>
      <c r="T6" s="920">
        <v>0</v>
      </c>
      <c r="U6" s="920">
        <v>0</v>
      </c>
      <c r="V6" s="923">
        <v>0</v>
      </c>
      <c r="W6" s="923">
        <v>0</v>
      </c>
      <c r="X6" s="923">
        <v>0</v>
      </c>
      <c r="Y6" s="923">
        <v>0</v>
      </c>
      <c r="Z6" s="924">
        <v>0</v>
      </c>
      <c r="AA6" s="922">
        <v>0</v>
      </c>
      <c r="AB6" s="922">
        <v>0</v>
      </c>
      <c r="AC6" s="924">
        <v>0</v>
      </c>
      <c r="AD6" s="924">
        <v>0</v>
      </c>
      <c r="AE6" s="925">
        <v>0</v>
      </c>
      <c r="AF6" s="924">
        <v>0</v>
      </c>
      <c r="AG6" s="924">
        <v>0</v>
      </c>
      <c r="AH6" s="924">
        <v>0</v>
      </c>
      <c r="AI6" s="924">
        <v>0</v>
      </c>
      <c r="AJ6" s="924">
        <v>0</v>
      </c>
      <c r="AK6" s="924">
        <v>0</v>
      </c>
      <c r="AL6" s="923">
        <v>0</v>
      </c>
      <c r="AM6" s="924">
        <v>0</v>
      </c>
      <c r="AN6" s="923">
        <v>0</v>
      </c>
      <c r="AO6" s="923">
        <v>0</v>
      </c>
      <c r="AP6" s="923">
        <v>0</v>
      </c>
      <c r="AQ6" s="923">
        <v>0</v>
      </c>
      <c r="AR6" s="926">
        <v>0</v>
      </c>
      <c r="AS6" s="923">
        <v>0</v>
      </c>
      <c r="AT6" s="923">
        <v>0</v>
      </c>
      <c r="AU6" s="924">
        <v>0</v>
      </c>
      <c r="AV6" s="915">
        <v>0</v>
      </c>
      <c r="AW6" s="916">
        <v>0</v>
      </c>
      <c r="AX6" s="887"/>
      <c r="AY6" s="883"/>
      <c r="AZ6" s="883"/>
      <c r="BA6" s="882"/>
      <c r="BB6" s="882"/>
      <c r="BC6" s="882"/>
      <c r="BD6" s="882"/>
      <c r="BE6" s="882"/>
      <c r="BF6" s="882"/>
      <c r="BG6" s="882"/>
      <c r="BH6" s="882"/>
      <c r="BI6" s="882"/>
      <c r="BJ6" s="882"/>
      <c r="BK6" s="882"/>
      <c r="BL6" s="882"/>
      <c r="BM6" s="882"/>
      <c r="BN6" s="882"/>
      <c r="BO6" s="882"/>
      <c r="BP6" s="882"/>
      <c r="BQ6" s="882"/>
      <c r="BR6" s="882"/>
      <c r="BS6" s="882"/>
      <c r="BT6" s="882"/>
      <c r="BU6" s="882"/>
      <c r="BV6" s="882"/>
      <c r="BW6" s="882"/>
      <c r="BX6" s="882"/>
      <c r="BY6" s="882"/>
      <c r="BZ6" s="882"/>
      <c r="CA6" s="882"/>
    </row>
    <row r="7" spans="1:79" s="939" customFormat="1" ht="15.75" customHeight="1">
      <c r="A7" s="927"/>
      <c r="B7" s="928">
        <f>'Perm Sources-Uses'!K68</f>
        <v>0</v>
      </c>
      <c r="C7" s="929"/>
      <c r="D7" s="929"/>
      <c r="E7" s="930">
        <v>0</v>
      </c>
      <c r="F7" s="931">
        <f>'Perm Sources-Uses'!K68</f>
        <v>0</v>
      </c>
      <c r="G7" s="932">
        <v>0</v>
      </c>
      <c r="H7" s="933">
        <v>0</v>
      </c>
      <c r="I7" s="934">
        <v>0</v>
      </c>
      <c r="J7" s="934">
        <v>0</v>
      </c>
      <c r="K7" s="934">
        <v>0</v>
      </c>
      <c r="L7" s="934">
        <v>0</v>
      </c>
      <c r="M7" s="934">
        <v>0</v>
      </c>
      <c r="N7" s="934">
        <v>0</v>
      </c>
      <c r="O7" s="934">
        <v>0</v>
      </c>
      <c r="P7" s="934">
        <v>0</v>
      </c>
      <c r="Q7" s="934">
        <v>0</v>
      </c>
      <c r="R7" s="934">
        <v>0</v>
      </c>
      <c r="S7" s="934">
        <v>0</v>
      </c>
      <c r="T7" s="934">
        <v>0</v>
      </c>
      <c r="U7" s="934">
        <v>0</v>
      </c>
      <c r="V7" s="934">
        <v>0</v>
      </c>
      <c r="W7" s="934">
        <v>0</v>
      </c>
      <c r="X7" s="934">
        <v>0</v>
      </c>
      <c r="Y7" s="934">
        <v>0</v>
      </c>
      <c r="Z7" s="934">
        <v>0</v>
      </c>
      <c r="AA7" s="934">
        <v>0</v>
      </c>
      <c r="AB7" s="934">
        <v>0</v>
      </c>
      <c r="AC7" s="934">
        <v>0</v>
      </c>
      <c r="AD7" s="934">
        <v>0</v>
      </c>
      <c r="AE7" s="935">
        <v>0</v>
      </c>
      <c r="AF7" s="934">
        <v>0</v>
      </c>
      <c r="AG7" s="934">
        <v>0</v>
      </c>
      <c r="AH7" s="934">
        <v>0</v>
      </c>
      <c r="AI7" s="934">
        <v>0</v>
      </c>
      <c r="AJ7" s="934">
        <v>0</v>
      </c>
      <c r="AK7" s="934">
        <v>0</v>
      </c>
      <c r="AL7" s="934">
        <v>0</v>
      </c>
      <c r="AM7" s="934">
        <v>0</v>
      </c>
      <c r="AN7" s="934">
        <v>0</v>
      </c>
      <c r="AO7" s="934">
        <v>0</v>
      </c>
      <c r="AP7" s="934">
        <v>0</v>
      </c>
      <c r="AQ7" s="934">
        <v>0</v>
      </c>
      <c r="AR7" s="935">
        <v>0</v>
      </c>
      <c r="AS7" s="934">
        <v>0</v>
      </c>
      <c r="AT7" s="934">
        <v>0</v>
      </c>
      <c r="AU7" s="934">
        <v>0</v>
      </c>
      <c r="AV7" s="936">
        <f>SUM(H7:AU7)</f>
        <v>0</v>
      </c>
      <c r="AW7" s="937">
        <f>F7-AV7</f>
        <v>0</v>
      </c>
      <c r="AX7" s="938"/>
      <c r="AY7" s="927"/>
      <c r="AZ7" s="927"/>
      <c r="BA7" s="927"/>
      <c r="BB7" s="927"/>
      <c r="BC7" s="927"/>
      <c r="BD7" s="927"/>
      <c r="BE7" s="927"/>
      <c r="BF7" s="927"/>
      <c r="BG7" s="927"/>
      <c r="BH7" s="927"/>
      <c r="BI7" s="927"/>
      <c r="BJ7" s="927"/>
      <c r="BK7" s="927"/>
      <c r="BL7" s="927"/>
      <c r="BM7" s="927"/>
      <c r="BN7" s="927"/>
      <c r="BO7" s="927"/>
      <c r="BP7" s="927"/>
      <c r="BQ7" s="927"/>
      <c r="BR7" s="927"/>
      <c r="BS7" s="927"/>
      <c r="BT7" s="927"/>
      <c r="BU7" s="927"/>
      <c r="BV7" s="927"/>
      <c r="BW7" s="927"/>
      <c r="BX7" s="927"/>
      <c r="BY7" s="927"/>
      <c r="BZ7" s="927"/>
      <c r="CA7" s="927"/>
    </row>
    <row r="8" spans="1:79" ht="14.25" customHeight="1">
      <c r="A8" s="882"/>
      <c r="B8" s="940" t="s">
        <v>942</v>
      </c>
      <c r="C8" s="882"/>
      <c r="D8" s="941">
        <f>IF(F16=0,0,F8/F16)</f>
        <v>0</v>
      </c>
      <c r="E8" s="882">
        <v>0</v>
      </c>
      <c r="F8" s="942">
        <f>'Perm Sources-Uses'!E8</f>
        <v>0</v>
      </c>
      <c r="G8" s="942">
        <v>0</v>
      </c>
      <c r="H8" s="943">
        <v>0</v>
      </c>
      <c r="I8" s="944">
        <v>0</v>
      </c>
      <c r="J8" s="944">
        <v>0</v>
      </c>
      <c r="K8" s="944">
        <v>0</v>
      </c>
      <c r="L8" s="944">
        <v>0</v>
      </c>
      <c r="M8" s="944">
        <v>0</v>
      </c>
      <c r="N8" s="944">
        <v>0</v>
      </c>
      <c r="O8" s="944">
        <v>0</v>
      </c>
      <c r="P8" s="944">
        <v>0</v>
      </c>
      <c r="Q8" s="944">
        <v>0</v>
      </c>
      <c r="R8" s="944">
        <v>0</v>
      </c>
      <c r="S8" s="944">
        <v>0</v>
      </c>
      <c r="T8" s="944">
        <v>0</v>
      </c>
      <c r="U8" s="944">
        <v>0</v>
      </c>
      <c r="V8" s="944">
        <v>0</v>
      </c>
      <c r="W8" s="944">
        <v>0</v>
      </c>
      <c r="X8" s="944">
        <v>0</v>
      </c>
      <c r="Y8" s="944">
        <v>0</v>
      </c>
      <c r="Z8" s="944">
        <v>0</v>
      </c>
      <c r="AA8" s="944">
        <v>0</v>
      </c>
      <c r="AB8" s="944">
        <v>0</v>
      </c>
      <c r="AC8" s="944">
        <v>0</v>
      </c>
      <c r="AD8" s="944">
        <v>0</v>
      </c>
      <c r="AE8" s="943">
        <v>0</v>
      </c>
      <c r="AF8" s="944">
        <v>0</v>
      </c>
      <c r="AG8" s="944">
        <v>0</v>
      </c>
      <c r="AH8" s="944">
        <v>0</v>
      </c>
      <c r="AI8" s="944">
        <v>0</v>
      </c>
      <c r="AJ8" s="944">
        <v>0</v>
      </c>
      <c r="AK8" s="944">
        <v>0</v>
      </c>
      <c r="AL8" s="944">
        <v>0</v>
      </c>
      <c r="AM8" s="944">
        <v>0</v>
      </c>
      <c r="AN8" s="945">
        <v>0</v>
      </c>
      <c r="AO8" s="945">
        <v>0</v>
      </c>
      <c r="AP8" s="945">
        <v>0</v>
      </c>
      <c r="AQ8" s="944">
        <v>0</v>
      </c>
      <c r="AR8" s="943">
        <v>0</v>
      </c>
      <c r="AS8" s="945">
        <v>0</v>
      </c>
      <c r="AT8" s="945">
        <v>0</v>
      </c>
      <c r="AU8" s="944">
        <v>0</v>
      </c>
      <c r="AV8" s="936">
        <f>SUM(H8:AU8)</f>
        <v>0</v>
      </c>
      <c r="AW8" s="937">
        <f>F8-AV8</f>
        <v>0</v>
      </c>
      <c r="AX8" s="946"/>
      <c r="AY8" s="882"/>
      <c r="AZ8" s="882"/>
      <c r="BA8" s="882"/>
      <c r="BB8" s="882"/>
      <c r="BC8" s="882"/>
      <c r="BD8" s="882"/>
      <c r="BE8" s="882"/>
      <c r="BF8" s="882"/>
      <c r="BG8" s="882"/>
      <c r="BH8" s="882"/>
      <c r="BI8" s="882"/>
      <c r="BJ8" s="882"/>
      <c r="BK8" s="882"/>
      <c r="BL8" s="882"/>
      <c r="BM8" s="882"/>
      <c r="BN8" s="882"/>
      <c r="BO8" s="882"/>
      <c r="BP8" s="882"/>
      <c r="BQ8" s="882"/>
      <c r="BR8" s="882"/>
      <c r="BS8" s="882"/>
      <c r="BT8" s="882"/>
      <c r="BU8" s="882"/>
      <c r="BV8" s="882"/>
      <c r="BW8" s="882"/>
      <c r="BX8" s="882"/>
      <c r="BY8" s="882"/>
      <c r="BZ8" s="882"/>
      <c r="CA8" s="882"/>
    </row>
    <row r="9" spans="1:79" s="939" customFormat="1" ht="14.25" customHeight="1">
      <c r="A9" s="927"/>
      <c r="B9" s="947" t="s">
        <v>943</v>
      </c>
      <c r="C9" s="927"/>
      <c r="D9" s="948">
        <f>IF(F16=0,0,F9/F16)</f>
        <v>0</v>
      </c>
      <c r="E9" s="927">
        <v>0</v>
      </c>
      <c r="F9" s="949">
        <f>'Perm Sources-Uses'!E9</f>
        <v>0</v>
      </c>
      <c r="G9" s="949">
        <v>0</v>
      </c>
      <c r="H9" s="950">
        <v>0</v>
      </c>
      <c r="I9" s="951">
        <v>0</v>
      </c>
      <c r="J9" s="951">
        <v>0</v>
      </c>
      <c r="K9" s="951">
        <v>0</v>
      </c>
      <c r="L9" s="951">
        <v>0</v>
      </c>
      <c r="M9" s="951">
        <v>0</v>
      </c>
      <c r="N9" s="951">
        <v>0</v>
      </c>
      <c r="O9" s="951">
        <v>0</v>
      </c>
      <c r="P9" s="951">
        <v>0</v>
      </c>
      <c r="Q9" s="951">
        <v>0</v>
      </c>
      <c r="R9" s="951">
        <v>0</v>
      </c>
      <c r="S9" s="951">
        <v>0</v>
      </c>
      <c r="T9" s="951">
        <v>0</v>
      </c>
      <c r="U9" s="951">
        <v>0</v>
      </c>
      <c r="V9" s="951">
        <v>0</v>
      </c>
      <c r="W9" s="951">
        <v>0</v>
      </c>
      <c r="X9" s="951">
        <v>0</v>
      </c>
      <c r="Y9" s="951">
        <v>0</v>
      </c>
      <c r="Z9" s="951">
        <v>0</v>
      </c>
      <c r="AA9" s="951">
        <v>0</v>
      </c>
      <c r="AB9" s="951">
        <v>0</v>
      </c>
      <c r="AC9" s="951">
        <v>0</v>
      </c>
      <c r="AD9" s="951">
        <v>0</v>
      </c>
      <c r="AE9" s="952">
        <v>0</v>
      </c>
      <c r="AF9" s="951">
        <v>0</v>
      </c>
      <c r="AG9" s="951">
        <v>0</v>
      </c>
      <c r="AH9" s="951">
        <v>0</v>
      </c>
      <c r="AI9" s="951">
        <v>0</v>
      </c>
      <c r="AJ9" s="951">
        <v>0</v>
      </c>
      <c r="AK9" s="951">
        <v>0</v>
      </c>
      <c r="AL9" s="951">
        <v>0</v>
      </c>
      <c r="AM9" s="951">
        <v>0</v>
      </c>
      <c r="AN9" s="951">
        <v>0</v>
      </c>
      <c r="AO9" s="951">
        <v>0</v>
      </c>
      <c r="AP9" s="951">
        <v>0</v>
      </c>
      <c r="AQ9" s="951">
        <v>0</v>
      </c>
      <c r="AR9" s="952">
        <v>0</v>
      </c>
      <c r="AS9" s="951">
        <v>0</v>
      </c>
      <c r="AT9" s="951">
        <v>0</v>
      </c>
      <c r="AU9" s="951">
        <v>0</v>
      </c>
      <c r="AV9" s="936">
        <f>SUM(H9:AU9)</f>
        <v>0</v>
      </c>
      <c r="AW9" s="937">
        <f>F9-AV9</f>
        <v>0</v>
      </c>
      <c r="AX9" s="938"/>
      <c r="AY9" s="927"/>
      <c r="AZ9" s="927"/>
      <c r="BA9" s="927"/>
      <c r="BB9" s="927"/>
      <c r="BC9" s="927"/>
      <c r="BD9" s="927"/>
      <c r="BE9" s="927"/>
      <c r="BF9" s="927"/>
      <c r="BG9" s="927"/>
      <c r="BH9" s="927"/>
      <c r="BI9" s="927"/>
      <c r="BJ9" s="927"/>
      <c r="BK9" s="927"/>
      <c r="BL9" s="927"/>
      <c r="BM9" s="927"/>
      <c r="BN9" s="927"/>
      <c r="BO9" s="927"/>
      <c r="BP9" s="927"/>
      <c r="BQ9" s="927"/>
      <c r="BR9" s="927"/>
      <c r="BS9" s="927"/>
      <c r="BT9" s="927"/>
      <c r="BU9" s="927"/>
      <c r="BV9" s="927"/>
      <c r="BW9" s="927"/>
      <c r="BX9" s="927"/>
      <c r="BY9" s="927"/>
      <c r="BZ9" s="927"/>
      <c r="CA9" s="927"/>
    </row>
    <row r="10" spans="1:79" ht="12.75" customHeight="1">
      <c r="A10" s="882"/>
      <c r="B10" s="882" t="s">
        <v>944</v>
      </c>
      <c r="C10" s="882"/>
      <c r="D10" s="941">
        <f>IF(F16=0,0,F10/F16)</f>
        <v>0</v>
      </c>
      <c r="E10" s="953">
        <v>0</v>
      </c>
      <c r="F10" s="942">
        <f>'Perm Sources-Uses'!E10</f>
        <v>0</v>
      </c>
      <c r="G10" s="942">
        <v>0</v>
      </c>
      <c r="H10" s="952">
        <v>0</v>
      </c>
      <c r="I10" s="951">
        <v>0</v>
      </c>
      <c r="J10" s="951">
        <v>0</v>
      </c>
      <c r="K10" s="951">
        <v>0</v>
      </c>
      <c r="L10" s="951">
        <v>0</v>
      </c>
      <c r="M10" s="951">
        <v>0</v>
      </c>
      <c r="N10" s="951">
        <v>0</v>
      </c>
      <c r="O10" s="951">
        <v>0</v>
      </c>
      <c r="P10" s="951">
        <v>0</v>
      </c>
      <c r="Q10" s="951">
        <v>0</v>
      </c>
      <c r="R10" s="954">
        <v>0</v>
      </c>
      <c r="S10" s="955">
        <v>0</v>
      </c>
      <c r="T10" s="955">
        <v>0</v>
      </c>
      <c r="U10" s="956">
        <v>0</v>
      </c>
      <c r="V10" s="955">
        <v>0</v>
      </c>
      <c r="W10" s="955">
        <v>0</v>
      </c>
      <c r="X10" s="955">
        <v>0</v>
      </c>
      <c r="Y10" s="955">
        <v>0</v>
      </c>
      <c r="Z10" s="955">
        <v>0</v>
      </c>
      <c r="AA10" s="955">
        <v>0</v>
      </c>
      <c r="AB10" s="955">
        <v>0</v>
      </c>
      <c r="AC10" s="955">
        <v>0</v>
      </c>
      <c r="AD10" s="955">
        <v>0</v>
      </c>
      <c r="AE10" s="957">
        <v>0</v>
      </c>
      <c r="AF10" s="955">
        <v>0</v>
      </c>
      <c r="AG10" s="955">
        <v>0</v>
      </c>
      <c r="AH10" s="955">
        <v>0</v>
      </c>
      <c r="AI10" s="955">
        <v>0</v>
      </c>
      <c r="AJ10" s="955">
        <v>0</v>
      </c>
      <c r="AK10" s="955">
        <v>0</v>
      </c>
      <c r="AL10" s="955">
        <v>0</v>
      </c>
      <c r="AM10" s="955">
        <v>0</v>
      </c>
      <c r="AN10" s="958">
        <v>0</v>
      </c>
      <c r="AO10" s="958">
        <v>0</v>
      </c>
      <c r="AP10" s="958">
        <v>0</v>
      </c>
      <c r="AQ10" s="958">
        <v>0</v>
      </c>
      <c r="AR10" s="957">
        <v>0</v>
      </c>
      <c r="AS10" s="958">
        <v>0</v>
      </c>
      <c r="AT10" s="958">
        <v>0</v>
      </c>
      <c r="AU10" s="955">
        <v>0</v>
      </c>
      <c r="AV10" s="936">
        <f>SUM(H10:AU10)</f>
        <v>0</v>
      </c>
      <c r="AW10" s="937">
        <f>F10-AV10</f>
        <v>0</v>
      </c>
      <c r="AX10" s="946"/>
      <c r="AY10" s="882"/>
      <c r="AZ10" s="882"/>
      <c r="BA10" s="882"/>
      <c r="BB10" s="882"/>
      <c r="BC10" s="882"/>
      <c r="BD10" s="882"/>
      <c r="BE10" s="882"/>
      <c r="BF10" s="882"/>
      <c r="BG10" s="882"/>
      <c r="BH10" s="882"/>
      <c r="BI10" s="882"/>
      <c r="BJ10" s="882"/>
      <c r="BK10" s="882"/>
      <c r="BL10" s="882"/>
      <c r="BM10" s="882"/>
      <c r="BN10" s="882"/>
      <c r="BO10" s="882"/>
      <c r="BP10" s="882"/>
      <c r="BQ10" s="882"/>
      <c r="BR10" s="882"/>
      <c r="BS10" s="882"/>
      <c r="BT10" s="882"/>
      <c r="BU10" s="882"/>
      <c r="BV10" s="882"/>
      <c r="BW10" s="882"/>
      <c r="BX10" s="882"/>
      <c r="BY10" s="882"/>
      <c r="BZ10" s="882"/>
      <c r="CA10" s="882"/>
    </row>
    <row r="11" spans="1:79" ht="12" customHeight="1">
      <c r="A11" s="882"/>
      <c r="B11" s="882" t="s">
        <v>608</v>
      </c>
      <c r="C11" s="882"/>
      <c r="D11" s="941">
        <f>IF(F16=0,0,F11/F16)</f>
        <v>0</v>
      </c>
      <c r="E11" s="953">
        <v>0</v>
      </c>
      <c r="F11" s="942">
        <f>'Perm Sources-Uses'!E15</f>
        <v>0</v>
      </c>
      <c r="G11" s="959">
        <v>0</v>
      </c>
      <c r="H11" s="943">
        <v>0</v>
      </c>
      <c r="I11" s="945">
        <v>0</v>
      </c>
      <c r="J11" s="945">
        <v>0</v>
      </c>
      <c r="K11" s="945">
        <v>0</v>
      </c>
      <c r="L11" s="945">
        <v>0</v>
      </c>
      <c r="M11" s="945">
        <v>0</v>
      </c>
      <c r="N11" s="945">
        <v>0</v>
      </c>
      <c r="O11" s="945">
        <v>0</v>
      </c>
      <c r="P11" s="945">
        <v>0</v>
      </c>
      <c r="Q11" s="960">
        <v>0</v>
      </c>
      <c r="R11" s="960">
        <v>0</v>
      </c>
      <c r="S11" s="945">
        <v>0</v>
      </c>
      <c r="T11" s="945">
        <v>0</v>
      </c>
      <c r="U11" s="945">
        <v>0</v>
      </c>
      <c r="V11" s="945">
        <v>0</v>
      </c>
      <c r="W11" s="945">
        <v>0</v>
      </c>
      <c r="X11" s="945">
        <v>0</v>
      </c>
      <c r="Y11" s="945">
        <v>0</v>
      </c>
      <c r="Z11" s="945">
        <v>0</v>
      </c>
      <c r="AA11" s="945">
        <v>0</v>
      </c>
      <c r="AB11" s="944">
        <v>0</v>
      </c>
      <c r="AC11" s="945">
        <v>0</v>
      </c>
      <c r="AD11" s="944">
        <v>0</v>
      </c>
      <c r="AE11" s="943">
        <v>0</v>
      </c>
      <c r="AF11" s="944">
        <v>0</v>
      </c>
      <c r="AG11" s="944">
        <v>0</v>
      </c>
      <c r="AH11" s="944">
        <v>0</v>
      </c>
      <c r="AI11" s="944">
        <v>0</v>
      </c>
      <c r="AJ11" s="944">
        <v>0</v>
      </c>
      <c r="AK11" s="944">
        <v>0</v>
      </c>
      <c r="AL11" s="944">
        <v>0</v>
      </c>
      <c r="AM11" s="944">
        <v>0</v>
      </c>
      <c r="AN11" s="944">
        <v>0</v>
      </c>
      <c r="AO11" s="944">
        <v>0</v>
      </c>
      <c r="AP11" s="961">
        <v>0</v>
      </c>
      <c r="AQ11" s="961">
        <v>0</v>
      </c>
      <c r="AR11" s="943">
        <v>0</v>
      </c>
      <c r="AS11" s="962">
        <v>0</v>
      </c>
      <c r="AT11" s="962">
        <v>0</v>
      </c>
      <c r="AU11" s="945">
        <v>0</v>
      </c>
      <c r="AV11" s="936">
        <f>SUM(H11:AU11)</f>
        <v>0</v>
      </c>
      <c r="AW11" s="937">
        <f>F11-AV11</f>
        <v>0</v>
      </c>
      <c r="AX11" s="946"/>
      <c r="AY11" s="882"/>
      <c r="AZ11" s="882"/>
      <c r="BA11" s="882"/>
      <c r="BB11" s="882"/>
      <c r="BC11" s="882"/>
      <c r="BD11" s="882"/>
      <c r="BE11" s="882"/>
      <c r="BF11" s="882"/>
      <c r="BG11" s="882"/>
      <c r="BH11" s="882"/>
      <c r="BI11" s="882"/>
      <c r="BJ11" s="882"/>
      <c r="BK11" s="882"/>
      <c r="BL11" s="882"/>
      <c r="BM11" s="882"/>
      <c r="BN11" s="882"/>
      <c r="BO11" s="882"/>
      <c r="BP11" s="882"/>
      <c r="BQ11" s="882"/>
      <c r="BR11" s="882"/>
      <c r="BS11" s="882"/>
      <c r="BT11" s="882"/>
      <c r="BU11" s="882"/>
      <c r="BV11" s="882"/>
      <c r="BW11" s="882"/>
      <c r="BX11" s="882"/>
      <c r="BY11" s="882"/>
      <c r="BZ11" s="882"/>
      <c r="CA11" s="882"/>
    </row>
    <row r="12" spans="1:79">
      <c r="A12" s="882"/>
      <c r="B12" s="882" t="s">
        <v>609</v>
      </c>
      <c r="C12" s="882"/>
      <c r="D12" s="941">
        <f>IF(F16=0,0,F12/F16)</f>
        <v>0</v>
      </c>
      <c r="E12" s="953">
        <v>0</v>
      </c>
      <c r="F12" s="942">
        <f>'Perm Sources-Uses'!E12</f>
        <v>0</v>
      </c>
      <c r="G12" s="959">
        <v>0</v>
      </c>
      <c r="H12" s="943">
        <v>0</v>
      </c>
      <c r="I12" s="945">
        <v>0</v>
      </c>
      <c r="J12" s="945">
        <v>0</v>
      </c>
      <c r="K12" s="945">
        <v>0</v>
      </c>
      <c r="L12" s="945">
        <v>0</v>
      </c>
      <c r="M12" s="945">
        <v>0</v>
      </c>
      <c r="N12" s="945">
        <v>0</v>
      </c>
      <c r="O12" s="945">
        <v>0</v>
      </c>
      <c r="P12" s="945">
        <v>0</v>
      </c>
      <c r="Q12" s="960">
        <v>0</v>
      </c>
      <c r="R12" s="960">
        <v>0</v>
      </c>
      <c r="S12" s="945">
        <v>0</v>
      </c>
      <c r="T12" s="945">
        <v>0</v>
      </c>
      <c r="U12" s="945">
        <v>0</v>
      </c>
      <c r="V12" s="945">
        <v>0</v>
      </c>
      <c r="W12" s="945">
        <v>0</v>
      </c>
      <c r="X12" s="945">
        <v>0</v>
      </c>
      <c r="Y12" s="945">
        <v>0</v>
      </c>
      <c r="Z12" s="945">
        <v>0</v>
      </c>
      <c r="AA12" s="945">
        <v>0</v>
      </c>
      <c r="AB12" s="945">
        <v>0</v>
      </c>
      <c r="AC12" s="945">
        <v>0</v>
      </c>
      <c r="AD12" s="945">
        <v>0</v>
      </c>
      <c r="AE12" s="963">
        <v>0</v>
      </c>
      <c r="AF12" s="945">
        <v>0</v>
      </c>
      <c r="AG12" s="945">
        <v>0</v>
      </c>
      <c r="AH12" s="945">
        <v>0</v>
      </c>
      <c r="AI12" s="945">
        <v>0</v>
      </c>
      <c r="AJ12" s="945">
        <v>0</v>
      </c>
      <c r="AK12" s="945">
        <v>0</v>
      </c>
      <c r="AL12" s="945">
        <v>0</v>
      </c>
      <c r="AM12" s="945">
        <v>0</v>
      </c>
      <c r="AN12" s="964">
        <v>0</v>
      </c>
      <c r="AO12" s="964">
        <v>0</v>
      </c>
      <c r="AP12" s="964">
        <v>0</v>
      </c>
      <c r="AQ12" s="964">
        <v>0</v>
      </c>
      <c r="AR12" s="963">
        <v>0</v>
      </c>
      <c r="AS12" s="964">
        <v>0</v>
      </c>
      <c r="AT12" s="964">
        <v>0</v>
      </c>
      <c r="AU12" s="945">
        <v>0</v>
      </c>
      <c r="AV12" s="936">
        <f>SUM(H12:AU12)</f>
        <v>0</v>
      </c>
      <c r="AW12" s="937">
        <f>F12-AV12</f>
        <v>0</v>
      </c>
      <c r="AX12" s="946"/>
      <c r="AY12" s="882"/>
      <c r="AZ12" s="882"/>
      <c r="BA12" s="882"/>
      <c r="BB12" s="882"/>
      <c r="BC12" s="882"/>
      <c r="BD12" s="882"/>
      <c r="BE12" s="882"/>
      <c r="BF12" s="882"/>
      <c r="BG12" s="882"/>
      <c r="BH12" s="882"/>
      <c r="BI12" s="882"/>
      <c r="BJ12" s="882"/>
      <c r="BK12" s="882"/>
      <c r="BL12" s="882"/>
      <c r="BM12" s="882"/>
      <c r="BN12" s="882"/>
      <c r="BO12" s="882"/>
      <c r="BP12" s="882"/>
      <c r="BQ12" s="882"/>
      <c r="BR12" s="882"/>
      <c r="BS12" s="882"/>
      <c r="BT12" s="882"/>
      <c r="BU12" s="882"/>
      <c r="BV12" s="882"/>
      <c r="BW12" s="882"/>
      <c r="BX12" s="882"/>
      <c r="BY12" s="882"/>
      <c r="BZ12" s="882"/>
      <c r="CA12" s="882"/>
    </row>
    <row r="13" spans="1:79" ht="15" customHeight="1">
      <c r="A13" s="882"/>
      <c r="B13" s="882" t="s">
        <v>610</v>
      </c>
      <c r="C13" s="882"/>
      <c r="D13" s="941">
        <f>IF(F16=0,0,F13/F16)</f>
        <v>0</v>
      </c>
      <c r="E13" s="882">
        <v>0</v>
      </c>
      <c r="F13" s="942">
        <f>'Perm Sources-Uses'!E18</f>
        <v>0</v>
      </c>
      <c r="G13" s="942">
        <v>0</v>
      </c>
      <c r="H13" s="943">
        <v>0</v>
      </c>
      <c r="I13" s="944">
        <v>0</v>
      </c>
      <c r="J13" s="944">
        <v>0</v>
      </c>
      <c r="K13" s="944">
        <v>0</v>
      </c>
      <c r="L13" s="944">
        <v>0</v>
      </c>
      <c r="M13" s="944">
        <v>0</v>
      </c>
      <c r="N13" s="944">
        <v>0</v>
      </c>
      <c r="O13" s="944">
        <v>0</v>
      </c>
      <c r="P13" s="944">
        <v>0</v>
      </c>
      <c r="Q13" s="944">
        <v>0</v>
      </c>
      <c r="R13" s="944">
        <v>0</v>
      </c>
      <c r="S13" s="944">
        <v>0</v>
      </c>
      <c r="T13" s="944">
        <v>0</v>
      </c>
      <c r="U13" s="944">
        <v>0</v>
      </c>
      <c r="V13" s="944">
        <v>0</v>
      </c>
      <c r="W13" s="944">
        <v>0</v>
      </c>
      <c r="X13" s="944">
        <v>0</v>
      </c>
      <c r="Y13" s="944">
        <v>0</v>
      </c>
      <c r="Z13" s="944">
        <v>0</v>
      </c>
      <c r="AA13" s="944">
        <v>0</v>
      </c>
      <c r="AB13" s="944">
        <v>0</v>
      </c>
      <c r="AC13" s="944">
        <v>0</v>
      </c>
      <c r="AD13" s="944">
        <v>0</v>
      </c>
      <c r="AE13" s="943">
        <v>0</v>
      </c>
      <c r="AF13" s="944">
        <v>0</v>
      </c>
      <c r="AG13" s="944">
        <v>0</v>
      </c>
      <c r="AH13" s="944">
        <v>0</v>
      </c>
      <c r="AI13" s="944">
        <v>0</v>
      </c>
      <c r="AJ13" s="944">
        <v>0</v>
      </c>
      <c r="AK13" s="944">
        <v>0</v>
      </c>
      <c r="AL13" s="944">
        <v>0</v>
      </c>
      <c r="AM13" s="944">
        <v>0</v>
      </c>
      <c r="AN13" s="944">
        <v>0</v>
      </c>
      <c r="AO13" s="944">
        <v>0</v>
      </c>
      <c r="AP13" s="944">
        <v>0</v>
      </c>
      <c r="AQ13" s="944">
        <v>0</v>
      </c>
      <c r="AR13" s="943">
        <v>0</v>
      </c>
      <c r="AS13" s="944">
        <v>0</v>
      </c>
      <c r="AT13" s="944">
        <v>0</v>
      </c>
      <c r="AU13" s="944">
        <v>0</v>
      </c>
      <c r="AV13" s="936">
        <f>SUM(H13:AU13)</f>
        <v>0</v>
      </c>
      <c r="AW13" s="937">
        <f>F13-AV13</f>
        <v>0</v>
      </c>
      <c r="AX13" s="946"/>
      <c r="AY13" s="882"/>
      <c r="AZ13" s="882"/>
      <c r="BA13" s="882"/>
      <c r="BB13" s="882"/>
      <c r="BC13" s="882"/>
      <c r="BD13" s="882"/>
      <c r="BE13" s="882"/>
      <c r="BF13" s="882"/>
      <c r="BG13" s="882"/>
      <c r="BH13" s="882"/>
      <c r="BI13" s="882"/>
      <c r="BJ13" s="882"/>
      <c r="BK13" s="882"/>
      <c r="BL13" s="882"/>
      <c r="BM13" s="882"/>
      <c r="BN13" s="882"/>
      <c r="BO13" s="882"/>
      <c r="BP13" s="882"/>
      <c r="BQ13" s="882"/>
      <c r="BR13" s="882"/>
      <c r="BS13" s="882"/>
      <c r="BT13" s="882"/>
      <c r="BU13" s="882"/>
      <c r="BV13" s="882"/>
      <c r="BW13" s="882"/>
      <c r="BX13" s="882"/>
      <c r="BY13" s="882"/>
      <c r="BZ13" s="882"/>
      <c r="CA13" s="882"/>
    </row>
    <row r="14" spans="1:79" ht="14.25" customHeight="1">
      <c r="A14" s="882"/>
      <c r="B14" s="882" t="s">
        <v>611</v>
      </c>
      <c r="C14" s="882"/>
      <c r="D14" s="941">
        <f>IF(F16=0,0,F14/F16)</f>
        <v>0</v>
      </c>
      <c r="E14" s="882">
        <v>0</v>
      </c>
      <c r="F14" s="942">
        <f>'Perm Sources-Uses'!E13</f>
        <v>0</v>
      </c>
      <c r="G14" s="942">
        <v>0</v>
      </c>
      <c r="H14" s="943">
        <v>0</v>
      </c>
      <c r="I14" s="944">
        <v>0</v>
      </c>
      <c r="J14" s="944">
        <v>0</v>
      </c>
      <c r="K14" s="944">
        <v>0</v>
      </c>
      <c r="L14" s="944">
        <v>0</v>
      </c>
      <c r="M14" s="944">
        <v>0</v>
      </c>
      <c r="N14" s="944">
        <v>0</v>
      </c>
      <c r="O14" s="944">
        <v>0</v>
      </c>
      <c r="P14" s="944">
        <v>0</v>
      </c>
      <c r="Q14" s="944">
        <v>0</v>
      </c>
      <c r="R14" s="944">
        <v>0</v>
      </c>
      <c r="S14" s="944">
        <v>0</v>
      </c>
      <c r="T14" s="944">
        <v>0</v>
      </c>
      <c r="U14" s="944">
        <v>0</v>
      </c>
      <c r="V14" s="944">
        <v>0</v>
      </c>
      <c r="W14" s="944">
        <v>0</v>
      </c>
      <c r="X14" s="944">
        <v>0</v>
      </c>
      <c r="Y14" s="944">
        <v>0</v>
      </c>
      <c r="Z14" s="944">
        <v>0</v>
      </c>
      <c r="AA14" s="944">
        <v>0</v>
      </c>
      <c r="AB14" s="944">
        <v>0</v>
      </c>
      <c r="AC14" s="944">
        <v>0</v>
      </c>
      <c r="AD14" s="944">
        <v>0</v>
      </c>
      <c r="AE14" s="943">
        <v>0</v>
      </c>
      <c r="AF14" s="944">
        <v>0</v>
      </c>
      <c r="AG14" s="944">
        <v>0</v>
      </c>
      <c r="AH14" s="944">
        <v>0</v>
      </c>
      <c r="AI14" s="944">
        <v>0</v>
      </c>
      <c r="AJ14" s="944">
        <v>0</v>
      </c>
      <c r="AK14" s="944">
        <v>0</v>
      </c>
      <c r="AL14" s="944">
        <v>0</v>
      </c>
      <c r="AM14" s="944">
        <v>0</v>
      </c>
      <c r="AN14" s="944">
        <v>0</v>
      </c>
      <c r="AO14" s="944">
        <v>0</v>
      </c>
      <c r="AP14" s="944">
        <v>0</v>
      </c>
      <c r="AQ14" s="944">
        <v>0</v>
      </c>
      <c r="AR14" s="943">
        <v>0</v>
      </c>
      <c r="AS14" s="944">
        <v>0</v>
      </c>
      <c r="AT14" s="944">
        <v>0</v>
      </c>
      <c r="AU14" s="944">
        <v>0</v>
      </c>
      <c r="AV14" s="936">
        <f>SUM(H14:AU14)</f>
        <v>0</v>
      </c>
      <c r="AW14" s="937">
        <f>F14-AV14</f>
        <v>0</v>
      </c>
      <c r="AX14" s="946"/>
      <c r="AY14" s="882"/>
      <c r="AZ14" s="882"/>
      <c r="BA14" s="882"/>
      <c r="BB14" s="882"/>
      <c r="BC14" s="882"/>
      <c r="BD14" s="882"/>
      <c r="BE14" s="882"/>
      <c r="BF14" s="882"/>
      <c r="BG14" s="882"/>
      <c r="BH14" s="882"/>
      <c r="BI14" s="882"/>
      <c r="BJ14" s="882"/>
      <c r="BK14" s="882"/>
      <c r="BL14" s="882"/>
      <c r="BM14" s="882"/>
      <c r="BN14" s="882"/>
      <c r="BO14" s="882"/>
      <c r="BP14" s="882"/>
      <c r="BQ14" s="882"/>
      <c r="BR14" s="882"/>
      <c r="BS14" s="882"/>
      <c r="BT14" s="882"/>
      <c r="BU14" s="882"/>
      <c r="BV14" s="882"/>
      <c r="BW14" s="882"/>
      <c r="BX14" s="882"/>
      <c r="BY14" s="882"/>
      <c r="BZ14" s="882"/>
      <c r="CA14" s="882"/>
    </row>
    <row r="15" spans="1:79">
      <c r="A15" s="882"/>
      <c r="B15" s="896" t="s">
        <v>170</v>
      </c>
      <c r="C15" s="882"/>
      <c r="D15" s="941">
        <f>IF(F16=0,0,F15/F16)</f>
        <v>0</v>
      </c>
      <c r="E15" s="882">
        <v>0</v>
      </c>
      <c r="F15" s="965">
        <f>'Perm Sources-Uses'!E17</f>
        <v>0</v>
      </c>
      <c r="G15" s="942">
        <v>0</v>
      </c>
      <c r="H15" s="943">
        <v>0</v>
      </c>
      <c r="I15" s="944">
        <v>0</v>
      </c>
      <c r="J15" s="944">
        <v>0</v>
      </c>
      <c r="K15" s="944">
        <v>0</v>
      </c>
      <c r="L15" s="944">
        <v>0</v>
      </c>
      <c r="M15" s="944">
        <v>0</v>
      </c>
      <c r="N15" s="944">
        <v>0</v>
      </c>
      <c r="O15" s="944">
        <v>0</v>
      </c>
      <c r="P15" s="944">
        <v>0</v>
      </c>
      <c r="Q15" s="944">
        <v>0</v>
      </c>
      <c r="R15" s="944">
        <v>0</v>
      </c>
      <c r="S15" s="944">
        <v>0</v>
      </c>
      <c r="T15" s="944">
        <v>0</v>
      </c>
      <c r="U15" s="944">
        <v>0</v>
      </c>
      <c r="V15" s="944">
        <v>0</v>
      </c>
      <c r="W15" s="944">
        <v>0</v>
      </c>
      <c r="X15" s="944">
        <v>0</v>
      </c>
      <c r="Y15" s="944">
        <v>0</v>
      </c>
      <c r="Z15" s="944">
        <v>0</v>
      </c>
      <c r="AA15" s="944">
        <v>0</v>
      </c>
      <c r="AB15" s="944">
        <v>0</v>
      </c>
      <c r="AC15" s="944">
        <v>0</v>
      </c>
      <c r="AD15" s="944">
        <v>0</v>
      </c>
      <c r="AE15" s="943">
        <v>0</v>
      </c>
      <c r="AF15" s="944">
        <v>0</v>
      </c>
      <c r="AG15" s="944">
        <v>0</v>
      </c>
      <c r="AH15" s="944">
        <v>0</v>
      </c>
      <c r="AI15" s="944">
        <v>0</v>
      </c>
      <c r="AJ15" s="944">
        <v>0</v>
      </c>
      <c r="AK15" s="944">
        <v>0</v>
      </c>
      <c r="AL15" s="944">
        <v>0</v>
      </c>
      <c r="AM15" s="944">
        <v>0</v>
      </c>
      <c r="AN15" s="944">
        <v>0</v>
      </c>
      <c r="AO15" s="944">
        <v>0</v>
      </c>
      <c r="AP15" s="944">
        <v>0</v>
      </c>
      <c r="AQ15" s="944">
        <v>0</v>
      </c>
      <c r="AR15" s="943">
        <v>0</v>
      </c>
      <c r="AS15" s="944">
        <v>0</v>
      </c>
      <c r="AT15" s="944">
        <v>0</v>
      </c>
      <c r="AU15" s="944">
        <v>0</v>
      </c>
      <c r="AV15" s="936">
        <f>SUM(H15:AU15)</f>
        <v>0</v>
      </c>
      <c r="AW15" s="937">
        <f>F15-AV15</f>
        <v>0</v>
      </c>
      <c r="AX15" s="946"/>
      <c r="AY15" s="882"/>
      <c r="AZ15" s="882"/>
      <c r="BA15" s="882"/>
      <c r="BB15" s="882"/>
      <c r="BC15" s="882"/>
      <c r="BD15" s="882"/>
      <c r="BE15" s="882"/>
      <c r="BF15" s="882"/>
      <c r="BG15" s="882"/>
      <c r="BH15" s="882"/>
      <c r="BI15" s="882"/>
      <c r="BJ15" s="882"/>
      <c r="BK15" s="882"/>
      <c r="BL15" s="882"/>
      <c r="BM15" s="882"/>
      <c r="BN15" s="882"/>
      <c r="BO15" s="882"/>
      <c r="BP15" s="882"/>
      <c r="BQ15" s="882"/>
      <c r="BR15" s="882"/>
      <c r="BS15" s="882"/>
      <c r="BT15" s="882"/>
      <c r="BU15" s="882"/>
      <c r="BV15" s="882"/>
      <c r="BW15" s="882"/>
      <c r="BX15" s="882"/>
      <c r="BY15" s="882"/>
      <c r="BZ15" s="882"/>
      <c r="CA15" s="882"/>
    </row>
    <row r="16" spans="1:79">
      <c r="A16" s="882"/>
      <c r="B16" s="882"/>
      <c r="C16" s="966" t="s">
        <v>166</v>
      </c>
      <c r="D16" s="967"/>
      <c r="E16" s="967">
        <v>0</v>
      </c>
      <c r="F16" s="968">
        <f>SUM(F7:F15)</f>
        <v>0</v>
      </c>
      <c r="G16" s="969">
        <f>SUM(G7:G15)</f>
        <v>0</v>
      </c>
      <c r="H16" s="968">
        <f>SUM(H7:H15)</f>
        <v>0</v>
      </c>
      <c r="I16" s="968">
        <f>SUM(I7:I15)</f>
        <v>0</v>
      </c>
      <c r="J16" s="968">
        <f t="shared" ref="J16:AU16" si="0">SUM(J7:J15)</f>
        <v>0</v>
      </c>
      <c r="K16" s="968">
        <f t="shared" si="0"/>
        <v>0</v>
      </c>
      <c r="L16" s="968">
        <f t="shared" si="0"/>
        <v>0</v>
      </c>
      <c r="M16" s="968">
        <f t="shared" si="0"/>
        <v>0</v>
      </c>
      <c r="N16" s="968">
        <f t="shared" si="0"/>
        <v>0</v>
      </c>
      <c r="O16" s="968">
        <f t="shared" si="0"/>
        <v>0</v>
      </c>
      <c r="P16" s="968">
        <f t="shared" si="0"/>
        <v>0</v>
      </c>
      <c r="Q16" s="968">
        <f t="shared" si="0"/>
        <v>0</v>
      </c>
      <c r="R16" s="968">
        <f t="shared" si="0"/>
        <v>0</v>
      </c>
      <c r="S16" s="968">
        <f t="shared" si="0"/>
        <v>0</v>
      </c>
      <c r="T16" s="968">
        <f t="shared" si="0"/>
        <v>0</v>
      </c>
      <c r="U16" s="968">
        <f t="shared" si="0"/>
        <v>0</v>
      </c>
      <c r="V16" s="968">
        <f t="shared" si="0"/>
        <v>0</v>
      </c>
      <c r="W16" s="968">
        <f t="shared" si="0"/>
        <v>0</v>
      </c>
      <c r="X16" s="968">
        <f t="shared" si="0"/>
        <v>0</v>
      </c>
      <c r="Y16" s="968">
        <f t="shared" si="0"/>
        <v>0</v>
      </c>
      <c r="Z16" s="968">
        <f t="shared" si="0"/>
        <v>0</v>
      </c>
      <c r="AA16" s="968">
        <f t="shared" si="0"/>
        <v>0</v>
      </c>
      <c r="AB16" s="968">
        <f t="shared" si="0"/>
        <v>0</v>
      </c>
      <c r="AC16" s="968">
        <f t="shared" si="0"/>
        <v>0</v>
      </c>
      <c r="AD16" s="968">
        <f t="shared" si="0"/>
        <v>0</v>
      </c>
      <c r="AE16" s="968">
        <f t="shared" si="0"/>
        <v>0</v>
      </c>
      <c r="AF16" s="968">
        <f t="shared" si="0"/>
        <v>0</v>
      </c>
      <c r="AG16" s="968">
        <f t="shared" si="0"/>
        <v>0</v>
      </c>
      <c r="AH16" s="968">
        <f t="shared" si="0"/>
        <v>0</v>
      </c>
      <c r="AI16" s="968">
        <f t="shared" si="0"/>
        <v>0</v>
      </c>
      <c r="AJ16" s="968">
        <f t="shared" si="0"/>
        <v>0</v>
      </c>
      <c r="AK16" s="968">
        <f t="shared" si="0"/>
        <v>0</v>
      </c>
      <c r="AL16" s="968">
        <f t="shared" si="0"/>
        <v>0</v>
      </c>
      <c r="AM16" s="968">
        <f t="shared" si="0"/>
        <v>0</v>
      </c>
      <c r="AN16" s="968">
        <f t="shared" si="0"/>
        <v>0</v>
      </c>
      <c r="AO16" s="968">
        <f t="shared" si="0"/>
        <v>0</v>
      </c>
      <c r="AP16" s="968">
        <f t="shared" si="0"/>
        <v>0</v>
      </c>
      <c r="AQ16" s="968">
        <f t="shared" si="0"/>
        <v>0</v>
      </c>
      <c r="AR16" s="968">
        <f t="shared" si="0"/>
        <v>0</v>
      </c>
      <c r="AS16" s="968">
        <f t="shared" si="0"/>
        <v>0</v>
      </c>
      <c r="AT16" s="968">
        <f t="shared" si="0"/>
        <v>0</v>
      </c>
      <c r="AU16" s="968">
        <f t="shared" si="0"/>
        <v>0</v>
      </c>
      <c r="AV16" s="936">
        <f>SUM(AV7:AV15)</f>
        <v>0</v>
      </c>
      <c r="AW16" s="937">
        <f>SUM(AW7:AW15)</f>
        <v>0</v>
      </c>
      <c r="AX16" s="946"/>
      <c r="AY16" s="882"/>
      <c r="AZ16" s="882"/>
      <c r="BA16" s="970"/>
      <c r="BB16" s="882"/>
      <c r="BC16" s="882"/>
      <c r="BD16" s="882"/>
      <c r="BE16" s="882"/>
      <c r="BF16" s="882"/>
      <c r="BG16" s="882"/>
      <c r="BH16" s="882"/>
      <c r="BI16" s="882"/>
      <c r="BJ16" s="882"/>
      <c r="BK16" s="882"/>
      <c r="BL16" s="882"/>
      <c r="BM16" s="882"/>
      <c r="BN16" s="882"/>
      <c r="BO16" s="882"/>
      <c r="BP16" s="882"/>
      <c r="BQ16" s="882"/>
      <c r="BR16" s="882"/>
      <c r="BS16" s="882"/>
      <c r="BT16" s="882"/>
      <c r="BU16" s="882"/>
      <c r="BV16" s="882"/>
      <c r="BW16" s="882"/>
      <c r="BX16" s="882"/>
      <c r="BY16" s="882"/>
      <c r="BZ16" s="882"/>
      <c r="CA16" s="882"/>
    </row>
    <row r="17" spans="1:79">
      <c r="A17" s="882"/>
      <c r="B17" s="882"/>
      <c r="C17" s="882"/>
      <c r="D17" s="882"/>
      <c r="E17" s="1424" t="s">
        <v>612</v>
      </c>
      <c r="F17" s="1424"/>
      <c r="G17" s="971">
        <v>0</v>
      </c>
      <c r="H17" s="971">
        <v>0.15000000009353201</v>
      </c>
      <c r="I17" s="971">
        <v>0</v>
      </c>
      <c r="J17" s="971">
        <v>0</v>
      </c>
      <c r="K17" s="971">
        <v>0</v>
      </c>
      <c r="L17" s="971">
        <v>0</v>
      </c>
      <c r="M17" s="971">
        <v>0</v>
      </c>
      <c r="N17" s="971">
        <v>0</v>
      </c>
      <c r="O17" s="971">
        <v>0</v>
      </c>
      <c r="P17" s="971">
        <v>0</v>
      </c>
      <c r="Q17" s="971">
        <v>0</v>
      </c>
      <c r="R17" s="971">
        <v>0</v>
      </c>
      <c r="S17" s="971">
        <v>0.25000000015588703</v>
      </c>
      <c r="T17" s="971">
        <v>0</v>
      </c>
      <c r="U17" s="971">
        <v>0</v>
      </c>
      <c r="V17" s="971">
        <v>0</v>
      </c>
      <c r="W17" s="971">
        <v>0</v>
      </c>
      <c r="X17" s="971">
        <v>0</v>
      </c>
      <c r="Y17" s="971">
        <v>0</v>
      </c>
      <c r="Z17" s="971">
        <v>0</v>
      </c>
      <c r="AA17" s="971">
        <v>0</v>
      </c>
      <c r="AB17" s="971">
        <v>0</v>
      </c>
      <c r="AC17" s="971">
        <v>0</v>
      </c>
      <c r="AD17" s="971">
        <v>0.25000000015588703</v>
      </c>
      <c r="AE17" s="972">
        <v>0</v>
      </c>
      <c r="AF17" s="971">
        <v>0</v>
      </c>
      <c r="AG17" s="971">
        <v>0</v>
      </c>
      <c r="AH17" s="971">
        <v>0.100000000062355</v>
      </c>
      <c r="AI17" s="971">
        <v>0</v>
      </c>
      <c r="AJ17" s="971">
        <v>0.100000000062355</v>
      </c>
      <c r="AK17" s="971">
        <v>0</v>
      </c>
      <c r="AL17" s="971">
        <v>0</v>
      </c>
      <c r="AM17" s="971">
        <v>0</v>
      </c>
      <c r="AN17" s="971">
        <v>0</v>
      </c>
      <c r="AO17" s="971">
        <v>0</v>
      </c>
      <c r="AP17" s="971">
        <v>0.100000000062355</v>
      </c>
      <c r="AQ17" s="971">
        <v>5.0000000031177501E-2</v>
      </c>
      <c r="AR17" s="971">
        <v>0.35980000000000001</v>
      </c>
      <c r="AS17" s="971"/>
      <c r="AT17" s="971">
        <v>0</v>
      </c>
      <c r="AU17" s="971">
        <v>0</v>
      </c>
      <c r="AV17" s="973">
        <v>0</v>
      </c>
      <c r="AW17" s="973">
        <v>0</v>
      </c>
      <c r="AX17" s="946"/>
      <c r="AY17" s="882"/>
      <c r="AZ17" s="882"/>
      <c r="BA17" s="882"/>
      <c r="BB17" s="882"/>
      <c r="BC17" s="882"/>
      <c r="BD17" s="882"/>
      <c r="BE17" s="882"/>
      <c r="BF17" s="882"/>
      <c r="BG17" s="882"/>
      <c r="BH17" s="882"/>
      <c r="BI17" s="882"/>
      <c r="BJ17" s="882"/>
      <c r="BK17" s="882"/>
      <c r="BL17" s="882"/>
      <c r="BM17" s="882"/>
      <c r="BN17" s="882"/>
      <c r="BO17" s="882"/>
      <c r="BP17" s="882"/>
      <c r="BQ17" s="882"/>
      <c r="BR17" s="882"/>
      <c r="BS17" s="882"/>
      <c r="BT17" s="882"/>
      <c r="BU17" s="882"/>
      <c r="BV17" s="882"/>
      <c r="BW17" s="882"/>
      <c r="BX17" s="882"/>
      <c r="BY17" s="882"/>
      <c r="BZ17" s="882"/>
      <c r="CA17" s="882"/>
    </row>
    <row r="18" spans="1:79">
      <c r="A18" s="882"/>
      <c r="B18" s="882"/>
      <c r="C18" s="882"/>
      <c r="D18" s="882"/>
      <c r="E18" s="974">
        <v>0</v>
      </c>
      <c r="F18" s="974"/>
      <c r="G18" s="975">
        <v>0</v>
      </c>
      <c r="H18" s="975"/>
      <c r="I18" s="975"/>
      <c r="J18" s="975"/>
      <c r="K18" s="975"/>
      <c r="L18" s="975"/>
      <c r="M18" s="975"/>
      <c r="N18" s="975"/>
      <c r="O18" s="975"/>
      <c r="P18" s="975"/>
      <c r="Q18" s="975"/>
      <c r="R18" s="975"/>
      <c r="S18" s="975"/>
      <c r="T18" s="975"/>
      <c r="U18" s="975"/>
      <c r="V18" s="975"/>
      <c r="W18" s="975"/>
      <c r="X18" s="975"/>
      <c r="Y18" s="975"/>
      <c r="Z18" s="975"/>
      <c r="AA18" s="975"/>
      <c r="AB18" s="975"/>
      <c r="AC18" s="975"/>
      <c r="AD18" s="975"/>
      <c r="AE18" s="975"/>
      <c r="AF18" s="975"/>
      <c r="AG18" s="975"/>
      <c r="AH18" s="975"/>
      <c r="AI18" s="975"/>
      <c r="AJ18" s="975"/>
      <c r="AK18" s="975"/>
      <c r="AL18" s="975"/>
      <c r="AM18" s="975"/>
      <c r="AN18" s="975"/>
      <c r="AO18" s="975"/>
      <c r="AP18" s="975"/>
      <c r="AQ18" s="975"/>
      <c r="AR18" s="975"/>
      <c r="AS18" s="975"/>
      <c r="AT18" s="975"/>
      <c r="AU18" s="975"/>
      <c r="AV18" s="882">
        <v>0</v>
      </c>
      <c r="AW18" s="882">
        <v>0</v>
      </c>
      <c r="AX18" s="882"/>
      <c r="AY18" s="882"/>
      <c r="AZ18" s="882"/>
      <c r="BA18" s="882"/>
      <c r="BB18" s="882"/>
      <c r="BC18" s="882"/>
      <c r="BD18" s="882"/>
      <c r="BE18" s="882"/>
      <c r="BF18" s="882"/>
      <c r="BG18" s="882"/>
      <c r="BH18" s="882"/>
      <c r="BI18" s="882"/>
      <c r="BJ18" s="882"/>
      <c r="BK18" s="882"/>
      <c r="BL18" s="882"/>
      <c r="BM18" s="882"/>
      <c r="BN18" s="882"/>
      <c r="BO18" s="882"/>
      <c r="BP18" s="882"/>
      <c r="BQ18" s="882"/>
      <c r="BR18" s="882"/>
      <c r="BS18" s="882"/>
      <c r="BT18" s="882"/>
      <c r="BU18" s="882"/>
      <c r="BV18" s="882"/>
      <c r="BW18" s="882"/>
      <c r="BX18" s="882"/>
      <c r="BY18" s="882"/>
      <c r="BZ18" s="882"/>
      <c r="CA18" s="882"/>
    </row>
    <row r="19" spans="1:79" ht="15.75" customHeight="1">
      <c r="A19" s="907" t="s">
        <v>613</v>
      </c>
      <c r="B19" s="976"/>
      <c r="C19" s="976"/>
      <c r="D19" s="976"/>
      <c r="E19" s="896">
        <v>0</v>
      </c>
      <c r="F19" s="883">
        <v>0</v>
      </c>
      <c r="G19" s="883">
        <v>0</v>
      </c>
      <c r="H19" s="891">
        <v>0</v>
      </c>
      <c r="I19" s="891">
        <v>0</v>
      </c>
      <c r="J19" s="891">
        <v>0</v>
      </c>
      <c r="K19" s="891">
        <v>0</v>
      </c>
      <c r="L19" s="891">
        <v>0</v>
      </c>
      <c r="M19" s="891">
        <v>0</v>
      </c>
      <c r="N19" s="891">
        <v>0</v>
      </c>
      <c r="O19" s="891">
        <v>0</v>
      </c>
      <c r="P19" s="891">
        <v>0</v>
      </c>
      <c r="Q19" s="891">
        <v>0</v>
      </c>
      <c r="R19" s="891">
        <v>0</v>
      </c>
      <c r="S19" s="891">
        <v>0</v>
      </c>
      <c r="T19" s="891">
        <v>0</v>
      </c>
      <c r="U19" s="891">
        <v>0</v>
      </c>
      <c r="V19" s="891">
        <v>0</v>
      </c>
      <c r="W19" s="891">
        <v>0</v>
      </c>
      <c r="X19" s="891">
        <v>0</v>
      </c>
      <c r="Y19" s="891">
        <v>0</v>
      </c>
      <c r="Z19" s="891">
        <v>0</v>
      </c>
      <c r="AA19" s="891">
        <v>0</v>
      </c>
      <c r="AB19" s="891">
        <v>0</v>
      </c>
      <c r="AC19" s="891">
        <v>0</v>
      </c>
      <c r="AD19" s="891">
        <v>0</v>
      </c>
      <c r="AE19" s="891">
        <v>0</v>
      </c>
      <c r="AF19" s="891">
        <v>0</v>
      </c>
      <c r="AG19" s="891">
        <v>0</v>
      </c>
      <c r="AH19" s="891">
        <v>0</v>
      </c>
      <c r="AI19" s="891">
        <v>0</v>
      </c>
      <c r="AJ19" s="891">
        <v>0</v>
      </c>
      <c r="AK19" s="891">
        <v>0</v>
      </c>
      <c r="AL19" s="891">
        <v>0</v>
      </c>
      <c r="AM19" s="891">
        <v>0</v>
      </c>
      <c r="AN19" s="891">
        <v>0</v>
      </c>
      <c r="AO19" s="891">
        <v>0</v>
      </c>
      <c r="AP19" s="891">
        <v>0</v>
      </c>
      <c r="AQ19" s="891">
        <v>0</v>
      </c>
      <c r="AR19" s="891">
        <v>0</v>
      </c>
      <c r="AS19" s="891">
        <v>0</v>
      </c>
      <c r="AT19" s="891">
        <v>0</v>
      </c>
      <c r="AU19" s="891">
        <v>0</v>
      </c>
      <c r="AV19" s="977">
        <v>0</v>
      </c>
      <c r="AW19" s="977">
        <v>0</v>
      </c>
      <c r="AX19" s="978"/>
      <c r="AY19" s="977"/>
      <c r="AZ19" s="882"/>
      <c r="BA19" s="882"/>
      <c r="BB19" s="882"/>
      <c r="BC19" s="882"/>
      <c r="BD19" s="882"/>
      <c r="BE19" s="882"/>
      <c r="BF19" s="882"/>
      <c r="BG19" s="882"/>
      <c r="BH19" s="882"/>
      <c r="BI19" s="882"/>
      <c r="BJ19" s="882"/>
      <c r="BK19" s="882"/>
      <c r="BL19" s="882"/>
      <c r="BM19" s="882"/>
      <c r="BN19" s="882"/>
      <c r="BO19" s="882"/>
      <c r="BP19" s="882"/>
      <c r="BQ19" s="882"/>
      <c r="BR19" s="882"/>
      <c r="BS19" s="882"/>
      <c r="BT19" s="882"/>
      <c r="BU19" s="882"/>
      <c r="BV19" s="882"/>
      <c r="BW19" s="882"/>
      <c r="BX19" s="882"/>
      <c r="BY19" s="882"/>
      <c r="BZ19" s="882"/>
      <c r="CA19" s="882"/>
    </row>
    <row r="20" spans="1:79">
      <c r="A20" s="979" t="s">
        <v>133</v>
      </c>
      <c r="B20" s="896"/>
      <c r="C20" s="882"/>
      <c r="D20" s="882"/>
      <c r="E20" s="980">
        <v>0</v>
      </c>
      <c r="F20" s="981">
        <v>0</v>
      </c>
      <c r="G20" s="981">
        <v>0</v>
      </c>
      <c r="H20" s="982">
        <v>0</v>
      </c>
      <c r="I20" s="982">
        <v>0</v>
      </c>
      <c r="J20" s="982">
        <v>0</v>
      </c>
      <c r="K20" s="982">
        <v>0</v>
      </c>
      <c r="L20" s="982">
        <v>0</v>
      </c>
      <c r="M20" s="982">
        <v>0</v>
      </c>
      <c r="N20" s="982">
        <v>0</v>
      </c>
      <c r="O20" s="982">
        <v>0</v>
      </c>
      <c r="P20" s="982">
        <v>0</v>
      </c>
      <c r="Q20" s="982">
        <v>0</v>
      </c>
      <c r="R20" s="982">
        <v>0</v>
      </c>
      <c r="S20" s="982">
        <v>0</v>
      </c>
      <c r="T20" s="982">
        <v>0</v>
      </c>
      <c r="U20" s="982">
        <v>0</v>
      </c>
      <c r="V20" s="982">
        <v>0</v>
      </c>
      <c r="W20" s="982">
        <v>0</v>
      </c>
      <c r="X20" s="982">
        <v>0</v>
      </c>
      <c r="Y20" s="982">
        <v>0</v>
      </c>
      <c r="Z20" s="982">
        <v>0</v>
      </c>
      <c r="AA20" s="982">
        <v>0</v>
      </c>
      <c r="AB20" s="982">
        <v>0</v>
      </c>
      <c r="AC20" s="982">
        <v>0</v>
      </c>
      <c r="AD20" s="982">
        <v>0</v>
      </c>
      <c r="AE20" s="982">
        <v>0</v>
      </c>
      <c r="AF20" s="982">
        <v>0</v>
      </c>
      <c r="AG20" s="982">
        <v>0</v>
      </c>
      <c r="AH20" s="982">
        <v>0</v>
      </c>
      <c r="AI20" s="982">
        <v>0</v>
      </c>
      <c r="AJ20" s="982">
        <v>0</v>
      </c>
      <c r="AK20" s="982">
        <v>0</v>
      </c>
      <c r="AL20" s="982">
        <v>0</v>
      </c>
      <c r="AM20" s="982">
        <v>0</v>
      </c>
      <c r="AN20" s="982">
        <v>0</v>
      </c>
      <c r="AO20" s="982">
        <v>0</v>
      </c>
      <c r="AP20" s="982">
        <v>0</v>
      </c>
      <c r="AQ20" s="982">
        <v>0</v>
      </c>
      <c r="AR20" s="982">
        <v>0</v>
      </c>
      <c r="AS20" s="982">
        <v>0</v>
      </c>
      <c r="AT20" s="982">
        <v>0</v>
      </c>
      <c r="AU20" s="982">
        <v>0</v>
      </c>
      <c r="AV20" s="982">
        <v>0</v>
      </c>
      <c r="AW20" s="982">
        <v>0</v>
      </c>
      <c r="AX20" s="946"/>
      <c r="AY20" s="882"/>
      <c r="AZ20" s="882"/>
      <c r="BA20" s="882"/>
      <c r="BB20" s="882"/>
      <c r="BC20" s="882"/>
      <c r="BD20" s="882"/>
      <c r="BE20" s="882"/>
      <c r="BF20" s="882"/>
      <c r="BG20" s="882"/>
      <c r="BH20" s="882"/>
      <c r="BI20" s="882"/>
      <c r="BJ20" s="882"/>
      <c r="BK20" s="882"/>
      <c r="BL20" s="882"/>
      <c r="BM20" s="882"/>
      <c r="BN20" s="882"/>
      <c r="BO20" s="882"/>
      <c r="BP20" s="882"/>
      <c r="BQ20" s="882"/>
      <c r="BR20" s="882"/>
      <c r="BS20" s="882"/>
      <c r="BT20" s="882"/>
      <c r="BU20" s="882"/>
      <c r="BV20" s="882"/>
      <c r="BW20" s="882"/>
      <c r="BX20" s="882"/>
      <c r="BY20" s="882"/>
      <c r="BZ20" s="882"/>
      <c r="CA20" s="882"/>
    </row>
    <row r="21" spans="1:79">
      <c r="A21" s="896"/>
      <c r="B21" s="896" t="s">
        <v>225</v>
      </c>
      <c r="C21" s="882"/>
      <c r="D21" s="882"/>
      <c r="E21" s="983">
        <v>0</v>
      </c>
      <c r="F21" s="942">
        <f>'Development Budget'!G9</f>
        <v>0</v>
      </c>
      <c r="G21" s="942">
        <v>0</v>
      </c>
      <c r="H21" s="943">
        <v>0</v>
      </c>
      <c r="I21" s="944">
        <v>0</v>
      </c>
      <c r="J21" s="944">
        <v>0</v>
      </c>
      <c r="K21" s="944">
        <v>0</v>
      </c>
      <c r="L21" s="944">
        <v>0</v>
      </c>
      <c r="M21" s="944">
        <v>0</v>
      </c>
      <c r="N21" s="944">
        <v>0</v>
      </c>
      <c r="O21" s="944">
        <v>0</v>
      </c>
      <c r="P21" s="944">
        <v>0</v>
      </c>
      <c r="Q21" s="944">
        <v>0</v>
      </c>
      <c r="R21" s="944">
        <v>0</v>
      </c>
      <c r="S21" s="944">
        <v>0</v>
      </c>
      <c r="T21" s="944">
        <v>0</v>
      </c>
      <c r="U21" s="944">
        <v>0</v>
      </c>
      <c r="V21" s="944">
        <v>0</v>
      </c>
      <c r="W21" s="944">
        <v>0</v>
      </c>
      <c r="X21" s="944">
        <v>0</v>
      </c>
      <c r="Y21" s="944">
        <v>0</v>
      </c>
      <c r="Z21" s="944">
        <v>0</v>
      </c>
      <c r="AA21" s="944">
        <v>0</v>
      </c>
      <c r="AB21" s="944">
        <v>0</v>
      </c>
      <c r="AC21" s="944">
        <v>0</v>
      </c>
      <c r="AD21" s="944">
        <v>0</v>
      </c>
      <c r="AE21" s="943">
        <v>0</v>
      </c>
      <c r="AF21" s="944">
        <v>0</v>
      </c>
      <c r="AG21" s="944">
        <v>0</v>
      </c>
      <c r="AH21" s="944">
        <v>0</v>
      </c>
      <c r="AI21" s="944">
        <v>0</v>
      </c>
      <c r="AJ21" s="944">
        <v>0</v>
      </c>
      <c r="AK21" s="944">
        <v>0</v>
      </c>
      <c r="AL21" s="944">
        <v>0</v>
      </c>
      <c r="AM21" s="944">
        <v>0</v>
      </c>
      <c r="AN21" s="944">
        <v>0</v>
      </c>
      <c r="AO21" s="943">
        <v>0</v>
      </c>
      <c r="AP21" s="944">
        <v>0</v>
      </c>
      <c r="AQ21" s="944">
        <v>0</v>
      </c>
      <c r="AR21" s="944">
        <v>0</v>
      </c>
      <c r="AS21" s="944">
        <v>0</v>
      </c>
      <c r="AT21" s="944">
        <v>0</v>
      </c>
      <c r="AU21" s="944">
        <v>0</v>
      </c>
      <c r="AV21" s="984">
        <f>SUM(H21:AU21)</f>
        <v>0</v>
      </c>
      <c r="AW21" s="985">
        <f>F21-AV21</f>
        <v>0</v>
      </c>
      <c r="AX21" s="946"/>
      <c r="AY21" s="882"/>
      <c r="AZ21" s="882"/>
      <c r="BA21" s="882"/>
      <c r="BB21" s="882"/>
      <c r="BC21" s="882"/>
      <c r="BD21" s="882"/>
      <c r="BE21" s="882"/>
      <c r="BF21" s="882"/>
      <c r="BG21" s="882"/>
      <c r="BH21" s="882"/>
      <c r="BI21" s="882"/>
      <c r="BJ21" s="882"/>
      <c r="BK21" s="882"/>
      <c r="BL21" s="882"/>
      <c r="BM21" s="882"/>
      <c r="BN21" s="882"/>
      <c r="BO21" s="882"/>
      <c r="BP21" s="882"/>
      <c r="BQ21" s="882"/>
      <c r="BR21" s="882"/>
      <c r="BS21" s="882"/>
      <c r="BT21" s="882"/>
      <c r="BU21" s="882"/>
      <c r="BV21" s="882"/>
      <c r="BW21" s="882"/>
      <c r="BX21" s="882"/>
      <c r="BY21" s="882"/>
      <c r="BZ21" s="882"/>
      <c r="CA21" s="882"/>
    </row>
    <row r="22" spans="1:79">
      <c r="A22" s="896"/>
      <c r="B22" s="896"/>
      <c r="C22" s="882"/>
      <c r="D22" s="882"/>
      <c r="E22" s="983">
        <v>0</v>
      </c>
      <c r="F22" s="986">
        <v>0</v>
      </c>
      <c r="G22" s="986">
        <v>0</v>
      </c>
      <c r="H22" s="987">
        <v>0</v>
      </c>
      <c r="I22" s="988">
        <v>0</v>
      </c>
      <c r="J22" s="986">
        <v>0</v>
      </c>
      <c r="K22" s="986">
        <v>0</v>
      </c>
      <c r="L22" s="986">
        <v>0</v>
      </c>
      <c r="M22" s="986">
        <v>0</v>
      </c>
      <c r="N22" s="986">
        <v>0</v>
      </c>
      <c r="O22" s="986">
        <v>0</v>
      </c>
      <c r="P22" s="986">
        <v>0</v>
      </c>
      <c r="Q22" s="986">
        <v>0</v>
      </c>
      <c r="R22" s="986">
        <v>0</v>
      </c>
      <c r="S22" s="986">
        <v>0</v>
      </c>
      <c r="T22" s="986">
        <v>0</v>
      </c>
      <c r="U22" s="986">
        <v>0</v>
      </c>
      <c r="V22" s="986">
        <v>0</v>
      </c>
      <c r="W22" s="986">
        <v>0</v>
      </c>
      <c r="X22" s="986">
        <v>0</v>
      </c>
      <c r="Y22" s="986">
        <v>0</v>
      </c>
      <c r="Z22" s="986">
        <v>0</v>
      </c>
      <c r="AA22" s="986">
        <v>0</v>
      </c>
      <c r="AB22" s="986">
        <v>0</v>
      </c>
      <c r="AC22" s="986">
        <v>0</v>
      </c>
      <c r="AD22" s="986">
        <v>0</v>
      </c>
      <c r="AE22" s="986">
        <v>0</v>
      </c>
      <c r="AF22" s="986">
        <v>0</v>
      </c>
      <c r="AG22" s="986">
        <v>0</v>
      </c>
      <c r="AH22" s="986">
        <v>0</v>
      </c>
      <c r="AI22" s="986">
        <v>0</v>
      </c>
      <c r="AJ22" s="986">
        <v>0</v>
      </c>
      <c r="AK22" s="986">
        <v>0</v>
      </c>
      <c r="AL22" s="986">
        <v>0</v>
      </c>
      <c r="AM22" s="986">
        <v>0</v>
      </c>
      <c r="AN22" s="986">
        <v>0</v>
      </c>
      <c r="AO22" s="986">
        <v>0</v>
      </c>
      <c r="AP22" s="986">
        <v>0</v>
      </c>
      <c r="AQ22" s="986">
        <v>0</v>
      </c>
      <c r="AR22" s="986">
        <v>0</v>
      </c>
      <c r="AS22" s="986">
        <v>0</v>
      </c>
      <c r="AT22" s="986">
        <v>0</v>
      </c>
      <c r="AU22" s="986">
        <v>0</v>
      </c>
      <c r="AV22" s="986">
        <v>0</v>
      </c>
      <c r="AW22" s="986">
        <v>0</v>
      </c>
      <c r="AX22" s="946"/>
      <c r="AY22" s="882"/>
      <c r="AZ22" s="882"/>
      <c r="BA22" s="882"/>
      <c r="BB22" s="882"/>
      <c r="BC22" s="882"/>
      <c r="BD22" s="882"/>
      <c r="BE22" s="882"/>
      <c r="BF22" s="882"/>
      <c r="BG22" s="882"/>
      <c r="BH22" s="882"/>
      <c r="BI22" s="882"/>
      <c r="BJ22" s="882"/>
      <c r="BK22" s="882"/>
      <c r="BL22" s="882"/>
      <c r="BM22" s="882"/>
      <c r="BN22" s="882"/>
      <c r="BO22" s="882"/>
      <c r="BP22" s="882"/>
      <c r="BQ22" s="882"/>
      <c r="BR22" s="882"/>
      <c r="BS22" s="882"/>
      <c r="BT22" s="882"/>
      <c r="BU22" s="882"/>
      <c r="BV22" s="882"/>
      <c r="BW22" s="882"/>
      <c r="BX22" s="882"/>
      <c r="BY22" s="882"/>
      <c r="BZ22" s="882"/>
      <c r="CA22" s="882"/>
    </row>
    <row r="23" spans="1:79">
      <c r="A23" s="979" t="s">
        <v>135</v>
      </c>
      <c r="B23" s="896"/>
      <c r="C23" s="882"/>
      <c r="D23" s="882"/>
      <c r="E23" s="983"/>
      <c r="F23" s="989">
        <v>0</v>
      </c>
      <c r="G23" s="990">
        <v>0</v>
      </c>
      <c r="H23" s="991">
        <v>0</v>
      </c>
      <c r="I23" s="992">
        <v>0</v>
      </c>
      <c r="J23" s="992">
        <v>0</v>
      </c>
      <c r="K23" s="992">
        <v>0</v>
      </c>
      <c r="L23" s="992">
        <v>0</v>
      </c>
      <c r="M23" s="992">
        <v>0</v>
      </c>
      <c r="N23" s="992">
        <v>0</v>
      </c>
      <c r="O23" s="992">
        <v>0</v>
      </c>
      <c r="P23" s="992">
        <v>0</v>
      </c>
      <c r="Q23" s="992">
        <v>0</v>
      </c>
      <c r="R23" s="992">
        <v>0</v>
      </c>
      <c r="S23" s="992">
        <v>0</v>
      </c>
      <c r="T23" s="992">
        <v>0</v>
      </c>
      <c r="U23" s="992">
        <v>0</v>
      </c>
      <c r="V23" s="992">
        <v>0</v>
      </c>
      <c r="W23" s="992">
        <v>0</v>
      </c>
      <c r="X23" s="992">
        <v>0</v>
      </c>
      <c r="Y23" s="992">
        <v>0</v>
      </c>
      <c r="Z23" s="992">
        <v>0</v>
      </c>
      <c r="AA23" s="992">
        <v>0</v>
      </c>
      <c r="AB23" s="992">
        <v>0</v>
      </c>
      <c r="AC23" s="992">
        <v>0</v>
      </c>
      <c r="AD23" s="992">
        <v>0</v>
      </c>
      <c r="AE23" s="992">
        <v>0</v>
      </c>
      <c r="AF23" s="992">
        <v>0</v>
      </c>
      <c r="AG23" s="992">
        <v>0</v>
      </c>
      <c r="AH23" s="992">
        <v>0</v>
      </c>
      <c r="AI23" s="992">
        <v>0</v>
      </c>
      <c r="AJ23" s="992">
        <v>0</v>
      </c>
      <c r="AK23" s="992">
        <v>0</v>
      </c>
      <c r="AL23" s="992">
        <v>0</v>
      </c>
      <c r="AM23" s="992">
        <v>0</v>
      </c>
      <c r="AN23" s="992">
        <v>0</v>
      </c>
      <c r="AO23" s="992">
        <v>0</v>
      </c>
      <c r="AP23" s="992">
        <v>0</v>
      </c>
      <c r="AQ23" s="993">
        <v>0</v>
      </c>
      <c r="AR23" s="992">
        <v>0</v>
      </c>
      <c r="AS23" s="992">
        <v>0</v>
      </c>
      <c r="AT23" s="992">
        <v>0</v>
      </c>
      <c r="AU23" s="994">
        <v>0</v>
      </c>
      <c r="AV23" s="995">
        <v>0</v>
      </c>
      <c r="AW23" s="996">
        <v>0</v>
      </c>
      <c r="AX23" s="946"/>
      <c r="AY23" s="882"/>
      <c r="AZ23" s="882"/>
      <c r="BA23" s="882"/>
      <c r="BB23" s="882"/>
      <c r="BC23" s="882"/>
      <c r="BD23" s="882"/>
      <c r="BE23" s="882"/>
      <c r="BF23" s="882"/>
      <c r="BG23" s="882"/>
      <c r="BH23" s="882"/>
      <c r="BI23" s="882"/>
      <c r="BJ23" s="882"/>
      <c r="BK23" s="882"/>
      <c r="BL23" s="882"/>
      <c r="BM23" s="882"/>
      <c r="BN23" s="882"/>
      <c r="BO23" s="882"/>
      <c r="BP23" s="882"/>
      <c r="BQ23" s="882"/>
      <c r="BR23" s="882"/>
      <c r="BS23" s="882"/>
      <c r="BT23" s="882"/>
      <c r="BU23" s="882"/>
      <c r="BV23" s="882"/>
      <c r="BW23" s="882"/>
      <c r="BX23" s="882"/>
      <c r="BY23" s="882"/>
      <c r="BZ23" s="882"/>
      <c r="CA23" s="882"/>
    </row>
    <row r="24" spans="1:79">
      <c r="A24" s="896"/>
      <c r="B24" s="896" t="s">
        <v>226</v>
      </c>
      <c r="C24" s="882"/>
      <c r="D24" s="997">
        <v>23.27</v>
      </c>
      <c r="E24" s="983">
        <v>0</v>
      </c>
      <c r="F24" s="998">
        <f>'Development Budget'!G12</f>
        <v>0</v>
      </c>
      <c r="G24" s="998">
        <v>0</v>
      </c>
      <c r="H24" s="999">
        <v>0</v>
      </c>
      <c r="I24" s="1000">
        <v>0</v>
      </c>
      <c r="J24" s="1000">
        <v>0</v>
      </c>
      <c r="K24" s="1000">
        <v>0</v>
      </c>
      <c r="L24" s="1000">
        <v>0</v>
      </c>
      <c r="M24" s="1000">
        <v>0</v>
      </c>
      <c r="N24" s="1000">
        <v>0</v>
      </c>
      <c r="O24" s="1000">
        <v>0</v>
      </c>
      <c r="P24" s="1000">
        <v>0</v>
      </c>
      <c r="Q24" s="1000">
        <v>0</v>
      </c>
      <c r="R24" s="1000">
        <v>0</v>
      </c>
      <c r="S24" s="1000">
        <v>0</v>
      </c>
      <c r="T24" s="1000">
        <v>0</v>
      </c>
      <c r="U24" s="1000">
        <v>0</v>
      </c>
      <c r="V24" s="1000">
        <v>0</v>
      </c>
      <c r="W24" s="1000">
        <v>0</v>
      </c>
      <c r="X24" s="1000">
        <v>0</v>
      </c>
      <c r="Y24" s="1000">
        <v>0</v>
      </c>
      <c r="Z24" s="1000">
        <v>0</v>
      </c>
      <c r="AA24" s="1000">
        <v>0</v>
      </c>
      <c r="AB24" s="1000">
        <v>0</v>
      </c>
      <c r="AC24" s="1000">
        <v>0</v>
      </c>
      <c r="AD24" s="1000">
        <v>0</v>
      </c>
      <c r="AE24" s="1001">
        <v>0</v>
      </c>
      <c r="AF24" s="1000">
        <v>0</v>
      </c>
      <c r="AG24" s="1000">
        <v>0</v>
      </c>
      <c r="AH24" s="1000">
        <v>0</v>
      </c>
      <c r="AI24" s="1000">
        <v>0</v>
      </c>
      <c r="AJ24" s="1000">
        <v>0</v>
      </c>
      <c r="AK24" s="1000">
        <v>0</v>
      </c>
      <c r="AL24" s="1000">
        <v>0</v>
      </c>
      <c r="AM24" s="1000">
        <v>0</v>
      </c>
      <c r="AN24" s="1000">
        <v>0</v>
      </c>
      <c r="AO24" s="1001">
        <v>0</v>
      </c>
      <c r="AP24" s="1000">
        <v>0</v>
      </c>
      <c r="AQ24" s="1000">
        <v>0</v>
      </c>
      <c r="AR24" s="1000">
        <v>0</v>
      </c>
      <c r="AS24" s="1000">
        <v>0</v>
      </c>
      <c r="AT24" s="1000">
        <v>0</v>
      </c>
      <c r="AU24" s="1000">
        <v>0</v>
      </c>
      <c r="AV24" s="1002">
        <f>SUM(H24:AU24)</f>
        <v>0</v>
      </c>
      <c r="AW24" s="985">
        <f>F24-AV24</f>
        <v>0</v>
      </c>
      <c r="AX24" s="946"/>
      <c r="AY24" s="882"/>
      <c r="AZ24" s="882"/>
      <c r="BA24" s="882"/>
      <c r="BB24" s="882"/>
      <c r="BC24" s="882"/>
      <c r="BD24" s="882"/>
      <c r="BE24" s="882"/>
      <c r="BF24" s="882"/>
      <c r="BG24" s="882"/>
      <c r="BH24" s="882"/>
      <c r="BI24" s="882"/>
      <c r="BJ24" s="882"/>
      <c r="BK24" s="882"/>
      <c r="BL24" s="882"/>
      <c r="BM24" s="882"/>
      <c r="BN24" s="882"/>
      <c r="BO24" s="882"/>
      <c r="BP24" s="882"/>
      <c r="BQ24" s="882"/>
      <c r="BR24" s="882"/>
      <c r="BS24" s="882"/>
      <c r="BT24" s="882"/>
      <c r="BU24" s="882"/>
      <c r="BV24" s="882"/>
      <c r="BW24" s="882"/>
      <c r="BX24" s="882"/>
      <c r="BY24" s="882"/>
      <c r="BZ24" s="882"/>
      <c r="CA24" s="882"/>
    </row>
    <row r="25" spans="1:79">
      <c r="A25" s="896"/>
      <c r="B25" s="896" t="s">
        <v>227</v>
      </c>
      <c r="C25" s="882"/>
      <c r="D25" s="882"/>
      <c r="E25" s="983">
        <v>0</v>
      </c>
      <c r="F25" s="998">
        <f>'Development Budget'!G13</f>
        <v>0</v>
      </c>
      <c r="G25" s="942">
        <v>0</v>
      </c>
      <c r="H25" s="999">
        <v>0</v>
      </c>
      <c r="I25" s="1000">
        <v>0</v>
      </c>
      <c r="J25" s="1000">
        <v>0</v>
      </c>
      <c r="K25" s="1000">
        <v>0</v>
      </c>
      <c r="L25" s="1000">
        <v>0</v>
      </c>
      <c r="M25" s="1000">
        <v>0</v>
      </c>
      <c r="N25" s="1000">
        <v>0</v>
      </c>
      <c r="O25" s="1000">
        <v>0</v>
      </c>
      <c r="P25" s="1000">
        <v>0</v>
      </c>
      <c r="Q25" s="1000">
        <v>0</v>
      </c>
      <c r="R25" s="1000">
        <v>0</v>
      </c>
      <c r="S25" s="1000">
        <v>0</v>
      </c>
      <c r="T25" s="1000">
        <v>0</v>
      </c>
      <c r="U25" s="1000">
        <v>0</v>
      </c>
      <c r="V25" s="1000">
        <v>0</v>
      </c>
      <c r="W25" s="1000">
        <v>0</v>
      </c>
      <c r="X25" s="1000">
        <v>0</v>
      </c>
      <c r="Y25" s="1000">
        <v>0</v>
      </c>
      <c r="Z25" s="1000">
        <v>0</v>
      </c>
      <c r="AA25" s="1000">
        <v>0</v>
      </c>
      <c r="AB25" s="1000">
        <v>0</v>
      </c>
      <c r="AC25" s="1000">
        <v>0</v>
      </c>
      <c r="AD25" s="1000">
        <v>0</v>
      </c>
      <c r="AE25" s="1001">
        <v>0</v>
      </c>
      <c r="AF25" s="1000">
        <v>0</v>
      </c>
      <c r="AG25" s="1000">
        <v>0</v>
      </c>
      <c r="AH25" s="1000">
        <v>0</v>
      </c>
      <c r="AI25" s="1000">
        <v>0</v>
      </c>
      <c r="AJ25" s="1000">
        <v>0</v>
      </c>
      <c r="AK25" s="1000">
        <v>0</v>
      </c>
      <c r="AL25" s="1000">
        <v>0</v>
      </c>
      <c r="AM25" s="1000">
        <v>0</v>
      </c>
      <c r="AN25" s="1003">
        <v>0</v>
      </c>
      <c r="AO25" s="999">
        <v>0</v>
      </c>
      <c r="AP25" s="1003">
        <v>0</v>
      </c>
      <c r="AQ25" s="1003">
        <v>0</v>
      </c>
      <c r="AR25" s="1003">
        <v>0</v>
      </c>
      <c r="AS25" s="1003">
        <v>0</v>
      </c>
      <c r="AT25" s="1003">
        <v>0</v>
      </c>
      <c r="AU25" s="1000">
        <v>0</v>
      </c>
      <c r="AV25" s="1002">
        <f>SUM(H25:AU25)</f>
        <v>0</v>
      </c>
      <c r="AW25" s="985">
        <f>F25-AV25</f>
        <v>0</v>
      </c>
      <c r="AX25" s="946"/>
      <c r="AY25" s="882"/>
      <c r="AZ25" s="882"/>
      <c r="BA25" s="882"/>
      <c r="BB25" s="882"/>
      <c r="BC25" s="882"/>
      <c r="BD25" s="882"/>
      <c r="BE25" s="882"/>
      <c r="BF25" s="882"/>
      <c r="BG25" s="882"/>
      <c r="BH25" s="882"/>
      <c r="BI25" s="882"/>
      <c r="BJ25" s="882"/>
      <c r="BK25" s="882"/>
      <c r="BL25" s="882"/>
      <c r="BM25" s="882"/>
      <c r="BN25" s="882"/>
      <c r="BO25" s="882"/>
      <c r="BP25" s="882"/>
      <c r="BQ25" s="882"/>
      <c r="BR25" s="882"/>
      <c r="BS25" s="882"/>
      <c r="BT25" s="882"/>
      <c r="BU25" s="882"/>
      <c r="BV25" s="882"/>
      <c r="BW25" s="882"/>
      <c r="BX25" s="882"/>
      <c r="BY25" s="882"/>
      <c r="BZ25" s="882"/>
      <c r="CA25" s="882"/>
    </row>
    <row r="26" spans="1:79">
      <c r="A26" s="896"/>
      <c r="B26" s="896" t="s">
        <v>228</v>
      </c>
      <c r="C26" s="882"/>
      <c r="D26" s="882"/>
      <c r="E26" s="983">
        <v>0</v>
      </c>
      <c r="F26" s="998">
        <f>'Development Budget'!G14</f>
        <v>0</v>
      </c>
      <c r="G26" s="942">
        <v>0</v>
      </c>
      <c r="H26" s="999">
        <v>0</v>
      </c>
      <c r="I26" s="1000">
        <v>0</v>
      </c>
      <c r="J26" s="1000">
        <v>0</v>
      </c>
      <c r="K26" s="1000">
        <v>0</v>
      </c>
      <c r="L26" s="1000">
        <v>0</v>
      </c>
      <c r="M26" s="1000">
        <v>0</v>
      </c>
      <c r="N26" s="1000">
        <v>0</v>
      </c>
      <c r="O26" s="1000">
        <v>0</v>
      </c>
      <c r="P26" s="1000">
        <v>0</v>
      </c>
      <c r="Q26" s="1000">
        <v>0</v>
      </c>
      <c r="R26" s="1000">
        <v>0</v>
      </c>
      <c r="S26" s="1000">
        <v>0</v>
      </c>
      <c r="T26" s="1000">
        <v>0</v>
      </c>
      <c r="U26" s="1000">
        <v>0</v>
      </c>
      <c r="V26" s="1000">
        <v>0</v>
      </c>
      <c r="W26" s="1000">
        <v>0</v>
      </c>
      <c r="X26" s="1000">
        <v>0</v>
      </c>
      <c r="Y26" s="1000">
        <v>0</v>
      </c>
      <c r="Z26" s="1000">
        <v>0</v>
      </c>
      <c r="AA26" s="1000">
        <v>0</v>
      </c>
      <c r="AB26" s="1000">
        <v>0</v>
      </c>
      <c r="AC26" s="1000">
        <v>0</v>
      </c>
      <c r="AD26" s="1000">
        <v>0</v>
      </c>
      <c r="AE26" s="1001">
        <v>0</v>
      </c>
      <c r="AF26" s="1000">
        <v>0</v>
      </c>
      <c r="AG26" s="1000">
        <v>0</v>
      </c>
      <c r="AH26" s="1000">
        <v>0</v>
      </c>
      <c r="AI26" s="1000">
        <v>0</v>
      </c>
      <c r="AJ26" s="1000">
        <v>0</v>
      </c>
      <c r="AK26" s="1000">
        <v>0</v>
      </c>
      <c r="AL26" s="1000">
        <v>0</v>
      </c>
      <c r="AM26" s="1000">
        <v>0</v>
      </c>
      <c r="AN26" s="1003">
        <v>0</v>
      </c>
      <c r="AO26" s="999">
        <v>0</v>
      </c>
      <c r="AP26" s="1003">
        <v>0</v>
      </c>
      <c r="AQ26" s="1003">
        <v>0</v>
      </c>
      <c r="AR26" s="1003">
        <v>0</v>
      </c>
      <c r="AS26" s="1003">
        <v>0</v>
      </c>
      <c r="AT26" s="1003">
        <v>0</v>
      </c>
      <c r="AU26" s="1000">
        <v>0</v>
      </c>
      <c r="AV26" s="1002">
        <f>SUM(H26:AU26)</f>
        <v>0</v>
      </c>
      <c r="AW26" s="985">
        <f>F26-AV26</f>
        <v>0</v>
      </c>
      <c r="AX26" s="946"/>
      <c r="AY26" s="882"/>
      <c r="AZ26" s="882"/>
      <c r="BA26" s="882"/>
      <c r="BB26" s="882"/>
      <c r="BC26" s="882"/>
      <c r="BD26" s="882"/>
      <c r="BE26" s="882"/>
      <c r="BF26" s="882"/>
      <c r="BG26" s="882"/>
      <c r="BH26" s="882"/>
      <c r="BI26" s="882"/>
      <c r="BJ26" s="882"/>
      <c r="BK26" s="882"/>
      <c r="BL26" s="882"/>
      <c r="BM26" s="882"/>
      <c r="BN26" s="882"/>
      <c r="BO26" s="882"/>
      <c r="BP26" s="882"/>
      <c r="BQ26" s="882"/>
      <c r="BR26" s="882"/>
      <c r="BS26" s="882"/>
      <c r="BT26" s="882"/>
      <c r="BU26" s="882"/>
      <c r="BV26" s="882"/>
      <c r="BW26" s="882"/>
      <c r="BX26" s="882"/>
      <c r="BY26" s="882"/>
      <c r="BZ26" s="882"/>
      <c r="CA26" s="882"/>
    </row>
    <row r="27" spans="1:79">
      <c r="A27" s="896"/>
      <c r="B27" s="896" t="s">
        <v>788</v>
      </c>
      <c r="C27" s="882"/>
      <c r="D27" s="882"/>
      <c r="E27" s="983">
        <v>0</v>
      </c>
      <c r="F27" s="998">
        <f>'Development Budget'!G15</f>
        <v>0</v>
      </c>
      <c r="G27" s="942">
        <v>0</v>
      </c>
      <c r="H27" s="1004">
        <v>0</v>
      </c>
      <c r="I27" s="1000">
        <v>0</v>
      </c>
      <c r="J27" s="1000">
        <v>0</v>
      </c>
      <c r="K27" s="1000">
        <v>0</v>
      </c>
      <c r="L27" s="1000">
        <v>0</v>
      </c>
      <c r="M27" s="1000">
        <v>0</v>
      </c>
      <c r="N27" s="1000">
        <v>0</v>
      </c>
      <c r="O27" s="1000">
        <v>0</v>
      </c>
      <c r="P27" s="1000">
        <v>0</v>
      </c>
      <c r="Q27" s="1000">
        <v>0</v>
      </c>
      <c r="R27" s="1000">
        <v>0</v>
      </c>
      <c r="S27" s="1000">
        <v>0</v>
      </c>
      <c r="T27" s="1000">
        <v>0</v>
      </c>
      <c r="U27" s="1000">
        <v>0</v>
      </c>
      <c r="V27" s="1000">
        <v>0</v>
      </c>
      <c r="W27" s="1000">
        <v>0</v>
      </c>
      <c r="X27" s="1000">
        <v>0</v>
      </c>
      <c r="Y27" s="1000">
        <v>0</v>
      </c>
      <c r="Z27" s="1000">
        <v>0</v>
      </c>
      <c r="AA27" s="1000">
        <v>0</v>
      </c>
      <c r="AB27" s="1000">
        <v>0</v>
      </c>
      <c r="AC27" s="1000">
        <v>0</v>
      </c>
      <c r="AD27" s="1000">
        <v>0</v>
      </c>
      <c r="AE27" s="1001">
        <v>0</v>
      </c>
      <c r="AF27" s="1000">
        <v>0</v>
      </c>
      <c r="AG27" s="1000">
        <v>0</v>
      </c>
      <c r="AH27" s="1000">
        <v>0</v>
      </c>
      <c r="AI27" s="1000">
        <v>0</v>
      </c>
      <c r="AJ27" s="1000">
        <v>0</v>
      </c>
      <c r="AK27" s="1000">
        <v>0</v>
      </c>
      <c r="AL27" s="1000">
        <v>0</v>
      </c>
      <c r="AM27" s="1000">
        <v>0</v>
      </c>
      <c r="AN27" s="1003">
        <v>0</v>
      </c>
      <c r="AO27" s="999">
        <v>0</v>
      </c>
      <c r="AP27" s="1003">
        <v>0</v>
      </c>
      <c r="AQ27" s="1003">
        <v>0</v>
      </c>
      <c r="AR27" s="1003">
        <v>0</v>
      </c>
      <c r="AS27" s="1003">
        <v>0</v>
      </c>
      <c r="AT27" s="1003">
        <v>0</v>
      </c>
      <c r="AU27" s="1000">
        <v>0</v>
      </c>
      <c r="AV27" s="1002">
        <f>SUM(H27:AU27)</f>
        <v>0</v>
      </c>
      <c r="AW27" s="985">
        <f>F27-AV27</f>
        <v>0</v>
      </c>
      <c r="AX27" s="946"/>
      <c r="AY27" s="882"/>
      <c r="AZ27" s="882"/>
      <c r="BA27" s="882"/>
      <c r="BB27" s="882"/>
      <c r="BC27" s="882"/>
      <c r="BD27" s="882"/>
      <c r="BE27" s="882"/>
      <c r="BF27" s="882"/>
      <c r="BG27" s="882"/>
      <c r="BH27" s="882"/>
      <c r="BI27" s="882"/>
      <c r="BJ27" s="882"/>
      <c r="BK27" s="882"/>
      <c r="BL27" s="882"/>
      <c r="BM27" s="882"/>
      <c r="BN27" s="882"/>
      <c r="BO27" s="882"/>
      <c r="BP27" s="882"/>
      <c r="BQ27" s="882"/>
      <c r="BR27" s="882"/>
      <c r="BS27" s="882"/>
      <c r="BT27" s="882"/>
      <c r="BU27" s="882"/>
      <c r="BV27" s="882"/>
      <c r="BW27" s="882"/>
      <c r="BX27" s="882"/>
      <c r="BY27" s="882"/>
      <c r="BZ27" s="882"/>
      <c r="CA27" s="882"/>
    </row>
    <row r="28" spans="1:79">
      <c r="A28" s="896"/>
      <c r="B28" s="896" t="s">
        <v>229</v>
      </c>
      <c r="C28" s="882"/>
      <c r="D28" s="882"/>
      <c r="E28" s="983">
        <v>0</v>
      </c>
      <c r="F28" s="998">
        <f>'Development Budget'!G16</f>
        <v>0</v>
      </c>
      <c r="G28" s="942">
        <v>0</v>
      </c>
      <c r="H28" s="1004">
        <v>0</v>
      </c>
      <c r="I28" s="1000">
        <v>0</v>
      </c>
      <c r="J28" s="1000">
        <v>0</v>
      </c>
      <c r="K28" s="1000">
        <v>0</v>
      </c>
      <c r="L28" s="1000">
        <v>0</v>
      </c>
      <c r="M28" s="1000">
        <v>0</v>
      </c>
      <c r="N28" s="1000">
        <v>0</v>
      </c>
      <c r="O28" s="1000">
        <v>0</v>
      </c>
      <c r="P28" s="1000">
        <v>0</v>
      </c>
      <c r="Q28" s="1000">
        <v>0</v>
      </c>
      <c r="R28" s="1000">
        <v>0</v>
      </c>
      <c r="S28" s="1000">
        <v>0</v>
      </c>
      <c r="T28" s="1000">
        <v>0</v>
      </c>
      <c r="U28" s="1000">
        <v>0</v>
      </c>
      <c r="V28" s="1000">
        <v>0</v>
      </c>
      <c r="W28" s="1000">
        <v>0</v>
      </c>
      <c r="X28" s="1000">
        <v>0</v>
      </c>
      <c r="Y28" s="1000">
        <v>0</v>
      </c>
      <c r="Z28" s="1000">
        <v>0</v>
      </c>
      <c r="AA28" s="1000">
        <v>0</v>
      </c>
      <c r="AB28" s="1000">
        <v>0</v>
      </c>
      <c r="AC28" s="1000">
        <v>0</v>
      </c>
      <c r="AD28" s="1000">
        <v>0</v>
      </c>
      <c r="AE28" s="1001">
        <v>0</v>
      </c>
      <c r="AF28" s="1000">
        <v>0</v>
      </c>
      <c r="AG28" s="1000">
        <v>0</v>
      </c>
      <c r="AH28" s="1000">
        <v>0</v>
      </c>
      <c r="AI28" s="1000">
        <v>0</v>
      </c>
      <c r="AJ28" s="1000">
        <v>0</v>
      </c>
      <c r="AK28" s="1000">
        <v>0</v>
      </c>
      <c r="AL28" s="1000">
        <v>0</v>
      </c>
      <c r="AM28" s="1000">
        <v>0</v>
      </c>
      <c r="AN28" s="1003">
        <v>0</v>
      </c>
      <c r="AO28" s="999">
        <v>0</v>
      </c>
      <c r="AP28" s="1003">
        <v>0</v>
      </c>
      <c r="AQ28" s="1003">
        <v>0</v>
      </c>
      <c r="AR28" s="1003">
        <v>0</v>
      </c>
      <c r="AS28" s="1003">
        <v>0</v>
      </c>
      <c r="AT28" s="1003">
        <v>0</v>
      </c>
      <c r="AU28" s="1000">
        <v>0</v>
      </c>
      <c r="AV28" s="1002">
        <f>SUM(H28:AU28)</f>
        <v>0</v>
      </c>
      <c r="AW28" s="985">
        <f>F28-AV28</f>
        <v>0</v>
      </c>
      <c r="AX28" s="946"/>
      <c r="AY28" s="882"/>
      <c r="AZ28" s="882"/>
      <c r="BA28" s="882"/>
      <c r="BB28" s="882"/>
      <c r="BC28" s="882"/>
      <c r="BD28" s="882"/>
      <c r="BE28" s="882"/>
      <c r="BF28" s="882"/>
      <c r="BG28" s="882"/>
      <c r="BH28" s="882"/>
      <c r="BI28" s="882"/>
      <c r="BJ28" s="882"/>
      <c r="BK28" s="882"/>
      <c r="BL28" s="882"/>
      <c r="BM28" s="882"/>
      <c r="BN28" s="882"/>
      <c r="BO28" s="882"/>
      <c r="BP28" s="882"/>
      <c r="BQ28" s="882"/>
      <c r="BR28" s="882"/>
      <c r="BS28" s="882"/>
      <c r="BT28" s="882"/>
      <c r="BU28" s="882"/>
      <c r="BV28" s="882"/>
      <c r="BW28" s="882"/>
      <c r="BX28" s="882"/>
      <c r="BY28" s="882"/>
      <c r="BZ28" s="882"/>
      <c r="CA28" s="882"/>
    </row>
    <row r="29" spans="1:79">
      <c r="A29" s="896"/>
      <c r="B29" s="896" t="s">
        <v>230</v>
      </c>
      <c r="C29" s="882"/>
      <c r="D29" s="882"/>
      <c r="E29" s="983">
        <v>0</v>
      </c>
      <c r="F29" s="998">
        <f>'Development Budget'!G17</f>
        <v>0</v>
      </c>
      <c r="G29" s="942">
        <v>0</v>
      </c>
      <c r="H29" s="1004">
        <v>0</v>
      </c>
      <c r="I29" s="1000">
        <v>0</v>
      </c>
      <c r="J29" s="1000">
        <v>0</v>
      </c>
      <c r="K29" s="1000">
        <v>0</v>
      </c>
      <c r="L29" s="1000">
        <v>0</v>
      </c>
      <c r="M29" s="1000">
        <v>0</v>
      </c>
      <c r="N29" s="1000">
        <v>0</v>
      </c>
      <c r="O29" s="1000">
        <v>0</v>
      </c>
      <c r="P29" s="1000">
        <v>0</v>
      </c>
      <c r="Q29" s="1000">
        <v>0</v>
      </c>
      <c r="R29" s="1000">
        <v>0</v>
      </c>
      <c r="S29" s="1000">
        <v>0</v>
      </c>
      <c r="T29" s="1000">
        <v>0</v>
      </c>
      <c r="U29" s="1000">
        <v>0</v>
      </c>
      <c r="V29" s="1000">
        <v>0</v>
      </c>
      <c r="W29" s="1000">
        <v>0</v>
      </c>
      <c r="X29" s="1000">
        <v>0</v>
      </c>
      <c r="Y29" s="1000">
        <v>0</v>
      </c>
      <c r="Z29" s="1000">
        <v>0</v>
      </c>
      <c r="AA29" s="1000">
        <v>0</v>
      </c>
      <c r="AB29" s="1000">
        <v>0</v>
      </c>
      <c r="AC29" s="1000">
        <v>0</v>
      </c>
      <c r="AD29" s="1000">
        <v>0</v>
      </c>
      <c r="AE29" s="1001">
        <v>0</v>
      </c>
      <c r="AF29" s="1000">
        <v>0</v>
      </c>
      <c r="AG29" s="1000">
        <v>0</v>
      </c>
      <c r="AH29" s="1000">
        <v>0</v>
      </c>
      <c r="AI29" s="1000">
        <v>0</v>
      </c>
      <c r="AJ29" s="1000">
        <v>0</v>
      </c>
      <c r="AK29" s="1000">
        <v>0</v>
      </c>
      <c r="AL29" s="1000">
        <v>0</v>
      </c>
      <c r="AM29" s="1000">
        <v>0</v>
      </c>
      <c r="AN29" s="1003">
        <v>0</v>
      </c>
      <c r="AO29" s="999">
        <v>0</v>
      </c>
      <c r="AP29" s="1003">
        <v>0</v>
      </c>
      <c r="AQ29" s="1003">
        <v>0</v>
      </c>
      <c r="AR29" s="1003">
        <v>0</v>
      </c>
      <c r="AS29" s="1003">
        <v>0</v>
      </c>
      <c r="AT29" s="1003">
        <v>0</v>
      </c>
      <c r="AU29" s="1000">
        <v>0</v>
      </c>
      <c r="AV29" s="1002">
        <f>SUM(H29:AU29)</f>
        <v>0</v>
      </c>
      <c r="AW29" s="985">
        <f>F29-AV29</f>
        <v>0</v>
      </c>
      <c r="AX29" s="946"/>
      <c r="AY29" s="882"/>
      <c r="AZ29" s="882"/>
      <c r="BA29" s="882"/>
      <c r="BB29" s="882"/>
      <c r="BC29" s="882"/>
      <c r="BD29" s="882"/>
      <c r="BE29" s="882"/>
      <c r="BF29" s="882"/>
      <c r="BG29" s="882"/>
      <c r="BH29" s="882"/>
      <c r="BI29" s="882"/>
      <c r="BJ29" s="882"/>
      <c r="BK29" s="882"/>
      <c r="BL29" s="882"/>
      <c r="BM29" s="882"/>
      <c r="BN29" s="882"/>
      <c r="BO29" s="882"/>
      <c r="BP29" s="882"/>
      <c r="BQ29" s="882"/>
      <c r="BR29" s="882"/>
      <c r="BS29" s="882"/>
      <c r="BT29" s="882"/>
      <c r="BU29" s="882"/>
      <c r="BV29" s="882"/>
      <c r="BW29" s="882"/>
      <c r="BX29" s="882"/>
      <c r="BY29" s="882"/>
      <c r="BZ29" s="882"/>
      <c r="CA29" s="882"/>
    </row>
    <row r="30" spans="1:79">
      <c r="A30" s="896"/>
      <c r="B30" s="896" t="s">
        <v>231</v>
      </c>
      <c r="C30" s="882"/>
      <c r="D30" s="882"/>
      <c r="E30" s="983">
        <v>0</v>
      </c>
      <c r="F30" s="998">
        <f>'Development Budget'!G18</f>
        <v>0</v>
      </c>
      <c r="G30" s="942">
        <v>0</v>
      </c>
      <c r="H30" s="999">
        <v>0</v>
      </c>
      <c r="I30" s="1003">
        <v>0</v>
      </c>
      <c r="J30" s="1003">
        <v>0</v>
      </c>
      <c r="K30" s="1003">
        <v>0</v>
      </c>
      <c r="L30" s="1003">
        <v>0</v>
      </c>
      <c r="M30" s="1003">
        <v>0</v>
      </c>
      <c r="N30" s="1003">
        <v>0</v>
      </c>
      <c r="O30" s="1003">
        <v>0</v>
      </c>
      <c r="P30" s="1003">
        <v>0</v>
      </c>
      <c r="Q30" s="1003">
        <v>0</v>
      </c>
      <c r="R30" s="1003">
        <v>0</v>
      </c>
      <c r="S30" s="1003">
        <v>0</v>
      </c>
      <c r="T30" s="1003">
        <v>0</v>
      </c>
      <c r="U30" s="1003">
        <v>0</v>
      </c>
      <c r="V30" s="1003">
        <v>0</v>
      </c>
      <c r="W30" s="1003">
        <v>0</v>
      </c>
      <c r="X30" s="1003">
        <v>0</v>
      </c>
      <c r="Y30" s="1003">
        <v>0</v>
      </c>
      <c r="Z30" s="1003">
        <v>0</v>
      </c>
      <c r="AA30" s="1003">
        <v>0</v>
      </c>
      <c r="AB30" s="1003">
        <v>0</v>
      </c>
      <c r="AC30" s="1003">
        <v>0</v>
      </c>
      <c r="AD30" s="1003">
        <v>0</v>
      </c>
      <c r="AE30" s="999">
        <v>0</v>
      </c>
      <c r="AF30" s="1003">
        <v>0</v>
      </c>
      <c r="AG30" s="1003">
        <v>0</v>
      </c>
      <c r="AH30" s="1003">
        <v>0</v>
      </c>
      <c r="AI30" s="1003">
        <v>0</v>
      </c>
      <c r="AJ30" s="1003">
        <v>0</v>
      </c>
      <c r="AK30" s="1003">
        <v>0</v>
      </c>
      <c r="AL30" s="1003">
        <v>0</v>
      </c>
      <c r="AM30" s="1003">
        <v>0</v>
      </c>
      <c r="AN30" s="1003">
        <v>0</v>
      </c>
      <c r="AO30" s="999">
        <v>0</v>
      </c>
      <c r="AP30" s="1003">
        <v>0</v>
      </c>
      <c r="AQ30" s="1003">
        <v>0</v>
      </c>
      <c r="AR30" s="1003">
        <v>0</v>
      </c>
      <c r="AS30" s="1003">
        <v>0</v>
      </c>
      <c r="AT30" s="1003">
        <v>0</v>
      </c>
      <c r="AU30" s="1003">
        <v>0</v>
      </c>
      <c r="AV30" s="1002">
        <f>SUM(H30:AU30)</f>
        <v>0</v>
      </c>
      <c r="AW30" s="985">
        <f>F30-AV30</f>
        <v>0</v>
      </c>
      <c r="AX30" s="946"/>
      <c r="AY30" s="882"/>
      <c r="AZ30" s="882"/>
      <c r="BA30" s="882"/>
      <c r="BB30" s="882"/>
      <c r="BC30" s="882"/>
      <c r="BD30" s="882"/>
      <c r="BE30" s="882"/>
      <c r="BF30" s="882"/>
      <c r="BG30" s="882"/>
      <c r="BH30" s="882"/>
      <c r="BI30" s="882"/>
      <c r="BJ30" s="882"/>
      <c r="BK30" s="882"/>
      <c r="BL30" s="882"/>
      <c r="BM30" s="882"/>
      <c r="BN30" s="882"/>
      <c r="BO30" s="882"/>
      <c r="BP30" s="882"/>
      <c r="BQ30" s="882"/>
      <c r="BR30" s="882"/>
      <c r="BS30" s="882"/>
      <c r="BT30" s="882"/>
      <c r="BU30" s="882"/>
      <c r="BV30" s="882"/>
      <c r="BW30" s="882"/>
      <c r="BX30" s="882"/>
      <c r="BY30" s="882"/>
      <c r="BZ30" s="882"/>
      <c r="CA30" s="882"/>
    </row>
    <row r="31" spans="1:79">
      <c r="A31" s="896"/>
      <c r="B31" s="896" t="s">
        <v>232</v>
      </c>
      <c r="C31" s="882"/>
      <c r="D31" s="882"/>
      <c r="E31" s="983">
        <v>0</v>
      </c>
      <c r="F31" s="998">
        <f>'Development Budget'!G19</f>
        <v>0</v>
      </c>
      <c r="G31" s="942">
        <v>0</v>
      </c>
      <c r="H31" s="943">
        <v>0</v>
      </c>
      <c r="I31" s="944">
        <v>0</v>
      </c>
      <c r="J31" s="944">
        <v>0</v>
      </c>
      <c r="K31" s="944">
        <v>0</v>
      </c>
      <c r="L31" s="944">
        <v>0</v>
      </c>
      <c r="M31" s="944">
        <v>0</v>
      </c>
      <c r="N31" s="944">
        <v>0</v>
      </c>
      <c r="O31" s="944">
        <v>0</v>
      </c>
      <c r="P31" s="944">
        <v>0</v>
      </c>
      <c r="Q31" s="944">
        <v>0</v>
      </c>
      <c r="R31" s="944">
        <v>0</v>
      </c>
      <c r="S31" s="944">
        <v>0</v>
      </c>
      <c r="T31" s="944">
        <v>0</v>
      </c>
      <c r="U31" s="944">
        <v>0</v>
      </c>
      <c r="V31" s="944">
        <v>0</v>
      </c>
      <c r="W31" s="944">
        <v>0</v>
      </c>
      <c r="X31" s="944">
        <v>0</v>
      </c>
      <c r="Y31" s="944">
        <v>0</v>
      </c>
      <c r="Z31" s="944">
        <v>0</v>
      </c>
      <c r="AA31" s="944">
        <v>0</v>
      </c>
      <c r="AB31" s="944">
        <v>0</v>
      </c>
      <c r="AC31" s="944">
        <v>0</v>
      </c>
      <c r="AD31" s="944">
        <v>0</v>
      </c>
      <c r="AE31" s="943">
        <v>0</v>
      </c>
      <c r="AF31" s="944">
        <v>0</v>
      </c>
      <c r="AG31" s="944">
        <v>0</v>
      </c>
      <c r="AH31" s="944">
        <v>0</v>
      </c>
      <c r="AI31" s="944">
        <v>0</v>
      </c>
      <c r="AJ31" s="944">
        <v>0</v>
      </c>
      <c r="AK31" s="944">
        <v>0</v>
      </c>
      <c r="AL31" s="944">
        <v>0</v>
      </c>
      <c r="AM31" s="944">
        <v>0</v>
      </c>
      <c r="AN31" s="944">
        <v>0</v>
      </c>
      <c r="AO31" s="943">
        <v>0</v>
      </c>
      <c r="AP31" s="944">
        <v>0</v>
      </c>
      <c r="AQ31" s="944">
        <v>0</v>
      </c>
      <c r="AR31" s="944">
        <v>0</v>
      </c>
      <c r="AS31" s="944">
        <v>0</v>
      </c>
      <c r="AT31" s="944">
        <v>0</v>
      </c>
      <c r="AU31" s="944">
        <v>0</v>
      </c>
      <c r="AV31" s="1002">
        <f>SUM(H31:AU31)</f>
        <v>0</v>
      </c>
      <c r="AW31" s="985">
        <f>F31-AV31</f>
        <v>0</v>
      </c>
      <c r="AX31" s="946"/>
      <c r="AY31" s="882"/>
      <c r="AZ31" s="882"/>
      <c r="BA31" s="882"/>
      <c r="BB31" s="882"/>
      <c r="BC31" s="882"/>
      <c r="BD31" s="882"/>
      <c r="BE31" s="882"/>
      <c r="BF31" s="882"/>
      <c r="BG31" s="882"/>
      <c r="BH31" s="882"/>
      <c r="BI31" s="882"/>
      <c r="BJ31" s="882"/>
      <c r="BK31" s="882"/>
      <c r="BL31" s="882"/>
      <c r="BM31" s="882"/>
      <c r="BN31" s="882"/>
      <c r="BO31" s="882"/>
      <c r="BP31" s="882"/>
      <c r="BQ31" s="882"/>
      <c r="BR31" s="882"/>
      <c r="BS31" s="882"/>
      <c r="BT31" s="882"/>
      <c r="BU31" s="882"/>
      <c r="BV31" s="882"/>
      <c r="BW31" s="882"/>
      <c r="BX31" s="882"/>
      <c r="BY31" s="882"/>
      <c r="BZ31" s="882"/>
      <c r="CA31" s="882"/>
    </row>
    <row r="32" spans="1:79">
      <c r="A32" s="896"/>
      <c r="B32" s="896" t="s">
        <v>233</v>
      </c>
      <c r="C32" s="882"/>
      <c r="D32" s="997">
        <v>5.9453669096615001E-2</v>
      </c>
      <c r="E32" s="983">
        <v>0</v>
      </c>
      <c r="F32" s="998">
        <f>'Development Budget'!G20</f>
        <v>0</v>
      </c>
      <c r="G32" s="942">
        <v>0</v>
      </c>
      <c r="H32" s="1004">
        <v>0</v>
      </c>
      <c r="I32" s="1000">
        <v>0</v>
      </c>
      <c r="J32" s="1000">
        <v>0</v>
      </c>
      <c r="K32" s="1000">
        <v>0</v>
      </c>
      <c r="L32" s="1000">
        <v>0</v>
      </c>
      <c r="M32" s="1000">
        <v>0</v>
      </c>
      <c r="N32" s="1000">
        <v>0</v>
      </c>
      <c r="O32" s="1000">
        <v>0</v>
      </c>
      <c r="P32" s="1000">
        <v>0</v>
      </c>
      <c r="Q32" s="1000">
        <v>0</v>
      </c>
      <c r="R32" s="1000">
        <v>0</v>
      </c>
      <c r="S32" s="1000">
        <v>0</v>
      </c>
      <c r="T32" s="1000">
        <v>0</v>
      </c>
      <c r="U32" s="1000">
        <v>0</v>
      </c>
      <c r="V32" s="1000">
        <v>0</v>
      </c>
      <c r="W32" s="1000">
        <v>0</v>
      </c>
      <c r="X32" s="1000">
        <v>0</v>
      </c>
      <c r="Y32" s="1000">
        <v>0</v>
      </c>
      <c r="Z32" s="1000">
        <v>0</v>
      </c>
      <c r="AA32" s="1000">
        <v>0</v>
      </c>
      <c r="AB32" s="1000">
        <v>0</v>
      </c>
      <c r="AC32" s="1000">
        <v>0</v>
      </c>
      <c r="AD32" s="1000">
        <v>0</v>
      </c>
      <c r="AE32" s="1001">
        <v>0</v>
      </c>
      <c r="AF32" s="1000">
        <v>0</v>
      </c>
      <c r="AG32" s="1000">
        <v>0</v>
      </c>
      <c r="AH32" s="1000">
        <v>0</v>
      </c>
      <c r="AI32" s="1000">
        <v>0</v>
      </c>
      <c r="AJ32" s="1000">
        <v>0</v>
      </c>
      <c r="AK32" s="1000">
        <v>0</v>
      </c>
      <c r="AL32" s="1000">
        <v>0</v>
      </c>
      <c r="AM32" s="1000">
        <v>0</v>
      </c>
      <c r="AN32" s="1000">
        <v>0</v>
      </c>
      <c r="AO32" s="1001">
        <v>0</v>
      </c>
      <c r="AP32" s="1000">
        <v>0</v>
      </c>
      <c r="AQ32" s="1000">
        <v>0</v>
      </c>
      <c r="AR32" s="1000">
        <v>0</v>
      </c>
      <c r="AS32" s="1000">
        <v>0</v>
      </c>
      <c r="AT32" s="1000">
        <v>0</v>
      </c>
      <c r="AU32" s="1000">
        <v>0</v>
      </c>
      <c r="AV32" s="1002">
        <f>SUM(H32:AU32)</f>
        <v>0</v>
      </c>
      <c r="AW32" s="985">
        <f>F32-AV32</f>
        <v>0</v>
      </c>
      <c r="AX32" s="946"/>
      <c r="AY32" s="882"/>
      <c r="AZ32" s="882"/>
      <c r="BA32" s="882"/>
      <c r="BB32" s="882"/>
      <c r="BC32" s="882"/>
      <c r="BD32" s="882"/>
      <c r="BE32" s="882"/>
      <c r="BF32" s="882"/>
      <c r="BG32" s="882"/>
      <c r="BH32" s="882"/>
      <c r="BI32" s="882"/>
      <c r="BJ32" s="882"/>
      <c r="BK32" s="882"/>
      <c r="BL32" s="882"/>
      <c r="BM32" s="882"/>
      <c r="BN32" s="882"/>
      <c r="BO32" s="882"/>
      <c r="BP32" s="882"/>
      <c r="BQ32" s="882"/>
      <c r="BR32" s="882"/>
      <c r="BS32" s="882"/>
      <c r="BT32" s="882"/>
      <c r="BU32" s="882"/>
      <c r="BV32" s="882"/>
      <c r="BW32" s="882"/>
      <c r="BX32" s="882"/>
      <c r="BY32" s="882"/>
      <c r="BZ32" s="882"/>
      <c r="CA32" s="882"/>
    </row>
    <row r="33" spans="1:79" hidden="1">
      <c r="A33" s="896"/>
      <c r="B33" s="896" t="s">
        <v>614</v>
      </c>
      <c r="C33" s="882"/>
      <c r="D33" s="882"/>
      <c r="E33" s="983">
        <v>0</v>
      </c>
      <c r="F33" s="942">
        <v>0</v>
      </c>
      <c r="G33" s="1005">
        <v>0</v>
      </c>
      <c r="H33" s="1006">
        <v>0</v>
      </c>
      <c r="I33" s="1007">
        <v>0</v>
      </c>
      <c r="J33" s="1007">
        <v>0</v>
      </c>
      <c r="K33" s="1007">
        <v>0</v>
      </c>
      <c r="L33" s="1008">
        <v>0</v>
      </c>
      <c r="M33" s="1007">
        <v>0</v>
      </c>
      <c r="N33" s="1007">
        <v>0</v>
      </c>
      <c r="O33" s="1007">
        <v>0</v>
      </c>
      <c r="P33" s="1007">
        <v>0</v>
      </c>
      <c r="Q33" s="1007">
        <v>0</v>
      </c>
      <c r="R33" s="1007">
        <v>0</v>
      </c>
      <c r="S33" s="1007">
        <v>0</v>
      </c>
      <c r="T33" s="1007">
        <v>0</v>
      </c>
      <c r="U33" s="1007">
        <v>0</v>
      </c>
      <c r="V33" s="1007">
        <v>0</v>
      </c>
      <c r="W33" s="1007">
        <v>0</v>
      </c>
      <c r="X33" s="1007">
        <v>0</v>
      </c>
      <c r="Y33" s="1007">
        <v>0</v>
      </c>
      <c r="Z33" s="1007">
        <v>0</v>
      </c>
      <c r="AA33" s="1007">
        <v>0</v>
      </c>
      <c r="AB33" s="1007">
        <v>0</v>
      </c>
      <c r="AC33" s="1007">
        <v>0</v>
      </c>
      <c r="AD33" s="1007">
        <v>0</v>
      </c>
      <c r="AE33" s="1007">
        <v>0</v>
      </c>
      <c r="AF33" s="1007">
        <v>0</v>
      </c>
      <c r="AG33" s="1007">
        <v>0</v>
      </c>
      <c r="AH33" s="1007">
        <v>0</v>
      </c>
      <c r="AI33" s="1007">
        <v>0</v>
      </c>
      <c r="AJ33" s="1007">
        <v>0</v>
      </c>
      <c r="AK33" s="1007">
        <v>0</v>
      </c>
      <c r="AL33" s="1007">
        <v>0</v>
      </c>
      <c r="AM33" s="1007">
        <v>0</v>
      </c>
      <c r="AN33" s="1008">
        <v>0</v>
      </c>
      <c r="AO33" s="1008">
        <v>0</v>
      </c>
      <c r="AP33" s="1008">
        <v>0</v>
      </c>
      <c r="AQ33" s="1008">
        <v>0</v>
      </c>
      <c r="AR33" s="1008">
        <v>0</v>
      </c>
      <c r="AS33" s="1008">
        <v>0</v>
      </c>
      <c r="AT33" s="1008">
        <v>0</v>
      </c>
      <c r="AU33" s="1007">
        <v>0</v>
      </c>
      <c r="AV33" s="942">
        <f>SUM(H33:AU33)</f>
        <v>0</v>
      </c>
      <c r="AW33" s="986">
        <f>F33-AV33</f>
        <v>0</v>
      </c>
      <c r="AX33" s="946"/>
      <c r="AY33" s="882"/>
      <c r="AZ33" s="882"/>
      <c r="BA33" s="882"/>
      <c r="BB33" s="882"/>
      <c r="BC33" s="882"/>
      <c r="BD33" s="882"/>
      <c r="BE33" s="882"/>
      <c r="BF33" s="882"/>
      <c r="BG33" s="882"/>
      <c r="BH33" s="882"/>
      <c r="BI33" s="882"/>
      <c r="BJ33" s="882"/>
      <c r="BK33" s="882"/>
      <c r="BL33" s="882"/>
      <c r="BM33" s="882"/>
      <c r="BN33" s="882"/>
      <c r="BO33" s="882"/>
      <c r="BP33" s="882"/>
      <c r="BQ33" s="882"/>
      <c r="BR33" s="882"/>
      <c r="BS33" s="882"/>
      <c r="BT33" s="882"/>
      <c r="BU33" s="882"/>
      <c r="BV33" s="882"/>
      <c r="BW33" s="882"/>
      <c r="BX33" s="882"/>
      <c r="BY33" s="882"/>
      <c r="BZ33" s="882"/>
      <c r="CA33" s="882"/>
    </row>
    <row r="34" spans="1:79" hidden="1">
      <c r="A34" s="896"/>
      <c r="B34" s="896" t="s">
        <v>615</v>
      </c>
      <c r="C34" s="882"/>
      <c r="D34" s="882"/>
      <c r="E34" s="983">
        <v>0</v>
      </c>
      <c r="F34" s="942">
        <v>0</v>
      </c>
      <c r="G34" s="1005">
        <v>0</v>
      </c>
      <c r="H34" s="1004">
        <v>0</v>
      </c>
      <c r="I34" s="1007">
        <v>0</v>
      </c>
      <c r="J34" s="1007">
        <v>0</v>
      </c>
      <c r="K34" s="1007">
        <v>0</v>
      </c>
      <c r="L34" s="1008">
        <v>0</v>
      </c>
      <c r="M34" s="1007">
        <v>0</v>
      </c>
      <c r="N34" s="1007">
        <v>0</v>
      </c>
      <c r="O34" s="1007">
        <v>0</v>
      </c>
      <c r="P34" s="1007">
        <v>0</v>
      </c>
      <c r="Q34" s="1007">
        <v>0</v>
      </c>
      <c r="R34" s="1007">
        <v>0</v>
      </c>
      <c r="S34" s="1007">
        <v>0</v>
      </c>
      <c r="T34" s="1007">
        <v>0</v>
      </c>
      <c r="U34" s="1007">
        <v>0</v>
      </c>
      <c r="V34" s="1007">
        <v>0</v>
      </c>
      <c r="W34" s="1007">
        <v>0</v>
      </c>
      <c r="X34" s="1007">
        <v>0</v>
      </c>
      <c r="Y34" s="1007">
        <v>0</v>
      </c>
      <c r="Z34" s="1007">
        <v>0</v>
      </c>
      <c r="AA34" s="1007">
        <v>0</v>
      </c>
      <c r="AB34" s="1007">
        <v>0</v>
      </c>
      <c r="AC34" s="1007">
        <v>0</v>
      </c>
      <c r="AD34" s="1007">
        <v>0</v>
      </c>
      <c r="AE34" s="1007">
        <v>0</v>
      </c>
      <c r="AF34" s="1007">
        <v>0</v>
      </c>
      <c r="AG34" s="1007">
        <v>0</v>
      </c>
      <c r="AH34" s="1007">
        <v>0</v>
      </c>
      <c r="AI34" s="1007">
        <v>0</v>
      </c>
      <c r="AJ34" s="1007">
        <v>0</v>
      </c>
      <c r="AK34" s="1007">
        <v>0</v>
      </c>
      <c r="AL34" s="1007">
        <v>0</v>
      </c>
      <c r="AM34" s="1007">
        <v>0</v>
      </c>
      <c r="AN34" s="1008">
        <v>0</v>
      </c>
      <c r="AO34" s="1008">
        <v>0</v>
      </c>
      <c r="AP34" s="1008">
        <v>0</v>
      </c>
      <c r="AQ34" s="1008">
        <v>0</v>
      </c>
      <c r="AR34" s="1008">
        <v>0</v>
      </c>
      <c r="AS34" s="1008">
        <v>0</v>
      </c>
      <c r="AT34" s="1008">
        <v>0</v>
      </c>
      <c r="AU34" s="1007">
        <v>0</v>
      </c>
      <c r="AV34" s="942">
        <f>SUM(H34:AU34)</f>
        <v>0</v>
      </c>
      <c r="AW34" s="986">
        <f>F34-AV34</f>
        <v>0</v>
      </c>
      <c r="AX34" s="946"/>
      <c r="AY34" s="882"/>
      <c r="AZ34" s="882"/>
      <c r="BA34" s="882"/>
      <c r="BB34" s="882"/>
      <c r="BC34" s="882"/>
      <c r="BD34" s="882"/>
      <c r="BE34" s="882"/>
      <c r="BF34" s="882"/>
      <c r="BG34" s="882"/>
      <c r="BH34" s="882"/>
      <c r="BI34" s="882"/>
      <c r="BJ34" s="882"/>
      <c r="BK34" s="882"/>
      <c r="BL34" s="882"/>
      <c r="BM34" s="882"/>
      <c r="BN34" s="882"/>
      <c r="BO34" s="882"/>
      <c r="BP34" s="882"/>
      <c r="BQ34" s="882"/>
      <c r="BR34" s="882"/>
      <c r="BS34" s="882"/>
      <c r="BT34" s="882"/>
      <c r="BU34" s="882"/>
      <c r="BV34" s="882"/>
      <c r="BW34" s="882"/>
      <c r="BX34" s="882"/>
      <c r="BY34" s="882"/>
      <c r="BZ34" s="882"/>
      <c r="CA34" s="882"/>
    </row>
    <row r="35" spans="1:79" hidden="1">
      <c r="A35" s="896"/>
      <c r="B35" s="896" t="s">
        <v>616</v>
      </c>
      <c r="C35" s="882"/>
      <c r="D35" s="953"/>
      <c r="E35" s="983">
        <v>0</v>
      </c>
      <c r="F35" s="942">
        <v>0</v>
      </c>
      <c r="G35" s="1005">
        <v>0</v>
      </c>
      <c r="H35" s="999">
        <v>0</v>
      </c>
      <c r="I35" s="1007">
        <v>0</v>
      </c>
      <c r="J35" s="1007">
        <v>0</v>
      </c>
      <c r="K35" s="1007">
        <v>0</v>
      </c>
      <c r="L35" s="1008">
        <v>0</v>
      </c>
      <c r="M35" s="1007">
        <v>0</v>
      </c>
      <c r="N35" s="1007">
        <v>0</v>
      </c>
      <c r="O35" s="1007">
        <v>0</v>
      </c>
      <c r="P35" s="1007">
        <v>0</v>
      </c>
      <c r="Q35" s="1007">
        <v>0</v>
      </c>
      <c r="R35" s="1007">
        <v>0</v>
      </c>
      <c r="S35" s="1007">
        <v>0</v>
      </c>
      <c r="T35" s="1007">
        <v>0</v>
      </c>
      <c r="U35" s="1007">
        <v>0</v>
      </c>
      <c r="V35" s="1007">
        <v>0</v>
      </c>
      <c r="W35" s="1007">
        <v>0</v>
      </c>
      <c r="X35" s="1007">
        <v>0</v>
      </c>
      <c r="Y35" s="1007">
        <v>0</v>
      </c>
      <c r="Z35" s="1007">
        <v>0</v>
      </c>
      <c r="AA35" s="1007">
        <v>0</v>
      </c>
      <c r="AB35" s="1007">
        <v>0</v>
      </c>
      <c r="AC35" s="1007">
        <v>0</v>
      </c>
      <c r="AD35" s="1007">
        <v>0</v>
      </c>
      <c r="AE35" s="1007">
        <v>0</v>
      </c>
      <c r="AF35" s="1007">
        <v>0</v>
      </c>
      <c r="AG35" s="1007">
        <v>0</v>
      </c>
      <c r="AH35" s="1007">
        <v>0</v>
      </c>
      <c r="AI35" s="1007">
        <v>0</v>
      </c>
      <c r="AJ35" s="1007">
        <v>0</v>
      </c>
      <c r="AK35" s="1007">
        <v>0</v>
      </c>
      <c r="AL35" s="1007">
        <v>0</v>
      </c>
      <c r="AM35" s="1007">
        <v>0</v>
      </c>
      <c r="AN35" s="1008">
        <v>0</v>
      </c>
      <c r="AO35" s="1008">
        <v>0</v>
      </c>
      <c r="AP35" s="1008">
        <v>0</v>
      </c>
      <c r="AQ35" s="1008">
        <v>0</v>
      </c>
      <c r="AR35" s="1008">
        <v>0</v>
      </c>
      <c r="AS35" s="1008">
        <v>0</v>
      </c>
      <c r="AT35" s="1008">
        <v>0</v>
      </c>
      <c r="AU35" s="1007">
        <v>0</v>
      </c>
      <c r="AV35" s="942">
        <f>SUM(H35:AU35)</f>
        <v>0</v>
      </c>
      <c r="AW35" s="986">
        <f>F35-AV35</f>
        <v>0</v>
      </c>
      <c r="AX35" s="946"/>
      <c r="AY35" s="882"/>
      <c r="AZ35" s="882"/>
      <c r="BA35" s="882"/>
      <c r="BB35" s="882"/>
      <c r="BC35" s="882"/>
      <c r="BD35" s="882"/>
      <c r="BE35" s="882"/>
      <c r="BF35" s="882"/>
      <c r="BG35" s="882"/>
      <c r="BH35" s="882"/>
      <c r="BI35" s="882"/>
      <c r="BJ35" s="882"/>
      <c r="BK35" s="882"/>
      <c r="BL35" s="882"/>
      <c r="BM35" s="882"/>
      <c r="BN35" s="882"/>
      <c r="BO35" s="882"/>
      <c r="BP35" s="882"/>
      <c r="BQ35" s="882"/>
      <c r="BR35" s="882"/>
      <c r="BS35" s="882"/>
      <c r="BT35" s="882"/>
      <c r="BU35" s="882"/>
      <c r="BV35" s="882"/>
      <c r="BW35" s="882"/>
      <c r="BX35" s="882"/>
      <c r="BY35" s="882"/>
      <c r="BZ35" s="882"/>
      <c r="CA35" s="882"/>
    </row>
    <row r="36" spans="1:79">
      <c r="A36" s="896"/>
      <c r="B36" s="896"/>
      <c r="C36" s="882"/>
      <c r="D36" s="953"/>
      <c r="E36" s="983">
        <v>0</v>
      </c>
      <c r="F36" s="986">
        <v>0</v>
      </c>
      <c r="G36" s="986">
        <v>0</v>
      </c>
      <c r="H36" s="986">
        <v>0</v>
      </c>
      <c r="I36" s="986">
        <v>0</v>
      </c>
      <c r="J36" s="986">
        <v>0</v>
      </c>
      <c r="K36" s="986">
        <v>0</v>
      </c>
      <c r="L36" s="986">
        <v>0</v>
      </c>
      <c r="M36" s="986">
        <v>0</v>
      </c>
      <c r="N36" s="986">
        <v>0</v>
      </c>
      <c r="O36" s="986">
        <v>0</v>
      </c>
      <c r="P36" s="986">
        <v>0</v>
      </c>
      <c r="Q36" s="986">
        <v>0</v>
      </c>
      <c r="R36" s="986">
        <v>0</v>
      </c>
      <c r="S36" s="986">
        <v>0</v>
      </c>
      <c r="T36" s="986">
        <v>0</v>
      </c>
      <c r="U36" s="986">
        <v>0</v>
      </c>
      <c r="V36" s="986">
        <v>0</v>
      </c>
      <c r="W36" s="986">
        <v>0</v>
      </c>
      <c r="X36" s="986">
        <v>0</v>
      </c>
      <c r="Y36" s="986">
        <v>0</v>
      </c>
      <c r="Z36" s="986">
        <v>0</v>
      </c>
      <c r="AA36" s="986">
        <v>0</v>
      </c>
      <c r="AB36" s="986">
        <v>0</v>
      </c>
      <c r="AC36" s="986">
        <v>0</v>
      </c>
      <c r="AD36" s="986">
        <v>0</v>
      </c>
      <c r="AE36" s="986">
        <v>0</v>
      </c>
      <c r="AF36" s="986">
        <v>0</v>
      </c>
      <c r="AG36" s="986">
        <v>0</v>
      </c>
      <c r="AH36" s="986">
        <v>0</v>
      </c>
      <c r="AI36" s="986">
        <v>0</v>
      </c>
      <c r="AJ36" s="986">
        <v>0</v>
      </c>
      <c r="AK36" s="986">
        <v>0</v>
      </c>
      <c r="AL36" s="986">
        <v>0</v>
      </c>
      <c r="AM36" s="986">
        <v>0</v>
      </c>
      <c r="AN36" s="986">
        <v>0</v>
      </c>
      <c r="AO36" s="986">
        <v>0</v>
      </c>
      <c r="AP36" s="986">
        <v>0</v>
      </c>
      <c r="AQ36" s="986">
        <v>0</v>
      </c>
      <c r="AR36" s="986">
        <v>0</v>
      </c>
      <c r="AS36" s="986">
        <v>0</v>
      </c>
      <c r="AT36" s="986">
        <v>0</v>
      </c>
      <c r="AU36" s="986">
        <v>0</v>
      </c>
      <c r="AV36" s="1009">
        <v>0</v>
      </c>
      <c r="AW36" s="986">
        <v>0</v>
      </c>
      <c r="AX36" s="946"/>
      <c r="AY36" s="882"/>
      <c r="AZ36" s="882"/>
      <c r="BA36" s="882"/>
      <c r="BB36" s="882"/>
      <c r="BC36" s="882"/>
      <c r="BD36" s="882"/>
      <c r="BE36" s="882"/>
      <c r="BF36" s="882"/>
      <c r="BG36" s="882"/>
      <c r="BH36" s="882"/>
      <c r="BI36" s="882"/>
      <c r="BJ36" s="882"/>
      <c r="BK36" s="882"/>
      <c r="BL36" s="882"/>
      <c r="BM36" s="882"/>
      <c r="BN36" s="882"/>
      <c r="BO36" s="882"/>
      <c r="BP36" s="882"/>
      <c r="BQ36" s="882"/>
      <c r="BR36" s="882"/>
      <c r="BS36" s="882"/>
      <c r="BT36" s="882"/>
      <c r="BU36" s="882"/>
      <c r="BV36" s="882"/>
      <c r="BW36" s="882"/>
      <c r="BX36" s="882"/>
      <c r="BY36" s="882"/>
      <c r="BZ36" s="882"/>
      <c r="CA36" s="882"/>
    </row>
    <row r="37" spans="1:79" s="1013" customFormat="1">
      <c r="A37" s="979"/>
      <c r="B37" s="979"/>
      <c r="C37" s="979"/>
      <c r="D37" s="1010" t="s">
        <v>617</v>
      </c>
      <c r="E37" s="983">
        <v>0</v>
      </c>
      <c r="F37" s="987">
        <f>SUM(F24:F35)</f>
        <v>0</v>
      </c>
      <c r="G37" s="987">
        <f>SUM(G24:G35)</f>
        <v>0</v>
      </c>
      <c r="H37" s="987">
        <f>SUM(H24:H35)</f>
        <v>0</v>
      </c>
      <c r="I37" s="987">
        <f>SUM(I24:I35)</f>
        <v>0</v>
      </c>
      <c r="J37" s="987">
        <f t="shared" ref="J37:AU37" si="1">SUM(J24:J35)</f>
        <v>0</v>
      </c>
      <c r="K37" s="987">
        <f t="shared" si="1"/>
        <v>0</v>
      </c>
      <c r="L37" s="987">
        <f t="shared" si="1"/>
        <v>0</v>
      </c>
      <c r="M37" s="987">
        <f t="shared" si="1"/>
        <v>0</v>
      </c>
      <c r="N37" s="987">
        <f t="shared" si="1"/>
        <v>0</v>
      </c>
      <c r="O37" s="987">
        <f t="shared" si="1"/>
        <v>0</v>
      </c>
      <c r="P37" s="987">
        <f t="shared" si="1"/>
        <v>0</v>
      </c>
      <c r="Q37" s="987">
        <f t="shared" si="1"/>
        <v>0</v>
      </c>
      <c r="R37" s="987">
        <f t="shared" si="1"/>
        <v>0</v>
      </c>
      <c r="S37" s="987">
        <f t="shared" si="1"/>
        <v>0</v>
      </c>
      <c r="T37" s="987">
        <f t="shared" si="1"/>
        <v>0</v>
      </c>
      <c r="U37" s="987">
        <f t="shared" si="1"/>
        <v>0</v>
      </c>
      <c r="V37" s="987">
        <f t="shared" si="1"/>
        <v>0</v>
      </c>
      <c r="W37" s="987">
        <f t="shared" si="1"/>
        <v>0</v>
      </c>
      <c r="X37" s="987">
        <f t="shared" si="1"/>
        <v>0</v>
      </c>
      <c r="Y37" s="987">
        <f t="shared" si="1"/>
        <v>0</v>
      </c>
      <c r="Z37" s="987">
        <f t="shared" si="1"/>
        <v>0</v>
      </c>
      <c r="AA37" s="987">
        <f t="shared" si="1"/>
        <v>0</v>
      </c>
      <c r="AB37" s="987">
        <f t="shared" si="1"/>
        <v>0</v>
      </c>
      <c r="AC37" s="987">
        <f t="shared" si="1"/>
        <v>0</v>
      </c>
      <c r="AD37" s="987">
        <f t="shared" si="1"/>
        <v>0</v>
      </c>
      <c r="AE37" s="987">
        <f t="shared" si="1"/>
        <v>0</v>
      </c>
      <c r="AF37" s="987">
        <f t="shared" si="1"/>
        <v>0</v>
      </c>
      <c r="AG37" s="987">
        <f t="shared" si="1"/>
        <v>0</v>
      </c>
      <c r="AH37" s="987">
        <f t="shared" si="1"/>
        <v>0</v>
      </c>
      <c r="AI37" s="987">
        <f t="shared" si="1"/>
        <v>0</v>
      </c>
      <c r="AJ37" s="987">
        <f t="shared" si="1"/>
        <v>0</v>
      </c>
      <c r="AK37" s="987">
        <f t="shared" si="1"/>
        <v>0</v>
      </c>
      <c r="AL37" s="987">
        <f t="shared" si="1"/>
        <v>0</v>
      </c>
      <c r="AM37" s="987">
        <f t="shared" si="1"/>
        <v>0</v>
      </c>
      <c r="AN37" s="987">
        <f t="shared" si="1"/>
        <v>0</v>
      </c>
      <c r="AO37" s="987">
        <f t="shared" si="1"/>
        <v>0</v>
      </c>
      <c r="AP37" s="987">
        <f t="shared" si="1"/>
        <v>0</v>
      </c>
      <c r="AQ37" s="987">
        <f t="shared" si="1"/>
        <v>0</v>
      </c>
      <c r="AR37" s="987">
        <f t="shared" si="1"/>
        <v>0</v>
      </c>
      <c r="AS37" s="987">
        <f t="shared" si="1"/>
        <v>0</v>
      </c>
      <c r="AT37" s="987">
        <f t="shared" si="1"/>
        <v>0</v>
      </c>
      <c r="AU37" s="987">
        <f t="shared" si="1"/>
        <v>0</v>
      </c>
      <c r="AV37" s="984">
        <f>SUM(AV24:AV35)</f>
        <v>0</v>
      </c>
      <c r="AW37" s="942">
        <f>SUM(AW24:AW35)</f>
        <v>0</v>
      </c>
      <c r="AX37" s="1011"/>
      <c r="AY37" s="1012"/>
      <c r="AZ37" s="1012"/>
      <c r="BA37" s="1012"/>
      <c r="BB37" s="1012"/>
      <c r="BC37" s="1012"/>
      <c r="BD37" s="1012"/>
      <c r="BE37" s="1012"/>
      <c r="BF37" s="1012"/>
      <c r="BG37" s="1012"/>
      <c r="BH37" s="1012"/>
      <c r="BI37" s="1012"/>
      <c r="BJ37" s="1012"/>
      <c r="BK37" s="1012"/>
      <c r="BL37" s="1012"/>
      <c r="BM37" s="1012"/>
      <c r="BN37" s="1012"/>
      <c r="BO37" s="1012"/>
      <c r="BP37" s="1012"/>
      <c r="BQ37" s="1012"/>
      <c r="BR37" s="1012"/>
      <c r="BS37" s="1012"/>
      <c r="BT37" s="1012"/>
      <c r="BU37" s="1012"/>
      <c r="BV37" s="1012"/>
      <c r="BW37" s="1012"/>
      <c r="BX37" s="1012"/>
      <c r="BY37" s="1012"/>
      <c r="BZ37" s="1012"/>
      <c r="CA37" s="1012"/>
    </row>
    <row r="38" spans="1:79">
      <c r="A38" s="896"/>
      <c r="B38" s="896"/>
      <c r="C38" s="896"/>
      <c r="D38" s="1010"/>
      <c r="E38" s="983">
        <v>0</v>
      </c>
      <c r="F38" s="987">
        <v>0</v>
      </c>
      <c r="G38" s="987">
        <v>0</v>
      </c>
      <c r="H38" s="987">
        <v>0</v>
      </c>
      <c r="I38" s="987">
        <v>0</v>
      </c>
      <c r="J38" s="987">
        <v>0</v>
      </c>
      <c r="K38" s="987">
        <v>0</v>
      </c>
      <c r="L38" s="987">
        <v>0</v>
      </c>
      <c r="M38" s="987">
        <v>0</v>
      </c>
      <c r="N38" s="987">
        <v>0</v>
      </c>
      <c r="O38" s="987">
        <v>0</v>
      </c>
      <c r="P38" s="987">
        <v>0</v>
      </c>
      <c r="Q38" s="987">
        <v>0</v>
      </c>
      <c r="R38" s="987">
        <v>0</v>
      </c>
      <c r="S38" s="987">
        <v>0</v>
      </c>
      <c r="T38" s="987">
        <v>0</v>
      </c>
      <c r="U38" s="987">
        <v>0</v>
      </c>
      <c r="V38" s="987">
        <v>0</v>
      </c>
      <c r="W38" s="987">
        <v>0</v>
      </c>
      <c r="X38" s="987">
        <v>0</v>
      </c>
      <c r="Y38" s="987">
        <v>0</v>
      </c>
      <c r="Z38" s="987">
        <v>0</v>
      </c>
      <c r="AA38" s="987">
        <v>0</v>
      </c>
      <c r="AB38" s="987">
        <v>0</v>
      </c>
      <c r="AC38" s="987">
        <v>0</v>
      </c>
      <c r="AD38" s="987">
        <v>0</v>
      </c>
      <c r="AE38" s="987">
        <v>0</v>
      </c>
      <c r="AF38" s="987">
        <v>0</v>
      </c>
      <c r="AG38" s="987">
        <v>0</v>
      </c>
      <c r="AH38" s="987">
        <v>0</v>
      </c>
      <c r="AI38" s="987">
        <v>0</v>
      </c>
      <c r="AJ38" s="987">
        <v>0</v>
      </c>
      <c r="AK38" s="987">
        <v>0</v>
      </c>
      <c r="AL38" s="987">
        <v>0</v>
      </c>
      <c r="AM38" s="987">
        <v>0</v>
      </c>
      <c r="AN38" s="987">
        <v>0</v>
      </c>
      <c r="AO38" s="987">
        <v>0</v>
      </c>
      <c r="AP38" s="987">
        <v>0</v>
      </c>
      <c r="AQ38" s="987">
        <v>0</v>
      </c>
      <c r="AR38" s="987">
        <v>0</v>
      </c>
      <c r="AS38" s="987">
        <v>0</v>
      </c>
      <c r="AT38" s="987">
        <v>0</v>
      </c>
      <c r="AU38" s="987">
        <v>0</v>
      </c>
      <c r="AV38" s="987">
        <v>0</v>
      </c>
      <c r="AW38" s="987">
        <v>0</v>
      </c>
      <c r="AX38" s="946"/>
      <c r="AY38" s="882"/>
      <c r="AZ38" s="882"/>
      <c r="BA38" s="882"/>
      <c r="BB38" s="882"/>
      <c r="BC38" s="882"/>
      <c r="BD38" s="882"/>
      <c r="BE38" s="882"/>
      <c r="BF38" s="882"/>
      <c r="BG38" s="882"/>
      <c r="BH38" s="882"/>
      <c r="BI38" s="882"/>
      <c r="BJ38" s="882"/>
      <c r="BK38" s="882"/>
      <c r="BL38" s="882"/>
      <c r="BM38" s="882"/>
      <c r="BN38" s="882"/>
      <c r="BO38" s="882"/>
      <c r="BP38" s="882"/>
      <c r="BQ38" s="882"/>
      <c r="BR38" s="882"/>
      <c r="BS38" s="882"/>
      <c r="BT38" s="882"/>
      <c r="BU38" s="882"/>
      <c r="BV38" s="882"/>
      <c r="BW38" s="882"/>
      <c r="BX38" s="882"/>
      <c r="BY38" s="882"/>
      <c r="BZ38" s="882"/>
      <c r="CA38" s="882"/>
    </row>
    <row r="39" spans="1:79">
      <c r="A39" s="979" t="s">
        <v>138</v>
      </c>
      <c r="B39" s="896"/>
      <c r="C39" s="882"/>
      <c r="D39" s="882"/>
      <c r="E39" s="983">
        <v>0</v>
      </c>
      <c r="F39" s="1014">
        <v>0</v>
      </c>
      <c r="G39" s="1014">
        <v>0</v>
      </c>
      <c r="H39" s="1014">
        <v>0</v>
      </c>
      <c r="I39" s="1014">
        <v>0</v>
      </c>
      <c r="J39" s="1014">
        <v>0</v>
      </c>
      <c r="K39" s="1014">
        <v>0</v>
      </c>
      <c r="L39" s="1014">
        <v>0</v>
      </c>
      <c r="M39" s="1014">
        <v>0</v>
      </c>
      <c r="N39" s="1014">
        <v>0</v>
      </c>
      <c r="O39" s="1014">
        <v>0</v>
      </c>
      <c r="P39" s="1014">
        <v>0</v>
      </c>
      <c r="Q39" s="1014">
        <v>0</v>
      </c>
      <c r="R39" s="1014">
        <v>0</v>
      </c>
      <c r="S39" s="1014">
        <v>0</v>
      </c>
      <c r="T39" s="1014">
        <v>0</v>
      </c>
      <c r="U39" s="1014">
        <v>0</v>
      </c>
      <c r="V39" s="1014">
        <v>0</v>
      </c>
      <c r="W39" s="1014">
        <v>0</v>
      </c>
      <c r="X39" s="1014">
        <v>0</v>
      </c>
      <c r="Y39" s="1014">
        <v>0</v>
      </c>
      <c r="Z39" s="1014">
        <v>0</v>
      </c>
      <c r="AA39" s="1014">
        <v>0</v>
      </c>
      <c r="AB39" s="1014">
        <v>0</v>
      </c>
      <c r="AC39" s="1014">
        <v>0</v>
      </c>
      <c r="AD39" s="1014">
        <v>0</v>
      </c>
      <c r="AE39" s="1014">
        <v>0</v>
      </c>
      <c r="AF39" s="1014">
        <v>0</v>
      </c>
      <c r="AG39" s="1014">
        <v>0</v>
      </c>
      <c r="AH39" s="1014">
        <v>0</v>
      </c>
      <c r="AI39" s="1014">
        <v>0</v>
      </c>
      <c r="AJ39" s="1014">
        <v>0</v>
      </c>
      <c r="AK39" s="1014">
        <v>0</v>
      </c>
      <c r="AL39" s="1014">
        <v>0</v>
      </c>
      <c r="AM39" s="1014">
        <v>0</v>
      </c>
      <c r="AN39" s="1014">
        <v>0</v>
      </c>
      <c r="AO39" s="1014">
        <v>0</v>
      </c>
      <c r="AP39" s="1014">
        <v>0</v>
      </c>
      <c r="AQ39" s="1014">
        <v>0</v>
      </c>
      <c r="AR39" s="1014">
        <v>0</v>
      </c>
      <c r="AS39" s="1014">
        <v>0</v>
      </c>
      <c r="AT39" s="1014">
        <v>0</v>
      </c>
      <c r="AU39" s="1014">
        <v>0</v>
      </c>
      <c r="AV39" s="1014">
        <v>0</v>
      </c>
      <c r="AW39" s="986">
        <v>0</v>
      </c>
      <c r="AX39" s="946"/>
      <c r="AY39" s="882"/>
      <c r="AZ39" s="882"/>
      <c r="BA39" s="882"/>
      <c r="BB39" s="882"/>
      <c r="BC39" s="882"/>
      <c r="BD39" s="882"/>
      <c r="BE39" s="882"/>
      <c r="BF39" s="882"/>
      <c r="BG39" s="882"/>
      <c r="BH39" s="882"/>
      <c r="BI39" s="882"/>
      <c r="BJ39" s="882"/>
      <c r="BK39" s="882"/>
      <c r="BL39" s="882"/>
      <c r="BM39" s="882"/>
      <c r="BN39" s="882"/>
      <c r="BO39" s="882"/>
      <c r="BP39" s="882"/>
      <c r="BQ39" s="882"/>
      <c r="BR39" s="882"/>
      <c r="BS39" s="882"/>
      <c r="BT39" s="882"/>
      <c r="BU39" s="882"/>
      <c r="BV39" s="882"/>
      <c r="BW39" s="882"/>
      <c r="BX39" s="882"/>
      <c r="BY39" s="882"/>
      <c r="BZ39" s="882"/>
      <c r="CA39" s="882"/>
    </row>
    <row r="40" spans="1:79">
      <c r="A40" s="896"/>
      <c r="B40" s="896" t="s">
        <v>234</v>
      </c>
      <c r="C40" s="882"/>
      <c r="D40" s="882"/>
      <c r="E40" s="983">
        <v>0</v>
      </c>
      <c r="F40" s="942">
        <f>'Development Budget'!G23</f>
        <v>0</v>
      </c>
      <c r="G40" s="942">
        <v>0</v>
      </c>
      <c r="H40" s="943">
        <v>0</v>
      </c>
      <c r="I40" s="944">
        <v>0</v>
      </c>
      <c r="J40" s="944">
        <v>0</v>
      </c>
      <c r="K40" s="944">
        <v>0</v>
      </c>
      <c r="L40" s="944">
        <v>0</v>
      </c>
      <c r="M40" s="944">
        <v>0</v>
      </c>
      <c r="N40" s="944">
        <v>0</v>
      </c>
      <c r="O40" s="944">
        <v>0</v>
      </c>
      <c r="P40" s="944">
        <v>0</v>
      </c>
      <c r="Q40" s="944">
        <v>0</v>
      </c>
      <c r="R40" s="944">
        <v>0</v>
      </c>
      <c r="S40" s="944">
        <v>0</v>
      </c>
      <c r="T40" s="944">
        <v>0</v>
      </c>
      <c r="U40" s="944">
        <v>0</v>
      </c>
      <c r="V40" s="944">
        <v>0</v>
      </c>
      <c r="W40" s="944">
        <v>0</v>
      </c>
      <c r="X40" s="944">
        <v>0</v>
      </c>
      <c r="Y40" s="944">
        <v>0</v>
      </c>
      <c r="Z40" s="944">
        <v>0</v>
      </c>
      <c r="AA40" s="944">
        <v>0</v>
      </c>
      <c r="AB40" s="944">
        <v>0</v>
      </c>
      <c r="AC40" s="944">
        <v>0</v>
      </c>
      <c r="AD40" s="944">
        <v>0</v>
      </c>
      <c r="AE40" s="944">
        <v>0</v>
      </c>
      <c r="AF40" s="944">
        <v>0</v>
      </c>
      <c r="AG40" s="944">
        <v>0</v>
      </c>
      <c r="AH40" s="944">
        <v>0</v>
      </c>
      <c r="AI40" s="944">
        <v>0</v>
      </c>
      <c r="AJ40" s="944">
        <v>0</v>
      </c>
      <c r="AK40" s="944">
        <v>0</v>
      </c>
      <c r="AL40" s="944">
        <v>0</v>
      </c>
      <c r="AM40" s="944">
        <v>0</v>
      </c>
      <c r="AN40" s="944">
        <v>0</v>
      </c>
      <c r="AO40" s="944">
        <v>0</v>
      </c>
      <c r="AP40" s="944">
        <v>0</v>
      </c>
      <c r="AQ40" s="944">
        <v>0</v>
      </c>
      <c r="AR40" s="944">
        <v>0</v>
      </c>
      <c r="AS40" s="944">
        <v>0</v>
      </c>
      <c r="AT40" s="944">
        <v>0</v>
      </c>
      <c r="AU40" s="944">
        <v>0</v>
      </c>
      <c r="AV40" s="984">
        <f>SUM(H40:AU40)</f>
        <v>0</v>
      </c>
      <c r="AW40" s="942">
        <f>F40-AV40</f>
        <v>0</v>
      </c>
      <c r="AX40" s="946"/>
      <c r="AY40" s="882"/>
      <c r="AZ40" s="882"/>
      <c r="BA40" s="882"/>
      <c r="BB40" s="882"/>
      <c r="BC40" s="882"/>
      <c r="BD40" s="882"/>
      <c r="BE40" s="882"/>
      <c r="BF40" s="882"/>
      <c r="BG40" s="882"/>
      <c r="BH40" s="882"/>
      <c r="BI40" s="882"/>
      <c r="BJ40" s="882"/>
      <c r="BK40" s="882"/>
      <c r="BL40" s="882"/>
      <c r="BM40" s="882"/>
      <c r="BN40" s="882"/>
      <c r="BO40" s="882"/>
      <c r="BP40" s="882"/>
      <c r="BQ40" s="882"/>
      <c r="BR40" s="882"/>
      <c r="BS40" s="882"/>
      <c r="BT40" s="882"/>
      <c r="BU40" s="882"/>
      <c r="BV40" s="882"/>
      <c r="BW40" s="882"/>
      <c r="BX40" s="882"/>
      <c r="BY40" s="882"/>
      <c r="BZ40" s="882"/>
      <c r="CA40" s="882"/>
    </row>
    <row r="41" spans="1:79">
      <c r="A41" s="896"/>
      <c r="B41" s="896" t="s">
        <v>235</v>
      </c>
      <c r="C41" s="882"/>
      <c r="D41" s="882"/>
      <c r="E41" s="983">
        <v>0</v>
      </c>
      <c r="F41" s="942">
        <f>'Development Budget'!G24</f>
        <v>0</v>
      </c>
      <c r="G41" s="942">
        <v>0</v>
      </c>
      <c r="H41" s="943">
        <v>0</v>
      </c>
      <c r="I41" s="944">
        <v>0</v>
      </c>
      <c r="J41" s="944">
        <v>0</v>
      </c>
      <c r="K41" s="944">
        <v>0</v>
      </c>
      <c r="L41" s="944">
        <v>0</v>
      </c>
      <c r="M41" s="944">
        <v>0</v>
      </c>
      <c r="N41" s="944">
        <v>0</v>
      </c>
      <c r="O41" s="944">
        <v>0</v>
      </c>
      <c r="P41" s="944">
        <v>0</v>
      </c>
      <c r="Q41" s="944">
        <v>0</v>
      </c>
      <c r="R41" s="944">
        <v>0</v>
      </c>
      <c r="S41" s="944">
        <v>0</v>
      </c>
      <c r="T41" s="944">
        <v>0</v>
      </c>
      <c r="U41" s="944">
        <v>0</v>
      </c>
      <c r="V41" s="944">
        <v>0</v>
      </c>
      <c r="W41" s="944">
        <v>0</v>
      </c>
      <c r="X41" s="944">
        <v>0</v>
      </c>
      <c r="Y41" s="944">
        <v>0</v>
      </c>
      <c r="Z41" s="944">
        <v>0</v>
      </c>
      <c r="AA41" s="944">
        <v>0</v>
      </c>
      <c r="AB41" s="944">
        <v>0</v>
      </c>
      <c r="AC41" s="944">
        <v>0</v>
      </c>
      <c r="AD41" s="944">
        <v>0</v>
      </c>
      <c r="AE41" s="944">
        <v>0</v>
      </c>
      <c r="AF41" s="944">
        <v>0</v>
      </c>
      <c r="AG41" s="944">
        <v>0</v>
      </c>
      <c r="AH41" s="944">
        <v>0</v>
      </c>
      <c r="AI41" s="944">
        <v>0</v>
      </c>
      <c r="AJ41" s="944">
        <v>0</v>
      </c>
      <c r="AK41" s="944">
        <v>0</v>
      </c>
      <c r="AL41" s="944">
        <v>0</v>
      </c>
      <c r="AM41" s="944">
        <v>0</v>
      </c>
      <c r="AN41" s="944">
        <v>0</v>
      </c>
      <c r="AO41" s="944">
        <v>0</v>
      </c>
      <c r="AP41" s="944">
        <v>0</v>
      </c>
      <c r="AQ41" s="944">
        <v>0</v>
      </c>
      <c r="AR41" s="944">
        <v>0</v>
      </c>
      <c r="AS41" s="944">
        <v>0</v>
      </c>
      <c r="AT41" s="944">
        <v>0</v>
      </c>
      <c r="AU41" s="944">
        <v>0</v>
      </c>
      <c r="AV41" s="984">
        <f>SUM(H41:AU41)</f>
        <v>0</v>
      </c>
      <c r="AW41" s="942">
        <f>F41-AV41</f>
        <v>0</v>
      </c>
      <c r="AX41" s="946"/>
      <c r="AY41" s="882"/>
      <c r="AZ41" s="882"/>
      <c r="BA41" s="882"/>
      <c r="BB41" s="882"/>
      <c r="BC41" s="882"/>
      <c r="BD41" s="882"/>
      <c r="BE41" s="882"/>
      <c r="BF41" s="882"/>
      <c r="BG41" s="882"/>
      <c r="BH41" s="882"/>
      <c r="BI41" s="882"/>
      <c r="BJ41" s="882"/>
      <c r="BK41" s="882"/>
      <c r="BL41" s="882"/>
      <c r="BM41" s="882"/>
      <c r="BN41" s="882"/>
      <c r="BO41" s="882"/>
      <c r="BP41" s="882"/>
      <c r="BQ41" s="882"/>
      <c r="BR41" s="882"/>
      <c r="BS41" s="882"/>
      <c r="BT41" s="882"/>
      <c r="BU41" s="882"/>
      <c r="BV41" s="882"/>
      <c r="BW41" s="882"/>
      <c r="BX41" s="882"/>
      <c r="BY41" s="882"/>
      <c r="BZ41" s="882"/>
      <c r="CA41" s="882"/>
    </row>
    <row r="42" spans="1:79">
      <c r="A42" s="896"/>
      <c r="B42" s="896" t="s">
        <v>236</v>
      </c>
      <c r="C42" s="882"/>
      <c r="D42" s="882"/>
      <c r="E42" s="983">
        <v>0</v>
      </c>
      <c r="F42" s="942">
        <f>'Development Budget'!G25</f>
        <v>0</v>
      </c>
      <c r="G42" s="942">
        <v>0</v>
      </c>
      <c r="H42" s="943">
        <v>0</v>
      </c>
      <c r="I42" s="944">
        <v>0</v>
      </c>
      <c r="J42" s="944">
        <v>0</v>
      </c>
      <c r="K42" s="944">
        <v>0</v>
      </c>
      <c r="L42" s="944">
        <v>0</v>
      </c>
      <c r="M42" s="944">
        <v>0</v>
      </c>
      <c r="N42" s="944">
        <v>0</v>
      </c>
      <c r="O42" s="944">
        <v>0</v>
      </c>
      <c r="P42" s="944">
        <v>0</v>
      </c>
      <c r="Q42" s="944">
        <v>0</v>
      </c>
      <c r="R42" s="944">
        <v>0</v>
      </c>
      <c r="S42" s="944">
        <v>0</v>
      </c>
      <c r="T42" s="944">
        <v>0</v>
      </c>
      <c r="U42" s="944">
        <v>0</v>
      </c>
      <c r="V42" s="944">
        <v>0</v>
      </c>
      <c r="W42" s="944">
        <v>0</v>
      </c>
      <c r="X42" s="944">
        <v>0</v>
      </c>
      <c r="Y42" s="944">
        <v>0</v>
      </c>
      <c r="Z42" s="944">
        <v>0</v>
      </c>
      <c r="AA42" s="944">
        <v>0</v>
      </c>
      <c r="AB42" s="944">
        <v>0</v>
      </c>
      <c r="AC42" s="944">
        <v>0</v>
      </c>
      <c r="AD42" s="944">
        <v>0</v>
      </c>
      <c r="AE42" s="944">
        <v>0</v>
      </c>
      <c r="AF42" s="944">
        <v>0</v>
      </c>
      <c r="AG42" s="944">
        <v>0</v>
      </c>
      <c r="AH42" s="944">
        <v>0</v>
      </c>
      <c r="AI42" s="944">
        <v>0</v>
      </c>
      <c r="AJ42" s="944">
        <v>0</v>
      </c>
      <c r="AK42" s="944">
        <v>0</v>
      </c>
      <c r="AL42" s="944">
        <v>0</v>
      </c>
      <c r="AM42" s="944">
        <v>0</v>
      </c>
      <c r="AN42" s="944">
        <v>0</v>
      </c>
      <c r="AO42" s="944">
        <v>0</v>
      </c>
      <c r="AP42" s="944">
        <v>0</v>
      </c>
      <c r="AQ42" s="944">
        <v>0</v>
      </c>
      <c r="AR42" s="944">
        <v>0</v>
      </c>
      <c r="AS42" s="944">
        <v>0</v>
      </c>
      <c r="AT42" s="944">
        <v>0</v>
      </c>
      <c r="AU42" s="944">
        <v>0</v>
      </c>
      <c r="AV42" s="984">
        <f>SUM(H42:AU42)</f>
        <v>0</v>
      </c>
      <c r="AW42" s="942">
        <f>F42-AV42</f>
        <v>0</v>
      </c>
      <c r="AX42" s="946"/>
      <c r="AY42" s="882"/>
      <c r="AZ42" s="882"/>
      <c r="BA42" s="882"/>
      <c r="BB42" s="882"/>
      <c r="BC42" s="882"/>
      <c r="BD42" s="882"/>
      <c r="BE42" s="882"/>
      <c r="BF42" s="882"/>
      <c r="BG42" s="882"/>
      <c r="BH42" s="882"/>
      <c r="BI42" s="882"/>
      <c r="BJ42" s="882"/>
      <c r="BK42" s="882"/>
      <c r="BL42" s="882"/>
      <c r="BM42" s="882"/>
      <c r="BN42" s="882"/>
      <c r="BO42" s="882"/>
      <c r="BP42" s="882"/>
      <c r="BQ42" s="882"/>
      <c r="BR42" s="882"/>
      <c r="BS42" s="882"/>
      <c r="BT42" s="882"/>
      <c r="BU42" s="882"/>
      <c r="BV42" s="882"/>
      <c r="BW42" s="882"/>
      <c r="BX42" s="882"/>
      <c r="BY42" s="882"/>
      <c r="BZ42" s="882"/>
      <c r="CA42" s="882"/>
    </row>
    <row r="43" spans="1:79">
      <c r="A43" s="896"/>
      <c r="B43" s="896" t="s">
        <v>237</v>
      </c>
      <c r="C43" s="882"/>
      <c r="D43" s="882"/>
      <c r="E43" s="983">
        <v>0</v>
      </c>
      <c r="F43" s="942">
        <f>'Development Budget'!G26</f>
        <v>0</v>
      </c>
      <c r="G43" s="942">
        <v>0</v>
      </c>
      <c r="H43" s="943">
        <v>0</v>
      </c>
      <c r="I43" s="944">
        <v>0</v>
      </c>
      <c r="J43" s="944">
        <v>0</v>
      </c>
      <c r="K43" s="944">
        <v>0</v>
      </c>
      <c r="L43" s="944">
        <v>0</v>
      </c>
      <c r="M43" s="944">
        <v>0</v>
      </c>
      <c r="N43" s="944">
        <v>0</v>
      </c>
      <c r="O43" s="944">
        <v>0</v>
      </c>
      <c r="P43" s="944">
        <v>0</v>
      </c>
      <c r="Q43" s="944">
        <v>0</v>
      </c>
      <c r="R43" s="944">
        <v>0</v>
      </c>
      <c r="S43" s="944">
        <v>0</v>
      </c>
      <c r="T43" s="944">
        <v>0</v>
      </c>
      <c r="U43" s="944">
        <v>0</v>
      </c>
      <c r="V43" s="944">
        <v>0</v>
      </c>
      <c r="W43" s="944">
        <v>0</v>
      </c>
      <c r="X43" s="944">
        <v>0</v>
      </c>
      <c r="Y43" s="944">
        <v>0</v>
      </c>
      <c r="Z43" s="944">
        <v>0</v>
      </c>
      <c r="AA43" s="944">
        <v>0</v>
      </c>
      <c r="AB43" s="944">
        <v>0</v>
      </c>
      <c r="AC43" s="944">
        <v>0</v>
      </c>
      <c r="AD43" s="944">
        <v>0</v>
      </c>
      <c r="AE43" s="944">
        <v>0</v>
      </c>
      <c r="AF43" s="944">
        <v>0</v>
      </c>
      <c r="AG43" s="944">
        <v>0</v>
      </c>
      <c r="AH43" s="944">
        <v>0</v>
      </c>
      <c r="AI43" s="944">
        <v>0</v>
      </c>
      <c r="AJ43" s="944">
        <v>0</v>
      </c>
      <c r="AK43" s="944">
        <v>0</v>
      </c>
      <c r="AL43" s="944">
        <v>0</v>
      </c>
      <c r="AM43" s="944">
        <v>0</v>
      </c>
      <c r="AN43" s="944">
        <v>0</v>
      </c>
      <c r="AO43" s="944">
        <v>0</v>
      </c>
      <c r="AP43" s="944">
        <v>0</v>
      </c>
      <c r="AQ43" s="944">
        <v>0</v>
      </c>
      <c r="AR43" s="944">
        <v>0</v>
      </c>
      <c r="AS43" s="944">
        <v>0</v>
      </c>
      <c r="AT43" s="944">
        <v>0</v>
      </c>
      <c r="AU43" s="944">
        <v>0</v>
      </c>
      <c r="AV43" s="984">
        <f>SUM(H43:AU43)</f>
        <v>0</v>
      </c>
      <c r="AW43" s="942">
        <f>F43-AV43</f>
        <v>0</v>
      </c>
      <c r="AX43" s="946"/>
      <c r="AY43" s="882"/>
      <c r="AZ43" s="882"/>
      <c r="BA43" s="882"/>
      <c r="BB43" s="882"/>
      <c r="BC43" s="882"/>
      <c r="BD43" s="882"/>
      <c r="BE43" s="882"/>
      <c r="BF43" s="882"/>
      <c r="BG43" s="882"/>
      <c r="BH43" s="882"/>
      <c r="BI43" s="882"/>
      <c r="BJ43" s="882"/>
      <c r="BK43" s="882"/>
      <c r="BL43" s="882"/>
      <c r="BM43" s="882"/>
      <c r="BN43" s="882"/>
      <c r="BO43" s="882"/>
      <c r="BP43" s="882"/>
      <c r="BQ43" s="882"/>
      <c r="BR43" s="882"/>
      <c r="BS43" s="882"/>
      <c r="BT43" s="882"/>
      <c r="BU43" s="882"/>
      <c r="BV43" s="882"/>
      <c r="BW43" s="882"/>
      <c r="BX43" s="882"/>
      <c r="BY43" s="882"/>
      <c r="BZ43" s="882"/>
      <c r="CA43" s="882"/>
    </row>
    <row r="44" spans="1:79">
      <c r="A44" s="896"/>
      <c r="B44" s="896" t="s">
        <v>238</v>
      </c>
      <c r="C44" s="882"/>
      <c r="D44" s="882"/>
      <c r="E44" s="983">
        <v>0</v>
      </c>
      <c r="F44" s="942">
        <f>'Development Budget'!G27</f>
        <v>0</v>
      </c>
      <c r="G44" s="942">
        <v>0</v>
      </c>
      <c r="H44" s="943">
        <v>0</v>
      </c>
      <c r="I44" s="944">
        <v>0</v>
      </c>
      <c r="J44" s="944">
        <v>0</v>
      </c>
      <c r="K44" s="944">
        <v>0</v>
      </c>
      <c r="L44" s="944">
        <v>0</v>
      </c>
      <c r="M44" s="944">
        <v>0</v>
      </c>
      <c r="N44" s="944">
        <v>0</v>
      </c>
      <c r="O44" s="944">
        <v>0</v>
      </c>
      <c r="P44" s="944">
        <v>0</v>
      </c>
      <c r="Q44" s="944">
        <v>0</v>
      </c>
      <c r="R44" s="944">
        <v>0</v>
      </c>
      <c r="S44" s="944">
        <v>0</v>
      </c>
      <c r="T44" s="944">
        <v>0</v>
      </c>
      <c r="U44" s="944">
        <v>0</v>
      </c>
      <c r="V44" s="944">
        <v>0</v>
      </c>
      <c r="W44" s="944">
        <v>0</v>
      </c>
      <c r="X44" s="944">
        <v>0</v>
      </c>
      <c r="Y44" s="944">
        <v>0</v>
      </c>
      <c r="Z44" s="944">
        <v>0</v>
      </c>
      <c r="AA44" s="944">
        <v>0</v>
      </c>
      <c r="AB44" s="944">
        <v>0</v>
      </c>
      <c r="AC44" s="944">
        <v>0</v>
      </c>
      <c r="AD44" s="944">
        <v>0</v>
      </c>
      <c r="AE44" s="944">
        <v>0</v>
      </c>
      <c r="AF44" s="944">
        <v>0</v>
      </c>
      <c r="AG44" s="944">
        <v>0</v>
      </c>
      <c r="AH44" s="944">
        <v>0</v>
      </c>
      <c r="AI44" s="944">
        <v>0</v>
      </c>
      <c r="AJ44" s="944">
        <v>0</v>
      </c>
      <c r="AK44" s="944">
        <v>0</v>
      </c>
      <c r="AL44" s="944">
        <v>0</v>
      </c>
      <c r="AM44" s="944">
        <v>0</v>
      </c>
      <c r="AN44" s="944">
        <v>0</v>
      </c>
      <c r="AO44" s="944">
        <v>0</v>
      </c>
      <c r="AP44" s="944">
        <v>0</v>
      </c>
      <c r="AQ44" s="944">
        <v>0</v>
      </c>
      <c r="AR44" s="944">
        <v>0</v>
      </c>
      <c r="AS44" s="944">
        <v>0</v>
      </c>
      <c r="AT44" s="944">
        <v>0</v>
      </c>
      <c r="AU44" s="944">
        <v>0</v>
      </c>
      <c r="AV44" s="984">
        <f>SUM(H44:AU44)</f>
        <v>0</v>
      </c>
      <c r="AW44" s="942">
        <f>F44-AV44</f>
        <v>0</v>
      </c>
      <c r="AX44" s="946"/>
      <c r="AY44" s="882"/>
      <c r="AZ44" s="882"/>
      <c r="BA44" s="882"/>
      <c r="BB44" s="882"/>
      <c r="BC44" s="882"/>
      <c r="BD44" s="882"/>
      <c r="BE44" s="882"/>
      <c r="BF44" s="882"/>
      <c r="BG44" s="882"/>
      <c r="BH44" s="882"/>
      <c r="BI44" s="882"/>
      <c r="BJ44" s="882"/>
      <c r="BK44" s="882"/>
      <c r="BL44" s="882"/>
      <c r="BM44" s="882"/>
      <c r="BN44" s="882"/>
      <c r="BO44" s="882"/>
      <c r="BP44" s="882"/>
      <c r="BQ44" s="882"/>
      <c r="BR44" s="882"/>
      <c r="BS44" s="882"/>
      <c r="BT44" s="882"/>
      <c r="BU44" s="882"/>
      <c r="BV44" s="882"/>
      <c r="BW44" s="882"/>
      <c r="BX44" s="882"/>
      <c r="BY44" s="882"/>
      <c r="BZ44" s="882"/>
      <c r="CA44" s="882"/>
    </row>
    <row r="45" spans="1:79">
      <c r="A45" s="896"/>
      <c r="B45" s="896" t="s">
        <v>239</v>
      </c>
      <c r="C45" s="882"/>
      <c r="D45" s="882"/>
      <c r="E45" s="983">
        <v>0</v>
      </c>
      <c r="F45" s="942">
        <f>'Development Budget'!G28</f>
        <v>0</v>
      </c>
      <c r="G45" s="942">
        <v>0</v>
      </c>
      <c r="H45" s="943">
        <v>0</v>
      </c>
      <c r="I45" s="944">
        <v>0</v>
      </c>
      <c r="J45" s="944">
        <v>0</v>
      </c>
      <c r="K45" s="944">
        <v>0</v>
      </c>
      <c r="L45" s="944">
        <v>0</v>
      </c>
      <c r="M45" s="944">
        <v>0</v>
      </c>
      <c r="N45" s="944">
        <v>0</v>
      </c>
      <c r="O45" s="944">
        <v>0</v>
      </c>
      <c r="P45" s="944">
        <v>0</v>
      </c>
      <c r="Q45" s="944">
        <v>0</v>
      </c>
      <c r="R45" s="944">
        <v>0</v>
      </c>
      <c r="S45" s="944">
        <v>0</v>
      </c>
      <c r="T45" s="944">
        <v>0</v>
      </c>
      <c r="U45" s="944">
        <v>0</v>
      </c>
      <c r="V45" s="944">
        <v>0</v>
      </c>
      <c r="W45" s="944">
        <v>0</v>
      </c>
      <c r="X45" s="944">
        <v>0</v>
      </c>
      <c r="Y45" s="944">
        <v>0</v>
      </c>
      <c r="Z45" s="944">
        <v>0</v>
      </c>
      <c r="AA45" s="944">
        <v>0</v>
      </c>
      <c r="AB45" s="944">
        <v>0</v>
      </c>
      <c r="AC45" s="944">
        <v>0</v>
      </c>
      <c r="AD45" s="944">
        <v>0</v>
      </c>
      <c r="AE45" s="944">
        <v>0</v>
      </c>
      <c r="AF45" s="944">
        <v>0</v>
      </c>
      <c r="AG45" s="944">
        <v>0</v>
      </c>
      <c r="AH45" s="944">
        <v>0</v>
      </c>
      <c r="AI45" s="944">
        <v>0</v>
      </c>
      <c r="AJ45" s="944">
        <v>0</v>
      </c>
      <c r="AK45" s="944">
        <v>0</v>
      </c>
      <c r="AL45" s="944">
        <v>0</v>
      </c>
      <c r="AM45" s="944">
        <v>0</v>
      </c>
      <c r="AN45" s="944">
        <v>0</v>
      </c>
      <c r="AO45" s="944">
        <v>0</v>
      </c>
      <c r="AP45" s="944">
        <v>0</v>
      </c>
      <c r="AQ45" s="944">
        <v>0</v>
      </c>
      <c r="AR45" s="944">
        <v>0</v>
      </c>
      <c r="AS45" s="944">
        <v>0</v>
      </c>
      <c r="AT45" s="944">
        <v>0</v>
      </c>
      <c r="AU45" s="944">
        <v>0</v>
      </c>
      <c r="AV45" s="984">
        <f>SUM(H45:AU45)</f>
        <v>0</v>
      </c>
      <c r="AW45" s="942">
        <f>F45-AV45</f>
        <v>0</v>
      </c>
      <c r="AX45" s="946"/>
      <c r="AY45" s="882"/>
      <c r="AZ45" s="882"/>
      <c r="BA45" s="882"/>
      <c r="BB45" s="882"/>
      <c r="BC45" s="882"/>
      <c r="BD45" s="882"/>
      <c r="BE45" s="882"/>
      <c r="BF45" s="882"/>
      <c r="BG45" s="882"/>
      <c r="BH45" s="882"/>
      <c r="BI45" s="882"/>
      <c r="BJ45" s="882"/>
      <c r="BK45" s="882"/>
      <c r="BL45" s="882"/>
      <c r="BM45" s="882"/>
      <c r="BN45" s="882"/>
      <c r="BO45" s="882"/>
      <c r="BP45" s="882"/>
      <c r="BQ45" s="882"/>
      <c r="BR45" s="882"/>
      <c r="BS45" s="882"/>
      <c r="BT45" s="882"/>
      <c r="BU45" s="882"/>
      <c r="BV45" s="882"/>
      <c r="BW45" s="882"/>
      <c r="BX45" s="882"/>
      <c r="BY45" s="882"/>
      <c r="BZ45" s="882"/>
      <c r="CA45" s="882"/>
    </row>
    <row r="46" spans="1:79">
      <c r="A46" s="979" t="s">
        <v>618</v>
      </c>
      <c r="B46" s="896"/>
      <c r="C46" s="882"/>
      <c r="D46" s="882"/>
      <c r="E46" s="983">
        <v>0</v>
      </c>
      <c r="F46" s="1009">
        <v>0</v>
      </c>
      <c r="G46" s="1009">
        <v>0</v>
      </c>
      <c r="H46" s="1015">
        <v>0</v>
      </c>
      <c r="I46" s="1009">
        <v>0</v>
      </c>
      <c r="J46" s="1009">
        <v>0</v>
      </c>
      <c r="K46" s="1009">
        <v>0</v>
      </c>
      <c r="L46" s="1009">
        <v>0</v>
      </c>
      <c r="M46" s="1009">
        <v>0</v>
      </c>
      <c r="N46" s="1009">
        <v>0</v>
      </c>
      <c r="O46" s="1009">
        <v>0</v>
      </c>
      <c r="P46" s="1009">
        <v>0</v>
      </c>
      <c r="Q46" s="1009">
        <v>0</v>
      </c>
      <c r="R46" s="1009">
        <v>0</v>
      </c>
      <c r="S46" s="1009">
        <v>0</v>
      </c>
      <c r="T46" s="1009">
        <v>0</v>
      </c>
      <c r="U46" s="1009">
        <v>0</v>
      </c>
      <c r="V46" s="1009">
        <v>0</v>
      </c>
      <c r="W46" s="1009">
        <v>0</v>
      </c>
      <c r="X46" s="1009">
        <v>0</v>
      </c>
      <c r="Y46" s="1009">
        <v>0</v>
      </c>
      <c r="Z46" s="1009">
        <v>0</v>
      </c>
      <c r="AA46" s="1009">
        <v>0</v>
      </c>
      <c r="AB46" s="1009">
        <v>0</v>
      </c>
      <c r="AC46" s="1009">
        <v>0</v>
      </c>
      <c r="AD46" s="1009">
        <v>0</v>
      </c>
      <c r="AE46" s="1009">
        <v>0</v>
      </c>
      <c r="AF46" s="1009">
        <v>0</v>
      </c>
      <c r="AG46" s="1009">
        <v>0</v>
      </c>
      <c r="AH46" s="1009">
        <v>0</v>
      </c>
      <c r="AI46" s="1009">
        <v>0</v>
      </c>
      <c r="AJ46" s="1009">
        <v>0</v>
      </c>
      <c r="AK46" s="1009">
        <v>0</v>
      </c>
      <c r="AL46" s="1009">
        <v>0</v>
      </c>
      <c r="AM46" s="1009">
        <v>0</v>
      </c>
      <c r="AN46" s="1009">
        <v>0</v>
      </c>
      <c r="AO46" s="1009">
        <v>0</v>
      </c>
      <c r="AP46" s="1009">
        <v>0</v>
      </c>
      <c r="AQ46" s="1009">
        <v>0</v>
      </c>
      <c r="AR46" s="1009">
        <v>0</v>
      </c>
      <c r="AS46" s="1009">
        <v>0</v>
      </c>
      <c r="AT46" s="1009">
        <v>0</v>
      </c>
      <c r="AU46" s="1009">
        <v>0</v>
      </c>
      <c r="AV46" s="1009">
        <v>0</v>
      </c>
      <c r="AW46" s="986">
        <v>0</v>
      </c>
      <c r="AX46" s="946"/>
      <c r="AY46" s="882"/>
      <c r="AZ46" s="882"/>
      <c r="BA46" s="882"/>
      <c r="BB46" s="882"/>
      <c r="BC46" s="882"/>
      <c r="BD46" s="882"/>
      <c r="BE46" s="882"/>
      <c r="BF46" s="882"/>
      <c r="BG46" s="882"/>
      <c r="BH46" s="882"/>
      <c r="BI46" s="882"/>
      <c r="BJ46" s="882"/>
      <c r="BK46" s="882"/>
      <c r="BL46" s="882"/>
      <c r="BM46" s="882"/>
      <c r="BN46" s="882"/>
      <c r="BO46" s="882"/>
      <c r="BP46" s="882"/>
      <c r="BQ46" s="882"/>
      <c r="BR46" s="882"/>
      <c r="BS46" s="882"/>
      <c r="BT46" s="882"/>
      <c r="BU46" s="882"/>
      <c r="BV46" s="882"/>
      <c r="BW46" s="882"/>
      <c r="BX46" s="882"/>
      <c r="BY46" s="882"/>
      <c r="BZ46" s="882"/>
      <c r="CA46" s="882"/>
    </row>
    <row r="47" spans="1:79">
      <c r="A47" s="896"/>
      <c r="B47" s="1016" t="s">
        <v>240</v>
      </c>
      <c r="C47" s="882"/>
      <c r="D47" s="882"/>
      <c r="E47" s="983">
        <v>0</v>
      </c>
      <c r="F47" s="942">
        <f>'Development Budget'!G31</f>
        <v>0</v>
      </c>
      <c r="G47" s="984">
        <v>0</v>
      </c>
      <c r="H47" s="1017">
        <v>0</v>
      </c>
      <c r="I47" s="1018">
        <v>0</v>
      </c>
      <c r="J47" s="1018">
        <v>0</v>
      </c>
      <c r="K47" s="1018">
        <v>0</v>
      </c>
      <c r="L47" s="1018">
        <v>0</v>
      </c>
      <c r="M47" s="1018">
        <v>0</v>
      </c>
      <c r="N47" s="1018">
        <v>0</v>
      </c>
      <c r="O47" s="1018">
        <v>0</v>
      </c>
      <c r="P47" s="1018">
        <v>0</v>
      </c>
      <c r="Q47" s="1018">
        <v>0</v>
      </c>
      <c r="R47" s="1018">
        <v>0</v>
      </c>
      <c r="S47" s="1018">
        <v>0</v>
      </c>
      <c r="T47" s="1018">
        <v>0</v>
      </c>
      <c r="U47" s="1018">
        <v>0</v>
      </c>
      <c r="V47" s="1018">
        <v>0</v>
      </c>
      <c r="W47" s="1018">
        <v>0</v>
      </c>
      <c r="X47" s="1018">
        <v>0</v>
      </c>
      <c r="Y47" s="1018">
        <v>0</v>
      </c>
      <c r="Z47" s="1018">
        <v>0</v>
      </c>
      <c r="AA47" s="1018">
        <v>0</v>
      </c>
      <c r="AB47" s="1018">
        <v>0</v>
      </c>
      <c r="AC47" s="1018">
        <v>0</v>
      </c>
      <c r="AD47" s="1018">
        <v>0</v>
      </c>
      <c r="AE47" s="1018">
        <v>0</v>
      </c>
      <c r="AF47" s="1018">
        <v>0</v>
      </c>
      <c r="AG47" s="1018">
        <v>0</v>
      </c>
      <c r="AH47" s="1018">
        <v>0</v>
      </c>
      <c r="AI47" s="1018">
        <v>0</v>
      </c>
      <c r="AJ47" s="1018">
        <v>0</v>
      </c>
      <c r="AK47" s="1018">
        <v>0</v>
      </c>
      <c r="AL47" s="1018">
        <v>0</v>
      </c>
      <c r="AM47" s="1018">
        <v>0</v>
      </c>
      <c r="AN47" s="1018">
        <v>0</v>
      </c>
      <c r="AO47" s="1018">
        <v>0</v>
      </c>
      <c r="AP47" s="1018">
        <v>0</v>
      </c>
      <c r="AQ47" s="1018">
        <v>0</v>
      </c>
      <c r="AR47" s="1018">
        <v>0</v>
      </c>
      <c r="AS47" s="1018">
        <v>0</v>
      </c>
      <c r="AT47" s="1018">
        <v>0</v>
      </c>
      <c r="AU47" s="1018">
        <v>0</v>
      </c>
      <c r="AV47" s="984">
        <f>SUM(H47:AU47)</f>
        <v>0</v>
      </c>
      <c r="AW47" s="937">
        <f>F47-AV47</f>
        <v>0</v>
      </c>
      <c r="AX47" s="946"/>
      <c r="AY47" s="882"/>
      <c r="AZ47" s="882"/>
      <c r="BA47" s="882"/>
      <c r="BB47" s="882"/>
      <c r="BC47" s="882"/>
      <c r="BD47" s="882"/>
      <c r="BE47" s="882"/>
      <c r="BF47" s="882"/>
      <c r="BG47" s="882"/>
      <c r="BH47" s="882"/>
      <c r="BI47" s="882"/>
      <c r="BJ47" s="882"/>
      <c r="BK47" s="882"/>
      <c r="BL47" s="882"/>
      <c r="BM47" s="882"/>
      <c r="BN47" s="882"/>
      <c r="BO47" s="882"/>
      <c r="BP47" s="882"/>
      <c r="BQ47" s="882"/>
      <c r="BR47" s="882"/>
      <c r="BS47" s="882"/>
      <c r="BT47" s="882"/>
      <c r="BU47" s="882"/>
      <c r="BV47" s="882"/>
      <c r="BW47" s="882"/>
      <c r="BX47" s="882"/>
      <c r="BY47" s="882"/>
      <c r="BZ47" s="882"/>
      <c r="CA47" s="882"/>
    </row>
    <row r="48" spans="1:79">
      <c r="A48" s="896"/>
      <c r="B48" s="1019" t="s">
        <v>241</v>
      </c>
      <c r="C48" s="1020"/>
      <c r="D48" s="1021"/>
      <c r="E48" s="983">
        <v>0</v>
      </c>
      <c r="F48" s="1022">
        <f>'Development Budget'!G32</f>
        <v>0</v>
      </c>
      <c r="G48" s="984">
        <v>0</v>
      </c>
      <c r="H48" s="1022">
        <v>0</v>
      </c>
      <c r="I48" s="1022">
        <v>0</v>
      </c>
      <c r="J48" s="1022">
        <v>0</v>
      </c>
      <c r="K48" s="1022">
        <v>0</v>
      </c>
      <c r="L48" s="1022">
        <v>0</v>
      </c>
      <c r="M48" s="1022">
        <v>0</v>
      </c>
      <c r="N48" s="1022">
        <v>0</v>
      </c>
      <c r="O48" s="1022">
        <v>0</v>
      </c>
      <c r="P48" s="1022">
        <v>0</v>
      </c>
      <c r="Q48" s="1022">
        <v>0</v>
      </c>
      <c r="R48" s="1022">
        <v>0</v>
      </c>
      <c r="S48" s="1022">
        <v>0</v>
      </c>
      <c r="T48" s="1022">
        <v>0</v>
      </c>
      <c r="U48" s="1022">
        <v>0</v>
      </c>
      <c r="V48" s="1022">
        <v>0</v>
      </c>
      <c r="W48" s="1022">
        <v>0</v>
      </c>
      <c r="X48" s="1022">
        <v>0</v>
      </c>
      <c r="Y48" s="1022">
        <v>0</v>
      </c>
      <c r="Z48" s="1022">
        <v>0</v>
      </c>
      <c r="AA48" s="1022">
        <v>0</v>
      </c>
      <c r="AB48" s="1022">
        <v>0</v>
      </c>
      <c r="AC48" s="1022">
        <v>0</v>
      </c>
      <c r="AD48" s="1022">
        <v>0</v>
      </c>
      <c r="AE48" s="1022">
        <v>0</v>
      </c>
      <c r="AF48" s="1022">
        <v>0</v>
      </c>
      <c r="AG48" s="1022">
        <v>0</v>
      </c>
      <c r="AH48" s="1022">
        <v>0</v>
      </c>
      <c r="AI48" s="1022">
        <v>0</v>
      </c>
      <c r="AJ48" s="1022">
        <v>0</v>
      </c>
      <c r="AK48" s="1022">
        <v>0</v>
      </c>
      <c r="AL48" s="1022">
        <v>0</v>
      </c>
      <c r="AM48" s="1022">
        <v>0</v>
      </c>
      <c r="AN48" s="1022">
        <v>0</v>
      </c>
      <c r="AO48" s="1022">
        <v>0</v>
      </c>
      <c r="AP48" s="1022">
        <v>0</v>
      </c>
      <c r="AQ48" s="1022">
        <v>0</v>
      </c>
      <c r="AR48" s="1022">
        <v>0</v>
      </c>
      <c r="AS48" s="1022">
        <v>0</v>
      </c>
      <c r="AT48" s="1022">
        <v>0</v>
      </c>
      <c r="AU48" s="1022">
        <v>0</v>
      </c>
      <c r="AV48" s="1023">
        <f>SUM(H48:AU48)</f>
        <v>0</v>
      </c>
      <c r="AW48" s="1024">
        <f>F48-AV48</f>
        <v>0</v>
      </c>
      <c r="AX48" s="946"/>
      <c r="AY48" s="882"/>
      <c r="AZ48" s="882"/>
      <c r="BA48" s="882"/>
      <c r="BB48" s="882"/>
      <c r="BC48" s="882"/>
      <c r="BD48" s="882"/>
      <c r="BE48" s="882"/>
      <c r="BF48" s="882"/>
      <c r="BG48" s="882"/>
      <c r="BH48" s="882"/>
      <c r="BI48" s="882"/>
      <c r="BJ48" s="882"/>
      <c r="BK48" s="882"/>
      <c r="BL48" s="882"/>
      <c r="BM48" s="882"/>
      <c r="BN48" s="882"/>
      <c r="BO48" s="882"/>
      <c r="BP48" s="882"/>
      <c r="BQ48" s="882"/>
      <c r="BR48" s="882"/>
      <c r="BS48" s="882"/>
      <c r="BT48" s="882"/>
      <c r="BU48" s="882"/>
      <c r="BV48" s="882"/>
      <c r="BW48" s="882"/>
      <c r="BX48" s="882"/>
      <c r="BY48" s="882"/>
      <c r="BZ48" s="882"/>
      <c r="CA48" s="882"/>
    </row>
    <row r="49" spans="1:79" ht="15" customHeight="1">
      <c r="A49" s="896"/>
      <c r="B49" s="1025" t="s">
        <v>242</v>
      </c>
      <c r="C49" s="317"/>
      <c r="D49" s="1026"/>
      <c r="E49" s="983">
        <v>0</v>
      </c>
      <c r="F49" s="1027">
        <f>'Development Budget'!G33</f>
        <v>0</v>
      </c>
      <c r="G49" s="984">
        <v>0</v>
      </c>
      <c r="H49" s="1028">
        <v>0</v>
      </c>
      <c r="I49" s="1029">
        <v>0</v>
      </c>
      <c r="J49" s="1029">
        <v>0</v>
      </c>
      <c r="K49" s="1029">
        <v>0</v>
      </c>
      <c r="L49" s="1029">
        <v>0</v>
      </c>
      <c r="M49" s="1029">
        <v>0</v>
      </c>
      <c r="N49" s="1029">
        <v>0</v>
      </c>
      <c r="O49" s="1029">
        <v>0</v>
      </c>
      <c r="P49" s="1029">
        <v>0</v>
      </c>
      <c r="Q49" s="1029">
        <v>0</v>
      </c>
      <c r="R49" s="1029">
        <v>0</v>
      </c>
      <c r="S49" s="1029">
        <v>0</v>
      </c>
      <c r="T49" s="1029">
        <v>0</v>
      </c>
      <c r="U49" s="1029">
        <v>0</v>
      </c>
      <c r="V49" s="1029">
        <v>0</v>
      </c>
      <c r="W49" s="1029">
        <v>0</v>
      </c>
      <c r="X49" s="1029">
        <v>0</v>
      </c>
      <c r="Y49" s="1029">
        <v>0</v>
      </c>
      <c r="Z49" s="1029">
        <v>0</v>
      </c>
      <c r="AA49" s="1029">
        <v>0</v>
      </c>
      <c r="AB49" s="1029">
        <v>0</v>
      </c>
      <c r="AC49" s="1029">
        <v>0</v>
      </c>
      <c r="AD49" s="1029">
        <v>0</v>
      </c>
      <c r="AE49" s="1029">
        <v>0</v>
      </c>
      <c r="AF49" s="1029">
        <v>0</v>
      </c>
      <c r="AG49" s="1029">
        <v>0</v>
      </c>
      <c r="AH49" s="1029">
        <v>0</v>
      </c>
      <c r="AI49" s="1029">
        <v>0</v>
      </c>
      <c r="AJ49" s="1029">
        <v>0</v>
      </c>
      <c r="AK49" s="1029">
        <v>0</v>
      </c>
      <c r="AL49" s="1029">
        <v>0</v>
      </c>
      <c r="AM49" s="1029">
        <v>0</v>
      </c>
      <c r="AN49" s="1029">
        <v>0</v>
      </c>
      <c r="AO49" s="1029">
        <v>0</v>
      </c>
      <c r="AP49" s="1029">
        <v>0</v>
      </c>
      <c r="AQ49" s="1029">
        <v>0</v>
      </c>
      <c r="AR49" s="1029">
        <v>0</v>
      </c>
      <c r="AS49" s="1029">
        <v>0</v>
      </c>
      <c r="AT49" s="1029">
        <v>0</v>
      </c>
      <c r="AU49" s="1029">
        <v>0</v>
      </c>
      <c r="AV49" s="1030">
        <f>SUM(H49:AU49)</f>
        <v>0</v>
      </c>
      <c r="AW49" s="1031">
        <f>F49-AV49</f>
        <v>0</v>
      </c>
      <c r="AX49" s="946"/>
      <c r="AY49" s="882"/>
      <c r="AZ49" s="882"/>
      <c r="BA49" s="882"/>
      <c r="BB49" s="882"/>
      <c r="BC49" s="882"/>
      <c r="BD49" s="882"/>
      <c r="BE49" s="882"/>
      <c r="BF49" s="882"/>
      <c r="BG49" s="882"/>
      <c r="BH49" s="882"/>
      <c r="BI49" s="882"/>
      <c r="BJ49" s="882"/>
      <c r="BK49" s="882"/>
      <c r="BL49" s="882"/>
      <c r="BM49" s="882"/>
      <c r="BN49" s="882"/>
      <c r="BO49" s="882"/>
      <c r="BP49" s="882"/>
      <c r="BQ49" s="882"/>
      <c r="BR49" s="882"/>
      <c r="BS49" s="882"/>
      <c r="BT49" s="882"/>
      <c r="BU49" s="882"/>
      <c r="BV49" s="882"/>
      <c r="BW49" s="882"/>
      <c r="BX49" s="882"/>
      <c r="BY49" s="882"/>
      <c r="BZ49" s="882"/>
      <c r="CA49" s="882"/>
    </row>
    <row r="50" spans="1:79">
      <c r="A50" s="896"/>
      <c r="B50" s="1016" t="s">
        <v>243</v>
      </c>
      <c r="C50" s="882"/>
      <c r="D50" s="882"/>
      <c r="E50" s="983">
        <v>0</v>
      </c>
      <c r="F50" s="942">
        <f>'Development Budget'!G34</f>
        <v>0</v>
      </c>
      <c r="G50" s="984">
        <v>0</v>
      </c>
      <c r="H50" s="943">
        <v>0</v>
      </c>
      <c r="I50" s="1018">
        <v>0</v>
      </c>
      <c r="J50" s="1018">
        <v>0</v>
      </c>
      <c r="K50" s="1018">
        <v>0</v>
      </c>
      <c r="L50" s="1018">
        <v>0</v>
      </c>
      <c r="M50" s="1018">
        <v>0</v>
      </c>
      <c r="N50" s="1018">
        <v>0</v>
      </c>
      <c r="O50" s="1018">
        <v>0</v>
      </c>
      <c r="P50" s="1018">
        <v>0</v>
      </c>
      <c r="Q50" s="1018">
        <v>0</v>
      </c>
      <c r="R50" s="1018">
        <v>0</v>
      </c>
      <c r="S50" s="1018">
        <v>0</v>
      </c>
      <c r="T50" s="1018">
        <v>0</v>
      </c>
      <c r="U50" s="1018">
        <v>0</v>
      </c>
      <c r="V50" s="1018">
        <v>0</v>
      </c>
      <c r="W50" s="1018">
        <v>0</v>
      </c>
      <c r="X50" s="1018">
        <v>0</v>
      </c>
      <c r="Y50" s="1018">
        <v>0</v>
      </c>
      <c r="Z50" s="1018">
        <v>0</v>
      </c>
      <c r="AA50" s="1018">
        <v>0</v>
      </c>
      <c r="AB50" s="1018">
        <v>0</v>
      </c>
      <c r="AC50" s="1018">
        <v>0</v>
      </c>
      <c r="AD50" s="1018">
        <v>0</v>
      </c>
      <c r="AE50" s="1018">
        <v>0</v>
      </c>
      <c r="AF50" s="1018">
        <v>0</v>
      </c>
      <c r="AG50" s="1018">
        <v>0</v>
      </c>
      <c r="AH50" s="1018">
        <v>0</v>
      </c>
      <c r="AI50" s="1018">
        <v>0</v>
      </c>
      <c r="AJ50" s="1018">
        <v>0</v>
      </c>
      <c r="AK50" s="1018">
        <v>0</v>
      </c>
      <c r="AL50" s="1018">
        <v>0</v>
      </c>
      <c r="AM50" s="1018">
        <v>0</v>
      </c>
      <c r="AN50" s="1018">
        <v>0</v>
      </c>
      <c r="AO50" s="1018">
        <v>0</v>
      </c>
      <c r="AP50" s="1018">
        <v>0</v>
      </c>
      <c r="AQ50" s="1018">
        <v>0</v>
      </c>
      <c r="AR50" s="1018">
        <v>0</v>
      </c>
      <c r="AS50" s="1018">
        <v>0</v>
      </c>
      <c r="AT50" s="1018">
        <v>0</v>
      </c>
      <c r="AU50" s="1018">
        <v>0</v>
      </c>
      <c r="AV50" s="984">
        <f>SUM(H50:AU50)</f>
        <v>0</v>
      </c>
      <c r="AW50" s="937">
        <f>F50-AV50</f>
        <v>0</v>
      </c>
      <c r="AX50" s="946"/>
      <c r="AY50" s="882"/>
      <c r="AZ50" s="882"/>
      <c r="BA50" s="882"/>
      <c r="BB50" s="882"/>
      <c r="BC50" s="882"/>
      <c r="BD50" s="882"/>
      <c r="BE50" s="882"/>
      <c r="BF50" s="882"/>
      <c r="BG50" s="882"/>
      <c r="BH50" s="882"/>
      <c r="BI50" s="882"/>
      <c r="BJ50" s="882"/>
      <c r="BK50" s="882"/>
      <c r="BL50" s="882"/>
      <c r="BM50" s="882"/>
      <c r="BN50" s="882"/>
      <c r="BO50" s="882"/>
      <c r="BP50" s="882"/>
      <c r="BQ50" s="882"/>
      <c r="BR50" s="882"/>
      <c r="BS50" s="882"/>
      <c r="BT50" s="882"/>
      <c r="BU50" s="882"/>
      <c r="BV50" s="882"/>
      <c r="BW50" s="882"/>
      <c r="BX50" s="882"/>
      <c r="BY50" s="882"/>
      <c r="BZ50" s="882"/>
      <c r="CA50" s="882"/>
    </row>
    <row r="51" spans="1:79">
      <c r="A51" s="896"/>
      <c r="B51" s="1016" t="s">
        <v>244</v>
      </c>
      <c r="C51" s="882"/>
      <c r="D51" s="882"/>
      <c r="E51" s="983">
        <v>0</v>
      </c>
      <c r="F51" s="942">
        <f>'Development Budget'!G35</f>
        <v>0</v>
      </c>
      <c r="G51" s="984">
        <v>0</v>
      </c>
      <c r="H51" s="1017">
        <v>0</v>
      </c>
      <c r="I51" s="1018">
        <v>0</v>
      </c>
      <c r="J51" s="1018">
        <v>0</v>
      </c>
      <c r="K51" s="1018">
        <v>0</v>
      </c>
      <c r="L51" s="1018">
        <v>0</v>
      </c>
      <c r="M51" s="1018">
        <v>0</v>
      </c>
      <c r="N51" s="1018">
        <v>0</v>
      </c>
      <c r="O51" s="1018">
        <v>0</v>
      </c>
      <c r="P51" s="1018">
        <v>0</v>
      </c>
      <c r="Q51" s="1018">
        <v>0</v>
      </c>
      <c r="R51" s="1018">
        <v>0</v>
      </c>
      <c r="S51" s="1018">
        <v>0</v>
      </c>
      <c r="T51" s="1018">
        <v>0</v>
      </c>
      <c r="U51" s="1018">
        <v>0</v>
      </c>
      <c r="V51" s="1018">
        <v>0</v>
      </c>
      <c r="W51" s="1018">
        <v>0</v>
      </c>
      <c r="X51" s="1018">
        <v>0</v>
      </c>
      <c r="Y51" s="1018">
        <v>0</v>
      </c>
      <c r="Z51" s="1018">
        <v>0</v>
      </c>
      <c r="AA51" s="1018">
        <v>0</v>
      </c>
      <c r="AB51" s="1018">
        <v>0</v>
      </c>
      <c r="AC51" s="1018">
        <v>0</v>
      </c>
      <c r="AD51" s="1018">
        <v>0</v>
      </c>
      <c r="AE51" s="1018">
        <v>0</v>
      </c>
      <c r="AF51" s="1018">
        <v>0</v>
      </c>
      <c r="AG51" s="1018">
        <v>0</v>
      </c>
      <c r="AH51" s="1018">
        <v>0</v>
      </c>
      <c r="AI51" s="1018">
        <v>0</v>
      </c>
      <c r="AJ51" s="1018">
        <v>0</v>
      </c>
      <c r="AK51" s="1018">
        <v>0</v>
      </c>
      <c r="AL51" s="1018">
        <v>0</v>
      </c>
      <c r="AM51" s="1018">
        <v>0</v>
      </c>
      <c r="AN51" s="1018">
        <v>0</v>
      </c>
      <c r="AO51" s="1018">
        <v>0</v>
      </c>
      <c r="AP51" s="1018">
        <v>0</v>
      </c>
      <c r="AQ51" s="1018">
        <v>0</v>
      </c>
      <c r="AR51" s="1018">
        <v>0</v>
      </c>
      <c r="AS51" s="1018">
        <v>0</v>
      </c>
      <c r="AT51" s="1018">
        <v>0</v>
      </c>
      <c r="AU51" s="1018">
        <v>0</v>
      </c>
      <c r="AV51" s="984">
        <f>SUM(H51:AU51)</f>
        <v>0</v>
      </c>
      <c r="AW51" s="937">
        <f>F51-AV51</f>
        <v>0</v>
      </c>
      <c r="AX51" s="946"/>
      <c r="AY51" s="882"/>
      <c r="AZ51" s="882"/>
      <c r="BA51" s="882"/>
      <c r="BB51" s="882"/>
      <c r="BC51" s="882"/>
      <c r="BD51" s="882"/>
      <c r="BE51" s="882"/>
      <c r="BF51" s="882"/>
      <c r="BG51" s="882"/>
      <c r="BH51" s="882"/>
      <c r="BI51" s="882"/>
      <c r="BJ51" s="882"/>
      <c r="BK51" s="882"/>
      <c r="BL51" s="882"/>
      <c r="BM51" s="882"/>
      <c r="BN51" s="882"/>
      <c r="BO51" s="882"/>
      <c r="BP51" s="882"/>
      <c r="BQ51" s="882"/>
      <c r="BR51" s="882"/>
      <c r="BS51" s="882"/>
      <c r="BT51" s="882"/>
      <c r="BU51" s="882"/>
      <c r="BV51" s="882"/>
      <c r="BW51" s="882"/>
      <c r="BX51" s="882"/>
      <c r="BY51" s="882"/>
      <c r="BZ51" s="882"/>
      <c r="CA51" s="882"/>
    </row>
    <row r="52" spans="1:79">
      <c r="A52" s="896"/>
      <c r="B52" s="1016" t="s">
        <v>245</v>
      </c>
      <c r="C52" s="882"/>
      <c r="E52" s="983">
        <v>0</v>
      </c>
      <c r="F52" s="942">
        <f>'Development Budget'!G36</f>
        <v>0</v>
      </c>
      <c r="G52" s="984">
        <v>0</v>
      </c>
      <c r="H52" s="1017">
        <v>0</v>
      </c>
      <c r="I52" s="1018">
        <v>0</v>
      </c>
      <c r="J52" s="1018">
        <v>0</v>
      </c>
      <c r="K52" s="1018">
        <v>0</v>
      </c>
      <c r="L52" s="1018">
        <v>0</v>
      </c>
      <c r="M52" s="1018">
        <v>0</v>
      </c>
      <c r="N52" s="1018">
        <v>0</v>
      </c>
      <c r="O52" s="1018">
        <v>0</v>
      </c>
      <c r="P52" s="1018">
        <v>0</v>
      </c>
      <c r="Q52" s="1018">
        <v>0</v>
      </c>
      <c r="R52" s="1018">
        <v>0</v>
      </c>
      <c r="S52" s="1018">
        <v>0</v>
      </c>
      <c r="T52" s="1018">
        <v>0</v>
      </c>
      <c r="U52" s="1018">
        <v>0</v>
      </c>
      <c r="V52" s="1018">
        <v>0</v>
      </c>
      <c r="W52" s="1018">
        <v>0</v>
      </c>
      <c r="X52" s="1018">
        <v>0</v>
      </c>
      <c r="Y52" s="1018">
        <v>0</v>
      </c>
      <c r="Z52" s="1018">
        <v>0</v>
      </c>
      <c r="AA52" s="1018">
        <v>0</v>
      </c>
      <c r="AB52" s="1018">
        <v>0</v>
      </c>
      <c r="AC52" s="1018">
        <v>0</v>
      </c>
      <c r="AD52" s="1018">
        <v>0</v>
      </c>
      <c r="AE52" s="1018">
        <v>0</v>
      </c>
      <c r="AF52" s="1018">
        <v>0</v>
      </c>
      <c r="AG52" s="1018">
        <v>0</v>
      </c>
      <c r="AH52" s="1018">
        <v>0</v>
      </c>
      <c r="AI52" s="1018">
        <v>0</v>
      </c>
      <c r="AJ52" s="1018">
        <v>0</v>
      </c>
      <c r="AK52" s="1018">
        <v>0</v>
      </c>
      <c r="AL52" s="1018">
        <v>0</v>
      </c>
      <c r="AM52" s="1018">
        <v>0</v>
      </c>
      <c r="AN52" s="1018">
        <v>0</v>
      </c>
      <c r="AO52" s="1018">
        <v>0</v>
      </c>
      <c r="AP52" s="1018">
        <v>0</v>
      </c>
      <c r="AQ52" s="1018">
        <v>0</v>
      </c>
      <c r="AR52" s="1018">
        <v>0</v>
      </c>
      <c r="AS52" s="1018">
        <v>0</v>
      </c>
      <c r="AT52" s="1018">
        <v>0</v>
      </c>
      <c r="AU52" s="1018">
        <v>0</v>
      </c>
      <c r="AV52" s="984">
        <f>SUM(H52:AU52)</f>
        <v>0</v>
      </c>
      <c r="AW52" s="937">
        <f>F52-AV52</f>
        <v>0</v>
      </c>
      <c r="AX52" s="946"/>
      <c r="AY52" s="882"/>
      <c r="AZ52" s="882"/>
      <c r="BA52" s="882"/>
      <c r="BB52" s="882"/>
      <c r="BC52" s="882"/>
      <c r="BD52" s="882"/>
      <c r="BE52" s="882"/>
      <c r="BF52" s="882"/>
      <c r="BG52" s="882"/>
      <c r="BH52" s="882"/>
      <c r="BI52" s="882"/>
      <c r="BJ52" s="882"/>
      <c r="BK52" s="882"/>
      <c r="BL52" s="882"/>
      <c r="BM52" s="882"/>
      <c r="BN52" s="882"/>
      <c r="BO52" s="882"/>
      <c r="BP52" s="882"/>
      <c r="BQ52" s="882"/>
      <c r="BR52" s="882"/>
      <c r="BS52" s="882"/>
      <c r="BT52" s="882"/>
      <c r="BU52" s="882"/>
      <c r="BV52" s="882"/>
      <c r="BW52" s="882"/>
      <c r="BX52" s="882"/>
      <c r="BY52" s="882"/>
      <c r="BZ52" s="882"/>
      <c r="CA52" s="882"/>
    </row>
    <row r="53" spans="1:79">
      <c r="A53" s="896"/>
      <c r="B53" s="1016" t="s">
        <v>246</v>
      </c>
      <c r="C53" s="882"/>
      <c r="D53" s="882"/>
      <c r="E53" s="983">
        <v>0</v>
      </c>
      <c r="F53" s="942">
        <f>'Development Budget'!G37</f>
        <v>0</v>
      </c>
      <c r="G53" s="984">
        <v>0</v>
      </c>
      <c r="H53" s="1017">
        <v>0</v>
      </c>
      <c r="I53" s="1018">
        <v>0</v>
      </c>
      <c r="J53" s="1018">
        <v>0</v>
      </c>
      <c r="K53" s="1018">
        <v>0</v>
      </c>
      <c r="L53" s="1018">
        <v>0</v>
      </c>
      <c r="M53" s="1018">
        <v>0</v>
      </c>
      <c r="N53" s="1018">
        <v>0</v>
      </c>
      <c r="O53" s="1018">
        <v>0</v>
      </c>
      <c r="P53" s="1018">
        <v>0</v>
      </c>
      <c r="Q53" s="1018">
        <v>0</v>
      </c>
      <c r="R53" s="1018">
        <v>0</v>
      </c>
      <c r="S53" s="1018">
        <v>0</v>
      </c>
      <c r="T53" s="1018">
        <v>0</v>
      </c>
      <c r="U53" s="1018">
        <v>0</v>
      </c>
      <c r="V53" s="1018">
        <v>0</v>
      </c>
      <c r="W53" s="1018">
        <v>0</v>
      </c>
      <c r="X53" s="1018">
        <v>0</v>
      </c>
      <c r="Y53" s="1018">
        <v>0</v>
      </c>
      <c r="Z53" s="1018">
        <v>0</v>
      </c>
      <c r="AA53" s="1018">
        <v>0</v>
      </c>
      <c r="AB53" s="1018">
        <v>0</v>
      </c>
      <c r="AC53" s="1018">
        <v>0</v>
      </c>
      <c r="AD53" s="1018">
        <v>0</v>
      </c>
      <c r="AE53" s="1018">
        <v>0</v>
      </c>
      <c r="AF53" s="1018">
        <v>0</v>
      </c>
      <c r="AG53" s="1018">
        <v>0</v>
      </c>
      <c r="AH53" s="1018">
        <v>0</v>
      </c>
      <c r="AI53" s="1018">
        <v>0</v>
      </c>
      <c r="AJ53" s="1018">
        <v>0</v>
      </c>
      <c r="AK53" s="1018">
        <v>0</v>
      </c>
      <c r="AL53" s="1018">
        <v>0</v>
      </c>
      <c r="AM53" s="1018">
        <v>0</v>
      </c>
      <c r="AN53" s="1018">
        <v>0</v>
      </c>
      <c r="AO53" s="1018">
        <v>0</v>
      </c>
      <c r="AP53" s="1018">
        <v>0</v>
      </c>
      <c r="AQ53" s="1018">
        <v>0</v>
      </c>
      <c r="AR53" s="1018">
        <v>0</v>
      </c>
      <c r="AS53" s="1018">
        <v>0</v>
      </c>
      <c r="AT53" s="1018">
        <v>0</v>
      </c>
      <c r="AU53" s="1018">
        <v>0</v>
      </c>
      <c r="AV53" s="984">
        <f>SUM(H53:AU53)</f>
        <v>0</v>
      </c>
      <c r="AW53" s="1032">
        <f>F53-AV53</f>
        <v>0</v>
      </c>
      <c r="AX53" s="946"/>
      <c r="AY53" s="882"/>
      <c r="AZ53" s="882"/>
      <c r="BA53" s="882"/>
      <c r="BB53" s="882"/>
      <c r="BC53" s="882"/>
      <c r="BD53" s="882"/>
      <c r="BE53" s="882"/>
      <c r="BF53" s="882"/>
      <c r="BG53" s="882"/>
      <c r="BH53" s="882"/>
      <c r="BI53" s="882"/>
      <c r="BJ53" s="882"/>
      <c r="BK53" s="882"/>
      <c r="BL53" s="882"/>
      <c r="BM53" s="882"/>
      <c r="BN53" s="882"/>
      <c r="BO53" s="882"/>
      <c r="BP53" s="882"/>
      <c r="BQ53" s="882"/>
      <c r="BR53" s="882"/>
      <c r="BS53" s="882"/>
      <c r="BT53" s="882"/>
      <c r="BU53" s="882"/>
      <c r="BV53" s="882"/>
      <c r="BW53" s="882"/>
      <c r="BX53" s="882"/>
      <c r="BY53" s="882"/>
      <c r="BZ53" s="882"/>
      <c r="CA53" s="882"/>
    </row>
    <row r="54" spans="1:79">
      <c r="A54" s="896"/>
      <c r="B54" s="1016" t="s">
        <v>787</v>
      </c>
      <c r="C54" s="882"/>
      <c r="D54" s="882"/>
      <c r="E54" s="983">
        <v>0</v>
      </c>
      <c r="F54" s="942">
        <f>'Development Budget'!G38</f>
        <v>0</v>
      </c>
      <c r="G54" s="984">
        <v>0</v>
      </c>
      <c r="H54" s="943">
        <v>0</v>
      </c>
      <c r="I54" s="1033">
        <v>0</v>
      </c>
      <c r="J54" s="1033">
        <v>0</v>
      </c>
      <c r="K54" s="1033">
        <v>0</v>
      </c>
      <c r="L54" s="1033">
        <v>0</v>
      </c>
      <c r="M54" s="1033">
        <v>0</v>
      </c>
      <c r="N54" s="1033">
        <v>0</v>
      </c>
      <c r="O54" s="1033">
        <v>0</v>
      </c>
      <c r="P54" s="1033">
        <v>0</v>
      </c>
      <c r="Q54" s="1033">
        <v>0</v>
      </c>
      <c r="R54" s="1033">
        <v>0</v>
      </c>
      <c r="S54" s="1033">
        <v>0</v>
      </c>
      <c r="T54" s="1033">
        <v>0</v>
      </c>
      <c r="U54" s="1033">
        <v>0</v>
      </c>
      <c r="V54" s="1033">
        <v>0</v>
      </c>
      <c r="W54" s="1033">
        <v>0</v>
      </c>
      <c r="X54" s="1033">
        <v>0</v>
      </c>
      <c r="Y54" s="1033">
        <v>0</v>
      </c>
      <c r="Z54" s="1033">
        <v>0</v>
      </c>
      <c r="AA54" s="1033">
        <v>0</v>
      </c>
      <c r="AB54" s="1033">
        <v>0</v>
      </c>
      <c r="AC54" s="1033">
        <v>0</v>
      </c>
      <c r="AD54" s="1033">
        <v>0</v>
      </c>
      <c r="AE54" s="1033">
        <v>0</v>
      </c>
      <c r="AF54" s="1033">
        <v>0</v>
      </c>
      <c r="AG54" s="1033">
        <v>0</v>
      </c>
      <c r="AH54" s="1033">
        <v>0</v>
      </c>
      <c r="AI54" s="1033">
        <v>0</v>
      </c>
      <c r="AJ54" s="1033">
        <v>0</v>
      </c>
      <c r="AK54" s="1033">
        <v>0</v>
      </c>
      <c r="AL54" s="1033">
        <v>0</v>
      </c>
      <c r="AM54" s="1033">
        <v>0</v>
      </c>
      <c r="AN54" s="1033">
        <v>0</v>
      </c>
      <c r="AO54" s="1033">
        <v>0</v>
      </c>
      <c r="AP54" s="1033">
        <v>0</v>
      </c>
      <c r="AQ54" s="1033">
        <v>0</v>
      </c>
      <c r="AR54" s="1033">
        <v>0</v>
      </c>
      <c r="AS54" s="1033">
        <v>0</v>
      </c>
      <c r="AT54" s="1033">
        <v>0</v>
      </c>
      <c r="AU54" s="1033">
        <v>0</v>
      </c>
      <c r="AV54" s="984">
        <f>SUM(H54:AU54)</f>
        <v>0</v>
      </c>
      <c r="AW54" s="937">
        <f>F54-AV54</f>
        <v>0</v>
      </c>
      <c r="AX54" s="946"/>
      <c r="AY54" s="882"/>
      <c r="AZ54" s="882"/>
      <c r="BA54" s="882"/>
      <c r="BB54" s="882"/>
      <c r="BC54" s="882"/>
      <c r="BD54" s="882"/>
      <c r="BE54" s="882"/>
      <c r="BF54" s="882"/>
      <c r="BG54" s="882"/>
      <c r="BH54" s="882"/>
      <c r="BI54" s="882"/>
      <c r="BJ54" s="882"/>
      <c r="BK54" s="882"/>
      <c r="BL54" s="882"/>
      <c r="BM54" s="882"/>
      <c r="BN54" s="882"/>
      <c r="BO54" s="882"/>
      <c r="BP54" s="882"/>
      <c r="BQ54" s="882"/>
      <c r="BR54" s="882"/>
      <c r="BS54" s="882"/>
      <c r="BT54" s="882"/>
      <c r="BU54" s="882"/>
      <c r="BV54" s="882"/>
      <c r="BW54" s="882"/>
      <c r="BX54" s="882"/>
      <c r="BY54" s="882"/>
      <c r="BZ54" s="882"/>
      <c r="CA54" s="882"/>
    </row>
    <row r="55" spans="1:79">
      <c r="A55" s="896"/>
      <c r="B55" s="1016" t="s">
        <v>247</v>
      </c>
      <c r="C55" s="882"/>
      <c r="D55" s="882"/>
      <c r="E55" s="983">
        <v>0</v>
      </c>
      <c r="F55" s="942">
        <f>'Development Budget'!G39</f>
        <v>0</v>
      </c>
      <c r="G55" s="984">
        <v>0</v>
      </c>
      <c r="H55" s="943">
        <v>0</v>
      </c>
      <c r="I55" s="1018">
        <v>0</v>
      </c>
      <c r="J55" s="1018">
        <v>0</v>
      </c>
      <c r="K55" s="1018">
        <v>0</v>
      </c>
      <c r="L55" s="1018">
        <v>0</v>
      </c>
      <c r="M55" s="1018">
        <v>0</v>
      </c>
      <c r="N55" s="1018">
        <v>0</v>
      </c>
      <c r="O55" s="1018">
        <v>0</v>
      </c>
      <c r="P55" s="1018">
        <v>0</v>
      </c>
      <c r="Q55" s="1018">
        <v>0</v>
      </c>
      <c r="R55" s="1018">
        <v>0</v>
      </c>
      <c r="S55" s="1018">
        <v>0</v>
      </c>
      <c r="T55" s="1018">
        <v>0</v>
      </c>
      <c r="U55" s="1018">
        <v>0</v>
      </c>
      <c r="V55" s="1018">
        <v>0</v>
      </c>
      <c r="W55" s="1018">
        <v>0</v>
      </c>
      <c r="X55" s="1018">
        <v>0</v>
      </c>
      <c r="Y55" s="1018">
        <v>0</v>
      </c>
      <c r="Z55" s="1018">
        <v>0</v>
      </c>
      <c r="AA55" s="1018">
        <v>0</v>
      </c>
      <c r="AB55" s="1018">
        <v>0</v>
      </c>
      <c r="AC55" s="1018">
        <v>0</v>
      </c>
      <c r="AD55" s="1018">
        <v>0</v>
      </c>
      <c r="AE55" s="1018">
        <v>0</v>
      </c>
      <c r="AF55" s="1018">
        <v>0</v>
      </c>
      <c r="AG55" s="1018">
        <v>0</v>
      </c>
      <c r="AH55" s="1018">
        <v>0</v>
      </c>
      <c r="AI55" s="1018">
        <v>0</v>
      </c>
      <c r="AJ55" s="1018">
        <v>0</v>
      </c>
      <c r="AK55" s="1018">
        <v>0</v>
      </c>
      <c r="AL55" s="1018">
        <v>0</v>
      </c>
      <c r="AM55" s="1018">
        <v>0</v>
      </c>
      <c r="AN55" s="1018">
        <v>0</v>
      </c>
      <c r="AO55" s="1018">
        <v>0</v>
      </c>
      <c r="AP55" s="1018">
        <v>0</v>
      </c>
      <c r="AQ55" s="1018">
        <v>0</v>
      </c>
      <c r="AR55" s="1018">
        <v>0</v>
      </c>
      <c r="AS55" s="1018">
        <v>0</v>
      </c>
      <c r="AT55" s="1018">
        <v>0</v>
      </c>
      <c r="AU55" s="1018">
        <v>0</v>
      </c>
      <c r="AV55" s="984">
        <f>SUM(H55:AU55)</f>
        <v>0</v>
      </c>
      <c r="AW55" s="937">
        <f>F55-AV55</f>
        <v>0</v>
      </c>
      <c r="AX55" s="946"/>
      <c r="AY55" s="882"/>
      <c r="AZ55" s="882"/>
      <c r="BA55" s="882"/>
      <c r="BB55" s="882"/>
      <c r="BC55" s="882"/>
      <c r="BD55" s="882"/>
      <c r="BE55" s="882"/>
      <c r="BF55" s="882"/>
      <c r="BG55" s="882"/>
      <c r="BH55" s="882"/>
      <c r="BI55" s="882"/>
      <c r="BJ55" s="882"/>
      <c r="BK55" s="882"/>
      <c r="BL55" s="882"/>
      <c r="BM55" s="882"/>
      <c r="BN55" s="882"/>
      <c r="BO55" s="882"/>
      <c r="BP55" s="882"/>
      <c r="BQ55" s="882"/>
      <c r="BR55" s="882"/>
      <c r="BS55" s="882"/>
      <c r="BT55" s="882"/>
      <c r="BU55" s="882"/>
      <c r="BV55" s="882"/>
      <c r="BW55" s="882"/>
      <c r="BX55" s="882"/>
      <c r="BY55" s="882"/>
      <c r="BZ55" s="882"/>
      <c r="CA55" s="882"/>
    </row>
    <row r="56" spans="1:79">
      <c r="A56" s="979" t="s">
        <v>143</v>
      </c>
      <c r="B56" s="896"/>
      <c r="C56" s="882"/>
      <c r="D56" s="882"/>
      <c r="E56" s="983">
        <v>0</v>
      </c>
      <c r="F56" s="1009">
        <v>0</v>
      </c>
      <c r="G56" s="1009">
        <v>0</v>
      </c>
      <c r="H56" s="1014">
        <v>0</v>
      </c>
      <c r="I56" s="1009">
        <v>0</v>
      </c>
      <c r="J56" s="1009">
        <v>0</v>
      </c>
      <c r="K56" s="1009">
        <v>0</v>
      </c>
      <c r="L56" s="1009">
        <v>0</v>
      </c>
      <c r="M56" s="1009">
        <v>0</v>
      </c>
      <c r="N56" s="1009">
        <v>0</v>
      </c>
      <c r="O56" s="1009">
        <v>0</v>
      </c>
      <c r="P56" s="1009">
        <v>0</v>
      </c>
      <c r="Q56" s="1009">
        <v>0</v>
      </c>
      <c r="R56" s="1009">
        <v>0</v>
      </c>
      <c r="S56" s="1009">
        <v>0</v>
      </c>
      <c r="T56" s="1009">
        <v>0</v>
      </c>
      <c r="U56" s="1009">
        <v>0</v>
      </c>
      <c r="V56" s="1009">
        <v>0</v>
      </c>
      <c r="W56" s="1009">
        <v>0</v>
      </c>
      <c r="X56" s="1009">
        <v>0</v>
      </c>
      <c r="Y56" s="1009">
        <v>0</v>
      </c>
      <c r="Z56" s="1009">
        <v>0</v>
      </c>
      <c r="AA56" s="1009">
        <v>0</v>
      </c>
      <c r="AB56" s="1009">
        <v>0</v>
      </c>
      <c r="AC56" s="1009">
        <v>0</v>
      </c>
      <c r="AD56" s="1009">
        <v>0</v>
      </c>
      <c r="AE56" s="1009">
        <v>0</v>
      </c>
      <c r="AF56" s="1009">
        <v>0</v>
      </c>
      <c r="AG56" s="1009">
        <v>0</v>
      </c>
      <c r="AH56" s="1009">
        <v>0</v>
      </c>
      <c r="AI56" s="1009">
        <v>0</v>
      </c>
      <c r="AJ56" s="1009">
        <v>0</v>
      </c>
      <c r="AK56" s="1009">
        <v>0</v>
      </c>
      <c r="AL56" s="1009">
        <v>0</v>
      </c>
      <c r="AM56" s="1009">
        <v>0</v>
      </c>
      <c r="AN56" s="1009">
        <v>0</v>
      </c>
      <c r="AO56" s="1009">
        <v>0</v>
      </c>
      <c r="AP56" s="1009">
        <v>0</v>
      </c>
      <c r="AQ56" s="1009">
        <v>0</v>
      </c>
      <c r="AR56" s="1009">
        <v>0</v>
      </c>
      <c r="AS56" s="1009">
        <v>0</v>
      </c>
      <c r="AT56" s="1009">
        <v>0</v>
      </c>
      <c r="AU56" s="1009">
        <v>0</v>
      </c>
      <c r="AV56" s="1009">
        <v>0</v>
      </c>
      <c r="AW56" s="986">
        <v>0</v>
      </c>
      <c r="AX56" s="946"/>
      <c r="AY56" s="882"/>
      <c r="AZ56" s="882"/>
      <c r="BA56" s="882"/>
      <c r="BB56" s="882"/>
      <c r="BC56" s="882"/>
      <c r="BD56" s="882"/>
      <c r="BE56" s="882"/>
      <c r="BF56" s="882"/>
      <c r="BG56" s="882"/>
      <c r="BH56" s="882"/>
      <c r="BI56" s="882"/>
      <c r="BJ56" s="882"/>
      <c r="BK56" s="882"/>
      <c r="BL56" s="882"/>
      <c r="BM56" s="882"/>
      <c r="BN56" s="882"/>
      <c r="BO56" s="882"/>
      <c r="BP56" s="882"/>
      <c r="BQ56" s="882"/>
      <c r="BR56" s="882"/>
      <c r="BS56" s="882"/>
      <c r="BT56" s="882"/>
      <c r="BU56" s="882"/>
      <c r="BV56" s="882"/>
      <c r="BW56" s="882"/>
      <c r="BX56" s="882"/>
      <c r="BY56" s="882"/>
      <c r="BZ56" s="882"/>
      <c r="CA56" s="882"/>
    </row>
    <row r="57" spans="1:79">
      <c r="A57" s="896"/>
      <c r="B57" s="1016" t="s">
        <v>248</v>
      </c>
      <c r="C57" s="882"/>
      <c r="D57" s="882"/>
      <c r="E57" s="983">
        <v>0</v>
      </c>
      <c r="F57" s="942">
        <f>'Development Budget'!G42</f>
        <v>0</v>
      </c>
      <c r="G57" s="942">
        <v>0</v>
      </c>
      <c r="H57" s="943">
        <v>0</v>
      </c>
      <c r="I57" s="944">
        <v>0</v>
      </c>
      <c r="J57" s="944">
        <v>0</v>
      </c>
      <c r="K57" s="944">
        <v>0</v>
      </c>
      <c r="L57" s="944">
        <v>0</v>
      </c>
      <c r="M57" s="944">
        <v>0</v>
      </c>
      <c r="N57" s="944">
        <v>0</v>
      </c>
      <c r="O57" s="944">
        <v>0</v>
      </c>
      <c r="P57" s="944">
        <v>0</v>
      </c>
      <c r="Q57" s="944">
        <v>0</v>
      </c>
      <c r="R57" s="944">
        <v>0</v>
      </c>
      <c r="S57" s="944">
        <v>0</v>
      </c>
      <c r="T57" s="944">
        <v>0</v>
      </c>
      <c r="U57" s="944">
        <v>0</v>
      </c>
      <c r="V57" s="944">
        <v>0</v>
      </c>
      <c r="W57" s="944">
        <v>0</v>
      </c>
      <c r="X57" s="944">
        <v>0</v>
      </c>
      <c r="Y57" s="944">
        <v>0</v>
      </c>
      <c r="Z57" s="944">
        <v>0</v>
      </c>
      <c r="AA57" s="944">
        <v>0</v>
      </c>
      <c r="AB57" s="944">
        <v>0</v>
      </c>
      <c r="AC57" s="944">
        <v>0</v>
      </c>
      <c r="AD57" s="944">
        <v>0</v>
      </c>
      <c r="AE57" s="944">
        <v>0</v>
      </c>
      <c r="AF57" s="944">
        <v>0</v>
      </c>
      <c r="AG57" s="944">
        <v>0</v>
      </c>
      <c r="AH57" s="944">
        <v>0</v>
      </c>
      <c r="AI57" s="944">
        <v>0</v>
      </c>
      <c r="AJ57" s="944">
        <v>0</v>
      </c>
      <c r="AK57" s="944">
        <v>0</v>
      </c>
      <c r="AL57" s="944">
        <v>0</v>
      </c>
      <c r="AM57" s="944">
        <v>0</v>
      </c>
      <c r="AN57" s="944">
        <v>0</v>
      </c>
      <c r="AO57" s="944">
        <v>0</v>
      </c>
      <c r="AP57" s="944">
        <v>0</v>
      </c>
      <c r="AQ57" s="944">
        <v>0</v>
      </c>
      <c r="AR57" s="944">
        <v>0</v>
      </c>
      <c r="AS57" s="944">
        <v>0</v>
      </c>
      <c r="AT57" s="944">
        <v>0</v>
      </c>
      <c r="AU57" s="944">
        <v>0</v>
      </c>
      <c r="AV57" s="984">
        <f>SUM(H57:AU57)</f>
        <v>0</v>
      </c>
      <c r="AW57" s="937">
        <f>F57-AV57</f>
        <v>0</v>
      </c>
      <c r="AX57" s="946"/>
      <c r="AY57" s="882"/>
      <c r="AZ57" s="882"/>
      <c r="BA57" s="882"/>
      <c r="BB57" s="882"/>
      <c r="BC57" s="882"/>
      <c r="BD57" s="882"/>
      <c r="BE57" s="882"/>
      <c r="BF57" s="882"/>
      <c r="BG57" s="882"/>
      <c r="BH57" s="882"/>
      <c r="BI57" s="882"/>
      <c r="BJ57" s="882"/>
      <c r="BK57" s="882"/>
      <c r="BL57" s="882"/>
      <c r="BM57" s="882"/>
      <c r="BN57" s="882"/>
      <c r="BO57" s="882"/>
      <c r="BP57" s="882"/>
      <c r="BQ57" s="882"/>
      <c r="BR57" s="882"/>
      <c r="BS57" s="882"/>
      <c r="BT57" s="882"/>
      <c r="BU57" s="882"/>
      <c r="BV57" s="882"/>
      <c r="BW57" s="882"/>
      <c r="BX57" s="882"/>
      <c r="BY57" s="882"/>
      <c r="BZ57" s="882"/>
      <c r="CA57" s="882"/>
    </row>
    <row r="58" spans="1:79">
      <c r="A58" s="896"/>
      <c r="B58" s="1016" t="s">
        <v>786</v>
      </c>
      <c r="C58" s="882"/>
      <c r="D58" s="882"/>
      <c r="E58" s="983">
        <v>0</v>
      </c>
      <c r="F58" s="942">
        <f>'Development Budget'!G43</f>
        <v>0</v>
      </c>
      <c r="G58" s="942">
        <v>0</v>
      </c>
      <c r="H58" s="943">
        <v>0</v>
      </c>
      <c r="I58" s="944">
        <v>0</v>
      </c>
      <c r="J58" s="944">
        <v>0</v>
      </c>
      <c r="K58" s="944">
        <v>0</v>
      </c>
      <c r="L58" s="944">
        <v>0</v>
      </c>
      <c r="M58" s="944">
        <v>0</v>
      </c>
      <c r="N58" s="944">
        <v>0</v>
      </c>
      <c r="O58" s="944">
        <v>0</v>
      </c>
      <c r="P58" s="944">
        <v>0</v>
      </c>
      <c r="Q58" s="944">
        <v>0</v>
      </c>
      <c r="R58" s="944">
        <v>0</v>
      </c>
      <c r="S58" s="944">
        <v>0</v>
      </c>
      <c r="T58" s="944">
        <v>0</v>
      </c>
      <c r="U58" s="944">
        <v>0</v>
      </c>
      <c r="V58" s="944">
        <v>0</v>
      </c>
      <c r="W58" s="944">
        <v>0</v>
      </c>
      <c r="X58" s="944">
        <v>0</v>
      </c>
      <c r="Y58" s="944">
        <v>0</v>
      </c>
      <c r="Z58" s="944">
        <v>0</v>
      </c>
      <c r="AA58" s="944">
        <v>0</v>
      </c>
      <c r="AB58" s="944">
        <v>0</v>
      </c>
      <c r="AC58" s="944">
        <v>0</v>
      </c>
      <c r="AD58" s="944">
        <v>0</v>
      </c>
      <c r="AE58" s="944">
        <v>0</v>
      </c>
      <c r="AF58" s="944">
        <v>0</v>
      </c>
      <c r="AG58" s="944">
        <v>0</v>
      </c>
      <c r="AH58" s="944">
        <v>0</v>
      </c>
      <c r="AI58" s="944">
        <v>0</v>
      </c>
      <c r="AJ58" s="944">
        <v>0</v>
      </c>
      <c r="AK58" s="944">
        <v>0</v>
      </c>
      <c r="AL58" s="944">
        <v>0</v>
      </c>
      <c r="AM58" s="944">
        <v>0</v>
      </c>
      <c r="AN58" s="944">
        <v>0</v>
      </c>
      <c r="AO58" s="944">
        <v>0</v>
      </c>
      <c r="AP58" s="944">
        <v>0</v>
      </c>
      <c r="AQ58" s="944">
        <v>0</v>
      </c>
      <c r="AR58" s="944">
        <v>0</v>
      </c>
      <c r="AS58" s="944">
        <v>0</v>
      </c>
      <c r="AT58" s="944">
        <v>0</v>
      </c>
      <c r="AU58" s="944">
        <v>0</v>
      </c>
      <c r="AV58" s="984">
        <f>SUM(H58:AU58)</f>
        <v>0</v>
      </c>
      <c r="AW58" s="1034">
        <f>F58-AV58</f>
        <v>0</v>
      </c>
      <c r="AX58" s="946"/>
      <c r="AY58" s="882"/>
      <c r="AZ58" s="882"/>
      <c r="BA58" s="882"/>
      <c r="BB58" s="882"/>
      <c r="BC58" s="882"/>
      <c r="BD58" s="882"/>
      <c r="BE58" s="882"/>
      <c r="BF58" s="882"/>
      <c r="BG58" s="882"/>
      <c r="BH58" s="882"/>
      <c r="BI58" s="882"/>
      <c r="BJ58" s="882"/>
      <c r="BK58" s="882"/>
      <c r="BL58" s="882"/>
      <c r="BM58" s="882"/>
      <c r="BN58" s="882"/>
      <c r="BO58" s="882"/>
      <c r="BP58" s="882"/>
      <c r="BQ58" s="882"/>
      <c r="BR58" s="882"/>
      <c r="BS58" s="882"/>
      <c r="BT58" s="882"/>
      <c r="BU58" s="882"/>
      <c r="BV58" s="882"/>
      <c r="BW58" s="882"/>
      <c r="BX58" s="882"/>
      <c r="BY58" s="882"/>
      <c r="BZ58" s="882"/>
      <c r="CA58" s="882"/>
    </row>
    <row r="59" spans="1:79">
      <c r="A59" s="896"/>
      <c r="B59" s="1016" t="s">
        <v>249</v>
      </c>
      <c r="C59" s="882"/>
      <c r="D59" s="882"/>
      <c r="E59" s="983">
        <v>0</v>
      </c>
      <c r="F59" s="942">
        <f>'Development Budget'!G44</f>
        <v>0</v>
      </c>
      <c r="G59" s="942">
        <v>0</v>
      </c>
      <c r="H59" s="943">
        <v>0</v>
      </c>
      <c r="I59" s="944">
        <v>0</v>
      </c>
      <c r="J59" s="944">
        <v>0</v>
      </c>
      <c r="K59" s="944">
        <v>0</v>
      </c>
      <c r="L59" s="944">
        <v>0</v>
      </c>
      <c r="M59" s="944">
        <v>0</v>
      </c>
      <c r="N59" s="944">
        <v>0</v>
      </c>
      <c r="O59" s="944">
        <v>0</v>
      </c>
      <c r="P59" s="944">
        <v>0</v>
      </c>
      <c r="Q59" s="944">
        <v>0</v>
      </c>
      <c r="R59" s="944">
        <v>0</v>
      </c>
      <c r="S59" s="944">
        <v>0</v>
      </c>
      <c r="T59" s="944">
        <v>0</v>
      </c>
      <c r="U59" s="944">
        <v>0</v>
      </c>
      <c r="V59" s="944">
        <v>0</v>
      </c>
      <c r="W59" s="944">
        <v>0</v>
      </c>
      <c r="X59" s="944">
        <v>0</v>
      </c>
      <c r="Y59" s="944">
        <v>0</v>
      </c>
      <c r="Z59" s="944">
        <v>0</v>
      </c>
      <c r="AA59" s="944">
        <v>0</v>
      </c>
      <c r="AB59" s="944">
        <v>0</v>
      </c>
      <c r="AC59" s="944">
        <v>0</v>
      </c>
      <c r="AD59" s="944">
        <v>0</v>
      </c>
      <c r="AE59" s="944">
        <v>0</v>
      </c>
      <c r="AF59" s="944">
        <v>0</v>
      </c>
      <c r="AG59" s="944">
        <v>0</v>
      </c>
      <c r="AH59" s="944">
        <v>0</v>
      </c>
      <c r="AI59" s="944">
        <v>0</v>
      </c>
      <c r="AJ59" s="944">
        <v>0</v>
      </c>
      <c r="AK59" s="944">
        <v>0</v>
      </c>
      <c r="AL59" s="944">
        <v>0</v>
      </c>
      <c r="AM59" s="944">
        <v>0</v>
      </c>
      <c r="AN59" s="944">
        <v>0</v>
      </c>
      <c r="AO59" s="944">
        <v>0</v>
      </c>
      <c r="AP59" s="944">
        <v>0</v>
      </c>
      <c r="AQ59" s="944">
        <v>0</v>
      </c>
      <c r="AR59" s="944">
        <v>0</v>
      </c>
      <c r="AS59" s="944">
        <v>0</v>
      </c>
      <c r="AT59" s="944">
        <v>0</v>
      </c>
      <c r="AU59" s="944">
        <v>0</v>
      </c>
      <c r="AV59" s="984">
        <f>SUM(H59:AU59)</f>
        <v>0</v>
      </c>
      <c r="AW59" s="937">
        <f>F59-AV59</f>
        <v>0</v>
      </c>
      <c r="AX59" s="946"/>
      <c r="AY59" s="882"/>
      <c r="AZ59" s="882"/>
      <c r="BA59" s="882"/>
      <c r="BB59" s="882"/>
      <c r="BC59" s="882"/>
      <c r="BD59" s="882"/>
      <c r="BE59" s="882"/>
      <c r="BF59" s="882"/>
      <c r="BG59" s="882"/>
      <c r="BH59" s="882"/>
      <c r="BI59" s="882"/>
      <c r="BJ59" s="882"/>
      <c r="BK59" s="882"/>
      <c r="BL59" s="882"/>
      <c r="BM59" s="882"/>
      <c r="BN59" s="882"/>
      <c r="BO59" s="882"/>
      <c r="BP59" s="882"/>
      <c r="BQ59" s="882"/>
      <c r="BR59" s="882"/>
      <c r="BS59" s="882"/>
      <c r="BT59" s="882"/>
      <c r="BU59" s="882"/>
      <c r="BV59" s="882"/>
      <c r="BW59" s="882"/>
      <c r="BX59" s="882"/>
      <c r="BY59" s="882"/>
      <c r="BZ59" s="882"/>
      <c r="CA59" s="882"/>
    </row>
    <row r="60" spans="1:79">
      <c r="A60" s="896"/>
      <c r="B60" s="1016" t="s">
        <v>250</v>
      </c>
      <c r="C60" s="882"/>
      <c r="D60" s="882"/>
      <c r="E60" s="983">
        <v>0</v>
      </c>
      <c r="F60" s="942">
        <f>'Development Budget'!G45</f>
        <v>0</v>
      </c>
      <c r="G60" s="942">
        <v>0</v>
      </c>
      <c r="H60" s="1035">
        <v>0</v>
      </c>
      <c r="I60" s="944">
        <v>0</v>
      </c>
      <c r="J60" s="944">
        <v>0</v>
      </c>
      <c r="K60" s="944">
        <v>0</v>
      </c>
      <c r="L60" s="944">
        <v>0</v>
      </c>
      <c r="M60" s="944">
        <v>0</v>
      </c>
      <c r="N60" s="944">
        <v>0</v>
      </c>
      <c r="O60" s="944">
        <v>0</v>
      </c>
      <c r="P60" s="944">
        <v>0</v>
      </c>
      <c r="Q60" s="944">
        <v>0</v>
      </c>
      <c r="R60" s="944">
        <v>0</v>
      </c>
      <c r="S60" s="944">
        <v>0</v>
      </c>
      <c r="T60" s="944">
        <v>0</v>
      </c>
      <c r="U60" s="944">
        <v>0</v>
      </c>
      <c r="V60" s="944">
        <v>0</v>
      </c>
      <c r="W60" s="944">
        <v>0</v>
      </c>
      <c r="X60" s="944">
        <v>0</v>
      </c>
      <c r="Y60" s="944">
        <v>0</v>
      </c>
      <c r="Z60" s="944">
        <v>0</v>
      </c>
      <c r="AA60" s="944">
        <v>0</v>
      </c>
      <c r="AB60" s="944">
        <v>0</v>
      </c>
      <c r="AC60" s="944">
        <v>0</v>
      </c>
      <c r="AD60" s="944">
        <v>0</v>
      </c>
      <c r="AE60" s="944">
        <v>0</v>
      </c>
      <c r="AF60" s="944">
        <v>0</v>
      </c>
      <c r="AG60" s="944">
        <v>0</v>
      </c>
      <c r="AH60" s="944">
        <v>0</v>
      </c>
      <c r="AI60" s="944">
        <v>0</v>
      </c>
      <c r="AJ60" s="944">
        <v>0</v>
      </c>
      <c r="AK60" s="944">
        <v>0</v>
      </c>
      <c r="AL60" s="944">
        <v>0</v>
      </c>
      <c r="AM60" s="944">
        <v>0</v>
      </c>
      <c r="AN60" s="944">
        <v>0</v>
      </c>
      <c r="AO60" s="944">
        <v>0</v>
      </c>
      <c r="AP60" s="944">
        <v>0</v>
      </c>
      <c r="AQ60" s="944">
        <v>0</v>
      </c>
      <c r="AR60" s="944">
        <v>0</v>
      </c>
      <c r="AS60" s="944">
        <v>0</v>
      </c>
      <c r="AT60" s="944">
        <v>0</v>
      </c>
      <c r="AU60" s="944">
        <v>0</v>
      </c>
      <c r="AV60" s="984">
        <f>SUM(H60:AU60)</f>
        <v>0</v>
      </c>
      <c r="AW60" s="937">
        <f>F60-AV60</f>
        <v>0</v>
      </c>
      <c r="AX60" s="946"/>
      <c r="AY60" s="882"/>
      <c r="AZ60" s="882"/>
      <c r="BA60" s="882"/>
      <c r="BB60" s="882"/>
      <c r="BC60" s="882"/>
      <c r="BD60" s="882"/>
      <c r="BE60" s="882"/>
      <c r="BF60" s="882"/>
      <c r="BG60" s="882"/>
      <c r="BH60" s="882"/>
      <c r="BI60" s="882"/>
      <c r="BJ60" s="882"/>
      <c r="BK60" s="882"/>
      <c r="BL60" s="882"/>
      <c r="BM60" s="882"/>
      <c r="BN60" s="882"/>
      <c r="BO60" s="882"/>
      <c r="BP60" s="882"/>
      <c r="BQ60" s="882"/>
      <c r="BR60" s="882"/>
      <c r="BS60" s="882"/>
      <c r="BT60" s="882"/>
      <c r="BU60" s="882"/>
      <c r="BV60" s="882"/>
      <c r="BW60" s="882"/>
      <c r="BX60" s="882"/>
      <c r="BY60" s="882"/>
      <c r="BZ60" s="882"/>
      <c r="CA60" s="882"/>
    </row>
    <row r="61" spans="1:79">
      <c r="A61" s="896"/>
      <c r="B61" s="1016" t="s">
        <v>251</v>
      </c>
      <c r="C61" s="882"/>
      <c r="D61" s="888"/>
      <c r="E61" s="983">
        <v>0</v>
      </c>
      <c r="F61" s="942">
        <f>'Development Budget'!G46</f>
        <v>0</v>
      </c>
      <c r="G61" s="942">
        <v>0</v>
      </c>
      <c r="H61" s="943">
        <v>0</v>
      </c>
      <c r="I61" s="944">
        <v>0</v>
      </c>
      <c r="J61" s="944">
        <v>0</v>
      </c>
      <c r="K61" s="944">
        <v>0</v>
      </c>
      <c r="L61" s="944">
        <v>0</v>
      </c>
      <c r="M61" s="944">
        <v>0</v>
      </c>
      <c r="N61" s="944">
        <v>0</v>
      </c>
      <c r="O61" s="944">
        <v>0</v>
      </c>
      <c r="P61" s="944">
        <v>0</v>
      </c>
      <c r="Q61" s="944">
        <v>0</v>
      </c>
      <c r="R61" s="944">
        <v>0</v>
      </c>
      <c r="S61" s="944">
        <v>0</v>
      </c>
      <c r="T61" s="944">
        <v>0</v>
      </c>
      <c r="U61" s="944">
        <v>0</v>
      </c>
      <c r="V61" s="944">
        <v>0</v>
      </c>
      <c r="W61" s="944">
        <v>0</v>
      </c>
      <c r="X61" s="944">
        <v>0</v>
      </c>
      <c r="Y61" s="944">
        <v>0</v>
      </c>
      <c r="Z61" s="944">
        <v>0</v>
      </c>
      <c r="AA61" s="944">
        <v>0</v>
      </c>
      <c r="AB61" s="944">
        <v>0</v>
      </c>
      <c r="AC61" s="944">
        <v>0</v>
      </c>
      <c r="AD61" s="944">
        <v>0</v>
      </c>
      <c r="AE61" s="944">
        <v>0</v>
      </c>
      <c r="AF61" s="944">
        <v>0</v>
      </c>
      <c r="AG61" s="944">
        <v>0</v>
      </c>
      <c r="AH61" s="944">
        <v>0</v>
      </c>
      <c r="AI61" s="944">
        <v>0</v>
      </c>
      <c r="AJ61" s="944">
        <v>0</v>
      </c>
      <c r="AK61" s="944">
        <v>0</v>
      </c>
      <c r="AL61" s="944">
        <v>0</v>
      </c>
      <c r="AM61" s="944">
        <v>0</v>
      </c>
      <c r="AN61" s="944">
        <v>0</v>
      </c>
      <c r="AO61" s="944">
        <v>0</v>
      </c>
      <c r="AP61" s="944">
        <v>0</v>
      </c>
      <c r="AQ61" s="944">
        <v>0</v>
      </c>
      <c r="AR61" s="944">
        <v>0</v>
      </c>
      <c r="AS61" s="944">
        <v>0</v>
      </c>
      <c r="AT61" s="944">
        <v>0</v>
      </c>
      <c r="AU61" s="944">
        <v>0</v>
      </c>
      <c r="AV61" s="984">
        <f>SUM(H61:AU61)</f>
        <v>0</v>
      </c>
      <c r="AW61" s="937">
        <f>F61-AV61</f>
        <v>0</v>
      </c>
      <c r="AX61" s="1011"/>
      <c r="AY61" s="882"/>
      <c r="AZ61" s="882"/>
      <c r="BA61" s="882"/>
      <c r="BB61" s="882"/>
      <c r="BC61" s="882"/>
      <c r="BD61" s="882"/>
      <c r="BE61" s="882"/>
      <c r="BF61" s="882"/>
      <c r="BG61" s="882"/>
      <c r="BH61" s="882"/>
      <c r="BI61" s="882"/>
      <c r="BJ61" s="882"/>
      <c r="BK61" s="882"/>
      <c r="BL61" s="882"/>
      <c r="BM61" s="882"/>
      <c r="BN61" s="882"/>
      <c r="BO61" s="882"/>
      <c r="BP61" s="882"/>
      <c r="BQ61" s="882"/>
      <c r="BR61" s="882"/>
      <c r="BS61" s="882"/>
      <c r="BT61" s="882"/>
      <c r="BU61" s="882"/>
      <c r="BV61" s="882"/>
      <c r="BW61" s="882"/>
      <c r="BX61" s="882"/>
      <c r="BY61" s="882"/>
      <c r="BZ61" s="882"/>
      <c r="CA61" s="882"/>
    </row>
    <row r="62" spans="1:79">
      <c r="A62" s="896"/>
      <c r="B62" s="1016" t="s">
        <v>817</v>
      </c>
      <c r="C62" s="882"/>
      <c r="D62" s="882"/>
      <c r="E62" s="983">
        <v>0</v>
      </c>
      <c r="F62" s="942">
        <f>'Development Budget'!G47</f>
        <v>0</v>
      </c>
      <c r="G62" s="942">
        <v>0</v>
      </c>
      <c r="H62" s="943">
        <v>0</v>
      </c>
      <c r="I62" s="944">
        <v>0</v>
      </c>
      <c r="J62" s="944">
        <v>0</v>
      </c>
      <c r="K62" s="944">
        <v>0</v>
      </c>
      <c r="L62" s="944">
        <v>0</v>
      </c>
      <c r="M62" s="944">
        <v>0</v>
      </c>
      <c r="N62" s="944">
        <v>0</v>
      </c>
      <c r="O62" s="944">
        <v>0</v>
      </c>
      <c r="P62" s="944">
        <v>0</v>
      </c>
      <c r="Q62" s="944">
        <v>0</v>
      </c>
      <c r="R62" s="944">
        <v>0</v>
      </c>
      <c r="S62" s="944">
        <v>0</v>
      </c>
      <c r="T62" s="944">
        <v>0</v>
      </c>
      <c r="U62" s="944">
        <v>0</v>
      </c>
      <c r="V62" s="944">
        <v>0</v>
      </c>
      <c r="W62" s="944">
        <v>0</v>
      </c>
      <c r="X62" s="944">
        <v>0</v>
      </c>
      <c r="Y62" s="944">
        <v>0</v>
      </c>
      <c r="Z62" s="944">
        <v>0</v>
      </c>
      <c r="AA62" s="944">
        <v>0</v>
      </c>
      <c r="AB62" s="944">
        <v>0</v>
      </c>
      <c r="AC62" s="944">
        <v>0</v>
      </c>
      <c r="AD62" s="944">
        <v>0</v>
      </c>
      <c r="AE62" s="944">
        <v>0</v>
      </c>
      <c r="AF62" s="944">
        <v>0</v>
      </c>
      <c r="AG62" s="944">
        <v>0</v>
      </c>
      <c r="AH62" s="944">
        <v>0</v>
      </c>
      <c r="AI62" s="944">
        <v>0</v>
      </c>
      <c r="AJ62" s="944">
        <v>0</v>
      </c>
      <c r="AK62" s="944">
        <v>0</v>
      </c>
      <c r="AL62" s="944">
        <v>0</v>
      </c>
      <c r="AM62" s="944">
        <v>0</v>
      </c>
      <c r="AN62" s="944">
        <v>0</v>
      </c>
      <c r="AO62" s="944">
        <v>0</v>
      </c>
      <c r="AP62" s="944">
        <v>0</v>
      </c>
      <c r="AQ62" s="944">
        <v>0</v>
      </c>
      <c r="AR62" s="944">
        <v>0</v>
      </c>
      <c r="AS62" s="944">
        <v>0</v>
      </c>
      <c r="AT62" s="944">
        <v>0</v>
      </c>
      <c r="AU62" s="944">
        <v>0</v>
      </c>
      <c r="AV62" s="984">
        <f>SUM(H62:AU62)</f>
        <v>0</v>
      </c>
      <c r="AW62" s="937">
        <f>F62-AV62</f>
        <v>0</v>
      </c>
      <c r="AX62" s="946"/>
      <c r="AY62" s="882"/>
      <c r="AZ62" s="882"/>
      <c r="BA62" s="882"/>
      <c r="BB62" s="882"/>
      <c r="BC62" s="882"/>
      <c r="BD62" s="882"/>
      <c r="BE62" s="882"/>
      <c r="BF62" s="882"/>
      <c r="BG62" s="882"/>
      <c r="BH62" s="882"/>
      <c r="BI62" s="882"/>
      <c r="BJ62" s="882"/>
      <c r="BK62" s="882"/>
      <c r="BL62" s="882"/>
      <c r="BM62" s="882"/>
      <c r="BN62" s="882"/>
      <c r="BO62" s="882"/>
      <c r="BP62" s="882"/>
      <c r="BQ62" s="882"/>
      <c r="BR62" s="882"/>
      <c r="BS62" s="882"/>
      <c r="BT62" s="882"/>
      <c r="BU62" s="882"/>
      <c r="BV62" s="882"/>
      <c r="BW62" s="882"/>
      <c r="BX62" s="882"/>
      <c r="BY62" s="882"/>
      <c r="BZ62" s="882"/>
      <c r="CA62" s="882"/>
    </row>
    <row r="63" spans="1:79">
      <c r="A63" s="896"/>
      <c r="B63" s="1016" t="s">
        <v>816</v>
      </c>
      <c r="C63" s="882"/>
      <c r="D63" s="882"/>
      <c r="E63" s="983">
        <v>0</v>
      </c>
      <c r="F63" s="942">
        <f>'Development Budget'!G48</f>
        <v>0</v>
      </c>
      <c r="G63" s="942">
        <v>0</v>
      </c>
      <c r="H63" s="1036">
        <v>0</v>
      </c>
      <c r="I63" s="1037">
        <v>0</v>
      </c>
      <c r="J63" s="1037">
        <v>0</v>
      </c>
      <c r="K63" s="1037">
        <v>0</v>
      </c>
      <c r="L63" s="1037">
        <v>0</v>
      </c>
      <c r="M63" s="1037">
        <v>0</v>
      </c>
      <c r="N63" s="1037">
        <v>0</v>
      </c>
      <c r="O63" s="1037">
        <v>0</v>
      </c>
      <c r="P63" s="1037">
        <v>0</v>
      </c>
      <c r="Q63" s="1037">
        <v>0</v>
      </c>
      <c r="R63" s="1037">
        <v>0</v>
      </c>
      <c r="S63" s="1037">
        <v>0</v>
      </c>
      <c r="T63" s="1037">
        <v>0</v>
      </c>
      <c r="U63" s="1037">
        <v>0</v>
      </c>
      <c r="V63" s="1037">
        <v>0</v>
      </c>
      <c r="W63" s="1037">
        <v>0</v>
      </c>
      <c r="X63" s="1037">
        <v>0</v>
      </c>
      <c r="Y63" s="1037">
        <v>0</v>
      </c>
      <c r="Z63" s="1037">
        <v>0</v>
      </c>
      <c r="AA63" s="1037">
        <v>0</v>
      </c>
      <c r="AB63" s="1037">
        <v>0</v>
      </c>
      <c r="AC63" s="1037">
        <v>0</v>
      </c>
      <c r="AD63" s="1037">
        <v>0</v>
      </c>
      <c r="AE63" s="1037">
        <v>0</v>
      </c>
      <c r="AF63" s="1037">
        <v>0</v>
      </c>
      <c r="AG63" s="1037">
        <v>0</v>
      </c>
      <c r="AH63" s="1037">
        <v>0</v>
      </c>
      <c r="AI63" s="1037">
        <v>0</v>
      </c>
      <c r="AJ63" s="1037">
        <v>0</v>
      </c>
      <c r="AK63" s="1037">
        <v>0</v>
      </c>
      <c r="AL63" s="1037">
        <v>0</v>
      </c>
      <c r="AM63" s="1037">
        <v>0</v>
      </c>
      <c r="AN63" s="1037">
        <v>0</v>
      </c>
      <c r="AO63" s="1037">
        <v>0</v>
      </c>
      <c r="AP63" s="1037">
        <v>0</v>
      </c>
      <c r="AQ63" s="1037">
        <v>0</v>
      </c>
      <c r="AR63" s="1037">
        <v>0</v>
      </c>
      <c r="AS63" s="1037">
        <v>0</v>
      </c>
      <c r="AT63" s="1037">
        <v>0</v>
      </c>
      <c r="AU63" s="1037">
        <v>0</v>
      </c>
      <c r="AV63" s="984">
        <f>SUM(H63:AU63)</f>
        <v>0</v>
      </c>
      <c r="AW63" s="937">
        <f>F63-AV63</f>
        <v>0</v>
      </c>
      <c r="AX63" s="946"/>
      <c r="AY63" s="882"/>
      <c r="AZ63" s="882"/>
      <c r="BA63" s="882"/>
      <c r="BB63" s="882"/>
      <c r="BC63" s="882"/>
      <c r="BD63" s="882"/>
      <c r="BE63" s="882"/>
      <c r="BF63" s="882"/>
      <c r="BG63" s="882"/>
      <c r="BH63" s="882"/>
      <c r="BI63" s="882"/>
      <c r="BJ63" s="882"/>
      <c r="BK63" s="882"/>
      <c r="BL63" s="882"/>
      <c r="BM63" s="882"/>
      <c r="BN63" s="882"/>
      <c r="BO63" s="882"/>
      <c r="BP63" s="882"/>
      <c r="BQ63" s="882"/>
      <c r="BR63" s="882"/>
      <c r="BS63" s="882"/>
      <c r="BT63" s="882"/>
      <c r="BU63" s="882"/>
      <c r="BV63" s="882"/>
      <c r="BW63" s="882"/>
      <c r="BX63" s="882"/>
      <c r="BY63" s="882"/>
      <c r="BZ63" s="882"/>
      <c r="CA63" s="882"/>
    </row>
    <row r="64" spans="1:79">
      <c r="A64" s="896"/>
      <c r="B64" s="1016" t="s">
        <v>252</v>
      </c>
      <c r="C64" s="882"/>
      <c r="D64" s="882"/>
      <c r="E64" s="983">
        <v>0</v>
      </c>
      <c r="F64" s="942">
        <f>'Development Budget'!G49</f>
        <v>0</v>
      </c>
      <c r="G64" s="942">
        <v>0</v>
      </c>
      <c r="H64" s="1017">
        <v>0</v>
      </c>
      <c r="I64" s="1037">
        <v>0</v>
      </c>
      <c r="J64" s="1037">
        <v>0</v>
      </c>
      <c r="K64" s="1037">
        <v>0</v>
      </c>
      <c r="L64" s="1037">
        <v>0</v>
      </c>
      <c r="M64" s="1037">
        <v>0</v>
      </c>
      <c r="N64" s="1037">
        <v>0</v>
      </c>
      <c r="O64" s="1037">
        <v>0</v>
      </c>
      <c r="P64" s="1037">
        <v>0</v>
      </c>
      <c r="Q64" s="1037">
        <v>0</v>
      </c>
      <c r="R64" s="1037">
        <v>0</v>
      </c>
      <c r="S64" s="1037">
        <v>0</v>
      </c>
      <c r="T64" s="1037">
        <v>0</v>
      </c>
      <c r="U64" s="1037">
        <v>0</v>
      </c>
      <c r="V64" s="1037">
        <v>0</v>
      </c>
      <c r="W64" s="1037">
        <v>0</v>
      </c>
      <c r="X64" s="1037">
        <v>0</v>
      </c>
      <c r="Y64" s="1037">
        <v>0</v>
      </c>
      <c r="Z64" s="1037">
        <v>0</v>
      </c>
      <c r="AA64" s="1037">
        <v>0</v>
      </c>
      <c r="AB64" s="1037">
        <v>0</v>
      </c>
      <c r="AC64" s="1037">
        <v>0</v>
      </c>
      <c r="AD64" s="1037">
        <v>0</v>
      </c>
      <c r="AE64" s="1037">
        <v>0</v>
      </c>
      <c r="AF64" s="1037">
        <v>0</v>
      </c>
      <c r="AG64" s="1037">
        <v>0</v>
      </c>
      <c r="AH64" s="1037">
        <v>0</v>
      </c>
      <c r="AI64" s="1037">
        <v>0</v>
      </c>
      <c r="AJ64" s="1037">
        <v>0</v>
      </c>
      <c r="AK64" s="1037">
        <v>0</v>
      </c>
      <c r="AL64" s="1037">
        <v>0</v>
      </c>
      <c r="AM64" s="1037">
        <v>0</v>
      </c>
      <c r="AN64" s="1037">
        <v>0</v>
      </c>
      <c r="AO64" s="1037">
        <v>0</v>
      </c>
      <c r="AP64" s="1037">
        <v>0</v>
      </c>
      <c r="AQ64" s="1037">
        <v>0</v>
      </c>
      <c r="AR64" s="1037">
        <v>0</v>
      </c>
      <c r="AS64" s="1037">
        <v>0</v>
      </c>
      <c r="AT64" s="1037">
        <v>0</v>
      </c>
      <c r="AU64" s="1037">
        <v>0</v>
      </c>
      <c r="AV64" s="984">
        <f>SUM(H64:AU64)</f>
        <v>0</v>
      </c>
      <c r="AW64" s="937">
        <f>F64-AV64</f>
        <v>0</v>
      </c>
      <c r="AX64" s="946"/>
      <c r="AY64" s="882"/>
      <c r="AZ64" s="882"/>
      <c r="BA64" s="882"/>
      <c r="BB64" s="882"/>
      <c r="BC64" s="882"/>
      <c r="BD64" s="882"/>
      <c r="BE64" s="882"/>
      <c r="BF64" s="882"/>
      <c r="BG64" s="882"/>
      <c r="BH64" s="882"/>
      <c r="BI64" s="882"/>
      <c r="BJ64" s="882"/>
      <c r="BK64" s="882"/>
      <c r="BL64" s="882"/>
      <c r="BM64" s="882"/>
      <c r="BN64" s="882"/>
      <c r="BO64" s="882"/>
      <c r="BP64" s="882"/>
      <c r="BQ64" s="882"/>
      <c r="BR64" s="882"/>
      <c r="BS64" s="882"/>
      <c r="BT64" s="882"/>
      <c r="BU64" s="882"/>
      <c r="BV64" s="882"/>
      <c r="BW64" s="882"/>
      <c r="BX64" s="882"/>
      <c r="BY64" s="882"/>
      <c r="BZ64" s="882"/>
      <c r="CA64" s="882"/>
    </row>
    <row r="65" spans="1:79">
      <c r="A65" s="896"/>
      <c r="B65" s="1016" t="s">
        <v>253</v>
      </c>
      <c r="C65" s="882"/>
      <c r="D65" s="882"/>
      <c r="E65" s="983">
        <v>0</v>
      </c>
      <c r="F65" s="942">
        <f>'Development Budget'!G50</f>
        <v>0</v>
      </c>
      <c r="G65" s="984">
        <v>0</v>
      </c>
      <c r="H65" s="1017">
        <v>0</v>
      </c>
      <c r="I65" s="1038">
        <v>0</v>
      </c>
      <c r="J65" s="1038">
        <v>0</v>
      </c>
      <c r="K65" s="1038">
        <v>0</v>
      </c>
      <c r="L65" s="1038">
        <v>0</v>
      </c>
      <c r="M65" s="1038">
        <v>0</v>
      </c>
      <c r="N65" s="1038">
        <v>0</v>
      </c>
      <c r="O65" s="1038">
        <v>0</v>
      </c>
      <c r="P65" s="1038">
        <v>0</v>
      </c>
      <c r="Q65" s="1038">
        <v>0</v>
      </c>
      <c r="R65" s="1038">
        <v>0</v>
      </c>
      <c r="S65" s="1038">
        <v>0</v>
      </c>
      <c r="T65" s="1038">
        <v>0</v>
      </c>
      <c r="U65" s="1038">
        <v>0</v>
      </c>
      <c r="V65" s="1038">
        <v>0</v>
      </c>
      <c r="W65" s="1038">
        <v>0</v>
      </c>
      <c r="X65" s="1038">
        <v>0</v>
      </c>
      <c r="Y65" s="1038">
        <v>0</v>
      </c>
      <c r="Z65" s="1038">
        <v>0</v>
      </c>
      <c r="AA65" s="1038">
        <v>0</v>
      </c>
      <c r="AB65" s="1038">
        <v>0</v>
      </c>
      <c r="AC65" s="1038">
        <v>0</v>
      </c>
      <c r="AD65" s="1038">
        <v>0</v>
      </c>
      <c r="AE65" s="1038">
        <v>0</v>
      </c>
      <c r="AF65" s="1038">
        <v>0</v>
      </c>
      <c r="AG65" s="1038">
        <v>0</v>
      </c>
      <c r="AH65" s="1038">
        <v>0</v>
      </c>
      <c r="AI65" s="1038">
        <v>0</v>
      </c>
      <c r="AJ65" s="1038">
        <v>0</v>
      </c>
      <c r="AK65" s="1038">
        <v>0</v>
      </c>
      <c r="AL65" s="1038">
        <v>0</v>
      </c>
      <c r="AM65" s="1038">
        <v>0</v>
      </c>
      <c r="AN65" s="1038">
        <v>0</v>
      </c>
      <c r="AO65" s="1038">
        <v>0</v>
      </c>
      <c r="AP65" s="1038">
        <v>0</v>
      </c>
      <c r="AQ65" s="1038">
        <v>0</v>
      </c>
      <c r="AR65" s="1038">
        <v>0</v>
      </c>
      <c r="AS65" s="1038">
        <v>0</v>
      </c>
      <c r="AT65" s="1038">
        <v>0</v>
      </c>
      <c r="AU65" s="1038">
        <v>0</v>
      </c>
      <c r="AV65" s="984">
        <f>SUM(H65:AU65)</f>
        <v>0</v>
      </c>
      <c r="AW65" s="937">
        <f>F65-AV65</f>
        <v>0</v>
      </c>
      <c r="AX65" s="946"/>
      <c r="AY65" s="882"/>
      <c r="AZ65" s="882"/>
      <c r="BA65" s="882"/>
      <c r="BB65" s="882"/>
      <c r="BC65" s="882"/>
      <c r="BD65" s="882"/>
      <c r="BE65" s="882"/>
      <c r="BF65" s="882"/>
      <c r="BG65" s="882"/>
      <c r="BH65" s="882"/>
      <c r="BI65" s="882"/>
      <c r="BJ65" s="882"/>
      <c r="BK65" s="882"/>
      <c r="BL65" s="882"/>
      <c r="BM65" s="882"/>
      <c r="BN65" s="882"/>
      <c r="BO65" s="882"/>
      <c r="BP65" s="882"/>
      <c r="BQ65" s="882"/>
      <c r="BR65" s="882"/>
      <c r="BS65" s="882"/>
      <c r="BT65" s="882"/>
      <c r="BU65" s="882"/>
      <c r="BV65" s="882"/>
      <c r="BW65" s="882"/>
      <c r="BX65" s="882"/>
      <c r="BY65" s="882"/>
      <c r="BZ65" s="882"/>
      <c r="CA65" s="882"/>
    </row>
    <row r="66" spans="1:79">
      <c r="A66" s="896"/>
      <c r="B66" s="1016" t="s">
        <v>254</v>
      </c>
      <c r="C66" s="882"/>
      <c r="D66" s="882"/>
      <c r="E66" s="983">
        <v>0</v>
      </c>
      <c r="F66" s="942">
        <f>'Development Budget'!G51</f>
        <v>0</v>
      </c>
      <c r="G66" s="1040">
        <v>0</v>
      </c>
      <c r="H66" s="1017">
        <v>0</v>
      </c>
      <c r="I66" s="1041">
        <v>0</v>
      </c>
      <c r="J66" s="1041">
        <v>0</v>
      </c>
      <c r="K66" s="1041">
        <v>0</v>
      </c>
      <c r="L66" s="1041">
        <v>0</v>
      </c>
      <c r="M66" s="1041">
        <v>0</v>
      </c>
      <c r="N66" s="1041">
        <v>0</v>
      </c>
      <c r="O66" s="1041">
        <v>0</v>
      </c>
      <c r="P66" s="1041">
        <v>0</v>
      </c>
      <c r="Q66" s="1041">
        <v>0</v>
      </c>
      <c r="R66" s="1041">
        <v>0</v>
      </c>
      <c r="S66" s="1041">
        <v>0</v>
      </c>
      <c r="T66" s="1041">
        <v>0</v>
      </c>
      <c r="U66" s="1041">
        <v>0</v>
      </c>
      <c r="V66" s="1041">
        <v>0</v>
      </c>
      <c r="W66" s="1041">
        <v>0</v>
      </c>
      <c r="X66" s="1041">
        <v>0</v>
      </c>
      <c r="Y66" s="1041">
        <v>0</v>
      </c>
      <c r="Z66" s="1041">
        <v>0</v>
      </c>
      <c r="AA66" s="1041">
        <v>0</v>
      </c>
      <c r="AB66" s="1041">
        <v>0</v>
      </c>
      <c r="AC66" s="1041">
        <v>0</v>
      </c>
      <c r="AD66" s="1041">
        <v>0</v>
      </c>
      <c r="AE66" s="1041">
        <v>0</v>
      </c>
      <c r="AF66" s="1041">
        <v>0</v>
      </c>
      <c r="AG66" s="1041">
        <v>0</v>
      </c>
      <c r="AH66" s="1041">
        <v>0</v>
      </c>
      <c r="AI66" s="1041">
        <v>0</v>
      </c>
      <c r="AJ66" s="1041">
        <v>0</v>
      </c>
      <c r="AK66" s="1041">
        <v>0</v>
      </c>
      <c r="AL66" s="1041">
        <v>0</v>
      </c>
      <c r="AM66" s="1041">
        <v>0</v>
      </c>
      <c r="AN66" s="1041">
        <v>0</v>
      </c>
      <c r="AO66" s="1041">
        <v>0</v>
      </c>
      <c r="AP66" s="1041">
        <v>0</v>
      </c>
      <c r="AQ66" s="1041">
        <v>0</v>
      </c>
      <c r="AR66" s="1041">
        <v>0</v>
      </c>
      <c r="AS66" s="1041">
        <v>0</v>
      </c>
      <c r="AT66" s="1041">
        <v>0</v>
      </c>
      <c r="AU66" s="1041">
        <v>0</v>
      </c>
      <c r="AV66" s="984">
        <f>SUM(H66:AU66)</f>
        <v>0</v>
      </c>
      <c r="AW66" s="937">
        <f>F66-AV66</f>
        <v>0</v>
      </c>
      <c r="AX66" s="946"/>
      <c r="AY66" s="882"/>
      <c r="AZ66" s="882"/>
      <c r="BA66" s="882"/>
      <c r="BB66" s="882"/>
      <c r="BC66" s="882"/>
      <c r="BD66" s="882"/>
      <c r="BE66" s="882"/>
      <c r="BF66" s="882"/>
      <c r="BG66" s="882"/>
      <c r="BH66" s="882"/>
      <c r="BI66" s="882"/>
      <c r="BJ66" s="882"/>
      <c r="BK66" s="882"/>
      <c r="BL66" s="882"/>
      <c r="BM66" s="882"/>
      <c r="BN66" s="882"/>
      <c r="BO66" s="882"/>
      <c r="BP66" s="882"/>
      <c r="BQ66" s="882"/>
      <c r="BR66" s="882"/>
      <c r="BS66" s="882"/>
      <c r="BT66" s="882"/>
      <c r="BU66" s="882"/>
      <c r="BV66" s="882"/>
      <c r="BW66" s="882"/>
      <c r="BX66" s="882"/>
      <c r="BY66" s="882"/>
      <c r="BZ66" s="882"/>
      <c r="CA66" s="882"/>
    </row>
    <row r="67" spans="1:79">
      <c r="A67" s="896"/>
      <c r="B67" s="1016" t="s">
        <v>255</v>
      </c>
      <c r="C67" s="882"/>
      <c r="D67" s="1042"/>
      <c r="E67" s="983">
        <v>0</v>
      </c>
      <c r="F67" s="942">
        <f>'Development Budget'!G52</f>
        <v>0</v>
      </c>
      <c r="G67" s="1040">
        <v>0</v>
      </c>
      <c r="H67" s="1017">
        <v>0</v>
      </c>
      <c r="I67" s="1038">
        <v>0</v>
      </c>
      <c r="J67" s="1038">
        <v>0</v>
      </c>
      <c r="K67" s="1038">
        <v>0</v>
      </c>
      <c r="L67" s="1038">
        <v>0</v>
      </c>
      <c r="M67" s="1038">
        <v>0</v>
      </c>
      <c r="N67" s="1038">
        <v>0</v>
      </c>
      <c r="O67" s="1038">
        <v>0</v>
      </c>
      <c r="P67" s="1038">
        <v>0</v>
      </c>
      <c r="Q67" s="1038">
        <v>0</v>
      </c>
      <c r="R67" s="1038">
        <v>0</v>
      </c>
      <c r="S67" s="1038">
        <v>0</v>
      </c>
      <c r="T67" s="1038">
        <v>0</v>
      </c>
      <c r="U67" s="1038">
        <v>0</v>
      </c>
      <c r="V67" s="1038">
        <v>0</v>
      </c>
      <c r="W67" s="1038">
        <v>0</v>
      </c>
      <c r="X67" s="1038">
        <v>0</v>
      </c>
      <c r="Y67" s="1038">
        <v>0</v>
      </c>
      <c r="Z67" s="1038">
        <v>0</v>
      </c>
      <c r="AA67" s="1038">
        <v>0</v>
      </c>
      <c r="AB67" s="1038">
        <v>0</v>
      </c>
      <c r="AC67" s="1038">
        <v>0</v>
      </c>
      <c r="AD67" s="1038">
        <v>0</v>
      </c>
      <c r="AE67" s="1038">
        <v>0</v>
      </c>
      <c r="AF67" s="1038">
        <v>0</v>
      </c>
      <c r="AG67" s="1038">
        <v>0</v>
      </c>
      <c r="AH67" s="1038">
        <v>0</v>
      </c>
      <c r="AI67" s="1038">
        <v>0</v>
      </c>
      <c r="AJ67" s="1038">
        <v>0</v>
      </c>
      <c r="AK67" s="1038">
        <v>0</v>
      </c>
      <c r="AL67" s="1038">
        <v>0</v>
      </c>
      <c r="AM67" s="1038">
        <v>0</v>
      </c>
      <c r="AN67" s="1038">
        <v>0</v>
      </c>
      <c r="AO67" s="1038">
        <v>0</v>
      </c>
      <c r="AP67" s="1038">
        <v>0</v>
      </c>
      <c r="AQ67" s="1038">
        <v>0</v>
      </c>
      <c r="AR67" s="1038">
        <v>0</v>
      </c>
      <c r="AS67" s="1038">
        <v>0</v>
      </c>
      <c r="AT67" s="1038">
        <v>0</v>
      </c>
      <c r="AU67" s="1038">
        <v>0</v>
      </c>
      <c r="AV67" s="984">
        <f>SUM(H67:AU67)</f>
        <v>0</v>
      </c>
      <c r="AW67" s="1032">
        <f>F67-AV67</f>
        <v>0</v>
      </c>
      <c r="AX67" s="946"/>
      <c r="AY67" s="882"/>
      <c r="AZ67" s="882"/>
      <c r="BA67" s="882"/>
      <c r="BB67" s="882"/>
      <c r="BC67" s="882"/>
      <c r="BD67" s="882"/>
      <c r="BE67" s="882"/>
      <c r="BF67" s="882"/>
      <c r="BG67" s="882"/>
      <c r="BH67" s="882"/>
      <c r="BI67" s="882"/>
      <c r="BJ67" s="882"/>
      <c r="BK67" s="882"/>
      <c r="BL67" s="882"/>
      <c r="BM67" s="882"/>
      <c r="BN67" s="882"/>
      <c r="BO67" s="882"/>
      <c r="BP67" s="882"/>
      <c r="BQ67" s="882"/>
      <c r="BR67" s="882"/>
      <c r="BS67" s="882"/>
      <c r="BT67" s="882"/>
      <c r="BU67" s="882"/>
      <c r="BV67" s="882"/>
      <c r="BW67" s="882"/>
      <c r="BX67" s="882"/>
      <c r="BY67" s="882"/>
      <c r="BZ67" s="882"/>
      <c r="CA67" s="882"/>
    </row>
    <row r="68" spans="1:79">
      <c r="A68" s="896"/>
      <c r="B68" s="1016" t="s">
        <v>256</v>
      </c>
      <c r="C68" s="882"/>
      <c r="D68" s="1042"/>
      <c r="E68" s="983">
        <v>0</v>
      </c>
      <c r="F68" s="942">
        <f>'Development Budget'!G53</f>
        <v>0</v>
      </c>
      <c r="G68" s="1015">
        <v>0</v>
      </c>
      <c r="H68" s="943">
        <v>0</v>
      </c>
      <c r="I68" s="1038">
        <v>0</v>
      </c>
      <c r="J68" s="1038">
        <v>0</v>
      </c>
      <c r="K68" s="1038">
        <v>0</v>
      </c>
      <c r="L68" s="1038">
        <v>0</v>
      </c>
      <c r="M68" s="1038">
        <v>0</v>
      </c>
      <c r="N68" s="1038">
        <v>0</v>
      </c>
      <c r="O68" s="1038">
        <v>0</v>
      </c>
      <c r="P68" s="1038">
        <v>0</v>
      </c>
      <c r="Q68" s="1038">
        <v>0</v>
      </c>
      <c r="R68" s="1038">
        <v>0</v>
      </c>
      <c r="S68" s="1038">
        <v>0</v>
      </c>
      <c r="T68" s="1038">
        <v>0</v>
      </c>
      <c r="U68" s="1038">
        <v>0</v>
      </c>
      <c r="V68" s="1038">
        <v>0</v>
      </c>
      <c r="W68" s="1038">
        <v>0</v>
      </c>
      <c r="X68" s="1038">
        <v>0</v>
      </c>
      <c r="Y68" s="1038">
        <v>0</v>
      </c>
      <c r="Z68" s="1038">
        <v>0</v>
      </c>
      <c r="AA68" s="1038">
        <v>0</v>
      </c>
      <c r="AB68" s="1038">
        <v>0</v>
      </c>
      <c r="AC68" s="1038">
        <v>0</v>
      </c>
      <c r="AD68" s="1038">
        <v>0</v>
      </c>
      <c r="AE68" s="1038">
        <v>0</v>
      </c>
      <c r="AF68" s="1038">
        <v>0</v>
      </c>
      <c r="AG68" s="1038">
        <v>0</v>
      </c>
      <c r="AH68" s="1038">
        <v>0</v>
      </c>
      <c r="AI68" s="1038">
        <v>0</v>
      </c>
      <c r="AJ68" s="1038">
        <v>0</v>
      </c>
      <c r="AK68" s="1038">
        <v>0</v>
      </c>
      <c r="AL68" s="1038">
        <v>0</v>
      </c>
      <c r="AM68" s="1038">
        <v>0</v>
      </c>
      <c r="AN68" s="1038">
        <v>0</v>
      </c>
      <c r="AO68" s="1038">
        <v>0</v>
      </c>
      <c r="AP68" s="1038">
        <v>0</v>
      </c>
      <c r="AQ68" s="1038">
        <v>0</v>
      </c>
      <c r="AR68" s="1038">
        <v>0</v>
      </c>
      <c r="AS68" s="1038">
        <v>0</v>
      </c>
      <c r="AT68" s="1038">
        <v>0</v>
      </c>
      <c r="AU68" s="1038">
        <v>0</v>
      </c>
      <c r="AV68" s="984">
        <f>SUM(H68:AU68)</f>
        <v>0</v>
      </c>
      <c r="AW68" s="937">
        <f>F68-AV68</f>
        <v>0</v>
      </c>
      <c r="AX68" s="946"/>
      <c r="AY68" s="882"/>
      <c r="AZ68" s="882"/>
      <c r="BA68" s="882"/>
      <c r="BB68" s="882"/>
      <c r="BC68" s="882"/>
      <c r="BD68" s="882"/>
      <c r="BE68" s="882"/>
      <c r="BF68" s="882"/>
      <c r="BG68" s="882"/>
      <c r="BH68" s="882"/>
      <c r="BI68" s="882"/>
      <c r="BJ68" s="882"/>
      <c r="BK68" s="882"/>
      <c r="BL68" s="882"/>
      <c r="BM68" s="882"/>
      <c r="BN68" s="882"/>
      <c r="BO68" s="882"/>
      <c r="BP68" s="882"/>
      <c r="BQ68" s="882"/>
      <c r="BR68" s="882"/>
      <c r="BS68" s="882"/>
      <c r="BT68" s="882"/>
      <c r="BU68" s="882"/>
      <c r="BV68" s="882"/>
      <c r="BW68" s="882"/>
      <c r="BX68" s="882"/>
      <c r="BY68" s="882"/>
      <c r="BZ68" s="882"/>
      <c r="CA68" s="882"/>
    </row>
    <row r="69" spans="1:79">
      <c r="A69" s="979" t="s">
        <v>146</v>
      </c>
      <c r="B69" s="896"/>
      <c r="C69" s="882"/>
      <c r="D69" s="1042"/>
      <c r="E69" s="983">
        <v>0</v>
      </c>
      <c r="F69" s="1014">
        <v>0</v>
      </c>
      <c r="G69" s="1009">
        <v>0</v>
      </c>
      <c r="H69" s="1014">
        <v>0</v>
      </c>
      <c r="I69" s="1009">
        <v>0</v>
      </c>
      <c r="J69" s="1009">
        <v>0</v>
      </c>
      <c r="K69" s="1009">
        <v>0</v>
      </c>
      <c r="L69" s="1009">
        <v>0</v>
      </c>
      <c r="M69" s="1009">
        <v>0</v>
      </c>
      <c r="N69" s="1009">
        <v>0</v>
      </c>
      <c r="O69" s="1009">
        <v>0</v>
      </c>
      <c r="P69" s="1009">
        <v>0</v>
      </c>
      <c r="Q69" s="1009">
        <v>0</v>
      </c>
      <c r="R69" s="1009">
        <v>0</v>
      </c>
      <c r="S69" s="1009">
        <v>0</v>
      </c>
      <c r="T69" s="1009">
        <v>0</v>
      </c>
      <c r="U69" s="1009">
        <v>0</v>
      </c>
      <c r="V69" s="1009">
        <v>0</v>
      </c>
      <c r="W69" s="1009">
        <v>0</v>
      </c>
      <c r="X69" s="1009">
        <v>0</v>
      </c>
      <c r="Y69" s="1009">
        <v>0</v>
      </c>
      <c r="Z69" s="1009">
        <v>0</v>
      </c>
      <c r="AA69" s="1009">
        <v>0</v>
      </c>
      <c r="AB69" s="1009">
        <v>0</v>
      </c>
      <c r="AC69" s="1009">
        <v>0</v>
      </c>
      <c r="AD69" s="1009">
        <v>0</v>
      </c>
      <c r="AE69" s="1009">
        <v>0</v>
      </c>
      <c r="AF69" s="1009">
        <v>0</v>
      </c>
      <c r="AG69" s="1009">
        <v>0</v>
      </c>
      <c r="AH69" s="1009">
        <v>0</v>
      </c>
      <c r="AI69" s="1009">
        <v>0</v>
      </c>
      <c r="AJ69" s="1009">
        <v>0</v>
      </c>
      <c r="AK69" s="1009">
        <v>0</v>
      </c>
      <c r="AL69" s="1009">
        <v>0</v>
      </c>
      <c r="AM69" s="1009">
        <v>0</v>
      </c>
      <c r="AN69" s="1009">
        <v>0</v>
      </c>
      <c r="AO69" s="1009">
        <v>0</v>
      </c>
      <c r="AP69" s="1009">
        <v>0</v>
      </c>
      <c r="AQ69" s="1009">
        <v>0</v>
      </c>
      <c r="AR69" s="1009">
        <v>0</v>
      </c>
      <c r="AS69" s="1009">
        <v>0</v>
      </c>
      <c r="AT69" s="1009">
        <v>0</v>
      </c>
      <c r="AU69" s="1009">
        <v>0</v>
      </c>
      <c r="AV69" s="1009">
        <v>0</v>
      </c>
      <c r="AW69" s="986">
        <v>0</v>
      </c>
      <c r="AX69" s="946"/>
      <c r="AY69" s="882"/>
      <c r="AZ69" s="882"/>
      <c r="BA69" s="882"/>
      <c r="BB69" s="882"/>
      <c r="BC69" s="882"/>
      <c r="BD69" s="882"/>
      <c r="BE69" s="882"/>
      <c r="BF69" s="882"/>
      <c r="BG69" s="882"/>
      <c r="BH69" s="882"/>
      <c r="BI69" s="882"/>
      <c r="BJ69" s="882"/>
      <c r="BK69" s="882"/>
      <c r="BL69" s="882"/>
      <c r="BM69" s="882"/>
      <c r="BN69" s="882"/>
      <c r="BO69" s="882"/>
      <c r="BP69" s="882"/>
      <c r="BQ69" s="882"/>
      <c r="BR69" s="882"/>
      <c r="BS69" s="882"/>
      <c r="BT69" s="882"/>
      <c r="BU69" s="882"/>
      <c r="BV69" s="882"/>
      <c r="BW69" s="882"/>
      <c r="BX69" s="882"/>
      <c r="BY69" s="882"/>
      <c r="BZ69" s="882"/>
      <c r="CA69" s="882"/>
    </row>
    <row r="70" spans="1:79">
      <c r="A70" s="896"/>
      <c r="B70" s="896" t="s">
        <v>257</v>
      </c>
      <c r="C70" s="882"/>
      <c r="D70" s="1042"/>
      <c r="E70" s="983">
        <v>0</v>
      </c>
      <c r="F70" s="998">
        <f>'Development Budget'!G56</f>
        <v>0</v>
      </c>
      <c r="G70" s="998">
        <v>0</v>
      </c>
      <c r="H70" s="999">
        <v>0</v>
      </c>
      <c r="I70" s="1003">
        <v>0</v>
      </c>
      <c r="J70" s="1003">
        <v>0</v>
      </c>
      <c r="K70" s="1003">
        <v>0</v>
      </c>
      <c r="L70" s="1003">
        <v>0</v>
      </c>
      <c r="M70" s="1003">
        <v>0</v>
      </c>
      <c r="N70" s="1003">
        <v>0</v>
      </c>
      <c r="O70" s="1003">
        <v>0</v>
      </c>
      <c r="P70" s="1003">
        <v>0</v>
      </c>
      <c r="Q70" s="1003">
        <v>0</v>
      </c>
      <c r="R70" s="1003">
        <v>0</v>
      </c>
      <c r="S70" s="1003">
        <v>0</v>
      </c>
      <c r="T70" s="1003">
        <v>0</v>
      </c>
      <c r="U70" s="1003">
        <v>0</v>
      </c>
      <c r="V70" s="1003">
        <v>0</v>
      </c>
      <c r="W70" s="1003">
        <v>0</v>
      </c>
      <c r="X70" s="1003">
        <v>0</v>
      </c>
      <c r="Y70" s="1003">
        <v>0</v>
      </c>
      <c r="Z70" s="1003">
        <v>0</v>
      </c>
      <c r="AA70" s="1003">
        <v>0</v>
      </c>
      <c r="AB70" s="1003">
        <v>0</v>
      </c>
      <c r="AC70" s="1003">
        <v>0</v>
      </c>
      <c r="AD70" s="1003">
        <v>0</v>
      </c>
      <c r="AE70" s="1003">
        <v>0</v>
      </c>
      <c r="AF70" s="1003">
        <v>0</v>
      </c>
      <c r="AG70" s="1003">
        <v>0</v>
      </c>
      <c r="AH70" s="1003">
        <v>0</v>
      </c>
      <c r="AI70" s="1003">
        <v>0</v>
      </c>
      <c r="AJ70" s="1003">
        <v>0</v>
      </c>
      <c r="AK70" s="1003">
        <v>0</v>
      </c>
      <c r="AL70" s="1003">
        <v>0</v>
      </c>
      <c r="AM70" s="1003">
        <v>0</v>
      </c>
      <c r="AN70" s="1003">
        <v>0</v>
      </c>
      <c r="AO70" s="1003">
        <v>0</v>
      </c>
      <c r="AP70" s="1003">
        <v>0</v>
      </c>
      <c r="AQ70" s="1003">
        <v>0</v>
      </c>
      <c r="AR70" s="1003">
        <v>0</v>
      </c>
      <c r="AS70" s="1003">
        <v>0</v>
      </c>
      <c r="AT70" s="1003">
        <v>0</v>
      </c>
      <c r="AU70" s="1003">
        <v>0</v>
      </c>
      <c r="AV70" s="984">
        <f>SUM(H70:AU70)</f>
        <v>0</v>
      </c>
      <c r="AW70" s="937">
        <f>F70-AV70</f>
        <v>0</v>
      </c>
      <c r="AX70" s="946"/>
      <c r="AY70" s="882"/>
      <c r="AZ70" s="882"/>
      <c r="BA70" s="882"/>
      <c r="BB70" s="882"/>
      <c r="BC70" s="882"/>
      <c r="BD70" s="882"/>
      <c r="BE70" s="882"/>
      <c r="BF70" s="882"/>
      <c r="BG70" s="882"/>
      <c r="BH70" s="882"/>
      <c r="BI70" s="882"/>
      <c r="BJ70" s="882"/>
      <c r="BK70" s="882"/>
      <c r="BL70" s="882"/>
      <c r="BM70" s="882"/>
      <c r="BN70" s="882"/>
      <c r="BO70" s="882"/>
      <c r="BP70" s="882"/>
      <c r="BQ70" s="882"/>
      <c r="BR70" s="882"/>
      <c r="BS70" s="882"/>
      <c r="BT70" s="882"/>
      <c r="BU70" s="882"/>
      <c r="BV70" s="882"/>
      <c r="BW70" s="882"/>
      <c r="BX70" s="882"/>
      <c r="BY70" s="882"/>
      <c r="BZ70" s="882"/>
      <c r="CA70" s="882"/>
    </row>
    <row r="71" spans="1:79">
      <c r="A71" s="896"/>
      <c r="B71" s="896" t="s">
        <v>258</v>
      </c>
      <c r="C71" s="882"/>
      <c r="D71" s="1042"/>
      <c r="E71" s="983">
        <v>0</v>
      </c>
      <c r="F71" s="998">
        <f>'Development Budget'!G57</f>
        <v>0</v>
      </c>
      <c r="G71" s="942">
        <v>0</v>
      </c>
      <c r="H71" s="999">
        <v>0</v>
      </c>
      <c r="I71" s="944">
        <v>0</v>
      </c>
      <c r="J71" s="944">
        <v>0</v>
      </c>
      <c r="K71" s="944">
        <v>0</v>
      </c>
      <c r="L71" s="944">
        <v>0</v>
      </c>
      <c r="M71" s="944">
        <v>0</v>
      </c>
      <c r="N71" s="944">
        <v>0</v>
      </c>
      <c r="O71" s="944">
        <v>0</v>
      </c>
      <c r="P71" s="944">
        <v>0</v>
      </c>
      <c r="Q71" s="944">
        <v>0</v>
      </c>
      <c r="R71" s="944">
        <v>0</v>
      </c>
      <c r="S71" s="944">
        <v>0</v>
      </c>
      <c r="T71" s="944">
        <v>0</v>
      </c>
      <c r="U71" s="944">
        <v>0</v>
      </c>
      <c r="V71" s="944">
        <v>0</v>
      </c>
      <c r="W71" s="944">
        <v>0</v>
      </c>
      <c r="X71" s="944">
        <v>0</v>
      </c>
      <c r="Y71" s="944">
        <v>0</v>
      </c>
      <c r="Z71" s="944">
        <v>0</v>
      </c>
      <c r="AA71" s="944">
        <v>0</v>
      </c>
      <c r="AB71" s="944">
        <v>0</v>
      </c>
      <c r="AC71" s="944">
        <v>0</v>
      </c>
      <c r="AD71" s="944">
        <v>0</v>
      </c>
      <c r="AE71" s="944">
        <v>0</v>
      </c>
      <c r="AF71" s="944">
        <v>0</v>
      </c>
      <c r="AG71" s="944">
        <v>0</v>
      </c>
      <c r="AH71" s="944">
        <v>0</v>
      </c>
      <c r="AI71" s="944">
        <v>0</v>
      </c>
      <c r="AJ71" s="944">
        <v>0</v>
      </c>
      <c r="AK71" s="944">
        <v>0</v>
      </c>
      <c r="AL71" s="944">
        <v>0</v>
      </c>
      <c r="AM71" s="944">
        <v>0</v>
      </c>
      <c r="AN71" s="944">
        <v>0</v>
      </c>
      <c r="AO71" s="944">
        <v>0</v>
      </c>
      <c r="AP71" s="944">
        <v>0</v>
      </c>
      <c r="AQ71" s="944">
        <v>0</v>
      </c>
      <c r="AR71" s="944">
        <v>0</v>
      </c>
      <c r="AS71" s="944">
        <v>0</v>
      </c>
      <c r="AT71" s="944">
        <v>0</v>
      </c>
      <c r="AU71" s="944">
        <v>0</v>
      </c>
      <c r="AV71" s="984">
        <f>SUM(H71:AU71)</f>
        <v>0</v>
      </c>
      <c r="AW71" s="1034">
        <f>F71-AV71</f>
        <v>0</v>
      </c>
      <c r="AX71" s="946"/>
      <c r="AY71" s="882"/>
      <c r="AZ71" s="882"/>
      <c r="BA71" s="882"/>
      <c r="BB71" s="882"/>
      <c r="BC71" s="882"/>
      <c r="BD71" s="882"/>
      <c r="BE71" s="882"/>
      <c r="BF71" s="882"/>
      <c r="BG71" s="882"/>
      <c r="BH71" s="882"/>
      <c r="BI71" s="882"/>
      <c r="BJ71" s="882"/>
      <c r="BK71" s="882"/>
      <c r="BL71" s="882"/>
      <c r="BM71" s="882"/>
      <c r="BN71" s="882"/>
      <c r="BO71" s="882"/>
      <c r="BP71" s="882"/>
      <c r="BQ71" s="882"/>
      <c r="BR71" s="882"/>
      <c r="BS71" s="882"/>
      <c r="BT71" s="882"/>
      <c r="BU71" s="882"/>
      <c r="BV71" s="882"/>
      <c r="BW71" s="882"/>
      <c r="BX71" s="882"/>
      <c r="BY71" s="882"/>
      <c r="BZ71" s="882"/>
      <c r="CA71" s="882"/>
    </row>
    <row r="72" spans="1:79">
      <c r="A72" s="896"/>
      <c r="B72" s="896" t="s">
        <v>259</v>
      </c>
      <c r="C72" s="882"/>
      <c r="D72" s="882"/>
      <c r="E72" s="983">
        <v>0</v>
      </c>
      <c r="F72" s="998">
        <f>'Development Budget'!G58</f>
        <v>0</v>
      </c>
      <c r="G72" s="942">
        <v>0</v>
      </c>
      <c r="H72" s="999">
        <v>0</v>
      </c>
      <c r="I72" s="944">
        <v>0</v>
      </c>
      <c r="J72" s="944">
        <v>0</v>
      </c>
      <c r="K72" s="944">
        <v>0</v>
      </c>
      <c r="L72" s="944">
        <v>0</v>
      </c>
      <c r="M72" s="944">
        <v>0</v>
      </c>
      <c r="N72" s="944">
        <v>0</v>
      </c>
      <c r="O72" s="944">
        <v>0</v>
      </c>
      <c r="P72" s="944">
        <v>0</v>
      </c>
      <c r="Q72" s="944">
        <v>0</v>
      </c>
      <c r="R72" s="944">
        <v>0</v>
      </c>
      <c r="S72" s="944">
        <v>0</v>
      </c>
      <c r="T72" s="944">
        <v>0</v>
      </c>
      <c r="U72" s="944">
        <v>0</v>
      </c>
      <c r="V72" s="944">
        <v>0</v>
      </c>
      <c r="W72" s="944">
        <v>0</v>
      </c>
      <c r="X72" s="944">
        <v>0</v>
      </c>
      <c r="Y72" s="944">
        <v>0</v>
      </c>
      <c r="Z72" s="944">
        <v>0</v>
      </c>
      <c r="AA72" s="944">
        <v>0</v>
      </c>
      <c r="AB72" s="944">
        <v>0</v>
      </c>
      <c r="AC72" s="944">
        <v>0</v>
      </c>
      <c r="AD72" s="944">
        <v>0</v>
      </c>
      <c r="AE72" s="944">
        <v>0</v>
      </c>
      <c r="AF72" s="944">
        <v>0</v>
      </c>
      <c r="AG72" s="944">
        <v>0</v>
      </c>
      <c r="AH72" s="944">
        <v>0</v>
      </c>
      <c r="AI72" s="944">
        <v>0</v>
      </c>
      <c r="AJ72" s="944">
        <v>0</v>
      </c>
      <c r="AK72" s="944">
        <v>0</v>
      </c>
      <c r="AL72" s="944">
        <v>0</v>
      </c>
      <c r="AM72" s="944">
        <v>0</v>
      </c>
      <c r="AN72" s="944">
        <v>0</v>
      </c>
      <c r="AO72" s="944">
        <v>0</v>
      </c>
      <c r="AP72" s="944">
        <v>0</v>
      </c>
      <c r="AQ72" s="944">
        <v>0</v>
      </c>
      <c r="AR72" s="944">
        <v>0</v>
      </c>
      <c r="AS72" s="944">
        <v>0</v>
      </c>
      <c r="AT72" s="944">
        <v>0</v>
      </c>
      <c r="AU72" s="944">
        <v>0</v>
      </c>
      <c r="AV72" s="984">
        <f>SUM(H72:AU72)</f>
        <v>0</v>
      </c>
      <c r="AW72" s="1032">
        <f>F72-AV72</f>
        <v>0</v>
      </c>
      <c r="AX72" s="946"/>
      <c r="AY72" s="882"/>
      <c r="AZ72" s="882"/>
      <c r="BA72" s="882"/>
      <c r="BB72" s="882"/>
      <c r="BC72" s="882"/>
      <c r="BD72" s="882"/>
      <c r="BE72" s="882"/>
      <c r="BF72" s="882"/>
      <c r="BG72" s="882"/>
      <c r="BH72" s="882"/>
      <c r="BI72" s="882"/>
      <c r="BJ72" s="882"/>
      <c r="BK72" s="882"/>
      <c r="BL72" s="882"/>
      <c r="BM72" s="882"/>
      <c r="BN72" s="882"/>
      <c r="BO72" s="882"/>
      <c r="BP72" s="882"/>
      <c r="BQ72" s="882"/>
      <c r="BR72" s="882"/>
      <c r="BS72" s="882"/>
      <c r="BT72" s="882"/>
      <c r="BU72" s="882"/>
      <c r="BV72" s="882"/>
      <c r="BW72" s="882"/>
      <c r="BX72" s="882"/>
      <c r="BY72" s="882"/>
      <c r="BZ72" s="882"/>
      <c r="CA72" s="882"/>
    </row>
    <row r="73" spans="1:79">
      <c r="A73" s="896"/>
      <c r="B73" s="896" t="s">
        <v>260</v>
      </c>
      <c r="C73" s="882"/>
      <c r="D73" s="882"/>
      <c r="E73" s="983">
        <v>0</v>
      </c>
      <c r="F73" s="998">
        <f>'Development Budget'!G59</f>
        <v>0</v>
      </c>
      <c r="G73" s="1043">
        <v>0</v>
      </c>
      <c r="H73" s="999">
        <v>0</v>
      </c>
      <c r="I73" s="1039">
        <v>0</v>
      </c>
      <c r="J73" s="1039">
        <v>0</v>
      </c>
      <c r="K73" s="1039">
        <v>0</v>
      </c>
      <c r="L73" s="1039">
        <v>0</v>
      </c>
      <c r="M73" s="1039">
        <v>0</v>
      </c>
      <c r="N73" s="1039">
        <v>0</v>
      </c>
      <c r="O73" s="1039">
        <v>0</v>
      </c>
      <c r="P73" s="1039">
        <v>0</v>
      </c>
      <c r="Q73" s="1039">
        <v>0</v>
      </c>
      <c r="R73" s="1039">
        <v>0</v>
      </c>
      <c r="S73" s="1039">
        <v>0</v>
      </c>
      <c r="T73" s="1039">
        <v>0</v>
      </c>
      <c r="U73" s="1039">
        <v>0</v>
      </c>
      <c r="V73" s="1039">
        <v>0</v>
      </c>
      <c r="W73" s="1039">
        <v>0</v>
      </c>
      <c r="X73" s="1039">
        <v>0</v>
      </c>
      <c r="Y73" s="1039">
        <v>0</v>
      </c>
      <c r="Z73" s="1039">
        <v>0</v>
      </c>
      <c r="AA73" s="1039">
        <v>0</v>
      </c>
      <c r="AB73" s="1039">
        <v>0</v>
      </c>
      <c r="AC73" s="1039">
        <v>0</v>
      </c>
      <c r="AD73" s="1039">
        <v>0</v>
      </c>
      <c r="AE73" s="1039">
        <v>0</v>
      </c>
      <c r="AF73" s="1039">
        <v>0</v>
      </c>
      <c r="AG73" s="1039">
        <v>0</v>
      </c>
      <c r="AH73" s="1039">
        <v>0</v>
      </c>
      <c r="AI73" s="1039">
        <v>0</v>
      </c>
      <c r="AJ73" s="1039">
        <v>0</v>
      </c>
      <c r="AK73" s="1039">
        <v>0</v>
      </c>
      <c r="AL73" s="1039">
        <v>0</v>
      </c>
      <c r="AM73" s="1039">
        <v>0</v>
      </c>
      <c r="AN73" s="1039">
        <v>0</v>
      </c>
      <c r="AO73" s="1039">
        <v>0</v>
      </c>
      <c r="AP73" s="1039">
        <v>0</v>
      </c>
      <c r="AQ73" s="1039">
        <v>0</v>
      </c>
      <c r="AR73" s="1039">
        <v>0</v>
      </c>
      <c r="AS73" s="1039">
        <v>0</v>
      </c>
      <c r="AT73" s="1039">
        <v>0</v>
      </c>
      <c r="AU73" s="1039">
        <v>0</v>
      </c>
      <c r="AV73" s="984">
        <f>SUM(H73:AU73)</f>
        <v>0</v>
      </c>
      <c r="AW73" s="937">
        <f>F73-AV73</f>
        <v>0</v>
      </c>
      <c r="AX73" s="946"/>
      <c r="AY73" s="882"/>
      <c r="AZ73" s="882"/>
      <c r="BA73" s="882"/>
      <c r="BB73" s="882"/>
      <c r="BC73" s="882"/>
      <c r="BD73" s="882"/>
      <c r="BE73" s="882"/>
      <c r="BF73" s="882"/>
      <c r="BG73" s="882"/>
      <c r="BH73" s="882"/>
      <c r="BI73" s="882"/>
      <c r="BJ73" s="882"/>
      <c r="BK73" s="882"/>
      <c r="BL73" s="882"/>
      <c r="BM73" s="882"/>
      <c r="BN73" s="882"/>
      <c r="BO73" s="882"/>
      <c r="BP73" s="882"/>
      <c r="BQ73" s="882"/>
      <c r="BR73" s="882"/>
      <c r="BS73" s="882"/>
      <c r="BT73" s="882"/>
      <c r="BU73" s="882"/>
      <c r="BV73" s="882"/>
      <c r="BW73" s="882"/>
      <c r="BX73" s="882"/>
      <c r="BY73" s="882"/>
      <c r="BZ73" s="882"/>
      <c r="CA73" s="882"/>
    </row>
    <row r="74" spans="1:79">
      <c r="A74" s="979" t="s">
        <v>149</v>
      </c>
      <c r="B74" s="896"/>
      <c r="C74" s="882"/>
      <c r="D74" s="882"/>
      <c r="E74" s="983">
        <v>0</v>
      </c>
      <c r="F74" s="1009">
        <v>0</v>
      </c>
      <c r="G74" s="1009">
        <v>0</v>
      </c>
      <c r="H74" s="1009">
        <v>0</v>
      </c>
      <c r="I74" s="1009">
        <v>0</v>
      </c>
      <c r="J74" s="1009">
        <v>0</v>
      </c>
      <c r="K74" s="1009">
        <v>0</v>
      </c>
      <c r="L74" s="1009">
        <v>0</v>
      </c>
      <c r="M74" s="1009">
        <v>0</v>
      </c>
      <c r="N74" s="1009">
        <v>0</v>
      </c>
      <c r="O74" s="1009">
        <v>0</v>
      </c>
      <c r="P74" s="1009">
        <v>0</v>
      </c>
      <c r="Q74" s="1009">
        <v>0</v>
      </c>
      <c r="R74" s="1009">
        <v>0</v>
      </c>
      <c r="S74" s="1009">
        <v>0</v>
      </c>
      <c r="T74" s="1009">
        <v>0</v>
      </c>
      <c r="U74" s="1009">
        <v>0</v>
      </c>
      <c r="V74" s="1009">
        <v>0</v>
      </c>
      <c r="W74" s="1009">
        <v>0</v>
      </c>
      <c r="X74" s="1009">
        <v>0</v>
      </c>
      <c r="Y74" s="1009">
        <v>0</v>
      </c>
      <c r="Z74" s="1009">
        <v>0</v>
      </c>
      <c r="AA74" s="1009">
        <v>0</v>
      </c>
      <c r="AB74" s="1009">
        <v>0</v>
      </c>
      <c r="AC74" s="1009">
        <v>0</v>
      </c>
      <c r="AD74" s="1009">
        <v>0</v>
      </c>
      <c r="AE74" s="1009">
        <v>0</v>
      </c>
      <c r="AF74" s="1009">
        <v>0</v>
      </c>
      <c r="AG74" s="1009">
        <v>0</v>
      </c>
      <c r="AH74" s="1009">
        <v>0</v>
      </c>
      <c r="AI74" s="1009">
        <v>0</v>
      </c>
      <c r="AJ74" s="1009">
        <v>0</v>
      </c>
      <c r="AK74" s="1009">
        <v>0</v>
      </c>
      <c r="AL74" s="1009">
        <v>0</v>
      </c>
      <c r="AM74" s="1009">
        <v>0</v>
      </c>
      <c r="AN74" s="1009">
        <v>0</v>
      </c>
      <c r="AO74" s="1009">
        <v>0</v>
      </c>
      <c r="AP74" s="1009">
        <v>0</v>
      </c>
      <c r="AQ74" s="1009">
        <v>0</v>
      </c>
      <c r="AR74" s="1009">
        <v>0</v>
      </c>
      <c r="AS74" s="1009">
        <v>0</v>
      </c>
      <c r="AT74" s="1009">
        <v>0</v>
      </c>
      <c r="AU74" s="1009">
        <v>0</v>
      </c>
      <c r="AV74" s="1009">
        <v>0</v>
      </c>
      <c r="AW74" s="986">
        <v>0</v>
      </c>
      <c r="AX74" s="946"/>
      <c r="AY74" s="882"/>
      <c r="AZ74" s="882"/>
      <c r="BA74" s="882"/>
      <c r="BB74" s="882"/>
      <c r="BC74" s="882"/>
      <c r="BD74" s="882"/>
      <c r="BE74" s="882"/>
      <c r="BF74" s="882"/>
      <c r="BG74" s="882"/>
      <c r="BH74" s="882"/>
      <c r="BI74" s="882"/>
      <c r="BJ74" s="882"/>
      <c r="BK74" s="882"/>
      <c r="BL74" s="882"/>
      <c r="BM74" s="882"/>
      <c r="BN74" s="882"/>
      <c r="BO74" s="882"/>
      <c r="BP74" s="882"/>
      <c r="BQ74" s="882"/>
      <c r="BR74" s="882"/>
      <c r="BS74" s="882"/>
      <c r="BT74" s="882"/>
      <c r="BU74" s="882"/>
      <c r="BV74" s="882"/>
      <c r="BW74" s="882"/>
      <c r="BX74" s="882"/>
      <c r="BY74" s="882"/>
      <c r="BZ74" s="882"/>
      <c r="CA74" s="882"/>
    </row>
    <row r="75" spans="1:79">
      <c r="A75" s="896"/>
      <c r="B75" s="896" t="s">
        <v>261</v>
      </c>
      <c r="C75" s="882"/>
      <c r="D75" s="882"/>
      <c r="E75" s="983">
        <v>0</v>
      </c>
      <c r="F75" s="998">
        <f>'Development Budget'!G62</f>
        <v>0</v>
      </c>
      <c r="G75" s="998">
        <v>0</v>
      </c>
      <c r="H75" s="999">
        <v>0</v>
      </c>
      <c r="I75" s="1003">
        <v>0</v>
      </c>
      <c r="J75" s="1003">
        <v>0</v>
      </c>
      <c r="K75" s="1003">
        <v>0</v>
      </c>
      <c r="L75" s="1003">
        <v>0</v>
      </c>
      <c r="M75" s="1003">
        <v>0</v>
      </c>
      <c r="N75" s="1003">
        <v>0</v>
      </c>
      <c r="O75" s="1003">
        <v>0</v>
      </c>
      <c r="P75" s="1003">
        <v>0</v>
      </c>
      <c r="Q75" s="1003">
        <v>0</v>
      </c>
      <c r="R75" s="1003">
        <v>0</v>
      </c>
      <c r="S75" s="1003">
        <v>0</v>
      </c>
      <c r="T75" s="1003">
        <v>0</v>
      </c>
      <c r="U75" s="1003">
        <v>0</v>
      </c>
      <c r="V75" s="1003">
        <v>0</v>
      </c>
      <c r="W75" s="1003">
        <v>0</v>
      </c>
      <c r="X75" s="1003">
        <v>0</v>
      </c>
      <c r="Y75" s="1003">
        <v>0</v>
      </c>
      <c r="Z75" s="1003">
        <v>0</v>
      </c>
      <c r="AA75" s="1003">
        <v>0</v>
      </c>
      <c r="AB75" s="1003">
        <v>0</v>
      </c>
      <c r="AC75" s="1003">
        <v>0</v>
      </c>
      <c r="AD75" s="1003">
        <v>0</v>
      </c>
      <c r="AE75" s="1003">
        <v>0</v>
      </c>
      <c r="AF75" s="1003">
        <v>0</v>
      </c>
      <c r="AG75" s="1003">
        <v>0</v>
      </c>
      <c r="AH75" s="1003">
        <v>0</v>
      </c>
      <c r="AI75" s="1003">
        <v>0</v>
      </c>
      <c r="AJ75" s="1003">
        <v>0</v>
      </c>
      <c r="AK75" s="1003">
        <v>0</v>
      </c>
      <c r="AL75" s="1003">
        <v>0</v>
      </c>
      <c r="AM75" s="1003">
        <v>0</v>
      </c>
      <c r="AN75" s="1003">
        <v>0</v>
      </c>
      <c r="AO75" s="1003">
        <v>0</v>
      </c>
      <c r="AP75" s="1003">
        <v>0</v>
      </c>
      <c r="AQ75" s="1003">
        <v>0</v>
      </c>
      <c r="AR75" s="1003">
        <v>0</v>
      </c>
      <c r="AS75" s="1003">
        <v>0</v>
      </c>
      <c r="AT75" s="1003">
        <v>0</v>
      </c>
      <c r="AU75" s="1003">
        <v>0</v>
      </c>
      <c r="AV75" s="984">
        <f>SUM(H75:AU75)</f>
        <v>0</v>
      </c>
      <c r="AW75" s="937">
        <f>F75-AV75</f>
        <v>0</v>
      </c>
      <c r="AX75" s="946"/>
      <c r="AY75" s="882"/>
      <c r="AZ75" s="882"/>
      <c r="BA75" s="882"/>
      <c r="BB75" s="882"/>
      <c r="BC75" s="882"/>
      <c r="BD75" s="882"/>
      <c r="BE75" s="882"/>
      <c r="BF75" s="882"/>
      <c r="BG75" s="882"/>
      <c r="BH75" s="882"/>
      <c r="BI75" s="882"/>
      <c r="BJ75" s="882"/>
      <c r="BK75" s="882"/>
      <c r="BL75" s="882"/>
      <c r="BM75" s="882"/>
      <c r="BN75" s="882"/>
      <c r="BO75" s="882"/>
      <c r="BP75" s="882"/>
      <c r="BQ75" s="882"/>
      <c r="BR75" s="882"/>
      <c r="BS75" s="882"/>
      <c r="BT75" s="882"/>
      <c r="BU75" s="882"/>
      <c r="BV75" s="882"/>
      <c r="BW75" s="882"/>
      <c r="BX75" s="882"/>
      <c r="BY75" s="882"/>
      <c r="BZ75" s="882"/>
      <c r="CA75" s="882"/>
    </row>
    <row r="76" spans="1:79">
      <c r="A76" s="896"/>
      <c r="B76" s="896" t="s">
        <v>262</v>
      </c>
      <c r="C76" s="882"/>
      <c r="D76" s="882"/>
      <c r="E76" s="983">
        <v>0</v>
      </c>
      <c r="F76" s="998">
        <f>'Development Budget'!G63</f>
        <v>0</v>
      </c>
      <c r="G76" s="942">
        <v>0</v>
      </c>
      <c r="H76" s="943">
        <v>0</v>
      </c>
      <c r="I76" s="944">
        <v>0</v>
      </c>
      <c r="J76" s="944">
        <v>0</v>
      </c>
      <c r="K76" s="944">
        <v>0</v>
      </c>
      <c r="L76" s="944">
        <v>0</v>
      </c>
      <c r="M76" s="944">
        <v>0</v>
      </c>
      <c r="N76" s="944">
        <v>0</v>
      </c>
      <c r="O76" s="944">
        <v>0</v>
      </c>
      <c r="P76" s="944">
        <v>0</v>
      </c>
      <c r="Q76" s="944">
        <v>0</v>
      </c>
      <c r="R76" s="944">
        <v>0</v>
      </c>
      <c r="S76" s="944">
        <v>0</v>
      </c>
      <c r="T76" s="944">
        <v>0</v>
      </c>
      <c r="U76" s="944">
        <v>0</v>
      </c>
      <c r="V76" s="944">
        <v>0</v>
      </c>
      <c r="W76" s="944">
        <v>0</v>
      </c>
      <c r="X76" s="944">
        <v>0</v>
      </c>
      <c r="Y76" s="944">
        <v>0</v>
      </c>
      <c r="Z76" s="944">
        <v>0</v>
      </c>
      <c r="AA76" s="944">
        <v>0</v>
      </c>
      <c r="AB76" s="944">
        <v>0</v>
      </c>
      <c r="AC76" s="944">
        <v>0</v>
      </c>
      <c r="AD76" s="944">
        <v>0</v>
      </c>
      <c r="AE76" s="944">
        <v>0</v>
      </c>
      <c r="AF76" s="944">
        <v>0</v>
      </c>
      <c r="AG76" s="944">
        <v>0</v>
      </c>
      <c r="AH76" s="944">
        <v>0</v>
      </c>
      <c r="AI76" s="944">
        <v>0</v>
      </c>
      <c r="AJ76" s="944">
        <v>0</v>
      </c>
      <c r="AK76" s="944">
        <v>0</v>
      </c>
      <c r="AL76" s="944">
        <v>0</v>
      </c>
      <c r="AM76" s="944">
        <v>0</v>
      </c>
      <c r="AN76" s="944">
        <v>0</v>
      </c>
      <c r="AO76" s="944">
        <v>0</v>
      </c>
      <c r="AP76" s="944">
        <v>0</v>
      </c>
      <c r="AQ76" s="944">
        <v>0</v>
      </c>
      <c r="AR76" s="944">
        <v>0</v>
      </c>
      <c r="AS76" s="944">
        <v>0</v>
      </c>
      <c r="AT76" s="944">
        <v>0</v>
      </c>
      <c r="AU76" s="944">
        <v>0</v>
      </c>
      <c r="AV76" s="984">
        <f>SUM(H76:AU76)</f>
        <v>0</v>
      </c>
      <c r="AW76" s="1034">
        <f>F76-AV76</f>
        <v>0</v>
      </c>
      <c r="AX76" s="946"/>
      <c r="AY76" s="882"/>
      <c r="AZ76" s="882"/>
      <c r="BA76" s="882"/>
      <c r="BB76" s="882"/>
      <c r="BC76" s="882"/>
      <c r="BD76" s="882"/>
      <c r="BE76" s="882"/>
      <c r="BF76" s="882"/>
      <c r="BG76" s="882"/>
      <c r="BH76" s="882"/>
      <c r="BI76" s="882"/>
      <c r="BJ76" s="882"/>
      <c r="BK76" s="882"/>
      <c r="BL76" s="882"/>
      <c r="BM76" s="882"/>
      <c r="BN76" s="882"/>
      <c r="BO76" s="882"/>
      <c r="BP76" s="882"/>
      <c r="BQ76" s="882"/>
      <c r="BR76" s="882"/>
      <c r="BS76" s="882"/>
      <c r="BT76" s="882"/>
      <c r="BU76" s="882"/>
      <c r="BV76" s="882"/>
      <c r="BW76" s="882"/>
      <c r="BX76" s="882"/>
      <c r="BY76" s="882"/>
      <c r="BZ76" s="882"/>
      <c r="CA76" s="882"/>
    </row>
    <row r="77" spans="1:79">
      <c r="A77" s="896"/>
      <c r="B77" s="896" t="s">
        <v>263</v>
      </c>
      <c r="C77" s="882"/>
      <c r="D77" s="882"/>
      <c r="E77" s="983">
        <v>0</v>
      </c>
      <c r="F77" s="998">
        <f>'Development Budget'!G64</f>
        <v>0</v>
      </c>
      <c r="G77" s="942">
        <v>0</v>
      </c>
      <c r="H77" s="1036">
        <v>0</v>
      </c>
      <c r="I77" s="944">
        <v>0</v>
      </c>
      <c r="J77" s="944">
        <v>0</v>
      </c>
      <c r="K77" s="944">
        <v>0</v>
      </c>
      <c r="L77" s="944">
        <v>0</v>
      </c>
      <c r="M77" s="944">
        <v>0</v>
      </c>
      <c r="N77" s="944">
        <v>0</v>
      </c>
      <c r="O77" s="944">
        <v>0</v>
      </c>
      <c r="P77" s="944">
        <v>0</v>
      </c>
      <c r="Q77" s="944">
        <v>0</v>
      </c>
      <c r="R77" s="944">
        <v>0</v>
      </c>
      <c r="S77" s="944">
        <v>0</v>
      </c>
      <c r="T77" s="944">
        <v>0</v>
      </c>
      <c r="U77" s="944">
        <v>0</v>
      </c>
      <c r="V77" s="944">
        <v>0</v>
      </c>
      <c r="W77" s="944">
        <v>0</v>
      </c>
      <c r="X77" s="944">
        <v>0</v>
      </c>
      <c r="Y77" s="944">
        <v>0</v>
      </c>
      <c r="Z77" s="944">
        <v>0</v>
      </c>
      <c r="AA77" s="944">
        <v>0</v>
      </c>
      <c r="AB77" s="944">
        <v>0</v>
      </c>
      <c r="AC77" s="944">
        <v>0</v>
      </c>
      <c r="AD77" s="944">
        <v>0</v>
      </c>
      <c r="AE77" s="944">
        <v>0</v>
      </c>
      <c r="AF77" s="944">
        <v>0</v>
      </c>
      <c r="AG77" s="944">
        <v>0</v>
      </c>
      <c r="AH77" s="944">
        <v>0</v>
      </c>
      <c r="AI77" s="944">
        <v>0</v>
      </c>
      <c r="AJ77" s="944">
        <v>0</v>
      </c>
      <c r="AK77" s="944">
        <v>0</v>
      </c>
      <c r="AL77" s="944">
        <v>0</v>
      </c>
      <c r="AM77" s="944">
        <v>0</v>
      </c>
      <c r="AN77" s="944">
        <v>0</v>
      </c>
      <c r="AO77" s="944">
        <v>0</v>
      </c>
      <c r="AP77" s="944">
        <v>0</v>
      </c>
      <c r="AQ77" s="944">
        <v>0</v>
      </c>
      <c r="AR77" s="944">
        <v>0</v>
      </c>
      <c r="AS77" s="944">
        <v>0</v>
      </c>
      <c r="AT77" s="944">
        <v>0</v>
      </c>
      <c r="AU77" s="944">
        <v>0</v>
      </c>
      <c r="AV77" s="984">
        <f>SUM(H77:AU77)</f>
        <v>0</v>
      </c>
      <c r="AW77" s="937">
        <f>F77-AV77</f>
        <v>0</v>
      </c>
      <c r="AX77" s="946"/>
      <c r="AY77" s="882"/>
      <c r="AZ77" s="882"/>
      <c r="BA77" s="882"/>
      <c r="BB77" s="882"/>
      <c r="BC77" s="882"/>
      <c r="BD77" s="882"/>
      <c r="BE77" s="882"/>
      <c r="BF77" s="882"/>
      <c r="BG77" s="882"/>
      <c r="BH77" s="882"/>
      <c r="BI77" s="882"/>
      <c r="BJ77" s="882"/>
      <c r="BK77" s="882"/>
      <c r="BL77" s="882"/>
      <c r="BM77" s="882"/>
      <c r="BN77" s="882"/>
      <c r="BO77" s="882"/>
      <c r="BP77" s="882"/>
      <c r="BQ77" s="882"/>
      <c r="BR77" s="882"/>
      <c r="BS77" s="882"/>
      <c r="BT77" s="882"/>
      <c r="BU77" s="882"/>
      <c r="BV77" s="882"/>
      <c r="BW77" s="882"/>
      <c r="BX77" s="882"/>
      <c r="BY77" s="882"/>
      <c r="BZ77" s="882"/>
      <c r="CA77" s="882"/>
    </row>
    <row r="78" spans="1:79">
      <c r="A78" s="896"/>
      <c r="B78" s="896" t="s">
        <v>264</v>
      </c>
      <c r="C78" s="882"/>
      <c r="D78" s="882"/>
      <c r="E78" s="983">
        <v>0</v>
      </c>
      <c r="F78" s="998">
        <f>'Development Budget'!G65</f>
        <v>0</v>
      </c>
      <c r="G78" s="942">
        <v>0</v>
      </c>
      <c r="H78" s="943">
        <v>0</v>
      </c>
      <c r="I78" s="944">
        <v>0</v>
      </c>
      <c r="J78" s="944">
        <v>0</v>
      </c>
      <c r="K78" s="944">
        <v>0</v>
      </c>
      <c r="L78" s="944">
        <v>0</v>
      </c>
      <c r="M78" s="944">
        <v>0</v>
      </c>
      <c r="N78" s="944">
        <v>0</v>
      </c>
      <c r="O78" s="944">
        <v>0</v>
      </c>
      <c r="P78" s="944">
        <v>0</v>
      </c>
      <c r="Q78" s="944">
        <v>0</v>
      </c>
      <c r="R78" s="944">
        <v>0</v>
      </c>
      <c r="S78" s="944">
        <v>0</v>
      </c>
      <c r="T78" s="944">
        <v>0</v>
      </c>
      <c r="U78" s="944">
        <v>0</v>
      </c>
      <c r="V78" s="944">
        <v>0</v>
      </c>
      <c r="W78" s="944">
        <v>0</v>
      </c>
      <c r="X78" s="944">
        <v>0</v>
      </c>
      <c r="Y78" s="944">
        <v>0</v>
      </c>
      <c r="Z78" s="944">
        <v>0</v>
      </c>
      <c r="AA78" s="944">
        <v>0</v>
      </c>
      <c r="AB78" s="944">
        <v>0</v>
      </c>
      <c r="AC78" s="944">
        <v>0</v>
      </c>
      <c r="AD78" s="944">
        <v>0</v>
      </c>
      <c r="AE78" s="944">
        <v>0</v>
      </c>
      <c r="AF78" s="944">
        <v>0</v>
      </c>
      <c r="AG78" s="944">
        <v>0</v>
      </c>
      <c r="AH78" s="944">
        <v>0</v>
      </c>
      <c r="AI78" s="944">
        <v>0</v>
      </c>
      <c r="AJ78" s="944">
        <v>0</v>
      </c>
      <c r="AK78" s="944">
        <v>0</v>
      </c>
      <c r="AL78" s="944">
        <v>0</v>
      </c>
      <c r="AM78" s="944">
        <v>0</v>
      </c>
      <c r="AN78" s="944">
        <v>0</v>
      </c>
      <c r="AO78" s="944">
        <v>0</v>
      </c>
      <c r="AP78" s="944">
        <v>0</v>
      </c>
      <c r="AQ78" s="944">
        <v>0</v>
      </c>
      <c r="AR78" s="944">
        <v>0</v>
      </c>
      <c r="AS78" s="944">
        <v>0</v>
      </c>
      <c r="AT78" s="944">
        <v>0</v>
      </c>
      <c r="AU78" s="944">
        <v>0</v>
      </c>
      <c r="AV78" s="984">
        <f>SUM(H78:AU78)</f>
        <v>0</v>
      </c>
      <c r="AW78" s="1032">
        <f>F78-AV78</f>
        <v>0</v>
      </c>
      <c r="AX78" s="946"/>
      <c r="AY78" s="882"/>
      <c r="AZ78" s="882"/>
      <c r="BA78" s="882"/>
      <c r="BB78" s="882"/>
      <c r="BC78" s="882"/>
      <c r="BD78" s="882"/>
      <c r="BE78" s="882"/>
      <c r="BF78" s="882"/>
      <c r="BG78" s="882"/>
      <c r="BH78" s="882"/>
      <c r="BI78" s="882"/>
      <c r="BJ78" s="882"/>
      <c r="BK78" s="882"/>
      <c r="BL78" s="882"/>
      <c r="BM78" s="882"/>
      <c r="BN78" s="882"/>
      <c r="BO78" s="882"/>
      <c r="BP78" s="882"/>
      <c r="BQ78" s="882"/>
      <c r="BR78" s="882"/>
      <c r="BS78" s="882"/>
      <c r="BT78" s="882"/>
      <c r="BU78" s="882"/>
      <c r="BV78" s="882"/>
      <c r="BW78" s="882"/>
      <c r="BX78" s="882"/>
      <c r="BY78" s="882"/>
      <c r="BZ78" s="882"/>
      <c r="CA78" s="882"/>
    </row>
    <row r="79" spans="1:79" ht="12.75" customHeight="1">
      <c r="A79" s="896"/>
      <c r="B79" s="896" t="s">
        <v>265</v>
      </c>
      <c r="C79" s="882"/>
      <c r="D79" s="882"/>
      <c r="E79" s="983">
        <v>0</v>
      </c>
      <c r="F79" s="998">
        <f>'Development Budget'!G66</f>
        <v>0</v>
      </c>
      <c r="G79" s="942">
        <v>0</v>
      </c>
      <c r="H79" s="943">
        <v>0</v>
      </c>
      <c r="I79" s="944">
        <v>0</v>
      </c>
      <c r="J79" s="944">
        <v>0</v>
      </c>
      <c r="K79" s="944">
        <v>0</v>
      </c>
      <c r="L79" s="944">
        <v>0</v>
      </c>
      <c r="M79" s="944">
        <v>0</v>
      </c>
      <c r="N79" s="944">
        <v>0</v>
      </c>
      <c r="O79" s="944">
        <v>0</v>
      </c>
      <c r="P79" s="944">
        <v>0</v>
      </c>
      <c r="Q79" s="944">
        <v>0</v>
      </c>
      <c r="R79" s="944">
        <v>0</v>
      </c>
      <c r="S79" s="944">
        <v>0</v>
      </c>
      <c r="T79" s="944">
        <v>0</v>
      </c>
      <c r="U79" s="944">
        <v>0</v>
      </c>
      <c r="V79" s="944">
        <v>0</v>
      </c>
      <c r="W79" s="944">
        <v>0</v>
      </c>
      <c r="X79" s="944">
        <v>0</v>
      </c>
      <c r="Y79" s="944">
        <v>0</v>
      </c>
      <c r="Z79" s="944">
        <v>0</v>
      </c>
      <c r="AA79" s="944">
        <v>0</v>
      </c>
      <c r="AB79" s="944">
        <v>0</v>
      </c>
      <c r="AC79" s="944">
        <v>0</v>
      </c>
      <c r="AD79" s="944">
        <v>0</v>
      </c>
      <c r="AE79" s="944">
        <v>0</v>
      </c>
      <c r="AF79" s="944">
        <v>0</v>
      </c>
      <c r="AG79" s="944">
        <v>0</v>
      </c>
      <c r="AH79" s="944">
        <v>0</v>
      </c>
      <c r="AI79" s="944">
        <v>0</v>
      </c>
      <c r="AJ79" s="944">
        <v>0</v>
      </c>
      <c r="AK79" s="944">
        <v>0</v>
      </c>
      <c r="AL79" s="944">
        <v>0</v>
      </c>
      <c r="AM79" s="944">
        <v>0</v>
      </c>
      <c r="AN79" s="944">
        <v>0</v>
      </c>
      <c r="AO79" s="944">
        <v>0</v>
      </c>
      <c r="AP79" s="944">
        <v>0</v>
      </c>
      <c r="AQ79" s="944">
        <v>0</v>
      </c>
      <c r="AR79" s="944">
        <v>0</v>
      </c>
      <c r="AS79" s="944">
        <v>0</v>
      </c>
      <c r="AT79" s="944">
        <v>0</v>
      </c>
      <c r="AU79" s="944">
        <v>0</v>
      </c>
      <c r="AV79" s="984">
        <f>SUM(H79:AU79)</f>
        <v>0</v>
      </c>
      <c r="AW79" s="937">
        <f>F79-AV79</f>
        <v>0</v>
      </c>
      <c r="AX79" s="946"/>
      <c r="AY79" s="882"/>
      <c r="AZ79" s="882"/>
      <c r="BA79" s="882"/>
      <c r="BB79" s="882"/>
      <c r="BC79" s="882"/>
      <c r="BD79" s="882"/>
      <c r="BE79" s="882"/>
      <c r="BF79" s="882"/>
      <c r="BG79" s="882"/>
      <c r="BH79" s="882"/>
      <c r="BI79" s="882"/>
      <c r="BJ79" s="882"/>
      <c r="BK79" s="882"/>
      <c r="BL79" s="882"/>
      <c r="BM79" s="882"/>
      <c r="BN79" s="882"/>
      <c r="BO79" s="882"/>
      <c r="BP79" s="882"/>
      <c r="BQ79" s="882"/>
      <c r="BR79" s="882"/>
      <c r="BS79" s="882"/>
      <c r="BT79" s="882"/>
      <c r="BU79" s="882"/>
      <c r="BV79" s="882"/>
      <c r="BW79" s="882"/>
      <c r="BX79" s="882"/>
      <c r="BY79" s="882"/>
      <c r="BZ79" s="882"/>
      <c r="CA79" s="882"/>
    </row>
    <row r="80" spans="1:79">
      <c r="A80" s="979" t="s">
        <v>151</v>
      </c>
      <c r="B80" s="896"/>
      <c r="C80" s="883"/>
      <c r="D80" s="883"/>
      <c r="E80" s="983">
        <v>0</v>
      </c>
      <c r="F80" s="1009">
        <v>0</v>
      </c>
      <c r="G80" s="1009">
        <v>0</v>
      </c>
      <c r="H80" s="1044">
        <v>0</v>
      </c>
      <c r="I80" s="1045">
        <v>0</v>
      </c>
      <c r="J80" s="1045">
        <v>0</v>
      </c>
      <c r="K80" s="1045">
        <v>0</v>
      </c>
      <c r="L80" s="1045">
        <v>0</v>
      </c>
      <c r="M80" s="1045">
        <v>0</v>
      </c>
      <c r="N80" s="1045">
        <v>0</v>
      </c>
      <c r="O80" s="1045">
        <v>0</v>
      </c>
      <c r="P80" s="1045">
        <v>0</v>
      </c>
      <c r="Q80" s="1045">
        <v>0</v>
      </c>
      <c r="R80" s="1045">
        <v>0</v>
      </c>
      <c r="S80" s="1045">
        <v>0</v>
      </c>
      <c r="T80" s="1045">
        <v>0</v>
      </c>
      <c r="U80" s="1045">
        <v>0</v>
      </c>
      <c r="V80" s="1045">
        <v>0</v>
      </c>
      <c r="W80" s="1045">
        <v>0</v>
      </c>
      <c r="X80" s="1045">
        <v>0</v>
      </c>
      <c r="Y80" s="1045">
        <v>0</v>
      </c>
      <c r="Z80" s="1045">
        <v>0</v>
      </c>
      <c r="AA80" s="1045">
        <v>0</v>
      </c>
      <c r="AB80" s="1045">
        <v>0</v>
      </c>
      <c r="AC80" s="1045">
        <v>0</v>
      </c>
      <c r="AD80" s="1045">
        <v>0</v>
      </c>
      <c r="AE80" s="1045">
        <v>0</v>
      </c>
      <c r="AF80" s="1045">
        <v>0</v>
      </c>
      <c r="AG80" s="1045">
        <v>0</v>
      </c>
      <c r="AH80" s="1045">
        <v>0</v>
      </c>
      <c r="AI80" s="1045">
        <v>0</v>
      </c>
      <c r="AJ80" s="1045">
        <v>0</v>
      </c>
      <c r="AK80" s="1045">
        <v>0</v>
      </c>
      <c r="AL80" s="1045">
        <v>0</v>
      </c>
      <c r="AM80" s="1045">
        <v>0</v>
      </c>
      <c r="AN80" s="1045">
        <v>0</v>
      </c>
      <c r="AO80" s="1045">
        <v>0</v>
      </c>
      <c r="AP80" s="1045">
        <v>0</v>
      </c>
      <c r="AQ80" s="1045">
        <v>0</v>
      </c>
      <c r="AR80" s="1045">
        <v>0</v>
      </c>
      <c r="AS80" s="1045">
        <v>0</v>
      </c>
      <c r="AT80" s="1045">
        <v>0</v>
      </c>
      <c r="AU80" s="1045">
        <v>0</v>
      </c>
      <c r="AV80" s="1009">
        <v>0</v>
      </c>
      <c r="AW80" s="986">
        <v>0</v>
      </c>
      <c r="AX80" s="887"/>
      <c r="AY80" s="882"/>
      <c r="AZ80" s="882"/>
      <c r="BA80" s="882"/>
      <c r="BB80" s="882"/>
      <c r="BC80" s="882"/>
      <c r="BD80" s="882"/>
      <c r="BE80" s="882"/>
      <c r="BF80" s="882"/>
      <c r="BG80" s="882"/>
      <c r="BH80" s="882"/>
      <c r="BI80" s="882"/>
      <c r="BJ80" s="882"/>
      <c r="BK80" s="882"/>
      <c r="BL80" s="882"/>
      <c r="BM80" s="882"/>
      <c r="BN80" s="882"/>
      <c r="BO80" s="882"/>
      <c r="BP80" s="882"/>
      <c r="BQ80" s="882"/>
      <c r="BR80" s="882"/>
      <c r="BS80" s="882"/>
      <c r="BT80" s="882"/>
      <c r="BU80" s="882"/>
      <c r="BV80" s="882"/>
      <c r="BW80" s="882"/>
      <c r="BX80" s="882"/>
      <c r="BY80" s="882"/>
      <c r="BZ80" s="882"/>
      <c r="CA80" s="882"/>
    </row>
    <row r="81" spans="1:79">
      <c r="A81" s="896"/>
      <c r="B81" s="1016" t="s">
        <v>266</v>
      </c>
      <c r="C81" s="882"/>
      <c r="D81" s="882"/>
      <c r="E81" s="983">
        <v>0</v>
      </c>
      <c r="F81" s="942">
        <f>'Development Budget'!G69</f>
        <v>0</v>
      </c>
      <c r="G81" s="942">
        <v>0</v>
      </c>
      <c r="H81" s="943">
        <v>0</v>
      </c>
      <c r="I81" s="944">
        <v>0</v>
      </c>
      <c r="J81" s="944">
        <v>0</v>
      </c>
      <c r="K81" s="944">
        <v>0</v>
      </c>
      <c r="L81" s="944">
        <v>0</v>
      </c>
      <c r="M81" s="944">
        <v>0</v>
      </c>
      <c r="N81" s="944">
        <v>0</v>
      </c>
      <c r="O81" s="944">
        <v>0</v>
      </c>
      <c r="P81" s="944">
        <v>0</v>
      </c>
      <c r="Q81" s="944">
        <v>0</v>
      </c>
      <c r="R81" s="944">
        <v>0</v>
      </c>
      <c r="S81" s="944">
        <v>0</v>
      </c>
      <c r="T81" s="944">
        <v>0</v>
      </c>
      <c r="U81" s="944">
        <v>0</v>
      </c>
      <c r="V81" s="944">
        <v>0</v>
      </c>
      <c r="W81" s="944">
        <v>0</v>
      </c>
      <c r="X81" s="944">
        <v>0</v>
      </c>
      <c r="Y81" s="944">
        <v>0</v>
      </c>
      <c r="Z81" s="944">
        <v>0</v>
      </c>
      <c r="AA81" s="944">
        <v>0</v>
      </c>
      <c r="AB81" s="944">
        <v>0</v>
      </c>
      <c r="AC81" s="944">
        <v>0</v>
      </c>
      <c r="AD81" s="944">
        <v>0</v>
      </c>
      <c r="AE81" s="944">
        <v>0</v>
      </c>
      <c r="AF81" s="944">
        <v>0</v>
      </c>
      <c r="AG81" s="944">
        <v>0</v>
      </c>
      <c r="AH81" s="944">
        <v>0</v>
      </c>
      <c r="AI81" s="944">
        <v>0</v>
      </c>
      <c r="AJ81" s="944">
        <v>0</v>
      </c>
      <c r="AK81" s="944">
        <v>0</v>
      </c>
      <c r="AL81" s="944">
        <v>0</v>
      </c>
      <c r="AM81" s="944">
        <v>0</v>
      </c>
      <c r="AN81" s="944">
        <v>0</v>
      </c>
      <c r="AO81" s="944">
        <v>0</v>
      </c>
      <c r="AP81" s="944">
        <v>0</v>
      </c>
      <c r="AQ81" s="944">
        <v>0</v>
      </c>
      <c r="AR81" s="944">
        <v>0</v>
      </c>
      <c r="AS81" s="944">
        <v>0</v>
      </c>
      <c r="AT81" s="944">
        <v>0</v>
      </c>
      <c r="AU81" s="944">
        <v>0</v>
      </c>
      <c r="AV81" s="984">
        <f>SUM(H81:AU81)</f>
        <v>0</v>
      </c>
      <c r="AW81" s="937">
        <f>F81-AV81</f>
        <v>0</v>
      </c>
      <c r="AX81" s="946"/>
      <c r="AY81" s="882"/>
      <c r="AZ81" s="882"/>
      <c r="BA81" s="882"/>
      <c r="BB81" s="882"/>
      <c r="BC81" s="882"/>
      <c r="BD81" s="882"/>
      <c r="BE81" s="882"/>
      <c r="BF81" s="882"/>
      <c r="BG81" s="882"/>
      <c r="BH81" s="882"/>
      <c r="BI81" s="882"/>
      <c r="BJ81" s="882"/>
      <c r="BK81" s="882"/>
      <c r="BL81" s="882"/>
      <c r="BM81" s="882"/>
      <c r="BN81" s="882"/>
      <c r="BO81" s="882"/>
      <c r="BP81" s="882"/>
      <c r="BQ81" s="882"/>
      <c r="BR81" s="882"/>
      <c r="BS81" s="882"/>
      <c r="BT81" s="882"/>
      <c r="BU81" s="882"/>
      <c r="BV81" s="882"/>
      <c r="BW81" s="882"/>
      <c r="BX81" s="882"/>
      <c r="BY81" s="882"/>
      <c r="BZ81" s="882"/>
      <c r="CA81" s="882"/>
    </row>
    <row r="82" spans="1:79">
      <c r="A82" s="896"/>
      <c r="B82" s="1016" t="s">
        <v>267</v>
      </c>
      <c r="C82" s="882"/>
      <c r="D82" s="882"/>
      <c r="E82" s="983">
        <v>0</v>
      </c>
      <c r="F82" s="942">
        <f>'Development Budget'!G70</f>
        <v>0</v>
      </c>
      <c r="G82" s="942">
        <v>0</v>
      </c>
      <c r="H82" s="943">
        <v>0</v>
      </c>
      <c r="I82" s="944">
        <v>0</v>
      </c>
      <c r="J82" s="944">
        <v>0</v>
      </c>
      <c r="K82" s="944">
        <v>0</v>
      </c>
      <c r="L82" s="944">
        <v>0</v>
      </c>
      <c r="M82" s="944">
        <v>0</v>
      </c>
      <c r="N82" s="944">
        <v>0</v>
      </c>
      <c r="O82" s="944">
        <v>0</v>
      </c>
      <c r="P82" s="944">
        <v>0</v>
      </c>
      <c r="Q82" s="944">
        <v>0</v>
      </c>
      <c r="R82" s="944">
        <v>0</v>
      </c>
      <c r="S82" s="944">
        <v>0</v>
      </c>
      <c r="T82" s="944">
        <v>0</v>
      </c>
      <c r="U82" s="944">
        <v>0</v>
      </c>
      <c r="V82" s="944">
        <v>0</v>
      </c>
      <c r="W82" s="944">
        <v>0</v>
      </c>
      <c r="X82" s="944">
        <v>0</v>
      </c>
      <c r="Y82" s="944">
        <v>0</v>
      </c>
      <c r="Z82" s="944">
        <v>0</v>
      </c>
      <c r="AA82" s="944">
        <v>0</v>
      </c>
      <c r="AB82" s="944">
        <v>0</v>
      </c>
      <c r="AC82" s="944">
        <v>0</v>
      </c>
      <c r="AD82" s="944">
        <v>0</v>
      </c>
      <c r="AE82" s="944">
        <v>0</v>
      </c>
      <c r="AF82" s="944">
        <v>0</v>
      </c>
      <c r="AG82" s="944">
        <v>0</v>
      </c>
      <c r="AH82" s="944">
        <v>0</v>
      </c>
      <c r="AI82" s="944">
        <v>0</v>
      </c>
      <c r="AJ82" s="944">
        <v>0</v>
      </c>
      <c r="AK82" s="944">
        <v>0</v>
      </c>
      <c r="AL82" s="944">
        <v>0</v>
      </c>
      <c r="AM82" s="944">
        <v>0</v>
      </c>
      <c r="AN82" s="944">
        <v>0</v>
      </c>
      <c r="AO82" s="944">
        <v>0</v>
      </c>
      <c r="AP82" s="944">
        <v>0</v>
      </c>
      <c r="AQ82" s="944">
        <v>0</v>
      </c>
      <c r="AR82" s="944">
        <v>0</v>
      </c>
      <c r="AS82" s="944">
        <v>0</v>
      </c>
      <c r="AT82" s="944">
        <v>0</v>
      </c>
      <c r="AU82" s="944">
        <v>0</v>
      </c>
      <c r="AV82" s="984">
        <f>SUM(H82:AU82)</f>
        <v>0</v>
      </c>
      <c r="AW82" s="1034">
        <f>F82-AV82</f>
        <v>0</v>
      </c>
      <c r="AX82" s="946"/>
      <c r="AY82" s="882"/>
      <c r="AZ82" s="882"/>
      <c r="BA82" s="882"/>
      <c r="BB82" s="882"/>
      <c r="BC82" s="882"/>
      <c r="BD82" s="882"/>
      <c r="BE82" s="882"/>
      <c r="BF82" s="882"/>
      <c r="BG82" s="882"/>
      <c r="BH82" s="882"/>
      <c r="BI82" s="882"/>
      <c r="BJ82" s="882"/>
      <c r="BK82" s="882"/>
      <c r="BL82" s="882"/>
      <c r="BM82" s="882"/>
      <c r="BN82" s="882"/>
      <c r="BO82" s="882"/>
      <c r="BP82" s="882"/>
      <c r="BQ82" s="882"/>
      <c r="BR82" s="882"/>
      <c r="BS82" s="882"/>
      <c r="BT82" s="882"/>
      <c r="BU82" s="882"/>
      <c r="BV82" s="882"/>
      <c r="BW82" s="882"/>
      <c r="BX82" s="882"/>
      <c r="BY82" s="882"/>
      <c r="BZ82" s="882"/>
      <c r="CA82" s="882"/>
    </row>
    <row r="83" spans="1:79">
      <c r="A83" s="896"/>
      <c r="B83" s="1016" t="s">
        <v>268</v>
      </c>
      <c r="C83" s="882"/>
      <c r="D83" s="882"/>
      <c r="E83" s="983">
        <v>0</v>
      </c>
      <c r="F83" s="942">
        <f>'Development Budget'!G71</f>
        <v>0</v>
      </c>
      <c r="G83" s="942">
        <v>0</v>
      </c>
      <c r="H83" s="943">
        <v>0</v>
      </c>
      <c r="I83" s="944">
        <v>0</v>
      </c>
      <c r="J83" s="944">
        <v>0</v>
      </c>
      <c r="K83" s="944">
        <v>0</v>
      </c>
      <c r="L83" s="944">
        <v>0</v>
      </c>
      <c r="M83" s="944">
        <v>0</v>
      </c>
      <c r="N83" s="944">
        <v>0</v>
      </c>
      <c r="O83" s="944">
        <v>0</v>
      </c>
      <c r="P83" s="944">
        <v>0</v>
      </c>
      <c r="Q83" s="944">
        <v>0</v>
      </c>
      <c r="R83" s="944">
        <v>0</v>
      </c>
      <c r="S83" s="944">
        <v>0</v>
      </c>
      <c r="T83" s="944">
        <v>0</v>
      </c>
      <c r="U83" s="944">
        <v>0</v>
      </c>
      <c r="V83" s="944">
        <v>0</v>
      </c>
      <c r="W83" s="944">
        <v>0</v>
      </c>
      <c r="X83" s="944">
        <v>0</v>
      </c>
      <c r="Y83" s="944">
        <v>0</v>
      </c>
      <c r="Z83" s="944">
        <v>0</v>
      </c>
      <c r="AA83" s="944">
        <v>0</v>
      </c>
      <c r="AB83" s="944">
        <v>0</v>
      </c>
      <c r="AC83" s="944">
        <v>0</v>
      </c>
      <c r="AD83" s="944">
        <v>0</v>
      </c>
      <c r="AE83" s="944">
        <v>0</v>
      </c>
      <c r="AF83" s="944">
        <v>0</v>
      </c>
      <c r="AG83" s="944">
        <v>0</v>
      </c>
      <c r="AH83" s="944">
        <v>0</v>
      </c>
      <c r="AI83" s="944">
        <v>0</v>
      </c>
      <c r="AJ83" s="944">
        <v>0</v>
      </c>
      <c r="AK83" s="944">
        <v>0</v>
      </c>
      <c r="AL83" s="944">
        <v>0</v>
      </c>
      <c r="AM83" s="944">
        <v>0</v>
      </c>
      <c r="AN83" s="944">
        <v>0</v>
      </c>
      <c r="AO83" s="944">
        <v>0</v>
      </c>
      <c r="AP83" s="944">
        <v>0</v>
      </c>
      <c r="AQ83" s="944">
        <v>0</v>
      </c>
      <c r="AR83" s="944">
        <v>0</v>
      </c>
      <c r="AS83" s="944">
        <v>0</v>
      </c>
      <c r="AT83" s="944">
        <v>0</v>
      </c>
      <c r="AU83" s="944">
        <v>0</v>
      </c>
      <c r="AV83" s="984">
        <f>SUM(H83:AU83)</f>
        <v>0</v>
      </c>
      <c r="AW83" s="937">
        <f>F83-AV83</f>
        <v>0</v>
      </c>
      <c r="AX83" s="946"/>
      <c r="AY83" s="882"/>
      <c r="AZ83" s="882"/>
      <c r="BA83" s="882"/>
      <c r="BB83" s="882"/>
      <c r="BC83" s="882"/>
      <c r="BD83" s="882"/>
      <c r="BE83" s="882"/>
      <c r="BF83" s="882"/>
      <c r="BG83" s="882"/>
      <c r="BH83" s="882"/>
      <c r="BI83" s="882"/>
      <c r="BJ83" s="882"/>
      <c r="BK83" s="882"/>
      <c r="BL83" s="882"/>
      <c r="BM83" s="882"/>
      <c r="BN83" s="882"/>
      <c r="BO83" s="882"/>
      <c r="BP83" s="882"/>
      <c r="BQ83" s="882"/>
      <c r="BR83" s="882"/>
      <c r="BS83" s="882"/>
      <c r="BT83" s="882"/>
      <c r="BU83" s="882"/>
      <c r="BV83" s="882"/>
      <c r="BW83" s="882"/>
      <c r="BX83" s="882"/>
      <c r="BY83" s="882"/>
      <c r="BZ83" s="882"/>
      <c r="CA83" s="882"/>
    </row>
    <row r="84" spans="1:79">
      <c r="A84" s="896"/>
      <c r="B84" s="1016" t="s">
        <v>270</v>
      </c>
      <c r="C84" s="882"/>
      <c r="D84" s="882"/>
      <c r="E84" s="983">
        <v>0</v>
      </c>
      <c r="F84" s="942">
        <f>'Development Budget'!G72</f>
        <v>0</v>
      </c>
      <c r="G84" s="942">
        <v>0</v>
      </c>
      <c r="H84" s="943">
        <v>0</v>
      </c>
      <c r="I84" s="944">
        <v>0</v>
      </c>
      <c r="J84" s="944">
        <v>0</v>
      </c>
      <c r="K84" s="944">
        <v>0</v>
      </c>
      <c r="L84" s="944">
        <v>0</v>
      </c>
      <c r="M84" s="944">
        <v>0</v>
      </c>
      <c r="N84" s="944">
        <v>0</v>
      </c>
      <c r="O84" s="944">
        <v>0</v>
      </c>
      <c r="P84" s="944">
        <v>0</v>
      </c>
      <c r="Q84" s="944">
        <v>0</v>
      </c>
      <c r="R84" s="944">
        <v>0</v>
      </c>
      <c r="S84" s="944">
        <v>0</v>
      </c>
      <c r="T84" s="944">
        <v>0</v>
      </c>
      <c r="U84" s="944">
        <v>0</v>
      </c>
      <c r="V84" s="944">
        <v>0</v>
      </c>
      <c r="W84" s="944">
        <v>0</v>
      </c>
      <c r="X84" s="944">
        <v>0</v>
      </c>
      <c r="Y84" s="944">
        <v>0</v>
      </c>
      <c r="Z84" s="944">
        <v>0</v>
      </c>
      <c r="AA84" s="944">
        <v>0</v>
      </c>
      <c r="AB84" s="944">
        <v>0</v>
      </c>
      <c r="AC84" s="944">
        <v>0</v>
      </c>
      <c r="AD84" s="944">
        <v>0</v>
      </c>
      <c r="AE84" s="944">
        <v>0</v>
      </c>
      <c r="AF84" s="944">
        <v>0</v>
      </c>
      <c r="AG84" s="944">
        <v>0</v>
      </c>
      <c r="AH84" s="944">
        <v>0</v>
      </c>
      <c r="AI84" s="944">
        <v>0</v>
      </c>
      <c r="AJ84" s="944">
        <v>0</v>
      </c>
      <c r="AK84" s="944">
        <v>0</v>
      </c>
      <c r="AL84" s="944">
        <v>0</v>
      </c>
      <c r="AM84" s="944">
        <v>0</v>
      </c>
      <c r="AN84" s="944">
        <v>0</v>
      </c>
      <c r="AO84" s="944">
        <v>0</v>
      </c>
      <c r="AP84" s="944">
        <v>0</v>
      </c>
      <c r="AQ84" s="944">
        <v>0</v>
      </c>
      <c r="AR84" s="944">
        <v>0</v>
      </c>
      <c r="AS84" s="944">
        <v>0</v>
      </c>
      <c r="AT84" s="944">
        <v>0</v>
      </c>
      <c r="AU84" s="944">
        <v>0</v>
      </c>
      <c r="AV84" s="984">
        <f>SUM(H84:AU84)</f>
        <v>0</v>
      </c>
      <c r="AW84" s="937">
        <f>F84-AV84</f>
        <v>0</v>
      </c>
      <c r="AX84" s="946"/>
      <c r="AY84" s="882"/>
      <c r="AZ84" s="882"/>
      <c r="BA84" s="882"/>
      <c r="BB84" s="882"/>
      <c r="BC84" s="882"/>
      <c r="BD84" s="882"/>
      <c r="BE84" s="882"/>
      <c r="BF84" s="882"/>
      <c r="BG84" s="882"/>
      <c r="BH84" s="882"/>
      <c r="BI84" s="882"/>
      <c r="BJ84" s="882"/>
      <c r="BK84" s="882"/>
      <c r="BL84" s="882"/>
      <c r="BM84" s="882"/>
      <c r="BN84" s="882"/>
      <c r="BO84" s="882"/>
      <c r="BP84" s="882"/>
      <c r="BQ84" s="882"/>
      <c r="BR84" s="882"/>
      <c r="BS84" s="882"/>
      <c r="BT84" s="882"/>
      <c r="BU84" s="882"/>
      <c r="BV84" s="882"/>
      <c r="BW84" s="882"/>
      <c r="BX84" s="882"/>
      <c r="BY84" s="882"/>
      <c r="BZ84" s="882"/>
      <c r="CA84" s="882"/>
    </row>
    <row r="85" spans="1:79">
      <c r="A85" s="896"/>
      <c r="B85" s="1016" t="s">
        <v>271</v>
      </c>
      <c r="C85" s="882"/>
      <c r="D85" s="882"/>
      <c r="E85" s="983">
        <v>0</v>
      </c>
      <c r="F85" s="942">
        <f>'Development Budget'!G73</f>
        <v>0</v>
      </c>
      <c r="G85" s="942">
        <v>0</v>
      </c>
      <c r="H85" s="943">
        <v>0</v>
      </c>
      <c r="I85" s="944">
        <v>0</v>
      </c>
      <c r="J85" s="944">
        <v>0</v>
      </c>
      <c r="K85" s="944">
        <v>0</v>
      </c>
      <c r="L85" s="944">
        <v>0</v>
      </c>
      <c r="M85" s="944">
        <v>0</v>
      </c>
      <c r="N85" s="944">
        <v>0</v>
      </c>
      <c r="O85" s="944">
        <v>0</v>
      </c>
      <c r="P85" s="944">
        <v>0</v>
      </c>
      <c r="Q85" s="944">
        <v>0</v>
      </c>
      <c r="R85" s="944">
        <v>0</v>
      </c>
      <c r="S85" s="944">
        <v>0</v>
      </c>
      <c r="T85" s="944">
        <v>0</v>
      </c>
      <c r="U85" s="944">
        <v>0</v>
      </c>
      <c r="V85" s="944">
        <v>0</v>
      </c>
      <c r="W85" s="944">
        <v>0</v>
      </c>
      <c r="X85" s="944">
        <v>0</v>
      </c>
      <c r="Y85" s="944">
        <v>0</v>
      </c>
      <c r="Z85" s="944">
        <v>0</v>
      </c>
      <c r="AA85" s="944">
        <v>0</v>
      </c>
      <c r="AB85" s="944">
        <v>0</v>
      </c>
      <c r="AC85" s="944">
        <v>0</v>
      </c>
      <c r="AD85" s="944">
        <v>0</v>
      </c>
      <c r="AE85" s="944">
        <v>0</v>
      </c>
      <c r="AF85" s="944">
        <v>0</v>
      </c>
      <c r="AG85" s="944">
        <v>0</v>
      </c>
      <c r="AH85" s="944">
        <v>0</v>
      </c>
      <c r="AI85" s="944">
        <v>0</v>
      </c>
      <c r="AJ85" s="944">
        <v>0</v>
      </c>
      <c r="AK85" s="944">
        <v>0</v>
      </c>
      <c r="AL85" s="944">
        <v>0</v>
      </c>
      <c r="AM85" s="944">
        <v>0</v>
      </c>
      <c r="AN85" s="944">
        <v>0</v>
      </c>
      <c r="AO85" s="944">
        <v>0</v>
      </c>
      <c r="AP85" s="944">
        <v>0</v>
      </c>
      <c r="AQ85" s="944">
        <v>0</v>
      </c>
      <c r="AR85" s="944">
        <v>0</v>
      </c>
      <c r="AS85" s="944">
        <v>0</v>
      </c>
      <c r="AT85" s="944">
        <v>0</v>
      </c>
      <c r="AU85" s="944">
        <v>0</v>
      </c>
      <c r="AV85" s="984">
        <f>SUM(H85:AU85)</f>
        <v>0</v>
      </c>
      <c r="AW85" s="1032">
        <f>F85-AV85</f>
        <v>0</v>
      </c>
      <c r="AX85" s="946"/>
      <c r="AY85" s="882"/>
      <c r="AZ85" s="882"/>
      <c r="BA85" s="882"/>
      <c r="BB85" s="882"/>
      <c r="BC85" s="882"/>
      <c r="BD85" s="882"/>
      <c r="BE85" s="882"/>
      <c r="BF85" s="882"/>
      <c r="BG85" s="882"/>
      <c r="BH85" s="882"/>
      <c r="BI85" s="882"/>
      <c r="BJ85" s="882"/>
      <c r="BK85" s="882"/>
      <c r="BL85" s="882"/>
      <c r="BM85" s="882"/>
      <c r="BN85" s="882"/>
      <c r="BO85" s="882"/>
      <c r="BP85" s="882"/>
      <c r="BQ85" s="882"/>
      <c r="BR85" s="882"/>
      <c r="BS85" s="882"/>
      <c r="BT85" s="882"/>
      <c r="BU85" s="882"/>
      <c r="BV85" s="882"/>
      <c r="BW85" s="882"/>
      <c r="BX85" s="882"/>
      <c r="BY85" s="882"/>
      <c r="BZ85" s="882"/>
      <c r="CA85" s="882"/>
    </row>
    <row r="86" spans="1:79">
      <c r="A86" s="896"/>
      <c r="B86" s="1016" t="s">
        <v>272</v>
      </c>
      <c r="C86" s="882"/>
      <c r="D86" s="882"/>
      <c r="E86" s="983">
        <v>0</v>
      </c>
      <c r="F86" s="942">
        <f>'Development Budget'!G74</f>
        <v>0</v>
      </c>
      <c r="G86" s="942">
        <v>0</v>
      </c>
      <c r="H86" s="943">
        <v>0</v>
      </c>
      <c r="I86" s="944">
        <v>0</v>
      </c>
      <c r="J86" s="944">
        <v>0</v>
      </c>
      <c r="K86" s="944">
        <v>0</v>
      </c>
      <c r="L86" s="944">
        <v>0</v>
      </c>
      <c r="M86" s="944">
        <v>0</v>
      </c>
      <c r="N86" s="944">
        <v>0</v>
      </c>
      <c r="O86" s="944">
        <v>0</v>
      </c>
      <c r="P86" s="944">
        <v>0</v>
      </c>
      <c r="Q86" s="944">
        <v>0</v>
      </c>
      <c r="R86" s="944">
        <v>0</v>
      </c>
      <c r="S86" s="944">
        <v>0</v>
      </c>
      <c r="T86" s="944">
        <v>0</v>
      </c>
      <c r="U86" s="944">
        <v>0</v>
      </c>
      <c r="V86" s="944">
        <v>0</v>
      </c>
      <c r="W86" s="944">
        <v>0</v>
      </c>
      <c r="X86" s="944">
        <v>0</v>
      </c>
      <c r="Y86" s="944">
        <v>0</v>
      </c>
      <c r="Z86" s="944">
        <v>0</v>
      </c>
      <c r="AA86" s="944">
        <v>0</v>
      </c>
      <c r="AB86" s="944">
        <v>0</v>
      </c>
      <c r="AC86" s="944">
        <v>0</v>
      </c>
      <c r="AD86" s="944">
        <v>0</v>
      </c>
      <c r="AE86" s="944">
        <v>0</v>
      </c>
      <c r="AF86" s="944">
        <v>0</v>
      </c>
      <c r="AG86" s="944">
        <v>0</v>
      </c>
      <c r="AH86" s="944">
        <v>0</v>
      </c>
      <c r="AI86" s="944">
        <v>0</v>
      </c>
      <c r="AJ86" s="944">
        <v>0</v>
      </c>
      <c r="AK86" s="944">
        <v>0</v>
      </c>
      <c r="AL86" s="944">
        <v>0</v>
      </c>
      <c r="AM86" s="944">
        <v>0</v>
      </c>
      <c r="AN86" s="944">
        <v>0</v>
      </c>
      <c r="AO86" s="944">
        <v>0</v>
      </c>
      <c r="AP86" s="944">
        <v>0</v>
      </c>
      <c r="AQ86" s="944">
        <v>0</v>
      </c>
      <c r="AR86" s="944">
        <v>0</v>
      </c>
      <c r="AS86" s="944">
        <v>0</v>
      </c>
      <c r="AT86" s="944">
        <v>0</v>
      </c>
      <c r="AU86" s="944">
        <v>0</v>
      </c>
      <c r="AV86" s="984">
        <f>SUM(H86:AU86)</f>
        <v>0</v>
      </c>
      <c r="AW86" s="937">
        <f>F86-AV86</f>
        <v>0</v>
      </c>
      <c r="AX86" s="946"/>
      <c r="AY86" s="882"/>
      <c r="AZ86" s="882"/>
      <c r="BA86" s="882"/>
      <c r="BB86" s="882"/>
      <c r="BC86" s="882"/>
      <c r="BD86" s="882"/>
      <c r="BE86" s="882"/>
      <c r="BF86" s="882"/>
      <c r="BG86" s="882"/>
      <c r="BH86" s="882"/>
      <c r="BI86" s="882"/>
      <c r="BJ86" s="882"/>
      <c r="BK86" s="882"/>
      <c r="BL86" s="882"/>
      <c r="BM86" s="882"/>
      <c r="BN86" s="882"/>
      <c r="BO86" s="882"/>
      <c r="BP86" s="882"/>
      <c r="BQ86" s="882"/>
      <c r="BR86" s="882"/>
      <c r="BS86" s="882"/>
      <c r="BT86" s="882"/>
      <c r="BU86" s="882"/>
      <c r="BV86" s="882"/>
      <c r="BW86" s="882"/>
      <c r="BX86" s="882"/>
      <c r="BY86" s="882"/>
      <c r="BZ86" s="882"/>
      <c r="CA86" s="882"/>
    </row>
    <row r="87" spans="1:79">
      <c r="A87" s="979" t="s">
        <v>155</v>
      </c>
      <c r="B87" s="896"/>
      <c r="C87" s="882"/>
      <c r="D87" s="882"/>
      <c r="E87" s="983">
        <v>0</v>
      </c>
      <c r="F87" s="1009">
        <v>0</v>
      </c>
      <c r="G87" s="1009">
        <v>0</v>
      </c>
      <c r="H87" s="1044">
        <v>0</v>
      </c>
      <c r="I87" s="1009">
        <v>0</v>
      </c>
      <c r="J87" s="1009">
        <v>0</v>
      </c>
      <c r="K87" s="1009">
        <v>0</v>
      </c>
      <c r="L87" s="1009">
        <v>0</v>
      </c>
      <c r="M87" s="1009">
        <v>0</v>
      </c>
      <c r="N87" s="1009">
        <v>0</v>
      </c>
      <c r="O87" s="1009">
        <v>0</v>
      </c>
      <c r="P87" s="1009">
        <v>0</v>
      </c>
      <c r="Q87" s="1009">
        <v>0</v>
      </c>
      <c r="R87" s="1009">
        <v>0</v>
      </c>
      <c r="S87" s="1009">
        <v>0</v>
      </c>
      <c r="T87" s="1009">
        <v>0</v>
      </c>
      <c r="U87" s="1009">
        <v>0</v>
      </c>
      <c r="V87" s="1009">
        <v>0</v>
      </c>
      <c r="W87" s="1009">
        <v>0</v>
      </c>
      <c r="X87" s="1009">
        <v>0</v>
      </c>
      <c r="Y87" s="1009">
        <v>0</v>
      </c>
      <c r="Z87" s="1009">
        <v>0</v>
      </c>
      <c r="AA87" s="1009">
        <v>0</v>
      </c>
      <c r="AB87" s="1009">
        <v>0</v>
      </c>
      <c r="AC87" s="1009">
        <v>0</v>
      </c>
      <c r="AD87" s="1009">
        <v>0</v>
      </c>
      <c r="AE87" s="1009">
        <v>0</v>
      </c>
      <c r="AF87" s="1009">
        <v>0</v>
      </c>
      <c r="AG87" s="1009">
        <v>0</v>
      </c>
      <c r="AH87" s="1009">
        <v>0</v>
      </c>
      <c r="AI87" s="1009">
        <v>0</v>
      </c>
      <c r="AJ87" s="1009">
        <v>0</v>
      </c>
      <c r="AK87" s="1009">
        <v>0</v>
      </c>
      <c r="AL87" s="1009">
        <v>0</v>
      </c>
      <c r="AM87" s="1009">
        <v>0</v>
      </c>
      <c r="AN87" s="1009">
        <v>0</v>
      </c>
      <c r="AO87" s="1009">
        <v>0</v>
      </c>
      <c r="AP87" s="1009">
        <v>0</v>
      </c>
      <c r="AQ87" s="1009">
        <v>0</v>
      </c>
      <c r="AR87" s="1009">
        <v>0</v>
      </c>
      <c r="AS87" s="1009">
        <v>0</v>
      </c>
      <c r="AT87" s="1009">
        <v>0</v>
      </c>
      <c r="AU87" s="1009">
        <v>0</v>
      </c>
      <c r="AV87" s="1009">
        <v>0</v>
      </c>
      <c r="AW87" s="986">
        <v>0</v>
      </c>
      <c r="AX87" s="946"/>
      <c r="AY87" s="882"/>
      <c r="AZ87" s="882"/>
      <c r="BA87" s="882"/>
      <c r="BB87" s="882"/>
      <c r="BC87" s="882"/>
      <c r="BD87" s="882"/>
      <c r="BE87" s="882"/>
      <c r="BF87" s="882"/>
      <c r="BG87" s="882"/>
      <c r="BH87" s="882"/>
      <c r="BI87" s="882"/>
      <c r="BJ87" s="882"/>
      <c r="BK87" s="882"/>
      <c r="BL87" s="882"/>
      <c r="BM87" s="882"/>
      <c r="BN87" s="882"/>
      <c r="BO87" s="882"/>
      <c r="BP87" s="882"/>
      <c r="BQ87" s="882"/>
      <c r="BR87" s="882"/>
      <c r="BS87" s="882"/>
      <c r="BT87" s="882"/>
      <c r="BU87" s="882"/>
      <c r="BV87" s="882"/>
      <c r="BW87" s="882"/>
      <c r="BX87" s="882"/>
      <c r="BY87" s="882"/>
      <c r="BZ87" s="882"/>
      <c r="CA87" s="882"/>
    </row>
    <row r="88" spans="1:79">
      <c r="A88" s="896"/>
      <c r="B88" s="1016" t="s">
        <v>274</v>
      </c>
      <c r="C88" s="882"/>
      <c r="D88" s="882"/>
      <c r="E88" s="983">
        <v>0</v>
      </c>
      <c r="F88" s="942">
        <f>'Development Budget'!G77</f>
        <v>0</v>
      </c>
      <c r="G88" s="942">
        <v>0</v>
      </c>
      <c r="H88" s="943">
        <v>0</v>
      </c>
      <c r="I88" s="944">
        <v>0</v>
      </c>
      <c r="J88" s="944">
        <v>0</v>
      </c>
      <c r="K88" s="944">
        <v>0</v>
      </c>
      <c r="L88" s="944">
        <v>0</v>
      </c>
      <c r="M88" s="944">
        <v>0</v>
      </c>
      <c r="N88" s="944">
        <v>0</v>
      </c>
      <c r="O88" s="944">
        <v>0</v>
      </c>
      <c r="P88" s="944">
        <v>0</v>
      </c>
      <c r="Q88" s="944">
        <v>0</v>
      </c>
      <c r="R88" s="944">
        <v>0</v>
      </c>
      <c r="S88" s="944">
        <v>0</v>
      </c>
      <c r="T88" s="944">
        <v>0</v>
      </c>
      <c r="U88" s="944">
        <v>0</v>
      </c>
      <c r="V88" s="944">
        <v>0</v>
      </c>
      <c r="W88" s="944">
        <v>0</v>
      </c>
      <c r="X88" s="944">
        <v>0</v>
      </c>
      <c r="Y88" s="944">
        <v>0</v>
      </c>
      <c r="Z88" s="944">
        <v>0</v>
      </c>
      <c r="AA88" s="944">
        <v>0</v>
      </c>
      <c r="AB88" s="944">
        <v>0</v>
      </c>
      <c r="AC88" s="944">
        <v>0</v>
      </c>
      <c r="AD88" s="944">
        <v>0</v>
      </c>
      <c r="AE88" s="944">
        <v>0</v>
      </c>
      <c r="AF88" s="944">
        <v>0</v>
      </c>
      <c r="AG88" s="944">
        <v>0</v>
      </c>
      <c r="AH88" s="944">
        <v>0</v>
      </c>
      <c r="AI88" s="944">
        <v>0</v>
      </c>
      <c r="AJ88" s="944">
        <v>0</v>
      </c>
      <c r="AK88" s="944">
        <v>0</v>
      </c>
      <c r="AL88" s="944">
        <v>0</v>
      </c>
      <c r="AM88" s="944">
        <v>0</v>
      </c>
      <c r="AN88" s="944">
        <v>0</v>
      </c>
      <c r="AO88" s="944">
        <v>0</v>
      </c>
      <c r="AP88" s="944">
        <v>0</v>
      </c>
      <c r="AQ88" s="944">
        <v>0</v>
      </c>
      <c r="AR88" s="944">
        <v>0</v>
      </c>
      <c r="AS88" s="944">
        <v>0</v>
      </c>
      <c r="AT88" s="944">
        <v>0</v>
      </c>
      <c r="AU88" s="944">
        <v>0</v>
      </c>
      <c r="AV88" s="984">
        <f>SUM(H88:AU88)</f>
        <v>0</v>
      </c>
      <c r="AW88" s="937">
        <f>F88-AV88</f>
        <v>0</v>
      </c>
      <c r="AX88" s="946"/>
      <c r="AY88" s="882"/>
      <c r="AZ88" s="882"/>
      <c r="BA88" s="882"/>
      <c r="BB88" s="882"/>
      <c r="BC88" s="882"/>
      <c r="BD88" s="882"/>
      <c r="BE88" s="882"/>
      <c r="BF88" s="882"/>
      <c r="BG88" s="882"/>
      <c r="BH88" s="882"/>
      <c r="BI88" s="882"/>
      <c r="BJ88" s="882"/>
      <c r="BK88" s="882"/>
      <c r="BL88" s="882"/>
      <c r="BM88" s="882"/>
      <c r="BN88" s="882"/>
      <c r="BO88" s="882"/>
      <c r="BP88" s="882"/>
      <c r="BQ88" s="882"/>
      <c r="BR88" s="882"/>
      <c r="BS88" s="882"/>
      <c r="BT88" s="882"/>
      <c r="BU88" s="882"/>
      <c r="BV88" s="882"/>
      <c r="BW88" s="882"/>
      <c r="BX88" s="882"/>
      <c r="BY88" s="882"/>
      <c r="BZ88" s="882"/>
      <c r="CA88" s="882"/>
    </row>
    <row r="89" spans="1:79">
      <c r="A89" s="896"/>
      <c r="B89" s="1016" t="s">
        <v>275</v>
      </c>
      <c r="C89" s="882"/>
      <c r="D89" s="882"/>
      <c r="E89" s="983">
        <v>0</v>
      </c>
      <c r="F89" s="942">
        <f>'Development Budget'!G78</f>
        <v>0</v>
      </c>
      <c r="G89" s="942">
        <v>0</v>
      </c>
      <c r="H89" s="943">
        <v>0</v>
      </c>
      <c r="I89" s="944">
        <v>0</v>
      </c>
      <c r="J89" s="944">
        <v>0</v>
      </c>
      <c r="K89" s="944">
        <v>0</v>
      </c>
      <c r="L89" s="944">
        <v>0</v>
      </c>
      <c r="M89" s="944">
        <v>0</v>
      </c>
      <c r="N89" s="944">
        <v>0</v>
      </c>
      <c r="O89" s="944">
        <v>0</v>
      </c>
      <c r="P89" s="944">
        <v>0</v>
      </c>
      <c r="Q89" s="944">
        <v>0</v>
      </c>
      <c r="R89" s="944">
        <v>0</v>
      </c>
      <c r="S89" s="944">
        <v>0</v>
      </c>
      <c r="T89" s="944">
        <v>0</v>
      </c>
      <c r="U89" s="944">
        <v>0</v>
      </c>
      <c r="V89" s="944">
        <v>0</v>
      </c>
      <c r="W89" s="944">
        <v>0</v>
      </c>
      <c r="X89" s="944">
        <v>0</v>
      </c>
      <c r="Y89" s="944">
        <v>0</v>
      </c>
      <c r="Z89" s="944">
        <v>0</v>
      </c>
      <c r="AA89" s="944">
        <v>0</v>
      </c>
      <c r="AB89" s="944">
        <v>0</v>
      </c>
      <c r="AC89" s="944">
        <v>0</v>
      </c>
      <c r="AD89" s="944">
        <v>0</v>
      </c>
      <c r="AE89" s="944">
        <v>0</v>
      </c>
      <c r="AF89" s="944">
        <v>0</v>
      </c>
      <c r="AG89" s="944">
        <v>0</v>
      </c>
      <c r="AH89" s="944">
        <v>0</v>
      </c>
      <c r="AI89" s="944">
        <v>0</v>
      </c>
      <c r="AJ89" s="944">
        <v>0</v>
      </c>
      <c r="AK89" s="944">
        <v>0</v>
      </c>
      <c r="AL89" s="944">
        <v>0</v>
      </c>
      <c r="AM89" s="944">
        <v>0</v>
      </c>
      <c r="AN89" s="944">
        <v>0</v>
      </c>
      <c r="AO89" s="944">
        <v>0</v>
      </c>
      <c r="AP89" s="944">
        <v>0</v>
      </c>
      <c r="AQ89" s="944">
        <v>0</v>
      </c>
      <c r="AR89" s="944">
        <v>0</v>
      </c>
      <c r="AS89" s="944">
        <v>0</v>
      </c>
      <c r="AT89" s="944">
        <v>0</v>
      </c>
      <c r="AU89" s="944">
        <v>0</v>
      </c>
      <c r="AV89" s="984">
        <f>SUM(H89:AU89)</f>
        <v>0</v>
      </c>
      <c r="AW89" s="1034">
        <f>F89-AV89</f>
        <v>0</v>
      </c>
      <c r="AX89" s="946"/>
      <c r="AY89" s="882"/>
      <c r="AZ89" s="882"/>
      <c r="BA89" s="882"/>
      <c r="BB89" s="882"/>
      <c r="BC89" s="882"/>
      <c r="BD89" s="882"/>
      <c r="BE89" s="882"/>
      <c r="BF89" s="882"/>
      <c r="BG89" s="882"/>
      <c r="BH89" s="882"/>
      <c r="BI89" s="882"/>
      <c r="BJ89" s="882"/>
      <c r="BK89" s="882"/>
      <c r="BL89" s="882"/>
      <c r="BM89" s="882"/>
      <c r="BN89" s="882"/>
      <c r="BO89" s="882"/>
      <c r="BP89" s="882"/>
      <c r="BQ89" s="882"/>
      <c r="BR89" s="882"/>
      <c r="BS89" s="882"/>
      <c r="BT89" s="882"/>
      <c r="BU89" s="882"/>
      <c r="BV89" s="882"/>
      <c r="BW89" s="882"/>
      <c r="BX89" s="882"/>
      <c r="BY89" s="882"/>
      <c r="BZ89" s="882"/>
      <c r="CA89" s="882"/>
    </row>
    <row r="90" spans="1:79">
      <c r="A90" s="896"/>
      <c r="B90" s="1016" t="s">
        <v>276</v>
      </c>
      <c r="C90" s="882"/>
      <c r="D90" s="882"/>
      <c r="E90" s="983">
        <v>0</v>
      </c>
      <c r="F90" s="942">
        <f>'Development Budget'!G79</f>
        <v>0</v>
      </c>
      <c r="G90" s="942">
        <v>0</v>
      </c>
      <c r="H90" s="943">
        <v>0</v>
      </c>
      <c r="I90" s="944">
        <v>0</v>
      </c>
      <c r="J90" s="944">
        <v>0</v>
      </c>
      <c r="K90" s="944">
        <v>0</v>
      </c>
      <c r="L90" s="944">
        <v>0</v>
      </c>
      <c r="M90" s="944">
        <v>0</v>
      </c>
      <c r="N90" s="944">
        <v>0</v>
      </c>
      <c r="O90" s="944">
        <v>0</v>
      </c>
      <c r="P90" s="944">
        <v>0</v>
      </c>
      <c r="Q90" s="944">
        <v>0</v>
      </c>
      <c r="R90" s="944">
        <v>0</v>
      </c>
      <c r="S90" s="944">
        <v>0</v>
      </c>
      <c r="T90" s="944">
        <v>0</v>
      </c>
      <c r="U90" s="944">
        <v>0</v>
      </c>
      <c r="V90" s="944">
        <v>0</v>
      </c>
      <c r="W90" s="944">
        <v>0</v>
      </c>
      <c r="X90" s="944">
        <v>0</v>
      </c>
      <c r="Y90" s="944">
        <v>0</v>
      </c>
      <c r="Z90" s="944">
        <v>0</v>
      </c>
      <c r="AA90" s="944">
        <v>0</v>
      </c>
      <c r="AB90" s="944">
        <v>0</v>
      </c>
      <c r="AC90" s="944">
        <v>0</v>
      </c>
      <c r="AD90" s="944">
        <v>0</v>
      </c>
      <c r="AE90" s="944">
        <v>0</v>
      </c>
      <c r="AF90" s="944">
        <v>0</v>
      </c>
      <c r="AG90" s="944">
        <v>0</v>
      </c>
      <c r="AH90" s="944">
        <v>0</v>
      </c>
      <c r="AI90" s="944">
        <v>0</v>
      </c>
      <c r="AJ90" s="944">
        <v>0</v>
      </c>
      <c r="AK90" s="944">
        <v>0</v>
      </c>
      <c r="AL90" s="944">
        <v>0</v>
      </c>
      <c r="AM90" s="944">
        <v>0</v>
      </c>
      <c r="AN90" s="944">
        <v>0</v>
      </c>
      <c r="AO90" s="944">
        <v>0</v>
      </c>
      <c r="AP90" s="944">
        <v>0</v>
      </c>
      <c r="AQ90" s="944">
        <v>0</v>
      </c>
      <c r="AR90" s="944">
        <v>0</v>
      </c>
      <c r="AS90" s="944">
        <v>0</v>
      </c>
      <c r="AT90" s="944">
        <v>0</v>
      </c>
      <c r="AU90" s="944">
        <v>0</v>
      </c>
      <c r="AV90" s="984">
        <f>SUM(H90:AU90)</f>
        <v>0</v>
      </c>
      <c r="AW90" s="1032">
        <f>F90-AV90</f>
        <v>0</v>
      </c>
      <c r="AX90" s="946"/>
      <c r="AY90" s="882"/>
      <c r="AZ90" s="882"/>
      <c r="BA90" s="882"/>
      <c r="BB90" s="882"/>
      <c r="BC90" s="882"/>
      <c r="BD90" s="882"/>
      <c r="BE90" s="882"/>
      <c r="BF90" s="882"/>
      <c r="BG90" s="882"/>
      <c r="BH90" s="882"/>
      <c r="BI90" s="882"/>
      <c r="BJ90" s="882"/>
      <c r="BK90" s="882"/>
      <c r="BL90" s="882"/>
      <c r="BM90" s="882"/>
      <c r="BN90" s="882"/>
      <c r="BO90" s="882"/>
      <c r="BP90" s="882"/>
      <c r="BQ90" s="882"/>
      <c r="BR90" s="882"/>
      <c r="BS90" s="882"/>
      <c r="BT90" s="882"/>
      <c r="BU90" s="882"/>
      <c r="BV90" s="882"/>
      <c r="BW90" s="882"/>
      <c r="BX90" s="882"/>
      <c r="BY90" s="882"/>
      <c r="BZ90" s="882"/>
      <c r="CA90" s="882"/>
    </row>
    <row r="91" spans="1:79">
      <c r="A91" s="896"/>
      <c r="B91" s="1016" t="s">
        <v>277</v>
      </c>
      <c r="C91" s="882"/>
      <c r="D91" s="882"/>
      <c r="E91" s="983">
        <v>0</v>
      </c>
      <c r="F91" s="942">
        <f>'Development Budget'!G80</f>
        <v>0</v>
      </c>
      <c r="G91" s="942">
        <v>0</v>
      </c>
      <c r="H91" s="943">
        <v>0</v>
      </c>
      <c r="I91" s="944">
        <v>0</v>
      </c>
      <c r="J91" s="944">
        <v>0</v>
      </c>
      <c r="K91" s="944">
        <v>0</v>
      </c>
      <c r="L91" s="944">
        <v>0</v>
      </c>
      <c r="M91" s="944">
        <v>0</v>
      </c>
      <c r="N91" s="944">
        <v>0</v>
      </c>
      <c r="O91" s="944">
        <v>0</v>
      </c>
      <c r="P91" s="944">
        <v>0</v>
      </c>
      <c r="Q91" s="944">
        <v>0</v>
      </c>
      <c r="R91" s="944">
        <v>0</v>
      </c>
      <c r="S91" s="944">
        <v>0</v>
      </c>
      <c r="T91" s="944">
        <v>0</v>
      </c>
      <c r="U91" s="944">
        <v>0</v>
      </c>
      <c r="V91" s="944">
        <v>0</v>
      </c>
      <c r="W91" s="944">
        <v>0</v>
      </c>
      <c r="X91" s="944">
        <v>0</v>
      </c>
      <c r="Y91" s="944">
        <v>0</v>
      </c>
      <c r="Z91" s="944">
        <v>0</v>
      </c>
      <c r="AA91" s="944">
        <v>0</v>
      </c>
      <c r="AB91" s="944">
        <v>0</v>
      </c>
      <c r="AC91" s="944">
        <v>0</v>
      </c>
      <c r="AD91" s="944">
        <v>0</v>
      </c>
      <c r="AE91" s="944">
        <v>0</v>
      </c>
      <c r="AF91" s="944">
        <v>0</v>
      </c>
      <c r="AG91" s="944">
        <v>0</v>
      </c>
      <c r="AH91" s="944">
        <v>0</v>
      </c>
      <c r="AI91" s="944">
        <v>0</v>
      </c>
      <c r="AJ91" s="944">
        <v>0</v>
      </c>
      <c r="AK91" s="944">
        <v>0</v>
      </c>
      <c r="AL91" s="944">
        <v>0</v>
      </c>
      <c r="AM91" s="944">
        <v>0</v>
      </c>
      <c r="AN91" s="944">
        <v>0</v>
      </c>
      <c r="AO91" s="944">
        <v>0</v>
      </c>
      <c r="AP91" s="944">
        <v>0</v>
      </c>
      <c r="AQ91" s="944">
        <v>0</v>
      </c>
      <c r="AR91" s="944">
        <v>0</v>
      </c>
      <c r="AS91" s="944">
        <v>0</v>
      </c>
      <c r="AT91" s="944">
        <v>0</v>
      </c>
      <c r="AU91" s="944">
        <v>0</v>
      </c>
      <c r="AV91" s="984">
        <f>SUM(H91:AU91)</f>
        <v>0</v>
      </c>
      <c r="AW91" s="937">
        <f>F91-AV91</f>
        <v>0</v>
      </c>
      <c r="AX91" s="946"/>
      <c r="AY91" s="882"/>
      <c r="AZ91" s="882"/>
      <c r="BA91" s="882"/>
      <c r="BB91" s="882"/>
      <c r="BC91" s="882"/>
      <c r="BD91" s="882"/>
      <c r="BE91" s="882"/>
      <c r="BF91" s="882"/>
      <c r="BG91" s="882"/>
      <c r="BH91" s="882"/>
      <c r="BI91" s="882"/>
      <c r="BJ91" s="882"/>
      <c r="BK91" s="882"/>
      <c r="BL91" s="882"/>
      <c r="BM91" s="882"/>
      <c r="BN91" s="882"/>
      <c r="BO91" s="882"/>
      <c r="BP91" s="882"/>
      <c r="BQ91" s="882"/>
      <c r="BR91" s="882"/>
      <c r="BS91" s="882"/>
      <c r="BT91" s="882"/>
      <c r="BU91" s="882"/>
      <c r="BV91" s="882"/>
      <c r="BW91" s="882"/>
      <c r="BX91" s="882"/>
      <c r="BY91" s="882"/>
      <c r="BZ91" s="882"/>
      <c r="CA91" s="882"/>
    </row>
    <row r="92" spans="1:79">
      <c r="A92" s="979" t="s">
        <v>158</v>
      </c>
      <c r="B92" s="896"/>
      <c r="C92" s="882"/>
      <c r="D92" s="882"/>
      <c r="E92" s="983">
        <v>0</v>
      </c>
      <c r="F92" s="1009">
        <v>0</v>
      </c>
      <c r="G92" s="1009">
        <v>0</v>
      </c>
      <c r="H92" s="1044">
        <v>0</v>
      </c>
      <c r="I92" s="1009">
        <v>0</v>
      </c>
      <c r="J92" s="1009">
        <v>0</v>
      </c>
      <c r="K92" s="1009">
        <v>0</v>
      </c>
      <c r="L92" s="1009">
        <v>0</v>
      </c>
      <c r="M92" s="1009">
        <v>0</v>
      </c>
      <c r="N92" s="1009">
        <v>0</v>
      </c>
      <c r="O92" s="1009">
        <v>0</v>
      </c>
      <c r="P92" s="1009">
        <v>0</v>
      </c>
      <c r="Q92" s="1009">
        <v>0</v>
      </c>
      <c r="R92" s="1009">
        <v>0</v>
      </c>
      <c r="S92" s="1009">
        <v>0</v>
      </c>
      <c r="T92" s="1009">
        <v>0</v>
      </c>
      <c r="U92" s="1009">
        <v>0</v>
      </c>
      <c r="V92" s="1009">
        <v>0</v>
      </c>
      <c r="W92" s="1009">
        <v>0</v>
      </c>
      <c r="X92" s="1009">
        <v>0</v>
      </c>
      <c r="Y92" s="1009">
        <v>0</v>
      </c>
      <c r="Z92" s="1009">
        <v>0</v>
      </c>
      <c r="AA92" s="1009">
        <v>0</v>
      </c>
      <c r="AB92" s="1009">
        <v>0</v>
      </c>
      <c r="AC92" s="1009">
        <v>0</v>
      </c>
      <c r="AD92" s="1009">
        <v>0</v>
      </c>
      <c r="AE92" s="1009">
        <v>0</v>
      </c>
      <c r="AF92" s="1009">
        <v>0</v>
      </c>
      <c r="AG92" s="1009">
        <v>0</v>
      </c>
      <c r="AH92" s="1009">
        <v>0</v>
      </c>
      <c r="AI92" s="1009">
        <v>0</v>
      </c>
      <c r="AJ92" s="1009">
        <v>0</v>
      </c>
      <c r="AK92" s="1009">
        <v>0</v>
      </c>
      <c r="AL92" s="1009">
        <v>0</v>
      </c>
      <c r="AM92" s="1009">
        <v>0</v>
      </c>
      <c r="AN92" s="1009">
        <v>0</v>
      </c>
      <c r="AO92" s="1009">
        <v>0</v>
      </c>
      <c r="AP92" s="1009">
        <v>0</v>
      </c>
      <c r="AQ92" s="1009">
        <v>0</v>
      </c>
      <c r="AR92" s="1009">
        <v>0</v>
      </c>
      <c r="AS92" s="1009">
        <v>0</v>
      </c>
      <c r="AT92" s="1009">
        <v>0</v>
      </c>
      <c r="AU92" s="1009">
        <v>0</v>
      </c>
      <c r="AV92" s="1009">
        <v>0</v>
      </c>
      <c r="AW92" s="986">
        <v>0</v>
      </c>
      <c r="AX92" s="946"/>
      <c r="AY92" s="882"/>
      <c r="AZ92" s="882"/>
      <c r="BA92" s="882"/>
      <c r="BB92" s="882"/>
      <c r="BC92" s="882"/>
      <c r="BD92" s="882"/>
      <c r="BE92" s="882"/>
      <c r="BF92" s="882"/>
      <c r="BG92" s="882"/>
      <c r="BH92" s="882"/>
      <c r="BI92" s="882"/>
      <c r="BJ92" s="882"/>
      <c r="BK92" s="882"/>
      <c r="BL92" s="882"/>
      <c r="BM92" s="882"/>
      <c r="BN92" s="882"/>
      <c r="BO92" s="882"/>
      <c r="BP92" s="882"/>
      <c r="BQ92" s="882"/>
      <c r="BR92" s="882"/>
      <c r="BS92" s="882"/>
      <c r="BT92" s="882"/>
      <c r="BU92" s="882"/>
      <c r="BV92" s="882"/>
      <c r="BW92" s="882"/>
      <c r="BX92" s="882"/>
      <c r="BY92" s="882"/>
      <c r="BZ92" s="882"/>
      <c r="CA92" s="882"/>
    </row>
    <row r="93" spans="1:79">
      <c r="A93" s="896"/>
      <c r="B93" s="1016" t="s">
        <v>278</v>
      </c>
      <c r="C93" s="882"/>
      <c r="D93" s="882"/>
      <c r="E93" s="983">
        <v>0</v>
      </c>
      <c r="F93" s="942">
        <f>'Development Budget'!G83</f>
        <v>0</v>
      </c>
      <c r="G93" s="942">
        <v>0</v>
      </c>
      <c r="H93" s="963">
        <v>0</v>
      </c>
      <c r="I93" s="944">
        <v>0</v>
      </c>
      <c r="J93" s="944">
        <v>0</v>
      </c>
      <c r="K93" s="944">
        <v>0</v>
      </c>
      <c r="L93" s="944">
        <v>0</v>
      </c>
      <c r="M93" s="944">
        <v>0</v>
      </c>
      <c r="N93" s="944">
        <v>0</v>
      </c>
      <c r="O93" s="944">
        <v>0</v>
      </c>
      <c r="P93" s="944">
        <v>0</v>
      </c>
      <c r="Q93" s="944">
        <v>0</v>
      </c>
      <c r="R93" s="944">
        <v>0</v>
      </c>
      <c r="S93" s="944">
        <v>0</v>
      </c>
      <c r="T93" s="944">
        <v>0</v>
      </c>
      <c r="U93" s="944">
        <v>0</v>
      </c>
      <c r="V93" s="944">
        <v>0</v>
      </c>
      <c r="W93" s="944">
        <v>0</v>
      </c>
      <c r="X93" s="944">
        <v>0</v>
      </c>
      <c r="Y93" s="944">
        <v>0</v>
      </c>
      <c r="Z93" s="944">
        <v>0</v>
      </c>
      <c r="AA93" s="944">
        <v>0</v>
      </c>
      <c r="AB93" s="944">
        <v>0</v>
      </c>
      <c r="AC93" s="944">
        <v>0</v>
      </c>
      <c r="AD93" s="944">
        <v>0</v>
      </c>
      <c r="AE93" s="944">
        <v>0</v>
      </c>
      <c r="AF93" s="944">
        <v>0</v>
      </c>
      <c r="AG93" s="944">
        <v>0</v>
      </c>
      <c r="AH93" s="944">
        <v>0</v>
      </c>
      <c r="AI93" s="944">
        <v>0</v>
      </c>
      <c r="AJ93" s="944">
        <v>0</v>
      </c>
      <c r="AK93" s="944">
        <v>0</v>
      </c>
      <c r="AL93" s="944">
        <v>0</v>
      </c>
      <c r="AM93" s="944">
        <v>0</v>
      </c>
      <c r="AN93" s="944">
        <v>0</v>
      </c>
      <c r="AO93" s="944">
        <v>0</v>
      </c>
      <c r="AP93" s="944">
        <v>0</v>
      </c>
      <c r="AQ93" s="944">
        <v>0</v>
      </c>
      <c r="AR93" s="944">
        <v>0</v>
      </c>
      <c r="AS93" s="944">
        <v>0</v>
      </c>
      <c r="AT93" s="944">
        <v>0</v>
      </c>
      <c r="AU93" s="944">
        <v>0</v>
      </c>
      <c r="AV93" s="984">
        <f>SUM(H93:AU93)</f>
        <v>0</v>
      </c>
      <c r="AW93" s="937">
        <f>F93-AV93</f>
        <v>0</v>
      </c>
      <c r="AX93" s="946"/>
      <c r="AY93" s="882"/>
      <c r="AZ93" s="882"/>
      <c r="BA93" s="882"/>
      <c r="BB93" s="882"/>
      <c r="BC93" s="882"/>
      <c r="BD93" s="882"/>
      <c r="BE93" s="882"/>
      <c r="BF93" s="882"/>
      <c r="BG93" s="882"/>
      <c r="BH93" s="882"/>
      <c r="BI93" s="882"/>
      <c r="BJ93" s="882"/>
      <c r="BK93" s="882"/>
      <c r="BL93" s="882"/>
      <c r="BM93" s="882"/>
      <c r="BN93" s="882"/>
      <c r="BO93" s="882"/>
      <c r="BP93" s="882"/>
      <c r="BQ93" s="882"/>
      <c r="BR93" s="882"/>
      <c r="BS93" s="882"/>
      <c r="BT93" s="882"/>
      <c r="BU93" s="882"/>
      <c r="BV93" s="882"/>
      <c r="BW93" s="882"/>
      <c r="BX93" s="882"/>
      <c r="BY93" s="882"/>
      <c r="BZ93" s="882"/>
      <c r="CA93" s="882"/>
    </row>
    <row r="94" spans="1:79">
      <c r="A94" s="896"/>
      <c r="B94" s="1016" t="s">
        <v>279</v>
      </c>
      <c r="C94" s="882"/>
      <c r="D94" s="882"/>
      <c r="E94" s="983">
        <v>0</v>
      </c>
      <c r="F94" s="942">
        <f>'Development Budget'!G84</f>
        <v>0</v>
      </c>
      <c r="G94" s="942">
        <v>0</v>
      </c>
      <c r="H94" s="963">
        <v>0</v>
      </c>
      <c r="I94" s="944">
        <v>0</v>
      </c>
      <c r="J94" s="944">
        <v>0</v>
      </c>
      <c r="K94" s="944">
        <v>0</v>
      </c>
      <c r="L94" s="944">
        <v>0</v>
      </c>
      <c r="M94" s="944">
        <v>0</v>
      </c>
      <c r="N94" s="944">
        <v>0</v>
      </c>
      <c r="O94" s="944">
        <v>0</v>
      </c>
      <c r="P94" s="944">
        <v>0</v>
      </c>
      <c r="Q94" s="944">
        <v>0</v>
      </c>
      <c r="R94" s="944">
        <v>0</v>
      </c>
      <c r="S94" s="944">
        <v>0</v>
      </c>
      <c r="T94" s="944">
        <v>0</v>
      </c>
      <c r="U94" s="944">
        <v>0</v>
      </c>
      <c r="V94" s="944">
        <v>0</v>
      </c>
      <c r="W94" s="944">
        <v>0</v>
      </c>
      <c r="X94" s="944">
        <v>0</v>
      </c>
      <c r="Y94" s="944">
        <v>0</v>
      </c>
      <c r="Z94" s="944">
        <v>0</v>
      </c>
      <c r="AA94" s="944">
        <v>0</v>
      </c>
      <c r="AB94" s="944">
        <v>0</v>
      </c>
      <c r="AC94" s="944">
        <v>0</v>
      </c>
      <c r="AD94" s="944">
        <v>0</v>
      </c>
      <c r="AE94" s="944">
        <v>0</v>
      </c>
      <c r="AF94" s="944">
        <v>0</v>
      </c>
      <c r="AG94" s="944">
        <v>0</v>
      </c>
      <c r="AH94" s="944">
        <v>0</v>
      </c>
      <c r="AI94" s="944">
        <v>0</v>
      </c>
      <c r="AJ94" s="944">
        <v>0</v>
      </c>
      <c r="AK94" s="944">
        <v>0</v>
      </c>
      <c r="AL94" s="944">
        <v>0</v>
      </c>
      <c r="AM94" s="944">
        <v>0</v>
      </c>
      <c r="AN94" s="944">
        <v>0</v>
      </c>
      <c r="AO94" s="944">
        <v>0</v>
      </c>
      <c r="AP94" s="944">
        <v>0</v>
      </c>
      <c r="AQ94" s="944">
        <v>0</v>
      </c>
      <c r="AR94" s="944">
        <v>0</v>
      </c>
      <c r="AS94" s="944">
        <v>0</v>
      </c>
      <c r="AT94" s="944">
        <v>0</v>
      </c>
      <c r="AU94" s="944">
        <v>0</v>
      </c>
      <c r="AV94" s="984">
        <f>SUM(H94:AU94)</f>
        <v>0</v>
      </c>
      <c r="AW94" s="937">
        <f>F94-AV94</f>
        <v>0</v>
      </c>
      <c r="AX94" s="946"/>
      <c r="AY94" s="882"/>
      <c r="AZ94" s="882"/>
      <c r="BA94" s="882"/>
      <c r="BB94" s="882"/>
      <c r="BC94" s="882"/>
      <c r="BD94" s="882"/>
      <c r="BE94" s="882"/>
      <c r="BF94" s="882"/>
      <c r="BG94" s="882"/>
      <c r="BH94" s="882"/>
      <c r="BI94" s="882"/>
      <c r="BJ94" s="882"/>
      <c r="BK94" s="882"/>
      <c r="BL94" s="882"/>
      <c r="BM94" s="882"/>
      <c r="BN94" s="882"/>
      <c r="BO94" s="882"/>
      <c r="BP94" s="882"/>
      <c r="BQ94" s="882"/>
      <c r="BR94" s="882"/>
      <c r="BS94" s="882"/>
      <c r="BT94" s="882"/>
      <c r="BU94" s="882"/>
      <c r="BV94" s="882"/>
      <c r="BW94" s="882"/>
      <c r="BX94" s="882"/>
      <c r="BY94" s="882"/>
      <c r="BZ94" s="882"/>
      <c r="CA94" s="882"/>
    </row>
    <row r="95" spans="1:79">
      <c r="A95" s="896"/>
      <c r="B95" s="1016" t="s">
        <v>280</v>
      </c>
      <c r="C95" s="882"/>
      <c r="D95" s="882"/>
      <c r="E95" s="983">
        <v>0</v>
      </c>
      <c r="F95" s="942">
        <f>'Development Budget'!G85</f>
        <v>0</v>
      </c>
      <c r="G95" s="942">
        <v>0</v>
      </c>
      <c r="H95" s="963">
        <v>0</v>
      </c>
      <c r="I95" s="944">
        <v>0</v>
      </c>
      <c r="J95" s="944">
        <v>0</v>
      </c>
      <c r="K95" s="944">
        <v>0</v>
      </c>
      <c r="L95" s="944">
        <v>0</v>
      </c>
      <c r="M95" s="944">
        <v>0</v>
      </c>
      <c r="N95" s="944">
        <v>0</v>
      </c>
      <c r="O95" s="944">
        <v>0</v>
      </c>
      <c r="P95" s="944">
        <v>0</v>
      </c>
      <c r="Q95" s="944">
        <v>0</v>
      </c>
      <c r="R95" s="944">
        <v>0</v>
      </c>
      <c r="S95" s="944">
        <v>0</v>
      </c>
      <c r="T95" s="944">
        <v>0</v>
      </c>
      <c r="U95" s="944">
        <v>0</v>
      </c>
      <c r="V95" s="944">
        <v>0</v>
      </c>
      <c r="W95" s="944">
        <v>0</v>
      </c>
      <c r="X95" s="944">
        <v>0</v>
      </c>
      <c r="Y95" s="944">
        <v>0</v>
      </c>
      <c r="Z95" s="944">
        <v>0</v>
      </c>
      <c r="AA95" s="944">
        <v>0</v>
      </c>
      <c r="AB95" s="944">
        <v>0</v>
      </c>
      <c r="AC95" s="944">
        <v>0</v>
      </c>
      <c r="AD95" s="944">
        <v>0</v>
      </c>
      <c r="AE95" s="944">
        <v>0</v>
      </c>
      <c r="AF95" s="944">
        <v>0</v>
      </c>
      <c r="AG95" s="944">
        <v>0</v>
      </c>
      <c r="AH95" s="944">
        <v>0</v>
      </c>
      <c r="AI95" s="944">
        <v>0</v>
      </c>
      <c r="AJ95" s="944">
        <v>0</v>
      </c>
      <c r="AK95" s="944">
        <v>0</v>
      </c>
      <c r="AL95" s="944">
        <v>0</v>
      </c>
      <c r="AM95" s="944">
        <v>0</v>
      </c>
      <c r="AN95" s="944">
        <v>0</v>
      </c>
      <c r="AO95" s="944">
        <v>0</v>
      </c>
      <c r="AP95" s="944">
        <v>0</v>
      </c>
      <c r="AQ95" s="944">
        <v>0</v>
      </c>
      <c r="AR95" s="944">
        <v>0</v>
      </c>
      <c r="AS95" s="944">
        <v>0</v>
      </c>
      <c r="AT95" s="944">
        <v>0</v>
      </c>
      <c r="AU95" s="944">
        <v>0</v>
      </c>
      <c r="AV95" s="984">
        <f>SUM(H95:AU95)</f>
        <v>0</v>
      </c>
      <c r="AW95" s="937">
        <f>F95-AV95</f>
        <v>0</v>
      </c>
      <c r="AX95" s="946"/>
      <c r="AY95" s="882"/>
      <c r="AZ95" s="882"/>
      <c r="BA95" s="882"/>
      <c r="BB95" s="882"/>
      <c r="BC95" s="882"/>
      <c r="BD95" s="882"/>
      <c r="BE95" s="882"/>
      <c r="BF95" s="882"/>
      <c r="BG95" s="882"/>
      <c r="BH95" s="882"/>
      <c r="BI95" s="882"/>
      <c r="BJ95" s="882"/>
      <c r="BK95" s="882"/>
      <c r="BL95" s="882"/>
      <c r="BM95" s="882"/>
      <c r="BN95" s="882"/>
      <c r="BO95" s="882"/>
      <c r="BP95" s="882"/>
      <c r="BQ95" s="882"/>
      <c r="BR95" s="882"/>
      <c r="BS95" s="882"/>
      <c r="BT95" s="882"/>
      <c r="BU95" s="882"/>
      <c r="BV95" s="882"/>
      <c r="BW95" s="882"/>
      <c r="BX95" s="882"/>
      <c r="BY95" s="882"/>
      <c r="BZ95" s="882"/>
      <c r="CA95" s="882"/>
    </row>
    <row r="96" spans="1:79">
      <c r="A96" s="896"/>
      <c r="B96" s="1016" t="s">
        <v>88</v>
      </c>
      <c r="C96" s="882"/>
      <c r="D96" s="882"/>
      <c r="E96" s="983">
        <v>0</v>
      </c>
      <c r="F96" s="942">
        <f>'Development Budget'!G86</f>
        <v>0</v>
      </c>
      <c r="G96" s="942">
        <v>0</v>
      </c>
      <c r="H96" s="963">
        <v>0</v>
      </c>
      <c r="I96" s="944">
        <v>0</v>
      </c>
      <c r="J96" s="944">
        <v>0</v>
      </c>
      <c r="K96" s="944">
        <v>0</v>
      </c>
      <c r="L96" s="944">
        <v>0</v>
      </c>
      <c r="M96" s="944">
        <v>0</v>
      </c>
      <c r="N96" s="944">
        <v>0</v>
      </c>
      <c r="O96" s="944">
        <v>0</v>
      </c>
      <c r="P96" s="944">
        <v>0</v>
      </c>
      <c r="Q96" s="944">
        <v>0</v>
      </c>
      <c r="R96" s="944">
        <v>0</v>
      </c>
      <c r="S96" s="944">
        <v>0</v>
      </c>
      <c r="T96" s="944">
        <v>0</v>
      </c>
      <c r="U96" s="944">
        <v>0</v>
      </c>
      <c r="V96" s="944">
        <v>0</v>
      </c>
      <c r="W96" s="944">
        <v>0</v>
      </c>
      <c r="X96" s="944">
        <v>0</v>
      </c>
      <c r="Y96" s="944">
        <v>0</v>
      </c>
      <c r="Z96" s="944">
        <v>0</v>
      </c>
      <c r="AA96" s="944">
        <v>0</v>
      </c>
      <c r="AB96" s="944">
        <v>0</v>
      </c>
      <c r="AC96" s="944">
        <v>0</v>
      </c>
      <c r="AD96" s="944">
        <v>0</v>
      </c>
      <c r="AE96" s="944">
        <v>0</v>
      </c>
      <c r="AF96" s="944">
        <v>0</v>
      </c>
      <c r="AG96" s="944">
        <v>0</v>
      </c>
      <c r="AH96" s="944">
        <v>0</v>
      </c>
      <c r="AI96" s="944">
        <v>0</v>
      </c>
      <c r="AJ96" s="944">
        <v>0</v>
      </c>
      <c r="AK96" s="944">
        <v>0</v>
      </c>
      <c r="AL96" s="944">
        <v>0</v>
      </c>
      <c r="AM96" s="944">
        <v>0</v>
      </c>
      <c r="AN96" s="944">
        <v>0</v>
      </c>
      <c r="AO96" s="944">
        <v>0</v>
      </c>
      <c r="AP96" s="944">
        <v>0</v>
      </c>
      <c r="AQ96" s="944">
        <v>0</v>
      </c>
      <c r="AR96" s="944">
        <v>0</v>
      </c>
      <c r="AS96" s="944">
        <v>0</v>
      </c>
      <c r="AT96" s="944">
        <v>0</v>
      </c>
      <c r="AU96" s="944">
        <v>0</v>
      </c>
      <c r="AV96" s="984">
        <f>SUM(H96:AU96)</f>
        <v>0</v>
      </c>
      <c r="AW96" s="937">
        <f>F96-AV96</f>
        <v>0</v>
      </c>
      <c r="AX96" s="946"/>
      <c r="AY96" s="882"/>
      <c r="AZ96" s="882"/>
      <c r="BA96" s="882"/>
      <c r="BB96" s="882"/>
      <c r="BC96" s="882"/>
      <c r="BD96" s="882"/>
      <c r="BE96" s="882"/>
      <c r="BF96" s="882"/>
      <c r="BG96" s="882"/>
      <c r="BH96" s="882"/>
      <c r="BI96" s="882"/>
      <c r="BJ96" s="882"/>
      <c r="BK96" s="882"/>
      <c r="BL96" s="882"/>
      <c r="BM96" s="882"/>
      <c r="BN96" s="882"/>
      <c r="BO96" s="882"/>
      <c r="BP96" s="882"/>
      <c r="BQ96" s="882"/>
      <c r="BR96" s="882"/>
      <c r="BS96" s="882"/>
      <c r="BT96" s="882"/>
      <c r="BU96" s="882"/>
      <c r="BV96" s="882"/>
      <c r="BW96" s="882"/>
      <c r="BX96" s="882"/>
      <c r="BY96" s="882"/>
      <c r="BZ96" s="882"/>
      <c r="CA96" s="882"/>
    </row>
    <row r="97" spans="1:79">
      <c r="A97" s="896"/>
      <c r="B97" s="1016" t="s">
        <v>281</v>
      </c>
      <c r="C97" s="882"/>
      <c r="D97" s="882"/>
      <c r="E97" s="983">
        <v>0</v>
      </c>
      <c r="F97" s="942">
        <f>'Development Budget'!G87</f>
        <v>0</v>
      </c>
      <c r="G97" s="942">
        <v>0</v>
      </c>
      <c r="H97" s="943">
        <v>0</v>
      </c>
      <c r="I97" s="944">
        <v>0</v>
      </c>
      <c r="J97" s="944">
        <v>0</v>
      </c>
      <c r="K97" s="944">
        <v>0</v>
      </c>
      <c r="L97" s="944">
        <v>0</v>
      </c>
      <c r="M97" s="944">
        <v>0</v>
      </c>
      <c r="N97" s="944">
        <v>0</v>
      </c>
      <c r="O97" s="944">
        <v>0</v>
      </c>
      <c r="P97" s="944">
        <v>0</v>
      </c>
      <c r="Q97" s="944">
        <v>0</v>
      </c>
      <c r="R97" s="944">
        <v>0</v>
      </c>
      <c r="S97" s="944">
        <v>0</v>
      </c>
      <c r="T97" s="944">
        <v>0</v>
      </c>
      <c r="U97" s="944">
        <v>0</v>
      </c>
      <c r="V97" s="944">
        <v>0</v>
      </c>
      <c r="W97" s="944">
        <v>0</v>
      </c>
      <c r="X97" s="944">
        <v>0</v>
      </c>
      <c r="Y97" s="944">
        <v>0</v>
      </c>
      <c r="Z97" s="944">
        <v>0</v>
      </c>
      <c r="AA97" s="944">
        <v>0</v>
      </c>
      <c r="AB97" s="944">
        <v>0</v>
      </c>
      <c r="AC97" s="944">
        <v>0</v>
      </c>
      <c r="AD97" s="944">
        <v>0</v>
      </c>
      <c r="AE97" s="944">
        <v>0</v>
      </c>
      <c r="AF97" s="944">
        <v>0</v>
      </c>
      <c r="AG97" s="944">
        <v>0</v>
      </c>
      <c r="AH97" s="944">
        <v>0</v>
      </c>
      <c r="AI97" s="944">
        <v>0</v>
      </c>
      <c r="AJ97" s="944">
        <v>0</v>
      </c>
      <c r="AK97" s="944">
        <v>0</v>
      </c>
      <c r="AL97" s="944">
        <v>0</v>
      </c>
      <c r="AM97" s="944">
        <v>0</v>
      </c>
      <c r="AN97" s="944">
        <v>0</v>
      </c>
      <c r="AO97" s="944">
        <v>0</v>
      </c>
      <c r="AP97" s="944">
        <v>0</v>
      </c>
      <c r="AQ97" s="944">
        <v>0</v>
      </c>
      <c r="AR97" s="944">
        <v>0</v>
      </c>
      <c r="AS97" s="944">
        <v>0</v>
      </c>
      <c r="AT97" s="944">
        <v>0</v>
      </c>
      <c r="AU97" s="944">
        <v>0</v>
      </c>
      <c r="AV97" s="984">
        <f>SUM(H97:AU97)</f>
        <v>0</v>
      </c>
      <c r="AW97" s="937">
        <f>F97-AV97</f>
        <v>0</v>
      </c>
      <c r="AX97" s="946"/>
      <c r="AY97" s="882"/>
      <c r="AZ97" s="882"/>
      <c r="BA97" s="882"/>
      <c r="BB97" s="882"/>
      <c r="BC97" s="882"/>
      <c r="BD97" s="882"/>
      <c r="BE97" s="882"/>
      <c r="BF97" s="882"/>
      <c r="BG97" s="882"/>
      <c r="BH97" s="882"/>
      <c r="BI97" s="882"/>
      <c r="BJ97" s="882"/>
      <c r="BK97" s="882"/>
      <c r="BL97" s="882"/>
      <c r="BM97" s="882"/>
      <c r="BN97" s="882"/>
      <c r="BO97" s="882"/>
      <c r="BP97" s="882"/>
      <c r="BQ97" s="882"/>
      <c r="BR97" s="882"/>
      <c r="BS97" s="882"/>
      <c r="BT97" s="882"/>
      <c r="BU97" s="882"/>
      <c r="BV97" s="882"/>
      <c r="BW97" s="882"/>
      <c r="BX97" s="882"/>
      <c r="BY97" s="882"/>
      <c r="BZ97" s="882"/>
      <c r="CA97" s="882"/>
    </row>
    <row r="98" spans="1:79" ht="12" customHeight="1">
      <c r="A98" s="979" t="s">
        <v>161</v>
      </c>
      <c r="B98" s="896"/>
      <c r="C98" s="882"/>
      <c r="D98" s="882"/>
      <c r="E98" s="983">
        <v>0</v>
      </c>
      <c r="F98" s="1009">
        <v>0</v>
      </c>
      <c r="G98" s="1009">
        <v>0</v>
      </c>
      <c r="H98" s="1009">
        <v>0</v>
      </c>
      <c r="I98" s="1009">
        <v>0</v>
      </c>
      <c r="J98" s="1009">
        <v>0</v>
      </c>
      <c r="K98" s="1009">
        <v>0</v>
      </c>
      <c r="L98" s="1009">
        <v>0</v>
      </c>
      <c r="M98" s="1009">
        <v>0</v>
      </c>
      <c r="N98" s="1009">
        <v>0</v>
      </c>
      <c r="O98" s="1009">
        <v>0</v>
      </c>
      <c r="P98" s="1009">
        <v>0</v>
      </c>
      <c r="Q98" s="1009">
        <v>0</v>
      </c>
      <c r="R98" s="1009">
        <v>0</v>
      </c>
      <c r="S98" s="1009">
        <v>0</v>
      </c>
      <c r="T98" s="1009">
        <v>0</v>
      </c>
      <c r="U98" s="1009">
        <v>0</v>
      </c>
      <c r="V98" s="1009">
        <v>0</v>
      </c>
      <c r="W98" s="1009">
        <v>0</v>
      </c>
      <c r="X98" s="1009">
        <v>0</v>
      </c>
      <c r="Y98" s="1009">
        <v>0</v>
      </c>
      <c r="Z98" s="1009">
        <v>0</v>
      </c>
      <c r="AA98" s="1009">
        <v>0</v>
      </c>
      <c r="AB98" s="1009">
        <v>0</v>
      </c>
      <c r="AC98" s="1009">
        <v>0</v>
      </c>
      <c r="AD98" s="1009">
        <v>0</v>
      </c>
      <c r="AE98" s="1009">
        <v>0</v>
      </c>
      <c r="AF98" s="1009">
        <v>0</v>
      </c>
      <c r="AG98" s="1009">
        <v>0</v>
      </c>
      <c r="AH98" s="1009">
        <v>0</v>
      </c>
      <c r="AI98" s="1009">
        <v>0</v>
      </c>
      <c r="AJ98" s="1009">
        <v>0</v>
      </c>
      <c r="AK98" s="1009">
        <v>0</v>
      </c>
      <c r="AL98" s="1009">
        <v>0</v>
      </c>
      <c r="AM98" s="1009">
        <v>0</v>
      </c>
      <c r="AN98" s="1009">
        <v>0</v>
      </c>
      <c r="AO98" s="1009">
        <v>0</v>
      </c>
      <c r="AP98" s="1009">
        <v>0</v>
      </c>
      <c r="AQ98" s="1009">
        <v>0</v>
      </c>
      <c r="AR98" s="1009">
        <v>0</v>
      </c>
      <c r="AS98" s="1009">
        <v>0</v>
      </c>
      <c r="AT98" s="1009">
        <v>0</v>
      </c>
      <c r="AU98" s="1009">
        <v>0</v>
      </c>
      <c r="AV98" s="1009">
        <v>0</v>
      </c>
      <c r="AW98" s="986">
        <v>0</v>
      </c>
      <c r="AX98" s="946"/>
      <c r="AY98" s="882"/>
      <c r="AZ98" s="882"/>
      <c r="BA98" s="882"/>
      <c r="BB98" s="882"/>
      <c r="BC98" s="882"/>
      <c r="BD98" s="882"/>
      <c r="BE98" s="882"/>
      <c r="BF98" s="882"/>
      <c r="BG98" s="882"/>
      <c r="BH98" s="882"/>
      <c r="BI98" s="882"/>
      <c r="BJ98" s="882"/>
      <c r="BK98" s="882"/>
      <c r="BL98" s="882"/>
      <c r="BM98" s="882"/>
      <c r="BN98" s="882"/>
      <c r="BO98" s="882"/>
      <c r="BP98" s="882"/>
      <c r="BQ98" s="882"/>
      <c r="BR98" s="882"/>
      <c r="BS98" s="882"/>
      <c r="BT98" s="882"/>
      <c r="BU98" s="882"/>
      <c r="BV98" s="882"/>
      <c r="BW98" s="882"/>
      <c r="BX98" s="882"/>
      <c r="BY98" s="882"/>
      <c r="BZ98" s="882"/>
      <c r="CA98" s="882"/>
    </row>
    <row r="99" spans="1:79">
      <c r="A99" s="896"/>
      <c r="B99" s="1016" t="s">
        <v>282</v>
      </c>
      <c r="C99" s="882"/>
      <c r="D99" s="882"/>
      <c r="E99" s="983">
        <v>0</v>
      </c>
      <c r="F99" s="942">
        <f>'Development Budget'!G90</f>
        <v>0</v>
      </c>
      <c r="G99" s="942">
        <v>0</v>
      </c>
      <c r="H99" s="943">
        <v>0</v>
      </c>
      <c r="I99" s="944">
        <v>0</v>
      </c>
      <c r="J99" s="944">
        <v>0</v>
      </c>
      <c r="K99" s="944">
        <v>0</v>
      </c>
      <c r="L99" s="944">
        <v>0</v>
      </c>
      <c r="M99" s="944">
        <v>0</v>
      </c>
      <c r="N99" s="944">
        <v>0</v>
      </c>
      <c r="O99" s="944">
        <v>0</v>
      </c>
      <c r="P99" s="944">
        <v>0</v>
      </c>
      <c r="Q99" s="944">
        <v>0</v>
      </c>
      <c r="R99" s="944">
        <v>0</v>
      </c>
      <c r="S99" s="944">
        <v>0</v>
      </c>
      <c r="T99" s="944">
        <v>0</v>
      </c>
      <c r="U99" s="944">
        <v>0</v>
      </c>
      <c r="V99" s="944">
        <v>0</v>
      </c>
      <c r="W99" s="944">
        <v>0</v>
      </c>
      <c r="X99" s="944">
        <v>0</v>
      </c>
      <c r="Y99" s="944">
        <v>0</v>
      </c>
      <c r="Z99" s="944">
        <v>0</v>
      </c>
      <c r="AA99" s="944">
        <v>0</v>
      </c>
      <c r="AB99" s="944">
        <v>0</v>
      </c>
      <c r="AC99" s="944">
        <v>0</v>
      </c>
      <c r="AD99" s="944">
        <v>0</v>
      </c>
      <c r="AE99" s="944">
        <v>0</v>
      </c>
      <c r="AF99" s="944">
        <v>0</v>
      </c>
      <c r="AG99" s="944">
        <v>0</v>
      </c>
      <c r="AH99" s="944">
        <v>0</v>
      </c>
      <c r="AI99" s="944">
        <v>0</v>
      </c>
      <c r="AJ99" s="944">
        <v>0</v>
      </c>
      <c r="AK99" s="944">
        <v>0</v>
      </c>
      <c r="AL99" s="944">
        <v>0</v>
      </c>
      <c r="AM99" s="944">
        <v>0</v>
      </c>
      <c r="AN99" s="944">
        <v>0</v>
      </c>
      <c r="AO99" s="944">
        <v>0</v>
      </c>
      <c r="AP99" s="944">
        <v>0</v>
      </c>
      <c r="AQ99" s="944">
        <v>0</v>
      </c>
      <c r="AR99" s="944">
        <v>0</v>
      </c>
      <c r="AS99" s="944">
        <v>0</v>
      </c>
      <c r="AT99" s="944">
        <v>0</v>
      </c>
      <c r="AU99" s="944">
        <v>0</v>
      </c>
      <c r="AV99" s="984">
        <f>SUM(H99:AU99)</f>
        <v>0</v>
      </c>
      <c r="AW99" s="937">
        <f>F99-AV99</f>
        <v>0</v>
      </c>
      <c r="AX99" s="946"/>
      <c r="AY99" s="882"/>
      <c r="AZ99" s="882"/>
      <c r="BA99" s="882"/>
      <c r="BB99" s="882"/>
      <c r="BC99" s="882"/>
      <c r="BD99" s="882"/>
      <c r="BE99" s="882"/>
      <c r="BF99" s="882"/>
      <c r="BG99" s="882"/>
      <c r="BH99" s="882"/>
      <c r="BI99" s="882"/>
      <c r="BJ99" s="882"/>
      <c r="BK99" s="882"/>
      <c r="BL99" s="882"/>
      <c r="BM99" s="882"/>
      <c r="BN99" s="882"/>
      <c r="BO99" s="882"/>
      <c r="BP99" s="882"/>
      <c r="BQ99" s="882"/>
      <c r="BR99" s="882"/>
      <c r="BS99" s="882"/>
      <c r="BT99" s="882"/>
      <c r="BU99" s="882"/>
      <c r="BV99" s="882"/>
      <c r="BW99" s="882"/>
      <c r="BX99" s="882"/>
      <c r="BY99" s="882"/>
      <c r="BZ99" s="882"/>
      <c r="CA99" s="882"/>
    </row>
    <row r="100" spans="1:79">
      <c r="A100" s="882"/>
      <c r="B100" s="882" t="s">
        <v>619</v>
      </c>
      <c r="C100" s="882"/>
      <c r="D100" s="882"/>
      <c r="E100" s="983">
        <v>0</v>
      </c>
      <c r="F100" s="942">
        <f>'Development Budget'!G93*0.4</f>
        <v>0</v>
      </c>
      <c r="G100" s="942">
        <v>0</v>
      </c>
      <c r="H100" s="943">
        <v>0</v>
      </c>
      <c r="I100" s="944">
        <v>0</v>
      </c>
      <c r="J100" s="944">
        <v>0</v>
      </c>
      <c r="K100" s="944">
        <v>0</v>
      </c>
      <c r="L100" s="944">
        <v>0</v>
      </c>
      <c r="M100" s="944">
        <v>0</v>
      </c>
      <c r="N100" s="944">
        <v>0</v>
      </c>
      <c r="O100" s="944">
        <v>0</v>
      </c>
      <c r="P100" s="944">
        <v>0</v>
      </c>
      <c r="Q100" s="944">
        <v>0</v>
      </c>
      <c r="R100" s="944">
        <v>0</v>
      </c>
      <c r="S100" s="944">
        <v>0</v>
      </c>
      <c r="T100" s="944">
        <v>0</v>
      </c>
      <c r="U100" s="944">
        <v>0</v>
      </c>
      <c r="V100" s="944">
        <v>0</v>
      </c>
      <c r="W100" s="944">
        <v>0</v>
      </c>
      <c r="X100" s="944">
        <v>0</v>
      </c>
      <c r="Y100" s="944">
        <v>0</v>
      </c>
      <c r="Z100" s="944">
        <v>0</v>
      </c>
      <c r="AA100" s="944">
        <v>0</v>
      </c>
      <c r="AB100" s="944">
        <v>0</v>
      </c>
      <c r="AC100" s="944">
        <v>0</v>
      </c>
      <c r="AD100" s="944">
        <v>0</v>
      </c>
      <c r="AE100" s="944">
        <v>0</v>
      </c>
      <c r="AF100" s="944">
        <v>0</v>
      </c>
      <c r="AG100" s="944">
        <v>0</v>
      </c>
      <c r="AH100" s="944">
        <v>0</v>
      </c>
      <c r="AI100" s="944">
        <v>0</v>
      </c>
      <c r="AJ100" s="944">
        <v>0</v>
      </c>
      <c r="AK100" s="944">
        <v>0</v>
      </c>
      <c r="AL100" s="944">
        <v>0</v>
      </c>
      <c r="AM100" s="944">
        <v>0</v>
      </c>
      <c r="AN100" s="944">
        <v>0</v>
      </c>
      <c r="AO100" s="944">
        <v>0</v>
      </c>
      <c r="AP100" s="944">
        <v>0</v>
      </c>
      <c r="AQ100" s="944">
        <v>0</v>
      </c>
      <c r="AR100" s="944">
        <v>0</v>
      </c>
      <c r="AS100" s="944">
        <v>0</v>
      </c>
      <c r="AT100" s="944">
        <v>0</v>
      </c>
      <c r="AU100" s="944">
        <v>0</v>
      </c>
      <c r="AV100" s="984">
        <f>SUM(H100:AU100)</f>
        <v>0</v>
      </c>
      <c r="AW100" s="937">
        <f>F100-AV100</f>
        <v>0</v>
      </c>
      <c r="AX100" s="946"/>
      <c r="AY100" s="882"/>
      <c r="AZ100" s="882"/>
      <c r="BA100" s="882"/>
      <c r="BB100" s="882"/>
      <c r="BC100" s="882"/>
      <c r="BD100" s="882"/>
      <c r="BE100" s="882"/>
      <c r="BF100" s="882"/>
      <c r="BG100" s="882"/>
      <c r="BH100" s="882"/>
      <c r="BI100" s="882"/>
      <c r="BJ100" s="882"/>
      <c r="BK100" s="882"/>
      <c r="BL100" s="882"/>
      <c r="BM100" s="882"/>
      <c r="BN100" s="882"/>
      <c r="BO100" s="882"/>
      <c r="BP100" s="882"/>
      <c r="BQ100" s="882"/>
      <c r="BR100" s="882"/>
      <c r="BS100" s="882"/>
      <c r="BT100" s="882"/>
      <c r="BU100" s="882"/>
      <c r="BV100" s="882"/>
      <c r="BW100" s="882"/>
      <c r="BX100" s="882"/>
      <c r="BY100" s="882"/>
      <c r="BZ100" s="882"/>
      <c r="CA100" s="882"/>
    </row>
    <row r="101" spans="1:79">
      <c r="A101" s="882"/>
      <c r="B101" s="896" t="s">
        <v>620</v>
      </c>
      <c r="C101" s="882"/>
      <c r="D101" s="882"/>
      <c r="E101" s="983">
        <v>0</v>
      </c>
      <c r="F101" s="942">
        <f>'Development Budget'!G93*0.6</f>
        <v>0</v>
      </c>
      <c r="G101" s="942">
        <v>0</v>
      </c>
      <c r="H101" s="963">
        <v>0</v>
      </c>
      <c r="I101" s="944">
        <v>0</v>
      </c>
      <c r="J101" s="944">
        <v>0</v>
      </c>
      <c r="K101" s="944">
        <v>0</v>
      </c>
      <c r="L101" s="944">
        <v>0</v>
      </c>
      <c r="M101" s="944">
        <v>0</v>
      </c>
      <c r="N101" s="944">
        <v>0</v>
      </c>
      <c r="O101" s="944">
        <v>0</v>
      </c>
      <c r="P101" s="944">
        <v>0</v>
      </c>
      <c r="Q101" s="944">
        <v>0</v>
      </c>
      <c r="R101" s="944">
        <v>0</v>
      </c>
      <c r="S101" s="944">
        <v>0</v>
      </c>
      <c r="T101" s="944">
        <v>0</v>
      </c>
      <c r="U101" s="944">
        <v>0</v>
      </c>
      <c r="V101" s="944">
        <v>0</v>
      </c>
      <c r="W101" s="944">
        <v>0</v>
      </c>
      <c r="X101" s="944">
        <v>0</v>
      </c>
      <c r="Y101" s="944">
        <v>0</v>
      </c>
      <c r="Z101" s="944">
        <v>0</v>
      </c>
      <c r="AA101" s="944">
        <v>0</v>
      </c>
      <c r="AB101" s="944">
        <v>0</v>
      </c>
      <c r="AC101" s="944">
        <v>0</v>
      </c>
      <c r="AD101" s="944">
        <v>0</v>
      </c>
      <c r="AE101" s="944">
        <v>0</v>
      </c>
      <c r="AF101" s="944">
        <v>0</v>
      </c>
      <c r="AG101" s="944">
        <v>0</v>
      </c>
      <c r="AH101" s="944">
        <v>0</v>
      </c>
      <c r="AI101" s="944">
        <v>0</v>
      </c>
      <c r="AJ101" s="944">
        <v>0</v>
      </c>
      <c r="AK101" s="944">
        <v>0</v>
      </c>
      <c r="AL101" s="944">
        <v>0</v>
      </c>
      <c r="AM101" s="944">
        <v>0</v>
      </c>
      <c r="AN101" s="944">
        <v>0</v>
      </c>
      <c r="AO101" s="944">
        <v>0</v>
      </c>
      <c r="AP101" s="944">
        <v>0</v>
      </c>
      <c r="AQ101" s="944">
        <v>0</v>
      </c>
      <c r="AR101" s="944">
        <v>0</v>
      </c>
      <c r="AS101" s="944">
        <v>0</v>
      </c>
      <c r="AT101" s="944">
        <v>0</v>
      </c>
      <c r="AU101" s="944">
        <v>0</v>
      </c>
      <c r="AV101" s="984">
        <f>SUM(H101:AU101)</f>
        <v>0</v>
      </c>
      <c r="AW101" s="937">
        <f>F101-AV101</f>
        <v>0</v>
      </c>
      <c r="AX101" s="946"/>
      <c r="AY101" s="882"/>
      <c r="AZ101" s="882"/>
      <c r="BA101" s="882"/>
      <c r="BB101" s="882"/>
      <c r="BC101" s="882"/>
      <c r="BD101" s="882"/>
      <c r="BE101" s="882"/>
      <c r="BF101" s="882"/>
      <c r="BG101" s="882"/>
      <c r="BH101" s="882"/>
      <c r="BI101" s="882"/>
      <c r="BJ101" s="882"/>
      <c r="BK101" s="882"/>
      <c r="BL101" s="882"/>
      <c r="BM101" s="882"/>
      <c r="BN101" s="882"/>
      <c r="BO101" s="882"/>
      <c r="BP101" s="882"/>
      <c r="BQ101" s="882"/>
      <c r="BR101" s="882"/>
      <c r="BS101" s="882"/>
      <c r="BT101" s="882"/>
      <c r="BU101" s="882"/>
      <c r="BV101" s="882"/>
      <c r="BW101" s="882"/>
      <c r="BX101" s="882"/>
      <c r="BY101" s="882"/>
      <c r="BZ101" s="882"/>
      <c r="CA101" s="882"/>
    </row>
    <row r="102" spans="1:79">
      <c r="A102" s="882"/>
      <c r="B102" s="882" t="s">
        <v>621</v>
      </c>
      <c r="C102" s="882"/>
      <c r="D102" s="882"/>
      <c r="E102" s="983">
        <v>0</v>
      </c>
      <c r="F102" s="942">
        <f>0</f>
        <v>0</v>
      </c>
      <c r="G102" s="942">
        <v>0</v>
      </c>
      <c r="H102" s="943">
        <v>0</v>
      </c>
      <c r="I102" s="944">
        <v>0</v>
      </c>
      <c r="J102" s="944">
        <v>0</v>
      </c>
      <c r="K102" s="944">
        <v>0</v>
      </c>
      <c r="L102" s="944">
        <v>0</v>
      </c>
      <c r="M102" s="944">
        <v>0</v>
      </c>
      <c r="N102" s="944">
        <v>0</v>
      </c>
      <c r="O102" s="944">
        <v>0</v>
      </c>
      <c r="P102" s="944">
        <v>0</v>
      </c>
      <c r="Q102" s="944">
        <v>0</v>
      </c>
      <c r="R102" s="944">
        <v>0</v>
      </c>
      <c r="S102" s="944">
        <v>0</v>
      </c>
      <c r="T102" s="944">
        <v>0</v>
      </c>
      <c r="U102" s="944">
        <v>0</v>
      </c>
      <c r="V102" s="944">
        <v>0</v>
      </c>
      <c r="W102" s="944">
        <v>0</v>
      </c>
      <c r="X102" s="944">
        <v>0</v>
      </c>
      <c r="Y102" s="944">
        <v>0</v>
      </c>
      <c r="Z102" s="944">
        <v>0</v>
      </c>
      <c r="AA102" s="944">
        <v>0</v>
      </c>
      <c r="AB102" s="944">
        <v>0</v>
      </c>
      <c r="AC102" s="944">
        <v>0</v>
      </c>
      <c r="AD102" s="944">
        <v>0</v>
      </c>
      <c r="AE102" s="944">
        <v>0</v>
      </c>
      <c r="AF102" s="944">
        <v>0</v>
      </c>
      <c r="AG102" s="944">
        <v>0</v>
      </c>
      <c r="AH102" s="944">
        <v>0</v>
      </c>
      <c r="AI102" s="944">
        <v>0</v>
      </c>
      <c r="AJ102" s="944">
        <v>0</v>
      </c>
      <c r="AK102" s="944">
        <v>0</v>
      </c>
      <c r="AL102" s="944">
        <v>0</v>
      </c>
      <c r="AM102" s="944">
        <v>0</v>
      </c>
      <c r="AN102" s="944">
        <v>0</v>
      </c>
      <c r="AO102" s="944">
        <v>0</v>
      </c>
      <c r="AP102" s="944">
        <v>0</v>
      </c>
      <c r="AQ102" s="944">
        <v>0</v>
      </c>
      <c r="AR102" s="944">
        <v>0</v>
      </c>
      <c r="AS102" s="944">
        <v>0</v>
      </c>
      <c r="AT102" s="944">
        <v>0</v>
      </c>
      <c r="AU102" s="944">
        <v>0</v>
      </c>
      <c r="AV102" s="984">
        <f>SUM(H102:AU102)</f>
        <v>0</v>
      </c>
      <c r="AW102" s="937">
        <f>F102-AV102</f>
        <v>0</v>
      </c>
      <c r="AX102" s="946"/>
      <c r="AY102" s="882"/>
      <c r="AZ102" s="882"/>
      <c r="BA102" s="882"/>
      <c r="BB102" s="882"/>
      <c r="BC102" s="882"/>
      <c r="BD102" s="882"/>
      <c r="BE102" s="882"/>
      <c r="BF102" s="882"/>
      <c r="BG102" s="882"/>
      <c r="BH102" s="882"/>
      <c r="BI102" s="882"/>
      <c r="BJ102" s="882"/>
      <c r="BK102" s="882"/>
      <c r="BL102" s="882"/>
      <c r="BM102" s="882"/>
      <c r="BN102" s="882"/>
      <c r="BO102" s="882"/>
      <c r="BP102" s="882"/>
      <c r="BQ102" s="882"/>
      <c r="BR102" s="882"/>
      <c r="BS102" s="882"/>
      <c r="BT102" s="882"/>
      <c r="BU102" s="882"/>
      <c r="BV102" s="882"/>
      <c r="BW102" s="882"/>
      <c r="BX102" s="882"/>
      <c r="BY102" s="882"/>
      <c r="BZ102" s="882"/>
      <c r="CA102" s="882"/>
    </row>
    <row r="103" spans="1:79">
      <c r="A103" s="882"/>
      <c r="B103" s="882"/>
      <c r="C103" s="888" t="s">
        <v>167</v>
      </c>
      <c r="D103" s="888"/>
      <c r="E103" s="983">
        <v>0</v>
      </c>
      <c r="F103" s="1046">
        <f>F21+F37+SUM(F40:F45)+SUM(F47:F55)+SUM(F57:F68)+SUM(F70:F73)+SUM(F75:F79)+SUM(F81:F86)+SUM(F88:F91)+SUM(F93:F97)+SUM(F99:F102)</f>
        <v>0</v>
      </c>
      <c r="G103" s="1046">
        <f>G21+G37+SUM(G40:G45)+SUM(G47:G55)+SUM(G57:G68)+SUM(G70:G73)+SUM(G75:G79)+SUM(G81:G86)+SUM(G88:G91)+SUM(G93:G97)+SUM(G99:G102)</f>
        <v>0</v>
      </c>
      <c r="H103" s="1046">
        <f>H21+H37+SUM(H40:H45)+SUM(H47:H55)+SUM(H57:H68)+SUM(H70:H73)+SUM(H75:H79)+SUM(H81:H86)+SUM(H88:H91)+SUM(H93:H97)+SUM(H99:H102)</f>
        <v>0</v>
      </c>
      <c r="I103" s="1046">
        <f>I21+I37+SUM(I40:I45)+SUM(I47:I55)+SUM(I57:I68)+SUM(I70:I73)+SUM(I75:I79)+SUM(I81:I86)+SUM(I88:I91)+SUM(I93:I97)+SUM(I99:I102)</f>
        <v>0</v>
      </c>
      <c r="J103" s="1046">
        <f t="shared" ref="J103:AU103" si="2">J21+J37+SUM(J40:J45)+SUM(J47:J55)+SUM(J57:J68)+SUM(J70:J73)+SUM(J75:J79)+SUM(J81:J86)+SUM(J88:J91)+SUM(J93:J97)+SUM(J99:J102)</f>
        <v>0</v>
      </c>
      <c r="K103" s="1046">
        <f t="shared" si="2"/>
        <v>0</v>
      </c>
      <c r="L103" s="1046">
        <f t="shared" si="2"/>
        <v>0</v>
      </c>
      <c r="M103" s="1046">
        <f t="shared" si="2"/>
        <v>0</v>
      </c>
      <c r="N103" s="1046">
        <f t="shared" si="2"/>
        <v>0</v>
      </c>
      <c r="O103" s="1046">
        <f t="shared" si="2"/>
        <v>0</v>
      </c>
      <c r="P103" s="1046">
        <f t="shared" si="2"/>
        <v>0</v>
      </c>
      <c r="Q103" s="1046">
        <f t="shared" si="2"/>
        <v>0</v>
      </c>
      <c r="R103" s="1046">
        <f t="shared" si="2"/>
        <v>0</v>
      </c>
      <c r="S103" s="1046">
        <f t="shared" si="2"/>
        <v>0</v>
      </c>
      <c r="T103" s="1046">
        <f t="shared" si="2"/>
        <v>0</v>
      </c>
      <c r="U103" s="1046">
        <f t="shared" si="2"/>
        <v>0</v>
      </c>
      <c r="V103" s="1046">
        <f t="shared" si="2"/>
        <v>0</v>
      </c>
      <c r="W103" s="1046">
        <f t="shared" si="2"/>
        <v>0</v>
      </c>
      <c r="X103" s="1046">
        <f t="shared" si="2"/>
        <v>0</v>
      </c>
      <c r="Y103" s="1046">
        <f t="shared" si="2"/>
        <v>0</v>
      </c>
      <c r="Z103" s="1046">
        <f t="shared" si="2"/>
        <v>0</v>
      </c>
      <c r="AA103" s="1046">
        <f t="shared" si="2"/>
        <v>0</v>
      </c>
      <c r="AB103" s="1046">
        <f t="shared" si="2"/>
        <v>0</v>
      </c>
      <c r="AC103" s="1046">
        <f t="shared" si="2"/>
        <v>0</v>
      </c>
      <c r="AD103" s="1046">
        <f t="shared" si="2"/>
        <v>0</v>
      </c>
      <c r="AE103" s="1046">
        <f t="shared" si="2"/>
        <v>0</v>
      </c>
      <c r="AF103" s="1046">
        <f t="shared" si="2"/>
        <v>0</v>
      </c>
      <c r="AG103" s="1046">
        <f t="shared" si="2"/>
        <v>0</v>
      </c>
      <c r="AH103" s="1046">
        <f t="shared" si="2"/>
        <v>0</v>
      </c>
      <c r="AI103" s="1046">
        <f t="shared" si="2"/>
        <v>0</v>
      </c>
      <c r="AJ103" s="1046">
        <f t="shared" si="2"/>
        <v>0</v>
      </c>
      <c r="AK103" s="1046">
        <f t="shared" si="2"/>
        <v>0</v>
      </c>
      <c r="AL103" s="1046">
        <f t="shared" si="2"/>
        <v>0</v>
      </c>
      <c r="AM103" s="1046">
        <f t="shared" si="2"/>
        <v>0</v>
      </c>
      <c r="AN103" s="1046">
        <f t="shared" si="2"/>
        <v>0</v>
      </c>
      <c r="AO103" s="1046">
        <f t="shared" si="2"/>
        <v>0</v>
      </c>
      <c r="AP103" s="1046">
        <f t="shared" si="2"/>
        <v>0</v>
      </c>
      <c r="AQ103" s="1046">
        <f t="shared" si="2"/>
        <v>0</v>
      </c>
      <c r="AR103" s="1046">
        <f t="shared" si="2"/>
        <v>0</v>
      </c>
      <c r="AS103" s="1046">
        <f t="shared" si="2"/>
        <v>0</v>
      </c>
      <c r="AT103" s="1046">
        <f t="shared" si="2"/>
        <v>0</v>
      </c>
      <c r="AU103" s="1046">
        <f t="shared" si="2"/>
        <v>0</v>
      </c>
      <c r="AV103" s="1046">
        <f>AV21+AV37+SUM(AV40:AV45)+SUM(AV47:AV55)+SUM(AV57:AV68)+SUM(AV70:AV73)+SUM(AV75:AV79)+SUM(AV81:AV86)+SUM(AV88:AV91)+SUM(AV93:AV97)+SUM(AV99:AV102)</f>
        <v>0</v>
      </c>
      <c r="AW103" s="1047">
        <f>AW21+AW37+SUM(AW40:AW45)+SUM(AW47:AW55)+SUM(AW57:AW68)+SUM(AW70:AW73)+SUM(AW75:AW79)+SUM(AW81:AW86)+SUM(AW88:AW91)+SUM(AW93:AW97)+SUM(AW99:AW102)</f>
        <v>0</v>
      </c>
      <c r="AX103" s="946"/>
      <c r="AY103" s="882"/>
      <c r="AZ103" s="882"/>
      <c r="BA103" s="882"/>
      <c r="BB103" s="882"/>
      <c r="BC103" s="882"/>
      <c r="BD103" s="882"/>
      <c r="BE103" s="882"/>
      <c r="BF103" s="882"/>
      <c r="BG103" s="882"/>
      <c r="BH103" s="882"/>
      <c r="BI103" s="882"/>
      <c r="BJ103" s="882"/>
      <c r="BK103" s="882"/>
      <c r="BL103" s="882"/>
      <c r="BM103" s="882"/>
      <c r="BN103" s="882"/>
      <c r="BO103" s="882"/>
      <c r="BP103" s="882"/>
      <c r="BQ103" s="882"/>
      <c r="BR103" s="882"/>
      <c r="BS103" s="882"/>
      <c r="BT103" s="882"/>
      <c r="BU103" s="882"/>
      <c r="BV103" s="882"/>
      <c r="BW103" s="882"/>
      <c r="BX103" s="882"/>
      <c r="BY103" s="882"/>
      <c r="BZ103" s="882"/>
      <c r="CA103" s="882"/>
    </row>
    <row r="104" spans="1:79">
      <c r="A104" s="882"/>
      <c r="B104" s="882"/>
      <c r="C104" s="888"/>
      <c r="D104" s="888"/>
      <c r="E104" s="1047">
        <v>0</v>
      </c>
      <c r="F104" s="1047"/>
      <c r="G104" s="1047"/>
      <c r="H104" s="1048">
        <f>H100+H101</f>
        <v>0</v>
      </c>
      <c r="I104" s="1048">
        <f>I100+I101</f>
        <v>0</v>
      </c>
      <c r="J104" s="1048">
        <f t="shared" ref="J104:AU104" si="3">J100+J101</f>
        <v>0</v>
      </c>
      <c r="K104" s="1048">
        <f t="shared" si="3"/>
        <v>0</v>
      </c>
      <c r="L104" s="1048">
        <f t="shared" si="3"/>
        <v>0</v>
      </c>
      <c r="M104" s="1048">
        <f t="shared" si="3"/>
        <v>0</v>
      </c>
      <c r="N104" s="1048">
        <f t="shared" si="3"/>
        <v>0</v>
      </c>
      <c r="O104" s="1048">
        <f t="shared" si="3"/>
        <v>0</v>
      </c>
      <c r="P104" s="1048">
        <f t="shared" si="3"/>
        <v>0</v>
      </c>
      <c r="Q104" s="1048">
        <f t="shared" si="3"/>
        <v>0</v>
      </c>
      <c r="R104" s="1048">
        <f t="shared" si="3"/>
        <v>0</v>
      </c>
      <c r="S104" s="1048">
        <f t="shared" si="3"/>
        <v>0</v>
      </c>
      <c r="T104" s="1048">
        <f t="shared" si="3"/>
        <v>0</v>
      </c>
      <c r="U104" s="1048">
        <f t="shared" si="3"/>
        <v>0</v>
      </c>
      <c r="V104" s="1048">
        <f t="shared" si="3"/>
        <v>0</v>
      </c>
      <c r="W104" s="1048">
        <f t="shared" si="3"/>
        <v>0</v>
      </c>
      <c r="X104" s="1048">
        <f t="shared" si="3"/>
        <v>0</v>
      </c>
      <c r="Y104" s="1048">
        <f t="shared" si="3"/>
        <v>0</v>
      </c>
      <c r="Z104" s="1048">
        <f t="shared" si="3"/>
        <v>0</v>
      </c>
      <c r="AA104" s="1048">
        <f t="shared" si="3"/>
        <v>0</v>
      </c>
      <c r="AB104" s="1048">
        <f t="shared" si="3"/>
        <v>0</v>
      </c>
      <c r="AC104" s="1048">
        <f t="shared" si="3"/>
        <v>0</v>
      </c>
      <c r="AD104" s="1048">
        <f t="shared" si="3"/>
        <v>0</v>
      </c>
      <c r="AE104" s="1048">
        <f t="shared" si="3"/>
        <v>0</v>
      </c>
      <c r="AF104" s="1048">
        <f t="shared" si="3"/>
        <v>0</v>
      </c>
      <c r="AG104" s="1048">
        <f t="shared" si="3"/>
        <v>0</v>
      </c>
      <c r="AH104" s="1048">
        <f t="shared" si="3"/>
        <v>0</v>
      </c>
      <c r="AI104" s="1048">
        <f t="shared" si="3"/>
        <v>0</v>
      </c>
      <c r="AJ104" s="1048">
        <f t="shared" si="3"/>
        <v>0</v>
      </c>
      <c r="AK104" s="1048">
        <f t="shared" si="3"/>
        <v>0</v>
      </c>
      <c r="AL104" s="1048">
        <f t="shared" si="3"/>
        <v>0</v>
      </c>
      <c r="AM104" s="1048">
        <f t="shared" si="3"/>
        <v>0</v>
      </c>
      <c r="AN104" s="1048">
        <f t="shared" si="3"/>
        <v>0</v>
      </c>
      <c r="AO104" s="1048">
        <f t="shared" si="3"/>
        <v>0</v>
      </c>
      <c r="AP104" s="1048">
        <f t="shared" si="3"/>
        <v>0</v>
      </c>
      <c r="AQ104" s="1048">
        <f t="shared" si="3"/>
        <v>0</v>
      </c>
      <c r="AR104" s="1048">
        <f t="shared" si="3"/>
        <v>0</v>
      </c>
      <c r="AS104" s="1048">
        <f t="shared" si="3"/>
        <v>0</v>
      </c>
      <c r="AT104" s="1048">
        <f t="shared" si="3"/>
        <v>0</v>
      </c>
      <c r="AU104" s="1048">
        <f t="shared" si="3"/>
        <v>0</v>
      </c>
      <c r="AV104" s="1048">
        <v>0</v>
      </c>
      <c r="AW104" s="1049">
        <v>0</v>
      </c>
      <c r="AX104" s="946"/>
      <c r="AY104" s="882"/>
      <c r="AZ104" s="882"/>
      <c r="BA104" s="882"/>
      <c r="BB104" s="882"/>
      <c r="BC104" s="882"/>
      <c r="BD104" s="882"/>
      <c r="BE104" s="882"/>
      <c r="BF104" s="882"/>
      <c r="BG104" s="882"/>
      <c r="BH104" s="882"/>
      <c r="BI104" s="882"/>
      <c r="BJ104" s="882"/>
      <c r="BK104" s="882"/>
      <c r="BL104" s="882"/>
      <c r="BM104" s="882"/>
      <c r="BN104" s="882"/>
      <c r="BO104" s="882"/>
      <c r="BP104" s="882"/>
      <c r="BQ104" s="882"/>
      <c r="BR104" s="882"/>
      <c r="BS104" s="882"/>
      <c r="BT104" s="882"/>
      <c r="BU104" s="882"/>
      <c r="BV104" s="882"/>
      <c r="BW104" s="882"/>
      <c r="BX104" s="882"/>
      <c r="BY104" s="882"/>
      <c r="BZ104" s="882"/>
      <c r="CA104" s="882"/>
    </row>
    <row r="105" spans="1:79" hidden="1">
      <c r="A105" s="896"/>
      <c r="B105" s="896"/>
      <c r="C105" s="1050"/>
      <c r="D105" s="1051"/>
      <c r="E105" s="1051">
        <v>0</v>
      </c>
      <c r="F105" s="1052"/>
      <c r="G105" s="1052"/>
      <c r="H105" s="1052">
        <f>H104</f>
        <v>0</v>
      </c>
      <c r="I105" s="1052">
        <f>H105+I104</f>
        <v>0</v>
      </c>
      <c r="J105" s="1052">
        <f t="shared" ref="J105:AU105" si="4">I105+J104</f>
        <v>0</v>
      </c>
      <c r="K105" s="1052">
        <f t="shared" si="4"/>
        <v>0</v>
      </c>
      <c r="L105" s="1052">
        <f t="shared" si="4"/>
        <v>0</v>
      </c>
      <c r="M105" s="1052">
        <f t="shared" si="4"/>
        <v>0</v>
      </c>
      <c r="N105" s="1052">
        <f t="shared" si="4"/>
        <v>0</v>
      </c>
      <c r="O105" s="1052">
        <f t="shared" si="4"/>
        <v>0</v>
      </c>
      <c r="P105" s="1052">
        <f t="shared" si="4"/>
        <v>0</v>
      </c>
      <c r="Q105" s="1052">
        <f t="shared" si="4"/>
        <v>0</v>
      </c>
      <c r="R105" s="1052">
        <f t="shared" si="4"/>
        <v>0</v>
      </c>
      <c r="S105" s="1052">
        <f t="shared" si="4"/>
        <v>0</v>
      </c>
      <c r="T105" s="1052">
        <f t="shared" si="4"/>
        <v>0</v>
      </c>
      <c r="U105" s="1052">
        <f t="shared" si="4"/>
        <v>0</v>
      </c>
      <c r="V105" s="1052">
        <f t="shared" si="4"/>
        <v>0</v>
      </c>
      <c r="W105" s="1052">
        <f t="shared" si="4"/>
        <v>0</v>
      </c>
      <c r="X105" s="1052">
        <f t="shared" si="4"/>
        <v>0</v>
      </c>
      <c r="Y105" s="1052">
        <f t="shared" si="4"/>
        <v>0</v>
      </c>
      <c r="Z105" s="1052">
        <f t="shared" si="4"/>
        <v>0</v>
      </c>
      <c r="AA105" s="1052">
        <f t="shared" si="4"/>
        <v>0</v>
      </c>
      <c r="AB105" s="1052">
        <f t="shared" si="4"/>
        <v>0</v>
      </c>
      <c r="AC105" s="1052">
        <f t="shared" si="4"/>
        <v>0</v>
      </c>
      <c r="AD105" s="1052">
        <f t="shared" si="4"/>
        <v>0</v>
      </c>
      <c r="AE105" s="1052">
        <f t="shared" si="4"/>
        <v>0</v>
      </c>
      <c r="AF105" s="1052">
        <f t="shared" si="4"/>
        <v>0</v>
      </c>
      <c r="AG105" s="1052">
        <f t="shared" si="4"/>
        <v>0</v>
      </c>
      <c r="AH105" s="1052">
        <f t="shared" si="4"/>
        <v>0</v>
      </c>
      <c r="AI105" s="1052">
        <f t="shared" si="4"/>
        <v>0</v>
      </c>
      <c r="AJ105" s="1052">
        <f t="shared" si="4"/>
        <v>0</v>
      </c>
      <c r="AK105" s="1052">
        <f t="shared" si="4"/>
        <v>0</v>
      </c>
      <c r="AL105" s="1052">
        <f t="shared" si="4"/>
        <v>0</v>
      </c>
      <c r="AM105" s="1052">
        <f t="shared" si="4"/>
        <v>0</v>
      </c>
      <c r="AN105" s="1052">
        <f t="shared" si="4"/>
        <v>0</v>
      </c>
      <c r="AO105" s="1052">
        <f t="shared" si="4"/>
        <v>0</v>
      </c>
      <c r="AP105" s="1052">
        <f t="shared" si="4"/>
        <v>0</v>
      </c>
      <c r="AQ105" s="1052">
        <f t="shared" si="4"/>
        <v>0</v>
      </c>
      <c r="AR105" s="1052">
        <f t="shared" si="4"/>
        <v>0</v>
      </c>
      <c r="AS105" s="1052">
        <f t="shared" si="4"/>
        <v>0</v>
      </c>
      <c r="AT105" s="1052">
        <f t="shared" si="4"/>
        <v>0</v>
      </c>
      <c r="AU105" s="1052">
        <f t="shared" si="4"/>
        <v>0</v>
      </c>
      <c r="AV105" s="1052">
        <v>0</v>
      </c>
      <c r="AW105" s="1052">
        <v>0</v>
      </c>
      <c r="AX105" s="1053"/>
      <c r="AY105" s="1054"/>
      <c r="AZ105" s="1054"/>
      <c r="BA105" s="1054"/>
      <c r="BB105" s="1054"/>
      <c r="BC105" s="1054"/>
      <c r="BD105" s="1054"/>
      <c r="BE105" s="1054"/>
      <c r="BF105" s="1054"/>
      <c r="BG105" s="1054"/>
      <c r="BH105" s="1054"/>
      <c r="BI105" s="1054"/>
      <c r="BJ105" s="1054"/>
      <c r="BK105" s="1054"/>
      <c r="BL105" s="1054"/>
      <c r="BM105" s="1054"/>
      <c r="BN105" s="1054"/>
      <c r="BO105" s="1054"/>
      <c r="BP105" s="1054"/>
      <c r="BQ105" s="1054"/>
      <c r="BR105" s="1054"/>
      <c r="BS105" s="1054"/>
      <c r="BT105" s="1054"/>
      <c r="BU105" s="1054"/>
      <c r="BV105" s="1054"/>
      <c r="BW105" s="1054"/>
      <c r="BX105" s="1054"/>
      <c r="BY105" s="1054"/>
      <c r="BZ105" s="1054"/>
      <c r="CA105" s="1054"/>
    </row>
    <row r="106" spans="1:79" ht="12.75" hidden="1" customHeight="1">
      <c r="A106" s="896"/>
      <c r="B106" s="896"/>
      <c r="C106" s="1055"/>
      <c r="D106" s="896"/>
      <c r="E106" s="896">
        <v>0</v>
      </c>
      <c r="F106" s="1056"/>
      <c r="G106" s="896"/>
      <c r="H106" s="1100">
        <f>$C$108-H105</f>
        <v>0</v>
      </c>
      <c r="I106" s="1057">
        <f>$C$108-I105</f>
        <v>0</v>
      </c>
      <c r="J106" s="1057">
        <f t="shared" ref="J106:AU106" si="5">$C$108-J105</f>
        <v>0</v>
      </c>
      <c r="K106" s="1057">
        <f t="shared" si="5"/>
        <v>0</v>
      </c>
      <c r="L106" s="1057">
        <f t="shared" si="5"/>
        <v>0</v>
      </c>
      <c r="M106" s="1057">
        <f t="shared" si="5"/>
        <v>0</v>
      </c>
      <c r="N106" s="1057">
        <f t="shared" si="5"/>
        <v>0</v>
      </c>
      <c r="O106" s="1057">
        <f t="shared" si="5"/>
        <v>0</v>
      </c>
      <c r="P106" s="1057">
        <f t="shared" si="5"/>
        <v>0</v>
      </c>
      <c r="Q106" s="1057">
        <f t="shared" si="5"/>
        <v>0</v>
      </c>
      <c r="R106" s="1057">
        <f t="shared" si="5"/>
        <v>0</v>
      </c>
      <c r="S106" s="1057">
        <f t="shared" si="5"/>
        <v>0</v>
      </c>
      <c r="T106" s="1057">
        <f t="shared" si="5"/>
        <v>0</v>
      </c>
      <c r="U106" s="1057">
        <f t="shared" si="5"/>
        <v>0</v>
      </c>
      <c r="V106" s="1057">
        <f t="shared" si="5"/>
        <v>0</v>
      </c>
      <c r="W106" s="1057">
        <f t="shared" si="5"/>
        <v>0</v>
      </c>
      <c r="X106" s="1057">
        <f t="shared" si="5"/>
        <v>0</v>
      </c>
      <c r="Y106" s="1057">
        <f t="shared" si="5"/>
        <v>0</v>
      </c>
      <c r="Z106" s="1057">
        <f t="shared" si="5"/>
        <v>0</v>
      </c>
      <c r="AA106" s="1057">
        <f t="shared" si="5"/>
        <v>0</v>
      </c>
      <c r="AB106" s="1057">
        <f t="shared" si="5"/>
        <v>0</v>
      </c>
      <c r="AC106" s="1057">
        <f t="shared" si="5"/>
        <v>0</v>
      </c>
      <c r="AD106" s="1057">
        <f t="shared" si="5"/>
        <v>0</v>
      </c>
      <c r="AE106" s="1057">
        <f t="shared" si="5"/>
        <v>0</v>
      </c>
      <c r="AF106" s="1057">
        <f t="shared" si="5"/>
        <v>0</v>
      </c>
      <c r="AG106" s="1057">
        <f t="shared" si="5"/>
        <v>0</v>
      </c>
      <c r="AH106" s="1057">
        <f t="shared" si="5"/>
        <v>0</v>
      </c>
      <c r="AI106" s="1057">
        <f t="shared" si="5"/>
        <v>0</v>
      </c>
      <c r="AJ106" s="1057">
        <f t="shared" si="5"/>
        <v>0</v>
      </c>
      <c r="AK106" s="1057">
        <f t="shared" si="5"/>
        <v>0</v>
      </c>
      <c r="AL106" s="1057">
        <f t="shared" si="5"/>
        <v>0</v>
      </c>
      <c r="AM106" s="1057">
        <f t="shared" si="5"/>
        <v>0</v>
      </c>
      <c r="AN106" s="1057">
        <f t="shared" si="5"/>
        <v>0</v>
      </c>
      <c r="AO106" s="1057">
        <f t="shared" si="5"/>
        <v>0</v>
      </c>
      <c r="AP106" s="1057">
        <f t="shared" si="5"/>
        <v>0</v>
      </c>
      <c r="AQ106" s="1057">
        <f t="shared" si="5"/>
        <v>0</v>
      </c>
      <c r="AR106" s="1057">
        <f t="shared" si="5"/>
        <v>0</v>
      </c>
      <c r="AS106" s="1057">
        <f t="shared" si="5"/>
        <v>0</v>
      </c>
      <c r="AT106" s="1057">
        <f t="shared" si="5"/>
        <v>0</v>
      </c>
      <c r="AU106" s="1057">
        <f t="shared" si="5"/>
        <v>0</v>
      </c>
      <c r="AV106" s="896">
        <v>0</v>
      </c>
      <c r="AW106" s="896">
        <v>0</v>
      </c>
      <c r="AX106" s="1053"/>
      <c r="AY106" s="1054"/>
      <c r="AZ106" s="1054"/>
      <c r="BA106" s="1054"/>
      <c r="BB106" s="1054"/>
      <c r="BC106" s="1054"/>
      <c r="BD106" s="1054"/>
      <c r="BE106" s="1054"/>
      <c r="BF106" s="1054"/>
      <c r="BG106" s="1054"/>
      <c r="BH106" s="1054"/>
      <c r="BI106" s="1054"/>
      <c r="BJ106" s="1054"/>
      <c r="BK106" s="1054"/>
      <c r="BL106" s="1054"/>
      <c r="BM106" s="1054"/>
      <c r="BN106" s="1054"/>
      <c r="BO106" s="1054"/>
      <c r="BP106" s="1054"/>
      <c r="BQ106" s="1054"/>
      <c r="BR106" s="1054"/>
      <c r="BS106" s="1054"/>
      <c r="BT106" s="1054"/>
      <c r="BU106" s="1054"/>
      <c r="BV106" s="1054"/>
      <c r="BW106" s="1054"/>
      <c r="BX106" s="1054"/>
      <c r="BY106" s="1054"/>
      <c r="BZ106" s="1054"/>
      <c r="CA106" s="1054"/>
    </row>
    <row r="107" spans="1:79">
      <c r="A107" s="1058"/>
      <c r="B107" s="1059"/>
      <c r="C107" s="1060" t="s">
        <v>622</v>
      </c>
      <c r="D107" s="1058"/>
      <c r="E107" s="1061">
        <v>0</v>
      </c>
      <c r="F107" s="1062"/>
      <c r="G107" s="1058"/>
      <c r="H107" s="1058">
        <v>0</v>
      </c>
      <c r="I107" s="1058">
        <v>0</v>
      </c>
      <c r="J107" s="1058">
        <v>0</v>
      </c>
      <c r="K107" s="1058">
        <v>0</v>
      </c>
      <c r="L107" s="1058">
        <v>0</v>
      </c>
      <c r="M107" s="1058">
        <v>0</v>
      </c>
      <c r="N107" s="1058">
        <v>0</v>
      </c>
      <c r="O107" s="1058">
        <v>0</v>
      </c>
      <c r="P107" s="1058">
        <v>0</v>
      </c>
      <c r="Q107" s="1058">
        <v>0</v>
      </c>
      <c r="R107" s="1058">
        <v>0</v>
      </c>
      <c r="S107" s="1058">
        <v>0</v>
      </c>
      <c r="T107" s="1058">
        <v>0</v>
      </c>
      <c r="U107" s="1058">
        <v>0</v>
      </c>
      <c r="V107" s="1058">
        <v>0</v>
      </c>
      <c r="W107" s="1058">
        <v>0</v>
      </c>
      <c r="X107" s="1058">
        <v>0</v>
      </c>
      <c r="Y107" s="1058">
        <v>0</v>
      </c>
      <c r="Z107" s="1058">
        <v>0</v>
      </c>
      <c r="AA107" s="1058">
        <v>0</v>
      </c>
      <c r="AB107" s="1058">
        <v>0</v>
      </c>
      <c r="AC107" s="1058">
        <v>0</v>
      </c>
      <c r="AD107" s="1058">
        <v>0</v>
      </c>
      <c r="AE107" s="1058">
        <v>0</v>
      </c>
      <c r="AF107" s="1058">
        <v>0</v>
      </c>
      <c r="AG107" s="1058">
        <v>0</v>
      </c>
      <c r="AH107" s="1058">
        <v>0</v>
      </c>
      <c r="AI107" s="1058">
        <v>0</v>
      </c>
      <c r="AJ107" s="1058">
        <v>0</v>
      </c>
      <c r="AK107" s="1058">
        <v>0</v>
      </c>
      <c r="AL107" s="1058">
        <v>0</v>
      </c>
      <c r="AM107" s="1058">
        <v>0</v>
      </c>
      <c r="AN107" s="1058">
        <v>0</v>
      </c>
      <c r="AO107" s="1058">
        <v>0</v>
      </c>
      <c r="AP107" s="1058">
        <v>0</v>
      </c>
      <c r="AQ107" s="1058">
        <v>0</v>
      </c>
      <c r="AR107" s="1058">
        <v>0</v>
      </c>
      <c r="AS107" s="1058">
        <v>0</v>
      </c>
      <c r="AT107" s="1058">
        <v>0</v>
      </c>
      <c r="AU107" s="1058">
        <v>0</v>
      </c>
      <c r="AV107" s="1063">
        <v>0</v>
      </c>
      <c r="AW107" s="1064">
        <v>0</v>
      </c>
      <c r="AX107" s="946"/>
      <c r="AY107" s="882"/>
      <c r="AZ107" s="882"/>
      <c r="BA107" s="882"/>
      <c r="BB107" s="882"/>
      <c r="BC107" s="882"/>
      <c r="BD107" s="882"/>
      <c r="BE107" s="882"/>
      <c r="BF107" s="882"/>
      <c r="BG107" s="882"/>
      <c r="BH107" s="882"/>
      <c r="BI107" s="882"/>
      <c r="BJ107" s="882"/>
      <c r="BK107" s="882"/>
      <c r="BL107" s="882"/>
      <c r="BM107" s="882"/>
      <c r="BN107" s="882"/>
      <c r="BO107" s="882"/>
      <c r="BP107" s="882"/>
      <c r="BQ107" s="882"/>
      <c r="BR107" s="882"/>
      <c r="BS107" s="882"/>
      <c r="BT107" s="882"/>
      <c r="BU107" s="882"/>
      <c r="BV107" s="882"/>
      <c r="BW107" s="882"/>
      <c r="BX107" s="882"/>
      <c r="BY107" s="882"/>
      <c r="BZ107" s="882"/>
      <c r="CA107" s="882"/>
    </row>
    <row r="108" spans="1:79" ht="13.5" customHeight="1">
      <c r="A108" s="1065"/>
      <c r="B108" s="1065"/>
      <c r="C108" s="1066">
        <f>'Perm Sources-Uses'!K20-'Perm Sources-Uses'!E17</f>
        <v>0</v>
      </c>
      <c r="D108" s="1067"/>
      <c r="E108" s="1425" t="s">
        <v>623</v>
      </c>
      <c r="F108" s="1425"/>
      <c r="G108" s="1068"/>
      <c r="H108" s="1069">
        <f>IF($C$108=0,0,H105/$C$108)</f>
        <v>0</v>
      </c>
      <c r="I108" s="1068">
        <f>IF($C$108=0,0,I105/$C$108)</f>
        <v>0</v>
      </c>
      <c r="J108" s="1068">
        <f t="shared" ref="J108:AU108" si="6">IF($C$108=0,0,J105/$C$108)</f>
        <v>0</v>
      </c>
      <c r="K108" s="1068">
        <f t="shared" si="6"/>
        <v>0</v>
      </c>
      <c r="L108" s="1068">
        <f t="shared" si="6"/>
        <v>0</v>
      </c>
      <c r="M108" s="1068">
        <f t="shared" si="6"/>
        <v>0</v>
      </c>
      <c r="N108" s="1068">
        <f t="shared" si="6"/>
        <v>0</v>
      </c>
      <c r="O108" s="1068">
        <f t="shared" si="6"/>
        <v>0</v>
      </c>
      <c r="P108" s="1068">
        <f t="shared" si="6"/>
        <v>0</v>
      </c>
      <c r="Q108" s="1068">
        <f t="shared" si="6"/>
        <v>0</v>
      </c>
      <c r="R108" s="1068">
        <f t="shared" si="6"/>
        <v>0</v>
      </c>
      <c r="S108" s="1068">
        <f t="shared" si="6"/>
        <v>0</v>
      </c>
      <c r="T108" s="1068">
        <f t="shared" si="6"/>
        <v>0</v>
      </c>
      <c r="U108" s="1068">
        <f t="shared" si="6"/>
        <v>0</v>
      </c>
      <c r="V108" s="1068">
        <f t="shared" si="6"/>
        <v>0</v>
      </c>
      <c r="W108" s="1068">
        <f t="shared" si="6"/>
        <v>0</v>
      </c>
      <c r="X108" s="1068">
        <f t="shared" si="6"/>
        <v>0</v>
      </c>
      <c r="Y108" s="1068">
        <f t="shared" si="6"/>
        <v>0</v>
      </c>
      <c r="Z108" s="1068">
        <f t="shared" si="6"/>
        <v>0</v>
      </c>
      <c r="AA108" s="1068">
        <f t="shared" si="6"/>
        <v>0</v>
      </c>
      <c r="AB108" s="1068">
        <f t="shared" si="6"/>
        <v>0</v>
      </c>
      <c r="AC108" s="1068">
        <f t="shared" si="6"/>
        <v>0</v>
      </c>
      <c r="AD108" s="1068">
        <f t="shared" si="6"/>
        <v>0</v>
      </c>
      <c r="AE108" s="1068">
        <f t="shared" si="6"/>
        <v>0</v>
      </c>
      <c r="AF108" s="1068">
        <f t="shared" si="6"/>
        <v>0</v>
      </c>
      <c r="AG108" s="1068">
        <f t="shared" si="6"/>
        <v>0</v>
      </c>
      <c r="AH108" s="1068">
        <f t="shared" si="6"/>
        <v>0</v>
      </c>
      <c r="AI108" s="1068">
        <f t="shared" si="6"/>
        <v>0</v>
      </c>
      <c r="AJ108" s="1068">
        <f t="shared" si="6"/>
        <v>0</v>
      </c>
      <c r="AK108" s="1068">
        <f t="shared" si="6"/>
        <v>0</v>
      </c>
      <c r="AL108" s="1068">
        <f t="shared" si="6"/>
        <v>0</v>
      </c>
      <c r="AM108" s="1068">
        <f t="shared" si="6"/>
        <v>0</v>
      </c>
      <c r="AN108" s="1068">
        <f t="shared" si="6"/>
        <v>0</v>
      </c>
      <c r="AO108" s="1068">
        <f t="shared" si="6"/>
        <v>0</v>
      </c>
      <c r="AP108" s="1068">
        <f t="shared" si="6"/>
        <v>0</v>
      </c>
      <c r="AQ108" s="1068">
        <f t="shared" si="6"/>
        <v>0</v>
      </c>
      <c r="AR108" s="1068">
        <f t="shared" si="6"/>
        <v>0</v>
      </c>
      <c r="AS108" s="1068">
        <f t="shared" si="6"/>
        <v>0</v>
      </c>
      <c r="AT108" s="1068">
        <f t="shared" si="6"/>
        <v>0</v>
      </c>
      <c r="AU108" s="1068">
        <f t="shared" si="6"/>
        <v>0</v>
      </c>
      <c r="AV108" s="1070">
        <v>0</v>
      </c>
      <c r="AW108" s="1071">
        <v>0</v>
      </c>
      <c r="AX108" s="1072"/>
      <c r="AY108" s="882"/>
      <c r="AZ108" s="882"/>
      <c r="BA108" s="882"/>
      <c r="BB108" s="882"/>
      <c r="BC108" s="882"/>
      <c r="BD108" s="882"/>
      <c r="BE108" s="882"/>
      <c r="BF108" s="882"/>
      <c r="BG108" s="882"/>
      <c r="BH108" s="882"/>
      <c r="BI108" s="882"/>
      <c r="BJ108" s="882"/>
      <c r="BK108" s="882"/>
      <c r="BL108" s="882"/>
      <c r="BM108" s="882"/>
      <c r="BN108" s="882"/>
      <c r="BO108" s="882"/>
      <c r="BP108" s="882"/>
      <c r="BQ108" s="882"/>
      <c r="BR108" s="882"/>
      <c r="BS108" s="882"/>
      <c r="BT108" s="882"/>
      <c r="BU108" s="882"/>
      <c r="BV108" s="882"/>
      <c r="BW108" s="882"/>
      <c r="BX108" s="882"/>
      <c r="BY108" s="882"/>
      <c r="BZ108" s="882"/>
      <c r="CA108" s="882"/>
    </row>
    <row r="109" spans="1:79">
      <c r="A109" s="1073"/>
      <c r="B109" s="1067"/>
      <c r="C109" s="1074"/>
      <c r="D109" s="1065"/>
      <c r="E109" s="1065">
        <v>0</v>
      </c>
      <c r="F109" s="1075"/>
      <c r="G109" s="1065"/>
      <c r="H109" s="1065">
        <v>0</v>
      </c>
      <c r="I109" s="1065">
        <v>0</v>
      </c>
      <c r="J109" s="1065">
        <v>0</v>
      </c>
      <c r="K109" s="1065">
        <v>0</v>
      </c>
      <c r="L109" s="1065">
        <v>0</v>
      </c>
      <c r="M109" s="1065">
        <v>0</v>
      </c>
      <c r="N109" s="1065">
        <v>0</v>
      </c>
      <c r="O109" s="1065">
        <v>0</v>
      </c>
      <c r="P109" s="1065">
        <v>0</v>
      </c>
      <c r="Q109" s="1065">
        <v>0</v>
      </c>
      <c r="R109" s="1065">
        <v>0</v>
      </c>
      <c r="S109" s="1065">
        <v>0</v>
      </c>
      <c r="T109" s="1065">
        <v>0</v>
      </c>
      <c r="U109" s="1065">
        <v>0</v>
      </c>
      <c r="V109" s="1065">
        <v>0</v>
      </c>
      <c r="W109" s="1065">
        <v>0</v>
      </c>
      <c r="X109" s="1065">
        <v>0</v>
      </c>
      <c r="Y109" s="1065">
        <v>0</v>
      </c>
      <c r="Z109" s="1065">
        <v>0</v>
      </c>
      <c r="AA109" s="1065">
        <v>0</v>
      </c>
      <c r="AB109" s="1065">
        <v>0</v>
      </c>
      <c r="AC109" s="1065">
        <v>0</v>
      </c>
      <c r="AD109" s="1065">
        <v>0</v>
      </c>
      <c r="AE109" s="1065">
        <v>0</v>
      </c>
      <c r="AF109" s="1065">
        <v>0</v>
      </c>
      <c r="AG109" s="1065">
        <v>0</v>
      </c>
      <c r="AH109" s="1065">
        <v>0</v>
      </c>
      <c r="AI109" s="1065">
        <v>0</v>
      </c>
      <c r="AJ109" s="1065">
        <v>0</v>
      </c>
      <c r="AK109" s="1065">
        <v>0</v>
      </c>
      <c r="AL109" s="1065">
        <v>0</v>
      </c>
      <c r="AM109" s="1065">
        <v>0</v>
      </c>
      <c r="AN109" s="1065">
        <v>0</v>
      </c>
      <c r="AO109" s="1065">
        <v>0</v>
      </c>
      <c r="AP109" s="1065">
        <v>0</v>
      </c>
      <c r="AQ109" s="1065">
        <v>0</v>
      </c>
      <c r="AR109" s="1065">
        <v>0</v>
      </c>
      <c r="AS109" s="1065">
        <v>0</v>
      </c>
      <c r="AT109" s="1065">
        <v>0</v>
      </c>
      <c r="AU109" s="1065">
        <v>0</v>
      </c>
      <c r="AV109" s="1076">
        <v>0</v>
      </c>
      <c r="AW109" s="1064">
        <v>0</v>
      </c>
      <c r="AX109" s="1077"/>
      <c r="AY109" s="882"/>
      <c r="AZ109" s="882"/>
      <c r="BA109" s="882"/>
      <c r="BB109" s="882"/>
      <c r="BC109" s="882"/>
      <c r="BD109" s="882"/>
      <c r="BE109" s="882"/>
      <c r="BF109" s="882"/>
      <c r="BG109" s="882"/>
      <c r="BH109" s="882"/>
      <c r="BI109" s="882"/>
      <c r="BJ109" s="882"/>
      <c r="BK109" s="882"/>
      <c r="BL109" s="882"/>
      <c r="BM109" s="882"/>
      <c r="BN109" s="882"/>
      <c r="BO109" s="882"/>
      <c r="BP109" s="882"/>
      <c r="BQ109" s="882"/>
      <c r="BR109" s="882"/>
      <c r="BS109" s="882"/>
      <c r="BT109" s="882"/>
      <c r="BU109" s="882"/>
      <c r="BV109" s="882"/>
      <c r="BW109" s="882"/>
      <c r="BX109" s="882"/>
      <c r="BY109" s="882"/>
      <c r="BZ109" s="882"/>
      <c r="CA109" s="882"/>
    </row>
    <row r="110" spans="1:79">
      <c r="A110" s="1065"/>
      <c r="B110" s="1067"/>
      <c r="C110" s="1078">
        <f>'Perm Sources-Uses'!E17</f>
        <v>0</v>
      </c>
      <c r="D110" s="1065"/>
      <c r="E110" s="1065">
        <v>0</v>
      </c>
      <c r="F110" s="1075"/>
      <c r="G110" s="1065"/>
      <c r="H110" s="1065">
        <v>0</v>
      </c>
      <c r="I110" s="1065">
        <v>0</v>
      </c>
      <c r="J110" s="1065">
        <v>0</v>
      </c>
      <c r="K110" s="1065">
        <v>0</v>
      </c>
      <c r="L110" s="1065">
        <v>0</v>
      </c>
      <c r="M110" s="1065">
        <v>0</v>
      </c>
      <c r="N110" s="1065">
        <v>0</v>
      </c>
      <c r="O110" s="1065">
        <v>0</v>
      </c>
      <c r="P110" s="1065">
        <v>0</v>
      </c>
      <c r="Q110" s="1065">
        <v>0</v>
      </c>
      <c r="R110" s="1065">
        <v>0</v>
      </c>
      <c r="S110" s="1065">
        <v>0</v>
      </c>
      <c r="T110" s="1065">
        <v>0</v>
      </c>
      <c r="U110" s="1065">
        <v>0</v>
      </c>
      <c r="V110" s="1065">
        <v>0</v>
      </c>
      <c r="W110" s="1065">
        <v>0</v>
      </c>
      <c r="X110" s="1065">
        <v>0</v>
      </c>
      <c r="Y110" s="1065">
        <v>0</v>
      </c>
      <c r="Z110" s="1065">
        <v>0</v>
      </c>
      <c r="AA110" s="1065">
        <v>0</v>
      </c>
      <c r="AB110" s="1065">
        <v>0</v>
      </c>
      <c r="AC110" s="1065">
        <v>0</v>
      </c>
      <c r="AD110" s="1065">
        <v>0</v>
      </c>
      <c r="AE110" s="1065">
        <v>0</v>
      </c>
      <c r="AF110" s="1065">
        <v>0</v>
      </c>
      <c r="AG110" s="1065">
        <v>0</v>
      </c>
      <c r="AH110" s="1065">
        <v>0</v>
      </c>
      <c r="AI110" s="1065">
        <v>0</v>
      </c>
      <c r="AJ110" s="1065">
        <v>0</v>
      </c>
      <c r="AK110" s="1065">
        <v>0</v>
      </c>
      <c r="AL110" s="1065">
        <v>0</v>
      </c>
      <c r="AM110" s="1065">
        <v>0</v>
      </c>
      <c r="AN110" s="1065">
        <v>0</v>
      </c>
      <c r="AO110" s="1065">
        <v>0</v>
      </c>
      <c r="AP110" s="1065">
        <v>0</v>
      </c>
      <c r="AQ110" s="1065">
        <v>0</v>
      </c>
      <c r="AR110" s="1065">
        <v>0</v>
      </c>
      <c r="AS110" s="1065">
        <v>0</v>
      </c>
      <c r="AT110" s="1065">
        <v>0</v>
      </c>
      <c r="AU110" s="1065">
        <v>0</v>
      </c>
      <c r="AV110" s="1076">
        <v>0</v>
      </c>
      <c r="AW110" s="1064">
        <v>0</v>
      </c>
      <c r="AX110" s="1079"/>
      <c r="AY110" s="882"/>
      <c r="AZ110" s="882"/>
      <c r="BA110" s="882"/>
      <c r="BB110" s="882"/>
      <c r="BC110" s="882"/>
      <c r="BD110" s="882"/>
      <c r="BE110" s="882"/>
      <c r="BF110" s="882"/>
      <c r="BG110" s="882"/>
      <c r="BH110" s="882"/>
      <c r="BI110" s="882"/>
      <c r="BJ110" s="882"/>
      <c r="BK110" s="882"/>
      <c r="BL110" s="882"/>
      <c r="BM110" s="882"/>
      <c r="BN110" s="882"/>
      <c r="BO110" s="882"/>
      <c r="BP110" s="882"/>
      <c r="BQ110" s="882"/>
      <c r="BR110" s="882"/>
      <c r="BS110" s="882"/>
      <c r="BT110" s="882"/>
      <c r="BU110" s="882"/>
      <c r="BV110" s="882"/>
      <c r="BW110" s="882"/>
      <c r="BX110" s="882"/>
      <c r="BY110" s="882"/>
      <c r="BZ110" s="882"/>
      <c r="CA110" s="882"/>
    </row>
    <row r="111" spans="1:79" ht="13.5" customHeight="1">
      <c r="A111" s="1080"/>
      <c r="B111" s="1080"/>
      <c r="C111" s="1081">
        <f>IF(('Perm Sources-Uses'!K20)=0,0,C110/'Perm Sources-Uses'!K20)</f>
        <v>0</v>
      </c>
      <c r="D111" s="1082"/>
      <c r="E111" s="1080">
        <v>0</v>
      </c>
      <c r="F111" s="1080"/>
      <c r="G111" s="1080"/>
      <c r="H111" s="1080">
        <v>0</v>
      </c>
      <c r="I111" s="1080">
        <v>0</v>
      </c>
      <c r="J111" s="1080">
        <v>0</v>
      </c>
      <c r="K111" s="1080">
        <v>0</v>
      </c>
      <c r="L111" s="1080">
        <v>0</v>
      </c>
      <c r="M111" s="1080">
        <v>0</v>
      </c>
      <c r="N111" s="1080">
        <v>0</v>
      </c>
      <c r="O111" s="1080">
        <v>0</v>
      </c>
      <c r="P111" s="1080">
        <v>0</v>
      </c>
      <c r="Q111" s="1080">
        <v>0</v>
      </c>
      <c r="R111" s="1080">
        <v>0</v>
      </c>
      <c r="S111" s="1080">
        <v>0</v>
      </c>
      <c r="T111" s="1080">
        <v>0</v>
      </c>
      <c r="U111" s="1080">
        <v>0</v>
      </c>
      <c r="V111" s="1080">
        <v>0</v>
      </c>
      <c r="W111" s="1080">
        <v>0</v>
      </c>
      <c r="X111" s="1080">
        <v>0</v>
      </c>
      <c r="Y111" s="1080">
        <v>0</v>
      </c>
      <c r="Z111" s="1080">
        <v>0</v>
      </c>
      <c r="AA111" s="1080">
        <v>0</v>
      </c>
      <c r="AB111" s="1080">
        <v>0</v>
      </c>
      <c r="AC111" s="1080">
        <v>0</v>
      </c>
      <c r="AD111" s="1080">
        <v>0</v>
      </c>
      <c r="AE111" s="1080">
        <v>0</v>
      </c>
      <c r="AF111" s="1080">
        <v>0</v>
      </c>
      <c r="AG111" s="1080">
        <v>0</v>
      </c>
      <c r="AH111" s="1080">
        <v>0</v>
      </c>
      <c r="AI111" s="1080">
        <v>0</v>
      </c>
      <c r="AJ111" s="1080">
        <v>0</v>
      </c>
      <c r="AK111" s="1080">
        <v>0</v>
      </c>
      <c r="AL111" s="1080">
        <v>0</v>
      </c>
      <c r="AM111" s="1080">
        <v>0</v>
      </c>
      <c r="AN111" s="1080">
        <v>0</v>
      </c>
      <c r="AO111" s="1080">
        <v>0</v>
      </c>
      <c r="AP111" s="1080">
        <v>0</v>
      </c>
      <c r="AQ111" s="1080">
        <v>0</v>
      </c>
      <c r="AR111" s="1080">
        <v>0</v>
      </c>
      <c r="AS111" s="1080">
        <v>0</v>
      </c>
      <c r="AT111" s="1080">
        <v>0</v>
      </c>
      <c r="AU111" s="1080">
        <v>0</v>
      </c>
      <c r="AV111" s="1083">
        <v>0</v>
      </c>
      <c r="AW111" s="1084">
        <v>0</v>
      </c>
      <c r="AX111" s="1085"/>
      <c r="AY111" s="1086"/>
      <c r="AZ111" s="882"/>
      <c r="BA111" s="882"/>
      <c r="BB111" s="882"/>
      <c r="BC111" s="882"/>
      <c r="BD111" s="882"/>
      <c r="BE111" s="882"/>
      <c r="BF111" s="882"/>
      <c r="BG111" s="882"/>
      <c r="BH111" s="882"/>
      <c r="BI111" s="882"/>
      <c r="BJ111" s="882"/>
      <c r="BK111" s="882"/>
      <c r="BL111" s="882"/>
      <c r="BM111" s="882"/>
      <c r="BN111" s="882"/>
      <c r="BO111" s="882"/>
      <c r="BP111" s="882"/>
      <c r="BQ111" s="882"/>
      <c r="BR111" s="882"/>
      <c r="BS111" s="882"/>
      <c r="BT111" s="882"/>
      <c r="BU111" s="882"/>
      <c r="BV111" s="882"/>
      <c r="BW111" s="882"/>
      <c r="BX111" s="882"/>
      <c r="BY111" s="882"/>
      <c r="BZ111" s="882"/>
      <c r="CA111" s="882"/>
    </row>
    <row r="112" spans="1:79" ht="13.5" customHeight="1">
      <c r="A112" s="882"/>
      <c r="B112" s="882"/>
      <c r="C112" s="1050"/>
      <c r="D112" s="882"/>
      <c r="E112" s="882">
        <v>0</v>
      </c>
      <c r="F112" s="1087"/>
      <c r="G112" s="1087"/>
      <c r="H112" s="1087">
        <v>0</v>
      </c>
      <c r="I112" s="1087">
        <v>0</v>
      </c>
      <c r="J112" s="1087">
        <v>0</v>
      </c>
      <c r="K112" s="1087">
        <v>0</v>
      </c>
      <c r="L112" s="1087">
        <v>0</v>
      </c>
      <c r="M112" s="1087">
        <v>0</v>
      </c>
      <c r="N112" s="1087">
        <v>0</v>
      </c>
      <c r="O112" s="1087">
        <v>0</v>
      </c>
      <c r="P112" s="1087">
        <v>0</v>
      </c>
      <c r="Q112" s="1087">
        <v>0</v>
      </c>
      <c r="R112" s="1087">
        <v>0</v>
      </c>
      <c r="S112" s="1087">
        <v>0</v>
      </c>
      <c r="T112" s="1087">
        <v>0</v>
      </c>
      <c r="U112" s="1087">
        <v>0</v>
      </c>
      <c r="V112" s="1087">
        <v>0</v>
      </c>
      <c r="W112" s="1087">
        <v>0</v>
      </c>
      <c r="X112" s="1087">
        <v>0</v>
      </c>
      <c r="Y112" s="1087">
        <v>0</v>
      </c>
      <c r="Z112" s="1087">
        <v>0</v>
      </c>
      <c r="AA112" s="1087">
        <v>0</v>
      </c>
      <c r="AB112" s="1087">
        <v>0</v>
      </c>
      <c r="AC112" s="1087">
        <v>0</v>
      </c>
      <c r="AD112" s="1087">
        <v>0</v>
      </c>
      <c r="AE112" s="1087">
        <v>0</v>
      </c>
      <c r="AF112" s="1087">
        <v>0</v>
      </c>
      <c r="AG112" s="1087">
        <v>0</v>
      </c>
      <c r="AH112" s="1087">
        <v>0</v>
      </c>
      <c r="AI112" s="1087">
        <v>0</v>
      </c>
      <c r="AJ112" s="1087">
        <v>0</v>
      </c>
      <c r="AK112" s="1087">
        <v>0</v>
      </c>
      <c r="AL112" s="1087">
        <v>0</v>
      </c>
      <c r="AM112" s="1087">
        <v>0</v>
      </c>
      <c r="AN112" s="1087">
        <v>0</v>
      </c>
      <c r="AO112" s="1087">
        <v>0</v>
      </c>
      <c r="AP112" s="1087">
        <v>0</v>
      </c>
      <c r="AQ112" s="1087">
        <v>0</v>
      </c>
      <c r="AR112" s="1087">
        <v>0</v>
      </c>
      <c r="AS112" s="1087">
        <v>0</v>
      </c>
      <c r="AT112" s="1087">
        <v>0</v>
      </c>
      <c r="AU112" s="1087">
        <v>0</v>
      </c>
      <c r="AV112" s="1087">
        <v>0</v>
      </c>
      <c r="AW112" s="1087">
        <v>0</v>
      </c>
      <c r="AX112" s="1088"/>
      <c r="AY112" s="882"/>
      <c r="AZ112" s="1088"/>
      <c r="BA112" s="1088"/>
      <c r="BB112" s="1088"/>
      <c r="BC112" s="1088"/>
      <c r="BD112" s="1088"/>
      <c r="BE112" s="1088"/>
      <c r="BF112" s="1088"/>
      <c r="BG112" s="1088"/>
      <c r="BH112" s="882"/>
      <c r="BI112" s="882"/>
      <c r="BJ112" s="882"/>
      <c r="BK112" s="882"/>
      <c r="BL112" s="882"/>
      <c r="BM112" s="882"/>
      <c r="BN112" s="882"/>
      <c r="BO112" s="882"/>
      <c r="BP112" s="882"/>
      <c r="BQ112" s="882"/>
      <c r="BR112" s="882"/>
      <c r="BS112" s="882"/>
      <c r="BT112" s="882"/>
      <c r="BU112" s="882"/>
      <c r="BV112" s="882"/>
      <c r="BW112" s="882"/>
      <c r="BX112" s="882"/>
      <c r="BY112" s="882"/>
      <c r="BZ112" s="882"/>
      <c r="CA112" s="882"/>
    </row>
    <row r="113" spans="1:79">
      <c r="A113" s="882"/>
      <c r="B113" s="1089" t="s">
        <v>625</v>
      </c>
      <c r="C113" s="882"/>
      <c r="D113" s="882"/>
      <c r="E113" s="882">
        <v>0</v>
      </c>
      <c r="F113" s="882"/>
      <c r="G113" s="882"/>
      <c r="H113" s="882">
        <v>0</v>
      </c>
      <c r="I113" s="882">
        <f>I7</f>
        <v>0</v>
      </c>
      <c r="J113" s="882">
        <f t="shared" ref="J113:AU113" si="7">J7</f>
        <v>0</v>
      </c>
      <c r="K113" s="882">
        <f t="shared" si="7"/>
        <v>0</v>
      </c>
      <c r="L113" s="882">
        <f t="shared" si="7"/>
        <v>0</v>
      </c>
      <c r="M113" s="882">
        <f t="shared" si="7"/>
        <v>0</v>
      </c>
      <c r="N113" s="882">
        <f t="shared" si="7"/>
        <v>0</v>
      </c>
      <c r="O113" s="882">
        <f t="shared" si="7"/>
        <v>0</v>
      </c>
      <c r="P113" s="882">
        <f t="shared" si="7"/>
        <v>0</v>
      </c>
      <c r="Q113" s="882">
        <f t="shared" si="7"/>
        <v>0</v>
      </c>
      <c r="R113" s="882">
        <f t="shared" si="7"/>
        <v>0</v>
      </c>
      <c r="S113" s="882">
        <f t="shared" si="7"/>
        <v>0</v>
      </c>
      <c r="T113" s="882">
        <f t="shared" si="7"/>
        <v>0</v>
      </c>
      <c r="U113" s="882">
        <f t="shared" si="7"/>
        <v>0</v>
      </c>
      <c r="V113" s="882">
        <f t="shared" si="7"/>
        <v>0</v>
      </c>
      <c r="W113" s="882">
        <f t="shared" si="7"/>
        <v>0</v>
      </c>
      <c r="X113" s="882">
        <f t="shared" si="7"/>
        <v>0</v>
      </c>
      <c r="Y113" s="882">
        <f t="shared" si="7"/>
        <v>0</v>
      </c>
      <c r="Z113" s="882">
        <f t="shared" si="7"/>
        <v>0</v>
      </c>
      <c r="AA113" s="882">
        <f t="shared" si="7"/>
        <v>0</v>
      </c>
      <c r="AB113" s="882">
        <f t="shared" si="7"/>
        <v>0</v>
      </c>
      <c r="AC113" s="882">
        <f t="shared" si="7"/>
        <v>0</v>
      </c>
      <c r="AD113" s="882">
        <f t="shared" si="7"/>
        <v>0</v>
      </c>
      <c r="AE113" s="882">
        <f t="shared" si="7"/>
        <v>0</v>
      </c>
      <c r="AF113" s="882">
        <f t="shared" si="7"/>
        <v>0</v>
      </c>
      <c r="AG113" s="882">
        <f t="shared" si="7"/>
        <v>0</v>
      </c>
      <c r="AH113" s="882">
        <f t="shared" si="7"/>
        <v>0</v>
      </c>
      <c r="AI113" s="882">
        <f t="shared" si="7"/>
        <v>0</v>
      </c>
      <c r="AJ113" s="882">
        <f t="shared" si="7"/>
        <v>0</v>
      </c>
      <c r="AK113" s="882">
        <f t="shared" si="7"/>
        <v>0</v>
      </c>
      <c r="AL113" s="882">
        <f t="shared" si="7"/>
        <v>0</v>
      </c>
      <c r="AM113" s="882">
        <f t="shared" si="7"/>
        <v>0</v>
      </c>
      <c r="AN113" s="882">
        <f t="shared" si="7"/>
        <v>0</v>
      </c>
      <c r="AO113" s="882">
        <f t="shared" si="7"/>
        <v>0</v>
      </c>
      <c r="AP113" s="882">
        <f t="shared" si="7"/>
        <v>0</v>
      </c>
      <c r="AQ113" s="882">
        <f t="shared" si="7"/>
        <v>0</v>
      </c>
      <c r="AR113" s="882">
        <f t="shared" si="7"/>
        <v>0</v>
      </c>
      <c r="AS113" s="882">
        <f t="shared" si="7"/>
        <v>0</v>
      </c>
      <c r="AT113" s="882">
        <f t="shared" si="7"/>
        <v>0</v>
      </c>
      <c r="AU113" s="882">
        <f t="shared" si="7"/>
        <v>0</v>
      </c>
      <c r="AV113" s="882">
        <v>0</v>
      </c>
      <c r="AW113" s="882">
        <v>0</v>
      </c>
      <c r="AX113" s="882"/>
      <c r="AY113" s="882"/>
      <c r="AZ113" s="882"/>
      <c r="BA113" s="882"/>
      <c r="BB113" s="882"/>
      <c r="BC113" s="882"/>
      <c r="BD113" s="882"/>
      <c r="BE113" s="882"/>
      <c r="BF113" s="882"/>
      <c r="BG113" s="882"/>
      <c r="BH113" s="882"/>
      <c r="BI113" s="882"/>
      <c r="BJ113" s="882"/>
      <c r="BK113" s="882"/>
      <c r="BL113" s="882"/>
      <c r="BM113" s="882"/>
      <c r="BN113" s="882"/>
      <c r="BO113" s="882"/>
      <c r="BP113" s="882"/>
      <c r="BQ113" s="882"/>
      <c r="BR113" s="882"/>
      <c r="BS113" s="882"/>
      <c r="BT113" s="882"/>
      <c r="BU113" s="882"/>
      <c r="BV113" s="882"/>
      <c r="BW113" s="882"/>
      <c r="BX113" s="882"/>
      <c r="BY113" s="882"/>
      <c r="BZ113" s="882"/>
      <c r="CA113" s="882"/>
    </row>
    <row r="114" spans="1:79">
      <c r="A114" s="882"/>
      <c r="B114" s="882"/>
      <c r="C114" s="882"/>
      <c r="D114" s="1090"/>
      <c r="E114" s="1091">
        <v>0</v>
      </c>
      <c r="F114" s="1092" t="s">
        <v>626</v>
      </c>
      <c r="G114" s="1093"/>
      <c r="H114" s="1094">
        <v>0</v>
      </c>
      <c r="I114" s="1094">
        <f>H114+I113</f>
        <v>0</v>
      </c>
      <c r="J114" s="1094">
        <f t="shared" ref="J114:AU114" si="8">I114+J113</f>
        <v>0</v>
      </c>
      <c r="K114" s="1094">
        <f t="shared" si="8"/>
        <v>0</v>
      </c>
      <c r="L114" s="1094">
        <f t="shared" si="8"/>
        <v>0</v>
      </c>
      <c r="M114" s="1094">
        <f t="shared" si="8"/>
        <v>0</v>
      </c>
      <c r="N114" s="1094">
        <f t="shared" si="8"/>
        <v>0</v>
      </c>
      <c r="O114" s="1094">
        <f t="shared" si="8"/>
        <v>0</v>
      </c>
      <c r="P114" s="1094">
        <f t="shared" si="8"/>
        <v>0</v>
      </c>
      <c r="Q114" s="1094">
        <f t="shared" si="8"/>
        <v>0</v>
      </c>
      <c r="R114" s="1094">
        <f t="shared" si="8"/>
        <v>0</v>
      </c>
      <c r="S114" s="1094">
        <f t="shared" si="8"/>
        <v>0</v>
      </c>
      <c r="T114" s="1094">
        <f t="shared" si="8"/>
        <v>0</v>
      </c>
      <c r="U114" s="1094">
        <f t="shared" si="8"/>
        <v>0</v>
      </c>
      <c r="V114" s="1094">
        <f t="shared" si="8"/>
        <v>0</v>
      </c>
      <c r="W114" s="1094">
        <f t="shared" si="8"/>
        <v>0</v>
      </c>
      <c r="X114" s="1094">
        <f t="shared" si="8"/>
        <v>0</v>
      </c>
      <c r="Y114" s="1094">
        <f t="shared" si="8"/>
        <v>0</v>
      </c>
      <c r="Z114" s="1094">
        <f t="shared" si="8"/>
        <v>0</v>
      </c>
      <c r="AA114" s="1094">
        <f t="shared" si="8"/>
        <v>0</v>
      </c>
      <c r="AB114" s="1094">
        <f t="shared" si="8"/>
        <v>0</v>
      </c>
      <c r="AC114" s="1094">
        <f t="shared" si="8"/>
        <v>0</v>
      </c>
      <c r="AD114" s="1094">
        <f t="shared" si="8"/>
        <v>0</v>
      </c>
      <c r="AE114" s="1094">
        <f t="shared" si="8"/>
        <v>0</v>
      </c>
      <c r="AF114" s="1094">
        <f t="shared" si="8"/>
        <v>0</v>
      </c>
      <c r="AG114" s="1094">
        <f t="shared" si="8"/>
        <v>0</v>
      </c>
      <c r="AH114" s="1094">
        <f t="shared" si="8"/>
        <v>0</v>
      </c>
      <c r="AI114" s="1094">
        <f t="shared" si="8"/>
        <v>0</v>
      </c>
      <c r="AJ114" s="1094">
        <f t="shared" si="8"/>
        <v>0</v>
      </c>
      <c r="AK114" s="1094">
        <f t="shared" si="8"/>
        <v>0</v>
      </c>
      <c r="AL114" s="1094">
        <f t="shared" si="8"/>
        <v>0</v>
      </c>
      <c r="AM114" s="1094">
        <f t="shared" si="8"/>
        <v>0</v>
      </c>
      <c r="AN114" s="1094">
        <f t="shared" si="8"/>
        <v>0</v>
      </c>
      <c r="AO114" s="1094">
        <f t="shared" si="8"/>
        <v>0</v>
      </c>
      <c r="AP114" s="1094">
        <f t="shared" si="8"/>
        <v>0</v>
      </c>
      <c r="AQ114" s="1094">
        <f t="shared" si="8"/>
        <v>0</v>
      </c>
      <c r="AR114" s="1094">
        <f t="shared" si="8"/>
        <v>0</v>
      </c>
      <c r="AS114" s="1094">
        <f t="shared" si="8"/>
        <v>0</v>
      </c>
      <c r="AT114" s="1094">
        <f t="shared" si="8"/>
        <v>0</v>
      </c>
      <c r="AU114" s="1094">
        <f t="shared" si="8"/>
        <v>0</v>
      </c>
      <c r="AV114" s="882">
        <v>0</v>
      </c>
      <c r="AW114" s="882">
        <v>0</v>
      </c>
      <c r="AX114" s="882"/>
      <c r="AY114" s="882"/>
      <c r="AZ114" s="882"/>
      <c r="BA114" s="882"/>
      <c r="BB114" s="882"/>
      <c r="BC114" s="882"/>
      <c r="BD114" s="882"/>
      <c r="BE114" s="882"/>
      <c r="BF114" s="882"/>
      <c r="BG114" s="882"/>
      <c r="BH114" s="882"/>
      <c r="BI114" s="882"/>
      <c r="BJ114" s="882"/>
      <c r="BK114" s="882"/>
      <c r="BL114" s="882"/>
      <c r="BM114" s="882"/>
      <c r="BN114" s="882"/>
      <c r="BO114" s="882"/>
      <c r="BP114" s="882"/>
      <c r="BQ114" s="882"/>
      <c r="BR114" s="882"/>
      <c r="BS114" s="882"/>
      <c r="BT114" s="882"/>
      <c r="BU114" s="882"/>
      <c r="BV114" s="882"/>
      <c r="BW114" s="882"/>
      <c r="BX114" s="882"/>
      <c r="BY114" s="882"/>
      <c r="BZ114" s="882"/>
      <c r="CA114" s="882"/>
    </row>
    <row r="115" spans="1:79">
      <c r="A115" s="882"/>
      <c r="B115" s="882"/>
      <c r="C115" s="882"/>
      <c r="D115" s="1095"/>
      <c r="E115" s="1064" t="s">
        <v>627</v>
      </c>
      <c r="F115" s="1096">
        <v>0.03</v>
      </c>
      <c r="G115" s="897"/>
      <c r="H115" s="1094">
        <v>0</v>
      </c>
      <c r="I115" s="1094">
        <f>I114*$F$115/12</f>
        <v>0</v>
      </c>
      <c r="J115" s="1094">
        <f t="shared" ref="J115:AU115" si="9">J114*$F$115/12</f>
        <v>0</v>
      </c>
      <c r="K115" s="1094">
        <f t="shared" si="9"/>
        <v>0</v>
      </c>
      <c r="L115" s="1094">
        <f t="shared" si="9"/>
        <v>0</v>
      </c>
      <c r="M115" s="1094">
        <f t="shared" si="9"/>
        <v>0</v>
      </c>
      <c r="N115" s="1094">
        <f t="shared" si="9"/>
        <v>0</v>
      </c>
      <c r="O115" s="1094">
        <f t="shared" si="9"/>
        <v>0</v>
      </c>
      <c r="P115" s="1094">
        <f t="shared" si="9"/>
        <v>0</v>
      </c>
      <c r="Q115" s="1094">
        <f t="shared" si="9"/>
        <v>0</v>
      </c>
      <c r="R115" s="1094">
        <f t="shared" si="9"/>
        <v>0</v>
      </c>
      <c r="S115" s="1094">
        <f t="shared" si="9"/>
        <v>0</v>
      </c>
      <c r="T115" s="1094">
        <f t="shared" si="9"/>
        <v>0</v>
      </c>
      <c r="U115" s="1094">
        <f t="shared" si="9"/>
        <v>0</v>
      </c>
      <c r="V115" s="1094">
        <f t="shared" si="9"/>
        <v>0</v>
      </c>
      <c r="W115" s="1094">
        <f t="shared" si="9"/>
        <v>0</v>
      </c>
      <c r="X115" s="1094">
        <f t="shared" si="9"/>
        <v>0</v>
      </c>
      <c r="Y115" s="1094">
        <f t="shared" si="9"/>
        <v>0</v>
      </c>
      <c r="Z115" s="1094">
        <f t="shared" si="9"/>
        <v>0</v>
      </c>
      <c r="AA115" s="1094">
        <f t="shared" si="9"/>
        <v>0</v>
      </c>
      <c r="AB115" s="1094">
        <f t="shared" si="9"/>
        <v>0</v>
      </c>
      <c r="AC115" s="1094">
        <f t="shared" si="9"/>
        <v>0</v>
      </c>
      <c r="AD115" s="1094">
        <f t="shared" si="9"/>
        <v>0</v>
      </c>
      <c r="AE115" s="1094">
        <f t="shared" si="9"/>
        <v>0</v>
      </c>
      <c r="AF115" s="1094">
        <f t="shared" si="9"/>
        <v>0</v>
      </c>
      <c r="AG115" s="1094">
        <f t="shared" si="9"/>
        <v>0</v>
      </c>
      <c r="AH115" s="1094">
        <f t="shared" si="9"/>
        <v>0</v>
      </c>
      <c r="AI115" s="1094">
        <f t="shared" si="9"/>
        <v>0</v>
      </c>
      <c r="AJ115" s="1094">
        <f t="shared" si="9"/>
        <v>0</v>
      </c>
      <c r="AK115" s="1094">
        <f t="shared" si="9"/>
        <v>0</v>
      </c>
      <c r="AL115" s="1094">
        <f t="shared" si="9"/>
        <v>0</v>
      </c>
      <c r="AM115" s="1094">
        <f t="shared" si="9"/>
        <v>0</v>
      </c>
      <c r="AN115" s="1094">
        <f t="shared" si="9"/>
        <v>0</v>
      </c>
      <c r="AO115" s="1094">
        <f t="shared" si="9"/>
        <v>0</v>
      </c>
      <c r="AP115" s="1094">
        <f t="shared" si="9"/>
        <v>0</v>
      </c>
      <c r="AQ115" s="1094">
        <f t="shared" si="9"/>
        <v>0</v>
      </c>
      <c r="AR115" s="1094">
        <f t="shared" si="9"/>
        <v>0</v>
      </c>
      <c r="AS115" s="1094">
        <f t="shared" si="9"/>
        <v>0</v>
      </c>
      <c r="AT115" s="1094">
        <f t="shared" si="9"/>
        <v>0</v>
      </c>
      <c r="AU115" s="1094">
        <f t="shared" si="9"/>
        <v>0</v>
      </c>
      <c r="AV115" s="882">
        <v>0</v>
      </c>
      <c r="AW115" s="882">
        <v>0</v>
      </c>
      <c r="AX115" s="882"/>
      <c r="AY115" s="882"/>
      <c r="AZ115" s="882"/>
      <c r="BA115" s="882"/>
      <c r="BB115" s="882"/>
      <c r="BC115" s="882"/>
      <c r="BD115" s="882"/>
      <c r="BE115" s="882"/>
      <c r="BF115" s="882"/>
      <c r="BG115" s="882"/>
      <c r="BH115" s="882"/>
      <c r="BI115" s="882"/>
      <c r="BJ115" s="882"/>
      <c r="BK115" s="882"/>
      <c r="BL115" s="882"/>
      <c r="BM115" s="882"/>
      <c r="BN115" s="882"/>
      <c r="BO115" s="882"/>
      <c r="BP115" s="882"/>
      <c r="BQ115" s="882"/>
      <c r="BR115" s="882"/>
      <c r="BS115" s="882"/>
      <c r="BT115" s="882"/>
      <c r="BU115" s="882"/>
      <c r="BV115" s="882"/>
      <c r="BW115" s="882"/>
      <c r="BX115" s="882"/>
      <c r="BY115" s="882"/>
      <c r="BZ115" s="882"/>
      <c r="CA115" s="882"/>
    </row>
    <row r="116" spans="1:79">
      <c r="A116" s="882"/>
      <c r="B116" s="882"/>
      <c r="C116" s="882"/>
      <c r="D116" s="1097"/>
      <c r="E116" s="976">
        <v>0</v>
      </c>
      <c r="F116" s="976"/>
      <c r="G116" s="1098" t="s">
        <v>628</v>
      </c>
      <c r="H116" s="1099">
        <f>SUM(H115:AU115)</f>
        <v>0</v>
      </c>
      <c r="I116" s="1100">
        <v>0</v>
      </c>
      <c r="J116" s="1100">
        <v>0</v>
      </c>
      <c r="K116" s="1100">
        <v>0</v>
      </c>
      <c r="L116" s="1100">
        <v>0</v>
      </c>
      <c r="M116" s="1100">
        <v>0</v>
      </c>
      <c r="N116" s="1100">
        <v>0</v>
      </c>
      <c r="O116" s="1100">
        <v>0</v>
      </c>
      <c r="P116" s="1100">
        <v>0</v>
      </c>
      <c r="Q116" s="1100">
        <v>0</v>
      </c>
      <c r="R116" s="1100">
        <v>0</v>
      </c>
      <c r="S116" s="1100">
        <v>0</v>
      </c>
      <c r="T116" s="1100">
        <v>0</v>
      </c>
      <c r="U116" s="1100">
        <v>0</v>
      </c>
      <c r="V116" s="1100">
        <v>0</v>
      </c>
      <c r="W116" s="1100">
        <v>0</v>
      </c>
      <c r="X116" s="1100">
        <v>0</v>
      </c>
      <c r="Y116" s="1100">
        <v>0</v>
      </c>
      <c r="Z116" s="1100">
        <v>0</v>
      </c>
      <c r="AA116" s="1100">
        <v>0</v>
      </c>
      <c r="AB116" s="1100">
        <v>0</v>
      </c>
      <c r="AC116" s="1100">
        <v>0</v>
      </c>
      <c r="AD116" s="1100">
        <v>0</v>
      </c>
      <c r="AE116" s="1100">
        <v>0</v>
      </c>
      <c r="AF116" s="1100">
        <v>0</v>
      </c>
      <c r="AG116" s="1100">
        <v>0</v>
      </c>
      <c r="AH116" s="1100">
        <v>0</v>
      </c>
      <c r="AI116" s="1100">
        <v>0</v>
      </c>
      <c r="AJ116" s="1100">
        <v>0</v>
      </c>
      <c r="AK116" s="1100">
        <v>0</v>
      </c>
      <c r="AL116" s="1100">
        <v>0</v>
      </c>
      <c r="AM116" s="1100">
        <v>0</v>
      </c>
      <c r="AN116" s="1100">
        <v>0</v>
      </c>
      <c r="AO116" s="1100">
        <v>0</v>
      </c>
      <c r="AP116" s="1100">
        <v>0</v>
      </c>
      <c r="AQ116" s="1100">
        <v>0</v>
      </c>
      <c r="AR116" s="1100">
        <v>0</v>
      </c>
      <c r="AS116" s="1100">
        <v>0</v>
      </c>
      <c r="AT116" s="1100">
        <v>0</v>
      </c>
      <c r="AU116" s="882">
        <v>0</v>
      </c>
      <c r="AV116" s="882">
        <v>0</v>
      </c>
      <c r="AW116" s="882">
        <v>0</v>
      </c>
      <c r="AX116" s="882"/>
      <c r="AY116" s="882"/>
      <c r="AZ116" s="882"/>
      <c r="BA116" s="882"/>
      <c r="BB116" s="882"/>
      <c r="BC116" s="882"/>
      <c r="BD116" s="882"/>
      <c r="BE116" s="882"/>
      <c r="BF116" s="882"/>
      <c r="BG116" s="882"/>
      <c r="BH116" s="882"/>
      <c r="BI116" s="882"/>
      <c r="BJ116" s="882"/>
      <c r="BK116" s="882"/>
      <c r="BL116" s="882"/>
      <c r="BM116" s="882"/>
      <c r="BN116" s="882"/>
      <c r="BO116" s="882"/>
      <c r="BP116" s="882"/>
      <c r="BQ116" s="882"/>
      <c r="BR116" s="882"/>
      <c r="BS116" s="882"/>
      <c r="BT116" s="882"/>
      <c r="BU116" s="882"/>
      <c r="BV116" s="882"/>
      <c r="BW116" s="882"/>
      <c r="BX116" s="882"/>
      <c r="BY116" s="882"/>
      <c r="BZ116" s="882"/>
      <c r="CA116" s="882"/>
    </row>
    <row r="117" spans="1:79">
      <c r="A117" s="882"/>
      <c r="B117" s="882"/>
      <c r="C117" s="882"/>
      <c r="D117" s="882"/>
      <c r="E117" s="882">
        <v>0</v>
      </c>
      <c r="F117" s="882"/>
      <c r="G117" s="1064" t="s">
        <v>629</v>
      </c>
      <c r="H117" s="1101">
        <f>H116</f>
        <v>0</v>
      </c>
      <c r="I117" s="882">
        <v>0</v>
      </c>
      <c r="J117" s="882">
        <v>0</v>
      </c>
      <c r="K117" s="882">
        <v>0</v>
      </c>
      <c r="L117" s="882">
        <v>0</v>
      </c>
      <c r="M117" s="882">
        <v>0</v>
      </c>
      <c r="N117" s="882">
        <v>0</v>
      </c>
      <c r="O117" s="882">
        <v>0</v>
      </c>
      <c r="P117" s="882">
        <v>0</v>
      </c>
      <c r="Q117" s="882">
        <v>0</v>
      </c>
      <c r="R117" s="882">
        <v>0</v>
      </c>
      <c r="S117" s="882">
        <v>0</v>
      </c>
      <c r="T117" s="882">
        <v>0</v>
      </c>
      <c r="U117" s="882">
        <v>0</v>
      </c>
      <c r="V117" s="882">
        <v>0</v>
      </c>
      <c r="W117" s="882">
        <v>0</v>
      </c>
      <c r="X117" s="882">
        <v>0</v>
      </c>
      <c r="Y117" s="882">
        <v>0</v>
      </c>
      <c r="Z117" s="882">
        <v>0</v>
      </c>
      <c r="AA117" s="882">
        <v>0</v>
      </c>
      <c r="AB117" s="882">
        <v>0</v>
      </c>
      <c r="AC117" s="882">
        <v>0</v>
      </c>
      <c r="AD117" s="882">
        <v>0</v>
      </c>
      <c r="AE117" s="882">
        <v>0</v>
      </c>
      <c r="AF117" s="882">
        <v>0</v>
      </c>
      <c r="AG117" s="882">
        <v>0</v>
      </c>
      <c r="AH117" s="882">
        <v>0</v>
      </c>
      <c r="AI117" s="882">
        <v>0</v>
      </c>
      <c r="AJ117" s="882">
        <v>0</v>
      </c>
      <c r="AK117" s="882">
        <v>0</v>
      </c>
      <c r="AL117" s="882">
        <v>0</v>
      </c>
      <c r="AM117" s="882">
        <v>0</v>
      </c>
      <c r="AN117" s="882">
        <v>0</v>
      </c>
      <c r="AO117" s="882">
        <v>0</v>
      </c>
      <c r="AP117" s="882">
        <v>0</v>
      </c>
      <c r="AQ117" s="882">
        <v>0</v>
      </c>
      <c r="AR117" s="882">
        <v>0</v>
      </c>
      <c r="AS117" s="882">
        <v>0</v>
      </c>
      <c r="AT117" s="882">
        <v>0</v>
      </c>
      <c r="AU117" s="882">
        <v>0</v>
      </c>
      <c r="AV117" s="882">
        <v>0</v>
      </c>
      <c r="AW117" s="882">
        <v>0</v>
      </c>
      <c r="AX117" s="882"/>
      <c r="AY117" s="882"/>
      <c r="AZ117" s="882"/>
      <c r="BA117" s="882"/>
      <c r="BB117" s="882"/>
      <c r="BC117" s="882"/>
      <c r="BD117" s="882"/>
      <c r="BE117" s="882"/>
      <c r="BF117" s="882"/>
      <c r="BG117" s="882"/>
      <c r="BH117" s="882"/>
      <c r="BI117" s="882"/>
      <c r="BJ117" s="882"/>
      <c r="BK117" s="882"/>
      <c r="BL117" s="882"/>
      <c r="BM117" s="882"/>
      <c r="BN117" s="882"/>
      <c r="BO117" s="882"/>
      <c r="BP117" s="882"/>
      <c r="BQ117" s="882"/>
      <c r="BR117" s="882"/>
      <c r="BS117" s="882"/>
      <c r="BT117" s="882"/>
      <c r="BU117" s="882"/>
      <c r="BV117" s="882"/>
      <c r="BW117" s="882"/>
      <c r="BX117" s="882"/>
      <c r="BY117" s="882"/>
      <c r="BZ117" s="882"/>
      <c r="CA117" s="882"/>
    </row>
    <row r="118" spans="1:79">
      <c r="A118" s="882"/>
      <c r="B118" s="882"/>
      <c r="C118" s="882"/>
      <c r="D118" s="882"/>
      <c r="E118" s="882">
        <v>0</v>
      </c>
      <c r="F118" s="882"/>
      <c r="G118" s="1064"/>
      <c r="H118" s="1100">
        <v>0</v>
      </c>
      <c r="I118" s="882">
        <v>0</v>
      </c>
      <c r="J118" s="882">
        <v>0</v>
      </c>
      <c r="K118" s="882">
        <v>0</v>
      </c>
      <c r="L118" s="882">
        <v>0</v>
      </c>
      <c r="M118" s="882">
        <v>0</v>
      </c>
      <c r="N118" s="882">
        <v>0</v>
      </c>
      <c r="O118" s="882">
        <v>0</v>
      </c>
      <c r="P118" s="882">
        <v>0</v>
      </c>
      <c r="Q118" s="882">
        <v>0</v>
      </c>
      <c r="R118" s="882">
        <v>0</v>
      </c>
      <c r="S118" s="882">
        <v>0</v>
      </c>
      <c r="T118" s="882">
        <v>0</v>
      </c>
      <c r="U118" s="882">
        <v>0</v>
      </c>
      <c r="V118" s="882">
        <v>0</v>
      </c>
      <c r="W118" s="882">
        <v>0</v>
      </c>
      <c r="X118" s="882">
        <v>0</v>
      </c>
      <c r="Y118" s="882">
        <v>0</v>
      </c>
      <c r="Z118" s="882">
        <v>0</v>
      </c>
      <c r="AA118" s="882">
        <v>0</v>
      </c>
      <c r="AB118" s="882">
        <v>0</v>
      </c>
      <c r="AC118" s="882">
        <v>0</v>
      </c>
      <c r="AD118" s="882">
        <v>0</v>
      </c>
      <c r="AE118" s="882">
        <v>0</v>
      </c>
      <c r="AF118" s="882">
        <v>0</v>
      </c>
      <c r="AG118" s="882">
        <v>0</v>
      </c>
      <c r="AH118" s="882">
        <v>0</v>
      </c>
      <c r="AI118" s="882">
        <v>0</v>
      </c>
      <c r="AJ118" s="882">
        <v>0</v>
      </c>
      <c r="AK118" s="882">
        <v>0</v>
      </c>
      <c r="AL118" s="882">
        <v>0</v>
      </c>
      <c r="AM118" s="882">
        <v>0</v>
      </c>
      <c r="AN118" s="882">
        <v>0</v>
      </c>
      <c r="AO118" s="882">
        <v>0</v>
      </c>
      <c r="AP118" s="882">
        <v>0</v>
      </c>
      <c r="AQ118" s="882">
        <v>0</v>
      </c>
      <c r="AR118" s="882">
        <v>0</v>
      </c>
      <c r="AS118" s="882">
        <v>0</v>
      </c>
      <c r="AT118" s="882">
        <v>0</v>
      </c>
      <c r="AU118" s="882">
        <v>0</v>
      </c>
      <c r="AV118" s="882">
        <v>0</v>
      </c>
      <c r="AW118" s="882">
        <v>0</v>
      </c>
      <c r="AX118" s="882"/>
      <c r="AY118" s="882"/>
      <c r="AZ118" s="882"/>
      <c r="BA118" s="882"/>
      <c r="BB118" s="882"/>
      <c r="BC118" s="882"/>
      <c r="BD118" s="882"/>
      <c r="BE118" s="882"/>
      <c r="BF118" s="882"/>
      <c r="BG118" s="882"/>
      <c r="BH118" s="882"/>
      <c r="BI118" s="882"/>
      <c r="BJ118" s="882"/>
      <c r="BK118" s="882"/>
      <c r="BL118" s="882"/>
      <c r="BM118" s="882"/>
      <c r="BN118" s="882"/>
      <c r="BO118" s="882"/>
      <c r="BP118" s="882"/>
      <c r="BQ118" s="882"/>
      <c r="BR118" s="882"/>
      <c r="BS118" s="882"/>
      <c r="BT118" s="882"/>
      <c r="BU118" s="882"/>
      <c r="BV118" s="882"/>
      <c r="BW118" s="882"/>
      <c r="BX118" s="882"/>
      <c r="BY118" s="882"/>
      <c r="BZ118" s="882"/>
      <c r="CA118" s="882"/>
    </row>
    <row r="119" spans="1:79">
      <c r="A119" s="882"/>
      <c r="B119" s="1089" t="s">
        <v>630</v>
      </c>
      <c r="C119" s="882"/>
      <c r="D119" s="882"/>
      <c r="E119" s="882">
        <v>0</v>
      </c>
      <c r="F119" s="882"/>
      <c r="G119" s="882"/>
      <c r="H119" s="882">
        <v>0</v>
      </c>
      <c r="I119" s="882">
        <v>0</v>
      </c>
      <c r="J119" s="882">
        <v>0</v>
      </c>
      <c r="K119" s="882">
        <v>0</v>
      </c>
      <c r="L119" s="882">
        <v>0</v>
      </c>
      <c r="M119" s="882">
        <v>0</v>
      </c>
      <c r="N119" s="882">
        <v>0</v>
      </c>
      <c r="O119" s="882">
        <v>0</v>
      </c>
      <c r="P119" s="882">
        <v>0</v>
      </c>
      <c r="Q119" s="882">
        <v>0</v>
      </c>
      <c r="R119" s="882">
        <v>0</v>
      </c>
      <c r="S119" s="882">
        <v>0</v>
      </c>
      <c r="T119" s="882">
        <v>0</v>
      </c>
      <c r="U119" s="882">
        <v>0</v>
      </c>
      <c r="V119" s="882">
        <v>0</v>
      </c>
      <c r="W119" s="882">
        <v>0</v>
      </c>
      <c r="X119" s="882">
        <v>0</v>
      </c>
      <c r="Y119" s="882">
        <v>0</v>
      </c>
      <c r="Z119" s="882">
        <v>0</v>
      </c>
      <c r="AA119" s="882">
        <v>0</v>
      </c>
      <c r="AB119" s="882">
        <v>0</v>
      </c>
      <c r="AC119" s="882">
        <v>0</v>
      </c>
      <c r="AD119" s="882">
        <v>0</v>
      </c>
      <c r="AE119" s="882">
        <v>0</v>
      </c>
      <c r="AF119" s="882">
        <v>0</v>
      </c>
      <c r="AG119" s="882">
        <v>0</v>
      </c>
      <c r="AH119" s="882">
        <v>0</v>
      </c>
      <c r="AI119" s="882">
        <v>0</v>
      </c>
      <c r="AJ119" s="882">
        <v>0</v>
      </c>
      <c r="AK119" s="882">
        <v>0</v>
      </c>
      <c r="AL119" s="882">
        <v>0</v>
      </c>
      <c r="AM119" s="882">
        <v>0</v>
      </c>
      <c r="AN119" s="882">
        <v>0</v>
      </c>
      <c r="AO119" s="882">
        <v>0</v>
      </c>
      <c r="AP119" s="882">
        <v>0</v>
      </c>
      <c r="AQ119" s="882">
        <v>0</v>
      </c>
      <c r="AR119" s="882">
        <v>0</v>
      </c>
      <c r="AS119" s="882">
        <v>0</v>
      </c>
      <c r="AT119" s="882">
        <v>0</v>
      </c>
      <c r="AU119" s="882">
        <v>0</v>
      </c>
      <c r="AV119" s="882">
        <v>0</v>
      </c>
      <c r="AW119" s="882">
        <v>0</v>
      </c>
      <c r="AX119" s="882"/>
      <c r="AY119" s="882"/>
      <c r="AZ119" s="882"/>
      <c r="BA119" s="882"/>
      <c r="BB119" s="882"/>
      <c r="BC119" s="882"/>
      <c r="BD119" s="882"/>
      <c r="BE119" s="882"/>
      <c r="BF119" s="882"/>
      <c r="BG119" s="882"/>
      <c r="BH119" s="882"/>
      <c r="BI119" s="882"/>
      <c r="BJ119" s="882"/>
      <c r="BK119" s="882"/>
      <c r="BL119" s="882"/>
      <c r="BM119" s="882"/>
      <c r="BN119" s="882"/>
      <c r="BO119" s="882"/>
      <c r="BP119" s="882"/>
      <c r="BQ119" s="882"/>
      <c r="BR119" s="882"/>
      <c r="BS119" s="882"/>
      <c r="BT119" s="882"/>
      <c r="BU119" s="882"/>
      <c r="BV119" s="882"/>
      <c r="BW119" s="882"/>
      <c r="BX119" s="882"/>
      <c r="BY119" s="882"/>
      <c r="BZ119" s="882"/>
      <c r="CA119" s="882"/>
    </row>
    <row r="120" spans="1:79">
      <c r="A120" s="882"/>
      <c r="B120" s="882"/>
      <c r="C120" s="882"/>
      <c r="D120" s="1090"/>
      <c r="E120" s="1091">
        <v>0</v>
      </c>
      <c r="F120" s="1092" t="s">
        <v>626</v>
      </c>
      <c r="G120" s="1093"/>
      <c r="H120" s="1094">
        <v>0</v>
      </c>
      <c r="I120" s="1094">
        <f>I114</f>
        <v>0</v>
      </c>
      <c r="J120" s="1094">
        <f t="shared" ref="J120:AU120" si="10">J114</f>
        <v>0</v>
      </c>
      <c r="K120" s="1094">
        <f t="shared" si="10"/>
        <v>0</v>
      </c>
      <c r="L120" s="1094">
        <f t="shared" si="10"/>
        <v>0</v>
      </c>
      <c r="M120" s="1094">
        <f t="shared" si="10"/>
        <v>0</v>
      </c>
      <c r="N120" s="1094">
        <f t="shared" si="10"/>
        <v>0</v>
      </c>
      <c r="O120" s="1094">
        <f t="shared" si="10"/>
        <v>0</v>
      </c>
      <c r="P120" s="1094">
        <f t="shared" si="10"/>
        <v>0</v>
      </c>
      <c r="Q120" s="1094">
        <f t="shared" si="10"/>
        <v>0</v>
      </c>
      <c r="R120" s="1094">
        <f t="shared" si="10"/>
        <v>0</v>
      </c>
      <c r="S120" s="1094">
        <f t="shared" si="10"/>
        <v>0</v>
      </c>
      <c r="T120" s="1094">
        <f t="shared" si="10"/>
        <v>0</v>
      </c>
      <c r="U120" s="1094">
        <f t="shared" si="10"/>
        <v>0</v>
      </c>
      <c r="V120" s="1094">
        <f t="shared" si="10"/>
        <v>0</v>
      </c>
      <c r="W120" s="1094">
        <f t="shared" si="10"/>
        <v>0</v>
      </c>
      <c r="X120" s="1094">
        <f t="shared" si="10"/>
        <v>0</v>
      </c>
      <c r="Y120" s="1094">
        <f t="shared" si="10"/>
        <v>0</v>
      </c>
      <c r="Z120" s="1094">
        <f t="shared" si="10"/>
        <v>0</v>
      </c>
      <c r="AA120" s="1094">
        <f t="shared" si="10"/>
        <v>0</v>
      </c>
      <c r="AB120" s="1094">
        <f t="shared" si="10"/>
        <v>0</v>
      </c>
      <c r="AC120" s="1094">
        <f t="shared" si="10"/>
        <v>0</v>
      </c>
      <c r="AD120" s="1094">
        <f t="shared" si="10"/>
        <v>0</v>
      </c>
      <c r="AE120" s="1094">
        <f t="shared" si="10"/>
        <v>0</v>
      </c>
      <c r="AF120" s="1094">
        <f t="shared" si="10"/>
        <v>0</v>
      </c>
      <c r="AG120" s="1094">
        <f t="shared" si="10"/>
        <v>0</v>
      </c>
      <c r="AH120" s="1094">
        <f t="shared" si="10"/>
        <v>0</v>
      </c>
      <c r="AI120" s="1094">
        <f t="shared" si="10"/>
        <v>0</v>
      </c>
      <c r="AJ120" s="1094">
        <f t="shared" si="10"/>
        <v>0</v>
      </c>
      <c r="AK120" s="1094">
        <f t="shared" si="10"/>
        <v>0</v>
      </c>
      <c r="AL120" s="1094">
        <f t="shared" si="10"/>
        <v>0</v>
      </c>
      <c r="AM120" s="1094">
        <f t="shared" si="10"/>
        <v>0</v>
      </c>
      <c r="AN120" s="1094">
        <f t="shared" si="10"/>
        <v>0</v>
      </c>
      <c r="AO120" s="1094">
        <f t="shared" si="10"/>
        <v>0</v>
      </c>
      <c r="AP120" s="1094">
        <f t="shared" si="10"/>
        <v>0</v>
      </c>
      <c r="AQ120" s="1094">
        <f t="shared" si="10"/>
        <v>0</v>
      </c>
      <c r="AR120" s="1094">
        <f t="shared" si="10"/>
        <v>0</v>
      </c>
      <c r="AS120" s="1094">
        <f t="shared" si="10"/>
        <v>0</v>
      </c>
      <c r="AT120" s="1094">
        <f t="shared" si="10"/>
        <v>0</v>
      </c>
      <c r="AU120" s="1094">
        <f t="shared" si="10"/>
        <v>0</v>
      </c>
      <c r="AV120" s="882">
        <v>0</v>
      </c>
      <c r="AW120" s="882">
        <v>0</v>
      </c>
      <c r="AX120" s="882"/>
      <c r="AY120" s="882"/>
      <c r="AZ120" s="882"/>
      <c r="BA120" s="882"/>
      <c r="BB120" s="882"/>
      <c r="BC120" s="882"/>
      <c r="BD120" s="882"/>
      <c r="BE120" s="882"/>
      <c r="BF120" s="882"/>
      <c r="BG120" s="882"/>
      <c r="BH120" s="882"/>
      <c r="BI120" s="882"/>
      <c r="BJ120" s="882"/>
      <c r="BK120" s="882"/>
      <c r="BL120" s="882"/>
      <c r="BM120" s="882"/>
      <c r="BN120" s="882"/>
      <c r="BO120" s="882"/>
      <c r="BP120" s="882"/>
      <c r="BQ120" s="882"/>
      <c r="BR120" s="882"/>
      <c r="BS120" s="882"/>
      <c r="BT120" s="882"/>
      <c r="BU120" s="882"/>
      <c r="BV120" s="882"/>
      <c r="BW120" s="882"/>
      <c r="BX120" s="882"/>
      <c r="BY120" s="882"/>
      <c r="BZ120" s="882"/>
      <c r="CA120" s="882"/>
    </row>
    <row r="121" spans="1:79">
      <c r="A121" s="882"/>
      <c r="B121" s="882"/>
      <c r="C121" s="882"/>
      <c r="D121" s="1095"/>
      <c r="E121" s="1064" t="s">
        <v>631</v>
      </c>
      <c r="F121" s="1096">
        <v>3.6999999999999998E-2</v>
      </c>
      <c r="G121" s="897"/>
      <c r="H121" s="1094">
        <v>0</v>
      </c>
      <c r="I121" s="1094">
        <f>I120*$F$121/12</f>
        <v>0</v>
      </c>
      <c r="J121" s="1094">
        <f t="shared" ref="J121:AU121" si="11">J120*$F$121/12</f>
        <v>0</v>
      </c>
      <c r="K121" s="1094">
        <f t="shared" si="11"/>
        <v>0</v>
      </c>
      <c r="L121" s="1094">
        <f t="shared" si="11"/>
        <v>0</v>
      </c>
      <c r="M121" s="1094">
        <f t="shared" si="11"/>
        <v>0</v>
      </c>
      <c r="N121" s="1094">
        <f t="shared" si="11"/>
        <v>0</v>
      </c>
      <c r="O121" s="1094">
        <f t="shared" si="11"/>
        <v>0</v>
      </c>
      <c r="P121" s="1094">
        <f t="shared" si="11"/>
        <v>0</v>
      </c>
      <c r="Q121" s="1094">
        <f t="shared" si="11"/>
        <v>0</v>
      </c>
      <c r="R121" s="1094">
        <f t="shared" si="11"/>
        <v>0</v>
      </c>
      <c r="S121" s="1094">
        <f t="shared" si="11"/>
        <v>0</v>
      </c>
      <c r="T121" s="1094">
        <f t="shared" si="11"/>
        <v>0</v>
      </c>
      <c r="U121" s="1094">
        <f t="shared" si="11"/>
        <v>0</v>
      </c>
      <c r="V121" s="1094">
        <f t="shared" si="11"/>
        <v>0</v>
      </c>
      <c r="W121" s="1094">
        <f t="shared" si="11"/>
        <v>0</v>
      </c>
      <c r="X121" s="1094">
        <f t="shared" si="11"/>
        <v>0</v>
      </c>
      <c r="Y121" s="1094">
        <f t="shared" si="11"/>
        <v>0</v>
      </c>
      <c r="Z121" s="1094">
        <f t="shared" si="11"/>
        <v>0</v>
      </c>
      <c r="AA121" s="1094">
        <f t="shared" si="11"/>
        <v>0</v>
      </c>
      <c r="AB121" s="1094">
        <f t="shared" si="11"/>
        <v>0</v>
      </c>
      <c r="AC121" s="1094">
        <f t="shared" si="11"/>
        <v>0</v>
      </c>
      <c r="AD121" s="1094">
        <f t="shared" si="11"/>
        <v>0</v>
      </c>
      <c r="AE121" s="1094">
        <f t="shared" si="11"/>
        <v>0</v>
      </c>
      <c r="AF121" s="1094">
        <f t="shared" si="11"/>
        <v>0</v>
      </c>
      <c r="AG121" s="1094">
        <f t="shared" si="11"/>
        <v>0</v>
      </c>
      <c r="AH121" s="1094">
        <f t="shared" si="11"/>
        <v>0</v>
      </c>
      <c r="AI121" s="1094">
        <f t="shared" si="11"/>
        <v>0</v>
      </c>
      <c r="AJ121" s="1094">
        <f t="shared" si="11"/>
        <v>0</v>
      </c>
      <c r="AK121" s="1094">
        <f t="shared" si="11"/>
        <v>0</v>
      </c>
      <c r="AL121" s="1094">
        <f t="shared" si="11"/>
        <v>0</v>
      </c>
      <c r="AM121" s="1094">
        <f t="shared" si="11"/>
        <v>0</v>
      </c>
      <c r="AN121" s="1094">
        <f t="shared" si="11"/>
        <v>0</v>
      </c>
      <c r="AO121" s="1094">
        <f t="shared" si="11"/>
        <v>0</v>
      </c>
      <c r="AP121" s="1094">
        <f t="shared" si="11"/>
        <v>0</v>
      </c>
      <c r="AQ121" s="1094">
        <f t="shared" si="11"/>
        <v>0</v>
      </c>
      <c r="AR121" s="1094">
        <f t="shared" si="11"/>
        <v>0</v>
      </c>
      <c r="AS121" s="1094">
        <f t="shared" si="11"/>
        <v>0</v>
      </c>
      <c r="AT121" s="1094">
        <f t="shared" si="11"/>
        <v>0</v>
      </c>
      <c r="AU121" s="1094">
        <f t="shared" si="11"/>
        <v>0</v>
      </c>
      <c r="AV121" s="882">
        <v>0</v>
      </c>
      <c r="AW121" s="882">
        <v>0</v>
      </c>
      <c r="AX121" s="882"/>
      <c r="AY121" s="882"/>
      <c r="AZ121" s="882"/>
      <c r="BA121" s="882"/>
      <c r="BB121" s="882"/>
      <c r="BC121" s="882"/>
      <c r="BD121" s="882"/>
      <c r="BE121" s="882"/>
      <c r="BF121" s="882"/>
      <c r="BG121" s="882"/>
      <c r="BH121" s="882"/>
      <c r="BI121" s="882"/>
      <c r="BJ121" s="882"/>
      <c r="BK121" s="882"/>
      <c r="BL121" s="882"/>
      <c r="BM121" s="882"/>
      <c r="BN121" s="882"/>
      <c r="BO121" s="882"/>
      <c r="BP121" s="882"/>
      <c r="BQ121" s="882"/>
      <c r="BR121" s="882"/>
      <c r="BS121" s="882"/>
      <c r="BT121" s="882"/>
      <c r="BU121" s="882"/>
      <c r="BV121" s="882"/>
      <c r="BW121" s="882"/>
      <c r="BX121" s="882"/>
      <c r="BY121" s="882"/>
      <c r="BZ121" s="882"/>
      <c r="CA121" s="882"/>
    </row>
    <row r="122" spans="1:79">
      <c r="A122" s="882"/>
      <c r="B122" s="882"/>
      <c r="C122" s="882"/>
      <c r="D122" s="1097"/>
      <c r="E122" s="976">
        <v>0</v>
      </c>
      <c r="F122" s="976"/>
      <c r="G122" s="1098" t="s">
        <v>632</v>
      </c>
      <c r="H122" s="1099">
        <f>SUM(H121:AU121)</f>
        <v>0</v>
      </c>
      <c r="I122" s="1102">
        <v>0</v>
      </c>
      <c r="J122" s="1100">
        <v>0</v>
      </c>
      <c r="K122" s="1100">
        <v>0</v>
      </c>
      <c r="L122" s="1100">
        <v>0</v>
      </c>
      <c r="M122" s="1100">
        <v>0</v>
      </c>
      <c r="N122" s="1100">
        <v>0</v>
      </c>
      <c r="O122" s="1100">
        <v>0</v>
      </c>
      <c r="P122" s="1100">
        <v>0</v>
      </c>
      <c r="Q122" s="1100">
        <v>0</v>
      </c>
      <c r="R122" s="1100">
        <v>0</v>
      </c>
      <c r="S122" s="1100">
        <v>0</v>
      </c>
      <c r="T122" s="1100">
        <v>0</v>
      </c>
      <c r="U122" s="1100">
        <v>0</v>
      </c>
      <c r="V122" s="1100">
        <v>0</v>
      </c>
      <c r="W122" s="1100">
        <v>0</v>
      </c>
      <c r="X122" s="1100">
        <v>0</v>
      </c>
      <c r="Y122" s="1100">
        <v>0</v>
      </c>
      <c r="Z122" s="1100">
        <v>0</v>
      </c>
      <c r="AA122" s="1100">
        <v>0</v>
      </c>
      <c r="AB122" s="1100">
        <v>0</v>
      </c>
      <c r="AC122" s="1100">
        <v>0</v>
      </c>
      <c r="AD122" s="1100">
        <v>0</v>
      </c>
      <c r="AE122" s="1100">
        <v>0</v>
      </c>
      <c r="AF122" s="1100">
        <v>0</v>
      </c>
      <c r="AG122" s="1100">
        <v>0</v>
      </c>
      <c r="AH122" s="1100">
        <v>0</v>
      </c>
      <c r="AI122" s="1100">
        <v>0</v>
      </c>
      <c r="AJ122" s="1100">
        <v>0</v>
      </c>
      <c r="AK122" s="1100">
        <v>0</v>
      </c>
      <c r="AL122" s="1100">
        <v>0</v>
      </c>
      <c r="AM122" s="1100">
        <v>0</v>
      </c>
      <c r="AN122" s="1100">
        <v>0</v>
      </c>
      <c r="AO122" s="1100">
        <v>0</v>
      </c>
      <c r="AP122" s="1100">
        <v>0</v>
      </c>
      <c r="AQ122" s="1100">
        <v>0</v>
      </c>
      <c r="AR122" s="1100">
        <v>0</v>
      </c>
      <c r="AS122" s="1100">
        <v>0</v>
      </c>
      <c r="AT122" s="1100">
        <v>0</v>
      </c>
      <c r="AU122" s="882">
        <v>0</v>
      </c>
      <c r="AV122" s="882">
        <v>0</v>
      </c>
      <c r="AW122" s="882">
        <v>0</v>
      </c>
      <c r="AX122" s="882"/>
      <c r="AY122" s="882"/>
      <c r="AZ122" s="882"/>
      <c r="BA122" s="882"/>
      <c r="BB122" s="882"/>
      <c r="BC122" s="882"/>
      <c r="BD122" s="882"/>
      <c r="BE122" s="882"/>
      <c r="BF122" s="882"/>
      <c r="BG122" s="882"/>
      <c r="BH122" s="882"/>
      <c r="BI122" s="882"/>
      <c r="BJ122" s="882"/>
      <c r="BK122" s="882"/>
      <c r="BL122" s="882"/>
      <c r="BM122" s="882"/>
      <c r="BN122" s="882"/>
      <c r="BO122" s="882"/>
      <c r="BP122" s="882"/>
      <c r="BQ122" s="882"/>
      <c r="BR122" s="882"/>
      <c r="BS122" s="882"/>
      <c r="BT122" s="882"/>
      <c r="BU122" s="882"/>
      <c r="BV122" s="882"/>
      <c r="BW122" s="882"/>
      <c r="BX122" s="882"/>
      <c r="BY122" s="882"/>
      <c r="BZ122" s="882"/>
      <c r="CA122" s="882"/>
    </row>
    <row r="123" spans="1:79">
      <c r="A123" s="882"/>
      <c r="B123" s="882"/>
      <c r="C123" s="882"/>
      <c r="D123" s="882"/>
      <c r="E123" s="882">
        <v>0</v>
      </c>
      <c r="F123" s="882"/>
      <c r="G123" s="882"/>
      <c r="H123" s="882">
        <v>0</v>
      </c>
      <c r="I123" s="882">
        <v>0</v>
      </c>
      <c r="J123" s="882">
        <v>0</v>
      </c>
      <c r="K123" s="882">
        <v>0</v>
      </c>
      <c r="L123" s="882">
        <v>0</v>
      </c>
      <c r="M123" s="882">
        <v>0</v>
      </c>
      <c r="N123" s="882">
        <v>0</v>
      </c>
      <c r="O123" s="882">
        <v>0</v>
      </c>
      <c r="P123" s="882">
        <v>0</v>
      </c>
      <c r="Q123" s="882">
        <v>0</v>
      </c>
      <c r="R123" s="882">
        <v>0</v>
      </c>
      <c r="S123" s="882">
        <v>0</v>
      </c>
      <c r="T123" s="882">
        <v>0</v>
      </c>
      <c r="U123" s="882">
        <v>0</v>
      </c>
      <c r="V123" s="882">
        <v>0</v>
      </c>
      <c r="W123" s="882">
        <v>0</v>
      </c>
      <c r="X123" s="882">
        <v>0</v>
      </c>
      <c r="Y123" s="882">
        <v>0</v>
      </c>
      <c r="Z123" s="882">
        <v>0</v>
      </c>
      <c r="AA123" s="882">
        <v>0</v>
      </c>
      <c r="AB123" s="882">
        <v>0</v>
      </c>
      <c r="AC123" s="882">
        <v>0</v>
      </c>
      <c r="AD123" s="882">
        <v>0</v>
      </c>
      <c r="AE123" s="882">
        <v>0</v>
      </c>
      <c r="AF123" s="882">
        <v>0</v>
      </c>
      <c r="AG123" s="882">
        <v>0</v>
      </c>
      <c r="AH123" s="882">
        <v>0</v>
      </c>
      <c r="AI123" s="882">
        <v>0</v>
      </c>
      <c r="AJ123" s="882">
        <v>0</v>
      </c>
      <c r="AK123" s="882">
        <v>0</v>
      </c>
      <c r="AL123" s="882">
        <v>0</v>
      </c>
      <c r="AM123" s="882">
        <v>0</v>
      </c>
      <c r="AN123" s="882">
        <v>0</v>
      </c>
      <c r="AO123" s="882">
        <v>0</v>
      </c>
      <c r="AP123" s="882">
        <v>0</v>
      </c>
      <c r="AQ123" s="882">
        <v>0</v>
      </c>
      <c r="AR123" s="882">
        <v>0</v>
      </c>
      <c r="AS123" s="882">
        <v>0</v>
      </c>
      <c r="AT123" s="882">
        <v>0</v>
      </c>
      <c r="AU123" s="882">
        <v>0</v>
      </c>
      <c r="AV123" s="882">
        <v>0</v>
      </c>
      <c r="AW123" s="882">
        <v>0</v>
      </c>
      <c r="AX123" s="882"/>
      <c r="AY123" s="882"/>
      <c r="AZ123" s="882"/>
      <c r="BA123" s="882"/>
      <c r="BB123" s="882"/>
      <c r="BC123" s="882"/>
      <c r="BD123" s="882"/>
      <c r="BE123" s="882"/>
      <c r="BF123" s="882"/>
      <c r="BG123" s="882"/>
      <c r="BH123" s="882"/>
      <c r="BI123" s="882"/>
      <c r="BJ123" s="882"/>
      <c r="BK123" s="882"/>
      <c r="BL123" s="882"/>
      <c r="BM123" s="882"/>
      <c r="BN123" s="882"/>
      <c r="BO123" s="882"/>
      <c r="BP123" s="882"/>
      <c r="BQ123" s="882"/>
      <c r="BR123" s="882"/>
      <c r="BS123" s="882"/>
      <c r="BT123" s="882"/>
      <c r="BU123" s="882"/>
      <c r="BV123" s="882"/>
      <c r="BW123" s="882"/>
      <c r="BX123" s="882"/>
      <c r="BY123" s="882"/>
      <c r="BZ123" s="882"/>
      <c r="CA123" s="882"/>
    </row>
    <row r="124" spans="1:79">
      <c r="A124" s="882"/>
      <c r="B124" s="1089" t="s">
        <v>633</v>
      </c>
      <c r="C124" s="882"/>
      <c r="D124" s="882"/>
      <c r="E124" s="882">
        <v>0</v>
      </c>
      <c r="F124" s="882"/>
      <c r="G124" s="882"/>
      <c r="H124" s="882">
        <v>0</v>
      </c>
      <c r="I124" s="882">
        <v>0</v>
      </c>
      <c r="J124" s="882">
        <v>0</v>
      </c>
      <c r="K124" s="882">
        <v>0</v>
      </c>
      <c r="L124" s="882">
        <v>0</v>
      </c>
      <c r="M124" s="882">
        <v>0</v>
      </c>
      <c r="N124" s="882">
        <v>0</v>
      </c>
      <c r="O124" s="882">
        <v>0</v>
      </c>
      <c r="P124" s="882">
        <v>0</v>
      </c>
      <c r="Q124" s="882">
        <v>0</v>
      </c>
      <c r="R124" s="882">
        <v>0</v>
      </c>
      <c r="S124" s="882">
        <v>0</v>
      </c>
      <c r="T124" s="882">
        <v>0</v>
      </c>
      <c r="U124" s="882">
        <v>0</v>
      </c>
      <c r="V124" s="882">
        <v>0</v>
      </c>
      <c r="W124" s="882">
        <v>0</v>
      </c>
      <c r="X124" s="882">
        <v>0</v>
      </c>
      <c r="Y124" s="882">
        <v>0</v>
      </c>
      <c r="Z124" s="882">
        <v>0</v>
      </c>
      <c r="AA124" s="882">
        <v>0</v>
      </c>
      <c r="AB124" s="882">
        <v>0</v>
      </c>
      <c r="AC124" s="882">
        <v>0</v>
      </c>
      <c r="AD124" s="882">
        <v>0</v>
      </c>
      <c r="AE124" s="882">
        <v>0</v>
      </c>
      <c r="AF124" s="882">
        <v>0</v>
      </c>
      <c r="AG124" s="882">
        <v>0</v>
      </c>
      <c r="AH124" s="882">
        <v>0</v>
      </c>
      <c r="AI124" s="882">
        <v>0</v>
      </c>
      <c r="AJ124" s="882">
        <v>0</v>
      </c>
      <c r="AK124" s="882">
        <v>0</v>
      </c>
      <c r="AL124" s="882">
        <v>0</v>
      </c>
      <c r="AM124" s="882">
        <v>0</v>
      </c>
      <c r="AN124" s="882">
        <v>0</v>
      </c>
      <c r="AO124" s="882">
        <v>0</v>
      </c>
      <c r="AP124" s="882">
        <v>0</v>
      </c>
      <c r="AQ124" s="882">
        <v>0</v>
      </c>
      <c r="AR124" s="882">
        <v>0</v>
      </c>
      <c r="AS124" s="882">
        <v>0</v>
      </c>
      <c r="AT124" s="882">
        <v>0</v>
      </c>
      <c r="AU124" s="882">
        <v>0</v>
      </c>
      <c r="AV124" s="882">
        <v>0</v>
      </c>
      <c r="AW124" s="882">
        <v>0</v>
      </c>
      <c r="AX124" s="882"/>
      <c r="AY124" s="882"/>
      <c r="AZ124" s="882"/>
      <c r="BA124" s="882"/>
      <c r="BB124" s="882"/>
      <c r="BC124" s="882"/>
      <c r="BD124" s="882"/>
      <c r="BE124" s="882"/>
      <c r="BF124" s="882"/>
      <c r="BG124" s="882"/>
      <c r="BH124" s="882"/>
      <c r="BI124" s="882"/>
      <c r="BJ124" s="882"/>
      <c r="BK124" s="882"/>
      <c r="BL124" s="882"/>
      <c r="BM124" s="882"/>
      <c r="BN124" s="882"/>
      <c r="BO124" s="882"/>
      <c r="BP124" s="882"/>
      <c r="BQ124" s="882"/>
      <c r="BR124" s="882"/>
      <c r="BS124" s="882"/>
      <c r="BT124" s="882"/>
      <c r="BU124" s="882"/>
      <c r="BV124" s="882"/>
      <c r="BW124" s="882"/>
      <c r="BX124" s="882"/>
      <c r="BY124" s="882"/>
      <c r="BZ124" s="882"/>
      <c r="CA124" s="882"/>
    </row>
    <row r="125" spans="1:79">
      <c r="A125" s="882"/>
      <c r="B125" s="882"/>
      <c r="C125" s="882"/>
      <c r="D125" s="1090"/>
      <c r="E125" s="1091">
        <v>0</v>
      </c>
      <c r="F125" s="1092" t="s">
        <v>634</v>
      </c>
      <c r="G125" s="1091"/>
      <c r="H125" s="1100">
        <v>0</v>
      </c>
      <c r="I125" s="1100">
        <f>I134</f>
        <v>0</v>
      </c>
      <c r="J125" s="1100">
        <f t="shared" ref="J125:AU125" si="12">J134</f>
        <v>0</v>
      </c>
      <c r="K125" s="1100">
        <f t="shared" si="12"/>
        <v>0</v>
      </c>
      <c r="L125" s="1100">
        <f t="shared" si="12"/>
        <v>0</v>
      </c>
      <c r="M125" s="1100">
        <f t="shared" si="12"/>
        <v>0</v>
      </c>
      <c r="N125" s="1100">
        <f t="shared" si="12"/>
        <v>0</v>
      </c>
      <c r="O125" s="1100">
        <f t="shared" si="12"/>
        <v>0</v>
      </c>
      <c r="P125" s="1100">
        <f t="shared" si="12"/>
        <v>0</v>
      </c>
      <c r="Q125" s="1100">
        <f t="shared" si="12"/>
        <v>0</v>
      </c>
      <c r="R125" s="1100">
        <f t="shared" si="12"/>
        <v>0</v>
      </c>
      <c r="S125" s="1100">
        <f t="shared" si="12"/>
        <v>0</v>
      </c>
      <c r="T125" s="1100">
        <f t="shared" si="12"/>
        <v>0</v>
      </c>
      <c r="U125" s="1100">
        <f t="shared" si="12"/>
        <v>0</v>
      </c>
      <c r="V125" s="1100">
        <f t="shared" si="12"/>
        <v>0</v>
      </c>
      <c r="W125" s="1100">
        <f t="shared" si="12"/>
        <v>0</v>
      </c>
      <c r="X125" s="1100">
        <f t="shared" si="12"/>
        <v>0</v>
      </c>
      <c r="Y125" s="1100">
        <f t="shared" si="12"/>
        <v>0</v>
      </c>
      <c r="Z125" s="1100">
        <f t="shared" si="12"/>
        <v>0</v>
      </c>
      <c r="AA125" s="1100">
        <f t="shared" si="12"/>
        <v>0</v>
      </c>
      <c r="AB125" s="1100">
        <f t="shared" si="12"/>
        <v>0</v>
      </c>
      <c r="AC125" s="1100">
        <f t="shared" si="12"/>
        <v>0</v>
      </c>
      <c r="AD125" s="1100">
        <f t="shared" si="12"/>
        <v>0</v>
      </c>
      <c r="AE125" s="1100">
        <f t="shared" si="12"/>
        <v>0</v>
      </c>
      <c r="AF125" s="1100">
        <f t="shared" si="12"/>
        <v>0</v>
      </c>
      <c r="AG125" s="1100">
        <f t="shared" si="12"/>
        <v>0</v>
      </c>
      <c r="AH125" s="1100">
        <f t="shared" si="12"/>
        <v>0</v>
      </c>
      <c r="AI125" s="1100">
        <f t="shared" si="12"/>
        <v>0</v>
      </c>
      <c r="AJ125" s="1100">
        <f t="shared" si="12"/>
        <v>0</v>
      </c>
      <c r="AK125" s="1100">
        <f t="shared" si="12"/>
        <v>0</v>
      </c>
      <c r="AL125" s="1100">
        <f t="shared" si="12"/>
        <v>0</v>
      </c>
      <c r="AM125" s="1100">
        <f t="shared" si="12"/>
        <v>0</v>
      </c>
      <c r="AN125" s="1100">
        <f t="shared" si="12"/>
        <v>0</v>
      </c>
      <c r="AO125" s="1100">
        <f t="shared" si="12"/>
        <v>0</v>
      </c>
      <c r="AP125" s="1100">
        <f t="shared" si="12"/>
        <v>0</v>
      </c>
      <c r="AQ125" s="1100">
        <f t="shared" si="12"/>
        <v>0</v>
      </c>
      <c r="AR125" s="1100">
        <f t="shared" si="12"/>
        <v>0</v>
      </c>
      <c r="AS125" s="1100">
        <f t="shared" si="12"/>
        <v>0</v>
      </c>
      <c r="AT125" s="1100">
        <f t="shared" si="12"/>
        <v>0</v>
      </c>
      <c r="AU125" s="1100">
        <f t="shared" si="12"/>
        <v>0</v>
      </c>
      <c r="AV125" s="882">
        <v>0</v>
      </c>
      <c r="AW125" s="882">
        <v>0</v>
      </c>
      <c r="AX125" s="882"/>
      <c r="AY125" s="882"/>
      <c r="AZ125" s="882"/>
      <c r="BA125" s="882"/>
      <c r="BB125" s="882"/>
      <c r="BC125" s="882"/>
      <c r="BD125" s="882"/>
      <c r="BE125" s="882"/>
      <c r="BF125" s="882"/>
      <c r="BG125" s="882"/>
      <c r="BH125" s="882"/>
      <c r="BI125" s="882"/>
      <c r="BJ125" s="882"/>
      <c r="BK125" s="882"/>
      <c r="BL125" s="882"/>
      <c r="BM125" s="882"/>
      <c r="BN125" s="882"/>
      <c r="BO125" s="882"/>
      <c r="BP125" s="882"/>
      <c r="BQ125" s="882"/>
      <c r="BR125" s="882"/>
      <c r="BS125" s="882"/>
      <c r="BT125" s="882"/>
      <c r="BU125" s="882"/>
      <c r="BV125" s="882"/>
      <c r="BW125" s="882"/>
      <c r="BX125" s="882"/>
      <c r="BY125" s="882"/>
      <c r="BZ125" s="882"/>
      <c r="CA125" s="882"/>
    </row>
    <row r="126" spans="1:79">
      <c r="A126" s="882"/>
      <c r="B126" s="882"/>
      <c r="C126" s="882"/>
      <c r="D126" s="1095"/>
      <c r="E126" s="882">
        <v>0</v>
      </c>
      <c r="F126" s="1064" t="s">
        <v>635</v>
      </c>
      <c r="G126" s="882"/>
      <c r="H126" s="1100">
        <v>0</v>
      </c>
      <c r="I126" s="1100">
        <f>I114-I125</f>
        <v>0</v>
      </c>
      <c r="J126" s="1100">
        <f t="shared" ref="J126:AU126" si="13">J114-J125</f>
        <v>0</v>
      </c>
      <c r="K126" s="1100">
        <f t="shared" si="13"/>
        <v>0</v>
      </c>
      <c r="L126" s="1100">
        <f t="shared" si="13"/>
        <v>0</v>
      </c>
      <c r="M126" s="1100">
        <f t="shared" si="13"/>
        <v>0</v>
      </c>
      <c r="N126" s="1100">
        <f t="shared" si="13"/>
        <v>0</v>
      </c>
      <c r="O126" s="1100">
        <f t="shared" si="13"/>
        <v>0</v>
      </c>
      <c r="P126" s="1100">
        <f t="shared" si="13"/>
        <v>0</v>
      </c>
      <c r="Q126" s="1100">
        <f t="shared" si="13"/>
        <v>0</v>
      </c>
      <c r="R126" s="1100">
        <f t="shared" si="13"/>
        <v>0</v>
      </c>
      <c r="S126" s="1100">
        <f t="shared" si="13"/>
        <v>0</v>
      </c>
      <c r="T126" s="1100">
        <f t="shared" si="13"/>
        <v>0</v>
      </c>
      <c r="U126" s="1100">
        <f t="shared" si="13"/>
        <v>0</v>
      </c>
      <c r="V126" s="1100">
        <f t="shared" si="13"/>
        <v>0</v>
      </c>
      <c r="W126" s="1100">
        <f t="shared" si="13"/>
        <v>0</v>
      </c>
      <c r="X126" s="1100">
        <f t="shared" si="13"/>
        <v>0</v>
      </c>
      <c r="Y126" s="1100">
        <f t="shared" si="13"/>
        <v>0</v>
      </c>
      <c r="Z126" s="1100">
        <f t="shared" si="13"/>
        <v>0</v>
      </c>
      <c r="AA126" s="1100">
        <f t="shared" si="13"/>
        <v>0</v>
      </c>
      <c r="AB126" s="1100">
        <f t="shared" si="13"/>
        <v>0</v>
      </c>
      <c r="AC126" s="1100">
        <f t="shared" si="13"/>
        <v>0</v>
      </c>
      <c r="AD126" s="1100">
        <f t="shared" si="13"/>
        <v>0</v>
      </c>
      <c r="AE126" s="1100">
        <f t="shared" si="13"/>
        <v>0</v>
      </c>
      <c r="AF126" s="1100">
        <f t="shared" si="13"/>
        <v>0</v>
      </c>
      <c r="AG126" s="1100">
        <f t="shared" si="13"/>
        <v>0</v>
      </c>
      <c r="AH126" s="1100">
        <f t="shared" si="13"/>
        <v>0</v>
      </c>
      <c r="AI126" s="1100">
        <f t="shared" si="13"/>
        <v>0</v>
      </c>
      <c r="AJ126" s="1100">
        <f t="shared" si="13"/>
        <v>0</v>
      </c>
      <c r="AK126" s="1100">
        <f t="shared" si="13"/>
        <v>0</v>
      </c>
      <c r="AL126" s="1100">
        <f t="shared" si="13"/>
        <v>0</v>
      </c>
      <c r="AM126" s="1100">
        <f t="shared" si="13"/>
        <v>0</v>
      </c>
      <c r="AN126" s="1100">
        <f t="shared" si="13"/>
        <v>0</v>
      </c>
      <c r="AO126" s="1100">
        <f t="shared" si="13"/>
        <v>0</v>
      </c>
      <c r="AP126" s="1100">
        <f t="shared" si="13"/>
        <v>0</v>
      </c>
      <c r="AQ126" s="1100">
        <f t="shared" si="13"/>
        <v>0</v>
      </c>
      <c r="AR126" s="1100">
        <f t="shared" si="13"/>
        <v>0</v>
      </c>
      <c r="AS126" s="1100">
        <f t="shared" si="13"/>
        <v>0</v>
      </c>
      <c r="AT126" s="1100">
        <f t="shared" si="13"/>
        <v>0</v>
      </c>
      <c r="AU126" s="1100">
        <f t="shared" si="13"/>
        <v>0</v>
      </c>
      <c r="AV126" s="882">
        <v>0</v>
      </c>
      <c r="AW126" s="882">
        <v>0</v>
      </c>
      <c r="AX126" s="882"/>
      <c r="AY126" s="882"/>
      <c r="AZ126" s="882"/>
      <c r="BA126" s="882"/>
      <c r="BB126" s="882"/>
      <c r="BC126" s="882"/>
      <c r="BD126" s="882"/>
      <c r="BE126" s="882"/>
      <c r="BF126" s="882"/>
      <c r="BG126" s="882"/>
      <c r="BH126" s="882"/>
      <c r="BI126" s="882"/>
      <c r="BJ126" s="882"/>
      <c r="BK126" s="882"/>
      <c r="BL126" s="882"/>
      <c r="BM126" s="882"/>
      <c r="BN126" s="882"/>
      <c r="BO126" s="882"/>
      <c r="BP126" s="882"/>
      <c r="BQ126" s="882"/>
      <c r="BR126" s="882"/>
      <c r="BS126" s="882"/>
      <c r="BT126" s="882"/>
      <c r="BU126" s="882"/>
      <c r="BV126" s="882"/>
      <c r="BW126" s="882"/>
      <c r="BX126" s="882"/>
      <c r="BY126" s="882"/>
      <c r="BZ126" s="882"/>
      <c r="CA126" s="882"/>
    </row>
    <row r="127" spans="1:79">
      <c r="A127" s="882"/>
      <c r="B127" s="882"/>
      <c r="C127" s="882"/>
      <c r="D127" s="1095" t="s">
        <v>631</v>
      </c>
      <c r="E127" s="882">
        <v>0</v>
      </c>
      <c r="F127" s="1103"/>
      <c r="G127" s="882"/>
      <c r="H127" s="1100">
        <v>0</v>
      </c>
      <c r="I127" s="1100">
        <f>I126*$F$121/12</f>
        <v>0</v>
      </c>
      <c r="J127" s="1100">
        <f t="shared" ref="J127:AU127" si="14">J126*$F$121/12</f>
        <v>0</v>
      </c>
      <c r="K127" s="1100">
        <f t="shared" si="14"/>
        <v>0</v>
      </c>
      <c r="L127" s="1100">
        <f t="shared" si="14"/>
        <v>0</v>
      </c>
      <c r="M127" s="1100">
        <f t="shared" si="14"/>
        <v>0</v>
      </c>
      <c r="N127" s="1100">
        <f t="shared" si="14"/>
        <v>0</v>
      </c>
      <c r="O127" s="1100">
        <f t="shared" si="14"/>
        <v>0</v>
      </c>
      <c r="P127" s="1100">
        <f t="shared" si="14"/>
        <v>0</v>
      </c>
      <c r="Q127" s="1100">
        <f t="shared" si="14"/>
        <v>0</v>
      </c>
      <c r="R127" s="1100">
        <f t="shared" si="14"/>
        <v>0</v>
      </c>
      <c r="S127" s="1100">
        <f t="shared" si="14"/>
        <v>0</v>
      </c>
      <c r="T127" s="1100">
        <f t="shared" si="14"/>
        <v>0</v>
      </c>
      <c r="U127" s="1100">
        <f t="shared" si="14"/>
        <v>0</v>
      </c>
      <c r="V127" s="1100">
        <f t="shared" si="14"/>
        <v>0</v>
      </c>
      <c r="W127" s="1100">
        <f t="shared" si="14"/>
        <v>0</v>
      </c>
      <c r="X127" s="1100">
        <f t="shared" si="14"/>
        <v>0</v>
      </c>
      <c r="Y127" s="1100">
        <f t="shared" si="14"/>
        <v>0</v>
      </c>
      <c r="Z127" s="1100">
        <f t="shared" si="14"/>
        <v>0</v>
      </c>
      <c r="AA127" s="1100">
        <f t="shared" si="14"/>
        <v>0</v>
      </c>
      <c r="AB127" s="1100">
        <f t="shared" si="14"/>
        <v>0</v>
      </c>
      <c r="AC127" s="1100">
        <f t="shared" si="14"/>
        <v>0</v>
      </c>
      <c r="AD127" s="1100">
        <f t="shared" si="14"/>
        <v>0</v>
      </c>
      <c r="AE127" s="1100">
        <f t="shared" si="14"/>
        <v>0</v>
      </c>
      <c r="AF127" s="1100">
        <f t="shared" si="14"/>
        <v>0</v>
      </c>
      <c r="AG127" s="1100">
        <f t="shared" si="14"/>
        <v>0</v>
      </c>
      <c r="AH127" s="1100">
        <f t="shared" si="14"/>
        <v>0</v>
      </c>
      <c r="AI127" s="1100">
        <f t="shared" si="14"/>
        <v>0</v>
      </c>
      <c r="AJ127" s="1100">
        <f t="shared" si="14"/>
        <v>0</v>
      </c>
      <c r="AK127" s="1100">
        <f t="shared" si="14"/>
        <v>0</v>
      </c>
      <c r="AL127" s="1100">
        <f t="shared" si="14"/>
        <v>0</v>
      </c>
      <c r="AM127" s="1100">
        <f t="shared" si="14"/>
        <v>0</v>
      </c>
      <c r="AN127" s="1100">
        <f t="shared" si="14"/>
        <v>0</v>
      </c>
      <c r="AO127" s="1100">
        <f t="shared" si="14"/>
        <v>0</v>
      </c>
      <c r="AP127" s="1100">
        <f t="shared" si="14"/>
        <v>0</v>
      </c>
      <c r="AQ127" s="1100">
        <f t="shared" si="14"/>
        <v>0</v>
      </c>
      <c r="AR127" s="1100">
        <f t="shared" si="14"/>
        <v>0</v>
      </c>
      <c r="AS127" s="1100">
        <f t="shared" si="14"/>
        <v>0</v>
      </c>
      <c r="AT127" s="1100">
        <f t="shared" si="14"/>
        <v>0</v>
      </c>
      <c r="AU127" s="1100">
        <f t="shared" si="14"/>
        <v>0</v>
      </c>
      <c r="AV127" s="882">
        <v>0</v>
      </c>
      <c r="AW127" s="882">
        <v>0</v>
      </c>
      <c r="AX127" s="882"/>
      <c r="AY127" s="882"/>
      <c r="AZ127" s="882"/>
      <c r="BA127" s="882"/>
      <c r="BB127" s="882"/>
      <c r="BC127" s="882"/>
      <c r="BD127" s="882"/>
      <c r="BE127" s="882"/>
      <c r="BF127" s="882"/>
      <c r="BG127" s="882"/>
      <c r="BH127" s="882"/>
      <c r="BI127" s="882"/>
      <c r="BJ127" s="882"/>
      <c r="BK127" s="882"/>
      <c r="BL127" s="882"/>
      <c r="BM127" s="882"/>
      <c r="BN127" s="882"/>
      <c r="BO127" s="882"/>
      <c r="BP127" s="882"/>
      <c r="BQ127" s="882"/>
      <c r="BR127" s="882"/>
      <c r="BS127" s="882"/>
      <c r="BT127" s="882"/>
      <c r="BU127" s="882"/>
      <c r="BV127" s="882"/>
      <c r="BW127" s="882"/>
      <c r="BX127" s="882"/>
      <c r="BY127" s="882"/>
      <c r="BZ127" s="882"/>
      <c r="CA127" s="882"/>
    </row>
    <row r="128" spans="1:79">
      <c r="A128" s="882"/>
      <c r="B128" s="882"/>
      <c r="C128" s="882"/>
      <c r="D128" s="1097"/>
      <c r="E128" s="976">
        <v>0</v>
      </c>
      <c r="F128" s="976"/>
      <c r="G128" s="1104" t="s">
        <v>636</v>
      </c>
      <c r="H128" s="1099">
        <f>SUM(H127:AU127)</f>
        <v>0</v>
      </c>
      <c r="I128" s="882">
        <v>0</v>
      </c>
      <c r="J128" s="882">
        <v>0</v>
      </c>
      <c r="K128" s="882">
        <v>0</v>
      </c>
      <c r="L128" s="882">
        <v>0</v>
      </c>
      <c r="M128" s="882">
        <v>0</v>
      </c>
      <c r="N128" s="882">
        <v>0</v>
      </c>
      <c r="O128" s="882">
        <v>0</v>
      </c>
      <c r="P128" s="882">
        <v>0</v>
      </c>
      <c r="Q128" s="882">
        <v>0</v>
      </c>
      <c r="R128" s="882">
        <v>0</v>
      </c>
      <c r="S128" s="882">
        <v>0</v>
      </c>
      <c r="T128" s="882">
        <v>0</v>
      </c>
      <c r="U128" s="882">
        <v>0</v>
      </c>
      <c r="V128" s="882">
        <v>0</v>
      </c>
      <c r="W128" s="882">
        <v>0</v>
      </c>
      <c r="X128" s="882">
        <v>0</v>
      </c>
      <c r="Y128" s="882">
        <v>0</v>
      </c>
      <c r="Z128" s="882">
        <v>0</v>
      </c>
      <c r="AA128" s="882">
        <v>0</v>
      </c>
      <c r="AB128" s="882">
        <v>0</v>
      </c>
      <c r="AC128" s="882">
        <v>0</v>
      </c>
      <c r="AD128" s="882">
        <v>0</v>
      </c>
      <c r="AE128" s="882">
        <v>0</v>
      </c>
      <c r="AF128" s="882">
        <v>0</v>
      </c>
      <c r="AG128" s="882">
        <v>0</v>
      </c>
      <c r="AH128" s="882">
        <v>0</v>
      </c>
      <c r="AI128" s="882">
        <v>0</v>
      </c>
      <c r="AJ128" s="882">
        <v>0</v>
      </c>
      <c r="AK128" s="882">
        <v>0</v>
      </c>
      <c r="AL128" s="882">
        <v>0</v>
      </c>
      <c r="AM128" s="882">
        <v>0</v>
      </c>
      <c r="AN128" s="882">
        <v>0</v>
      </c>
      <c r="AO128" s="882">
        <v>0</v>
      </c>
      <c r="AP128" s="882">
        <v>0</v>
      </c>
      <c r="AQ128" s="882">
        <v>0</v>
      </c>
      <c r="AR128" s="882">
        <v>0</v>
      </c>
      <c r="AS128" s="882">
        <v>0</v>
      </c>
      <c r="AT128" s="882">
        <v>0</v>
      </c>
      <c r="AU128" s="882">
        <v>0</v>
      </c>
      <c r="AV128" s="882">
        <v>0</v>
      </c>
      <c r="AW128" s="882">
        <v>0</v>
      </c>
      <c r="AX128" s="882"/>
      <c r="AY128" s="882"/>
      <c r="AZ128" s="882"/>
      <c r="BA128" s="882"/>
      <c r="BB128" s="882"/>
      <c r="BC128" s="882"/>
      <c r="BD128" s="882"/>
      <c r="BE128" s="882"/>
      <c r="BF128" s="882"/>
      <c r="BG128" s="882"/>
      <c r="BH128" s="882"/>
      <c r="BI128" s="882"/>
      <c r="BJ128" s="882"/>
      <c r="BK128" s="882"/>
      <c r="BL128" s="882"/>
      <c r="BM128" s="882"/>
      <c r="BN128" s="882"/>
      <c r="BO128" s="882"/>
      <c r="BP128" s="882"/>
      <c r="BQ128" s="882"/>
      <c r="BR128" s="882"/>
      <c r="BS128" s="882"/>
      <c r="BT128" s="882"/>
      <c r="BU128" s="882"/>
      <c r="BV128" s="882"/>
      <c r="BW128" s="882"/>
      <c r="BX128" s="882"/>
      <c r="BY128" s="882"/>
      <c r="BZ128" s="882"/>
      <c r="CA128" s="882"/>
    </row>
    <row r="129" spans="1:79">
      <c r="A129" s="882"/>
      <c r="B129" s="882"/>
      <c r="C129" s="882"/>
      <c r="D129" s="882"/>
      <c r="E129" s="882">
        <v>0</v>
      </c>
      <c r="F129" s="882"/>
      <c r="G129" s="882"/>
      <c r="H129" s="882">
        <v>0</v>
      </c>
      <c r="I129" s="882">
        <v>0</v>
      </c>
      <c r="J129" s="882">
        <v>0</v>
      </c>
      <c r="K129" s="882">
        <v>0</v>
      </c>
      <c r="L129" s="882">
        <v>0</v>
      </c>
      <c r="M129" s="882">
        <v>0</v>
      </c>
      <c r="N129" s="882">
        <v>0</v>
      </c>
      <c r="O129" s="882">
        <v>0</v>
      </c>
      <c r="P129" s="882">
        <v>0</v>
      </c>
      <c r="Q129" s="882">
        <v>0</v>
      </c>
      <c r="R129" s="882">
        <v>0</v>
      </c>
      <c r="S129" s="882">
        <v>0</v>
      </c>
      <c r="T129" s="882">
        <v>0</v>
      </c>
      <c r="U129" s="882">
        <v>0</v>
      </c>
      <c r="V129" s="882">
        <v>0</v>
      </c>
      <c r="W129" s="882">
        <v>0</v>
      </c>
      <c r="X129" s="882">
        <v>0</v>
      </c>
      <c r="Y129" s="882">
        <v>0</v>
      </c>
      <c r="Z129" s="882">
        <v>0</v>
      </c>
      <c r="AA129" s="882">
        <v>0</v>
      </c>
      <c r="AB129" s="882">
        <v>0</v>
      </c>
      <c r="AC129" s="882">
        <v>0</v>
      </c>
      <c r="AD129" s="882">
        <v>0</v>
      </c>
      <c r="AE129" s="882">
        <v>0</v>
      </c>
      <c r="AF129" s="882">
        <v>0</v>
      </c>
      <c r="AG129" s="882">
        <v>0</v>
      </c>
      <c r="AH129" s="882">
        <v>0</v>
      </c>
      <c r="AI129" s="882">
        <v>0</v>
      </c>
      <c r="AJ129" s="882">
        <v>0</v>
      </c>
      <c r="AK129" s="882">
        <v>0</v>
      </c>
      <c r="AL129" s="882">
        <v>0</v>
      </c>
      <c r="AM129" s="882">
        <v>0</v>
      </c>
      <c r="AN129" s="882">
        <v>0</v>
      </c>
      <c r="AO129" s="882">
        <v>0</v>
      </c>
      <c r="AP129" s="882">
        <v>0</v>
      </c>
      <c r="AQ129" s="882">
        <v>0</v>
      </c>
      <c r="AR129" s="882">
        <v>0</v>
      </c>
      <c r="AS129" s="882">
        <v>0</v>
      </c>
      <c r="AT129" s="882">
        <v>0</v>
      </c>
      <c r="AU129" s="882">
        <v>0</v>
      </c>
      <c r="AV129" s="882">
        <v>0</v>
      </c>
      <c r="AW129" s="882">
        <v>0</v>
      </c>
      <c r="AX129" s="882"/>
      <c r="AY129" s="882"/>
      <c r="AZ129" s="882"/>
      <c r="BA129" s="882"/>
      <c r="BB129" s="882"/>
      <c r="BC129" s="882"/>
      <c r="BD129" s="882"/>
      <c r="BE129" s="882"/>
      <c r="BF129" s="882"/>
      <c r="BG129" s="882"/>
      <c r="BH129" s="882"/>
      <c r="BI129" s="882"/>
      <c r="BJ129" s="882"/>
      <c r="BK129" s="882"/>
      <c r="BL129" s="882"/>
      <c r="BM129" s="882"/>
      <c r="BN129" s="882"/>
      <c r="BO129" s="882"/>
      <c r="BP129" s="882"/>
      <c r="BQ129" s="882"/>
      <c r="BR129" s="882"/>
      <c r="BS129" s="882"/>
      <c r="BT129" s="882"/>
      <c r="BU129" s="882"/>
      <c r="BV129" s="882"/>
      <c r="BW129" s="882"/>
      <c r="BX129" s="882"/>
      <c r="BY129" s="882"/>
      <c r="BZ129" s="882"/>
      <c r="CA129" s="882"/>
    </row>
    <row r="130" spans="1:79">
      <c r="A130" s="882"/>
      <c r="B130" s="882"/>
      <c r="C130" s="882"/>
      <c r="D130" s="882"/>
      <c r="E130" s="882">
        <v>0</v>
      </c>
      <c r="F130" s="882"/>
      <c r="G130" s="882"/>
      <c r="H130" s="882">
        <v>0</v>
      </c>
      <c r="I130" s="882">
        <v>0</v>
      </c>
      <c r="J130" s="882">
        <v>0</v>
      </c>
      <c r="K130" s="882">
        <v>0</v>
      </c>
      <c r="L130" s="882">
        <v>0</v>
      </c>
      <c r="M130" s="882">
        <v>0</v>
      </c>
      <c r="N130" s="882">
        <v>0</v>
      </c>
      <c r="O130" s="882">
        <v>0</v>
      </c>
      <c r="P130" s="882">
        <v>0</v>
      </c>
      <c r="Q130" s="882">
        <v>0</v>
      </c>
      <c r="R130" s="882">
        <v>0</v>
      </c>
      <c r="S130" s="882">
        <v>0</v>
      </c>
      <c r="T130" s="882">
        <v>0</v>
      </c>
      <c r="U130" s="882">
        <v>0</v>
      </c>
      <c r="V130" s="882">
        <v>0</v>
      </c>
      <c r="W130" s="882">
        <v>0</v>
      </c>
      <c r="X130" s="882">
        <v>0</v>
      </c>
      <c r="Y130" s="882">
        <v>0</v>
      </c>
      <c r="Z130" s="882">
        <v>0</v>
      </c>
      <c r="AA130" s="882">
        <v>0</v>
      </c>
      <c r="AB130" s="882">
        <v>0</v>
      </c>
      <c r="AC130" s="882">
        <v>0</v>
      </c>
      <c r="AD130" s="882">
        <v>0</v>
      </c>
      <c r="AE130" s="882">
        <v>0</v>
      </c>
      <c r="AF130" s="882">
        <v>0</v>
      </c>
      <c r="AG130" s="882">
        <v>0</v>
      </c>
      <c r="AH130" s="882">
        <v>0</v>
      </c>
      <c r="AI130" s="882">
        <v>0</v>
      </c>
      <c r="AJ130" s="882">
        <v>0</v>
      </c>
      <c r="AK130" s="882">
        <v>0</v>
      </c>
      <c r="AL130" s="882">
        <v>0</v>
      </c>
      <c r="AM130" s="882">
        <v>0</v>
      </c>
      <c r="AN130" s="882">
        <v>0</v>
      </c>
      <c r="AO130" s="882">
        <v>0</v>
      </c>
      <c r="AP130" s="882">
        <v>0</v>
      </c>
      <c r="AQ130" s="882">
        <v>0</v>
      </c>
      <c r="AR130" s="882">
        <v>0</v>
      </c>
      <c r="AS130" s="882">
        <v>0</v>
      </c>
      <c r="AT130" s="882">
        <v>0</v>
      </c>
      <c r="AU130" s="882">
        <v>0</v>
      </c>
      <c r="AV130" s="882">
        <v>0</v>
      </c>
      <c r="AW130" s="882">
        <v>0</v>
      </c>
      <c r="AX130" s="882"/>
      <c r="AY130" s="882"/>
      <c r="AZ130" s="882"/>
      <c r="BA130" s="882"/>
      <c r="BB130" s="882"/>
      <c r="BC130" s="882"/>
      <c r="BD130" s="882"/>
      <c r="BE130" s="882"/>
      <c r="BF130" s="882"/>
      <c r="BG130" s="882"/>
      <c r="BH130" s="882"/>
      <c r="BI130" s="882"/>
      <c r="BJ130" s="882"/>
      <c r="BK130" s="882"/>
      <c r="BL130" s="882"/>
      <c r="BM130" s="882"/>
      <c r="BN130" s="882"/>
      <c r="BO130" s="882"/>
      <c r="BP130" s="882"/>
      <c r="BQ130" s="882"/>
      <c r="BR130" s="882"/>
      <c r="BS130" s="882"/>
      <c r="BT130" s="882"/>
      <c r="BU130" s="882"/>
      <c r="BV130" s="882"/>
      <c r="BW130" s="882"/>
      <c r="BX130" s="882"/>
      <c r="BY130" s="882"/>
      <c r="BZ130" s="882"/>
      <c r="CA130" s="882"/>
    </row>
    <row r="131" spans="1:79">
      <c r="A131" s="882"/>
      <c r="B131" s="882"/>
      <c r="C131" s="882"/>
      <c r="D131" s="882"/>
      <c r="E131" s="882">
        <v>0</v>
      </c>
      <c r="F131" s="882"/>
      <c r="G131" s="882"/>
      <c r="H131" s="882">
        <v>0</v>
      </c>
      <c r="I131" s="882">
        <v>0</v>
      </c>
      <c r="J131" s="882">
        <v>0</v>
      </c>
      <c r="K131" s="882">
        <v>0</v>
      </c>
      <c r="L131" s="882">
        <v>0</v>
      </c>
      <c r="M131" s="882">
        <v>0</v>
      </c>
      <c r="N131" s="882">
        <v>0</v>
      </c>
      <c r="O131" s="882">
        <v>0</v>
      </c>
      <c r="P131" s="882">
        <v>0</v>
      </c>
      <c r="Q131" s="882">
        <v>0</v>
      </c>
      <c r="R131" s="882">
        <v>0</v>
      </c>
      <c r="S131" s="882">
        <v>0</v>
      </c>
      <c r="T131" s="882">
        <v>0</v>
      </c>
      <c r="U131" s="882">
        <v>0</v>
      </c>
      <c r="V131" s="882">
        <v>0</v>
      </c>
      <c r="W131" s="882">
        <v>0</v>
      </c>
      <c r="X131" s="882">
        <v>0</v>
      </c>
      <c r="Y131" s="882">
        <v>0</v>
      </c>
      <c r="Z131" s="882">
        <v>0</v>
      </c>
      <c r="AA131" s="882">
        <v>0</v>
      </c>
      <c r="AB131" s="882">
        <v>0</v>
      </c>
      <c r="AC131" s="882">
        <v>0</v>
      </c>
      <c r="AD131" s="882">
        <v>0</v>
      </c>
      <c r="AE131" s="882">
        <v>0</v>
      </c>
      <c r="AF131" s="882">
        <v>0</v>
      </c>
      <c r="AG131" s="882">
        <v>0</v>
      </c>
      <c r="AH131" s="882">
        <v>0</v>
      </c>
      <c r="AI131" s="882">
        <v>0</v>
      </c>
      <c r="AJ131" s="882">
        <v>0</v>
      </c>
      <c r="AK131" s="882">
        <v>0</v>
      </c>
      <c r="AL131" s="882">
        <v>0</v>
      </c>
      <c r="AM131" s="882">
        <v>0</v>
      </c>
      <c r="AN131" s="882">
        <v>0</v>
      </c>
      <c r="AO131" s="882">
        <v>0</v>
      </c>
      <c r="AP131" s="882">
        <v>0</v>
      </c>
      <c r="AQ131" s="882">
        <v>0</v>
      </c>
      <c r="AR131" s="882">
        <v>0</v>
      </c>
      <c r="AS131" s="882">
        <v>0</v>
      </c>
      <c r="AT131" s="882">
        <v>0</v>
      </c>
      <c r="AU131" s="882">
        <v>0</v>
      </c>
      <c r="AV131" s="882">
        <v>0</v>
      </c>
      <c r="AW131" s="882">
        <v>0</v>
      </c>
      <c r="AX131" s="882"/>
      <c r="AY131" s="882"/>
      <c r="AZ131" s="882"/>
      <c r="BA131" s="882"/>
      <c r="BB131" s="882"/>
      <c r="BC131" s="882"/>
      <c r="BD131" s="882"/>
      <c r="BE131" s="882"/>
      <c r="BF131" s="882"/>
      <c r="BG131" s="882"/>
      <c r="BH131" s="882"/>
      <c r="BI131" s="882"/>
      <c r="BJ131" s="882"/>
      <c r="BK131" s="882"/>
      <c r="BL131" s="882"/>
      <c r="BM131" s="882"/>
      <c r="BN131" s="882"/>
      <c r="BO131" s="882"/>
      <c r="BP131" s="882"/>
      <c r="BQ131" s="882"/>
      <c r="BR131" s="882"/>
      <c r="BS131" s="882"/>
      <c r="BT131" s="882"/>
      <c r="BU131" s="882"/>
      <c r="BV131" s="882"/>
      <c r="BW131" s="882"/>
      <c r="BX131" s="882"/>
      <c r="BY131" s="882"/>
      <c r="BZ131" s="882"/>
      <c r="CA131" s="882"/>
    </row>
    <row r="132" spans="1:79">
      <c r="A132" s="882"/>
      <c r="B132" s="1089" t="s">
        <v>637</v>
      </c>
      <c r="C132" s="882"/>
      <c r="D132" s="882"/>
      <c r="E132" s="882">
        <v>0</v>
      </c>
      <c r="F132" s="882"/>
      <c r="G132" s="882"/>
      <c r="H132" s="882">
        <v>0</v>
      </c>
      <c r="I132" s="882">
        <v>0</v>
      </c>
      <c r="J132" s="882">
        <v>0</v>
      </c>
      <c r="K132" s="882">
        <v>0</v>
      </c>
      <c r="L132" s="882">
        <v>0</v>
      </c>
      <c r="M132" s="882">
        <v>0</v>
      </c>
      <c r="N132" s="882">
        <v>0</v>
      </c>
      <c r="O132" s="882">
        <v>0</v>
      </c>
      <c r="P132" s="882">
        <v>0</v>
      </c>
      <c r="Q132" s="882">
        <v>0</v>
      </c>
      <c r="R132" s="882">
        <v>0</v>
      </c>
      <c r="S132" s="882">
        <v>0</v>
      </c>
      <c r="T132" s="882">
        <v>0</v>
      </c>
      <c r="U132" s="882">
        <v>0</v>
      </c>
      <c r="V132" s="882">
        <v>0</v>
      </c>
      <c r="W132" s="882">
        <v>0</v>
      </c>
      <c r="X132" s="882">
        <v>0</v>
      </c>
      <c r="Y132" s="882">
        <v>0</v>
      </c>
      <c r="Z132" s="882">
        <v>0</v>
      </c>
      <c r="AA132" s="882">
        <v>0</v>
      </c>
      <c r="AB132" s="882">
        <v>0</v>
      </c>
      <c r="AC132" s="882">
        <v>0</v>
      </c>
      <c r="AD132" s="882">
        <v>0</v>
      </c>
      <c r="AE132" s="882">
        <v>0</v>
      </c>
      <c r="AF132" s="882">
        <v>0</v>
      </c>
      <c r="AG132" s="882">
        <v>0</v>
      </c>
      <c r="AH132" s="882">
        <v>0</v>
      </c>
      <c r="AI132" s="882">
        <v>0</v>
      </c>
      <c r="AJ132" s="882">
        <v>0</v>
      </c>
      <c r="AK132" s="882">
        <v>0</v>
      </c>
      <c r="AL132" s="882">
        <v>0</v>
      </c>
      <c r="AM132" s="882">
        <v>0</v>
      </c>
      <c r="AN132" s="882">
        <v>0</v>
      </c>
      <c r="AO132" s="882">
        <v>0</v>
      </c>
      <c r="AP132" s="882">
        <v>0</v>
      </c>
      <c r="AQ132" s="882">
        <v>0</v>
      </c>
      <c r="AR132" s="882">
        <v>0</v>
      </c>
      <c r="AS132" s="882">
        <v>0</v>
      </c>
      <c r="AT132" s="882">
        <v>0</v>
      </c>
      <c r="AU132" s="882">
        <v>0</v>
      </c>
      <c r="AV132" s="882">
        <v>0</v>
      </c>
      <c r="AW132" s="882">
        <v>0</v>
      </c>
      <c r="AX132" s="882"/>
      <c r="AY132" s="882"/>
      <c r="AZ132" s="882"/>
      <c r="BA132" s="882"/>
      <c r="BB132" s="882"/>
      <c r="BC132" s="882"/>
      <c r="BD132" s="882"/>
      <c r="BE132" s="882"/>
      <c r="BF132" s="882"/>
      <c r="BG132" s="882"/>
      <c r="BH132" s="882"/>
      <c r="BI132" s="882"/>
      <c r="BJ132" s="882"/>
      <c r="BK132" s="882"/>
      <c r="BL132" s="882"/>
      <c r="BM132" s="882"/>
      <c r="BN132" s="882"/>
      <c r="BO132" s="882"/>
      <c r="BP132" s="882"/>
      <c r="BQ132" s="882"/>
      <c r="BR132" s="882"/>
      <c r="BS132" s="882"/>
      <c r="BT132" s="882"/>
      <c r="BU132" s="882"/>
      <c r="BV132" s="882"/>
      <c r="BW132" s="882"/>
      <c r="BX132" s="882"/>
      <c r="BY132" s="882"/>
      <c r="BZ132" s="882"/>
      <c r="CA132" s="882"/>
    </row>
    <row r="133" spans="1:79">
      <c r="A133" s="882"/>
      <c r="B133" s="1089"/>
      <c r="C133" s="882"/>
      <c r="D133" s="1090"/>
      <c r="E133" s="1091">
        <v>0</v>
      </c>
      <c r="F133" s="1092" t="s">
        <v>638</v>
      </c>
      <c r="G133" s="1091"/>
      <c r="H133" s="1100">
        <v>0</v>
      </c>
      <c r="I133" s="1100">
        <v>0</v>
      </c>
      <c r="J133" s="1100">
        <v>0</v>
      </c>
      <c r="K133" s="1100">
        <v>0</v>
      </c>
      <c r="L133" s="1100">
        <v>0</v>
      </c>
      <c r="M133" s="1100">
        <v>0</v>
      </c>
      <c r="N133" s="1100">
        <v>0</v>
      </c>
      <c r="O133" s="1100">
        <v>0</v>
      </c>
      <c r="P133" s="1100">
        <v>0</v>
      </c>
      <c r="Q133" s="1100">
        <v>0</v>
      </c>
      <c r="R133" s="1100">
        <v>0</v>
      </c>
      <c r="S133" s="1100">
        <v>0</v>
      </c>
      <c r="T133" s="1100">
        <v>0</v>
      </c>
      <c r="U133" s="1100">
        <v>0</v>
      </c>
      <c r="V133" s="1100">
        <v>0</v>
      </c>
      <c r="W133" s="1100">
        <v>0</v>
      </c>
      <c r="X133" s="1100">
        <v>0</v>
      </c>
      <c r="Y133" s="1100">
        <v>0</v>
      </c>
      <c r="Z133" s="1100">
        <v>0</v>
      </c>
      <c r="AA133" s="1100">
        <v>0</v>
      </c>
      <c r="AB133" s="1100">
        <v>0</v>
      </c>
      <c r="AC133" s="1100">
        <v>0</v>
      </c>
      <c r="AD133" s="1100">
        <v>0</v>
      </c>
      <c r="AE133" s="1100">
        <v>0</v>
      </c>
      <c r="AF133" s="1100">
        <v>0</v>
      </c>
      <c r="AG133" s="1100">
        <v>0</v>
      </c>
      <c r="AH133" s="1100">
        <v>0</v>
      </c>
      <c r="AI133" s="1100">
        <v>0</v>
      </c>
      <c r="AJ133" s="1100">
        <v>0</v>
      </c>
      <c r="AK133" s="1100">
        <v>0</v>
      </c>
      <c r="AL133" s="1100">
        <v>0</v>
      </c>
      <c r="AM133" s="1100">
        <v>0</v>
      </c>
      <c r="AN133" s="1100">
        <v>0</v>
      </c>
      <c r="AO133" s="1100">
        <v>0</v>
      </c>
      <c r="AP133" s="1100">
        <v>0</v>
      </c>
      <c r="AQ133" s="1100">
        <v>0</v>
      </c>
      <c r="AR133" s="1100">
        <v>0</v>
      </c>
      <c r="AS133" s="1100">
        <v>0</v>
      </c>
      <c r="AT133" s="1100">
        <v>0</v>
      </c>
      <c r="AU133" s="1100">
        <v>0</v>
      </c>
      <c r="AV133" s="882">
        <v>0</v>
      </c>
      <c r="AW133" s="882">
        <v>0</v>
      </c>
      <c r="AX133" s="882"/>
      <c r="AY133" s="882"/>
      <c r="AZ133" s="882"/>
      <c r="BA133" s="882"/>
      <c r="BB133" s="882"/>
      <c r="BC133" s="882"/>
      <c r="BD133" s="882"/>
      <c r="BE133" s="882"/>
      <c r="BF133" s="882"/>
      <c r="BG133" s="882"/>
      <c r="BH133" s="882"/>
      <c r="BI133" s="882"/>
      <c r="BJ133" s="882"/>
      <c r="BK133" s="882"/>
      <c r="BL133" s="882"/>
      <c r="BM133" s="882"/>
      <c r="BN133" s="882"/>
      <c r="BO133" s="882"/>
      <c r="BP133" s="882"/>
      <c r="BQ133" s="882"/>
      <c r="BR133" s="882"/>
      <c r="BS133" s="882"/>
      <c r="BT133" s="882"/>
      <c r="BU133" s="882"/>
      <c r="BV133" s="882"/>
      <c r="BW133" s="882"/>
      <c r="BX133" s="882"/>
      <c r="BY133" s="882"/>
      <c r="BZ133" s="882"/>
      <c r="CA133" s="882"/>
    </row>
    <row r="134" spans="1:79">
      <c r="A134" s="882"/>
      <c r="B134" s="882"/>
      <c r="C134" s="882"/>
      <c r="D134" s="1095"/>
      <c r="E134" s="882">
        <v>0</v>
      </c>
      <c r="F134" s="1064" t="s">
        <v>626</v>
      </c>
      <c r="G134" s="882"/>
      <c r="H134" s="1094">
        <v>0</v>
      </c>
      <c r="I134" s="1094">
        <f>H134+I133</f>
        <v>0</v>
      </c>
      <c r="J134" s="1094">
        <f t="shared" ref="J134:AU134" si="15">I134+J133</f>
        <v>0</v>
      </c>
      <c r="K134" s="1094">
        <f t="shared" si="15"/>
        <v>0</v>
      </c>
      <c r="L134" s="1094">
        <f t="shared" si="15"/>
        <v>0</v>
      </c>
      <c r="M134" s="1094">
        <f t="shared" si="15"/>
        <v>0</v>
      </c>
      <c r="N134" s="1094">
        <f t="shared" si="15"/>
        <v>0</v>
      </c>
      <c r="O134" s="1094">
        <f t="shared" si="15"/>
        <v>0</v>
      </c>
      <c r="P134" s="1094">
        <f t="shared" si="15"/>
        <v>0</v>
      </c>
      <c r="Q134" s="1094">
        <f t="shared" si="15"/>
        <v>0</v>
      </c>
      <c r="R134" s="1094">
        <f t="shared" si="15"/>
        <v>0</v>
      </c>
      <c r="S134" s="1094">
        <f t="shared" si="15"/>
        <v>0</v>
      </c>
      <c r="T134" s="1094">
        <f t="shared" si="15"/>
        <v>0</v>
      </c>
      <c r="U134" s="1094">
        <f t="shared" si="15"/>
        <v>0</v>
      </c>
      <c r="V134" s="1094">
        <f t="shared" si="15"/>
        <v>0</v>
      </c>
      <c r="W134" s="1094">
        <f t="shared" si="15"/>
        <v>0</v>
      </c>
      <c r="X134" s="1094">
        <f t="shared" si="15"/>
        <v>0</v>
      </c>
      <c r="Y134" s="1094">
        <f t="shared" si="15"/>
        <v>0</v>
      </c>
      <c r="Z134" s="1094">
        <f t="shared" si="15"/>
        <v>0</v>
      </c>
      <c r="AA134" s="1094">
        <f t="shared" si="15"/>
        <v>0</v>
      </c>
      <c r="AB134" s="1094">
        <f t="shared" si="15"/>
        <v>0</v>
      </c>
      <c r="AC134" s="1094">
        <f t="shared" si="15"/>
        <v>0</v>
      </c>
      <c r="AD134" s="1094">
        <f t="shared" si="15"/>
        <v>0</v>
      </c>
      <c r="AE134" s="1094">
        <f t="shared" si="15"/>
        <v>0</v>
      </c>
      <c r="AF134" s="1094">
        <f t="shared" si="15"/>
        <v>0</v>
      </c>
      <c r="AG134" s="1094">
        <f t="shared" si="15"/>
        <v>0</v>
      </c>
      <c r="AH134" s="1094">
        <f t="shared" si="15"/>
        <v>0</v>
      </c>
      <c r="AI134" s="1094">
        <f t="shared" si="15"/>
        <v>0</v>
      </c>
      <c r="AJ134" s="1094">
        <f t="shared" si="15"/>
        <v>0</v>
      </c>
      <c r="AK134" s="1094">
        <f t="shared" si="15"/>
        <v>0</v>
      </c>
      <c r="AL134" s="1094">
        <f t="shared" si="15"/>
        <v>0</v>
      </c>
      <c r="AM134" s="1094">
        <f t="shared" si="15"/>
        <v>0</v>
      </c>
      <c r="AN134" s="1094">
        <f t="shared" si="15"/>
        <v>0</v>
      </c>
      <c r="AO134" s="1094">
        <f t="shared" si="15"/>
        <v>0</v>
      </c>
      <c r="AP134" s="1094">
        <f t="shared" si="15"/>
        <v>0</v>
      </c>
      <c r="AQ134" s="1094">
        <f t="shared" si="15"/>
        <v>0</v>
      </c>
      <c r="AR134" s="1094">
        <f t="shared" si="15"/>
        <v>0</v>
      </c>
      <c r="AS134" s="1094">
        <f t="shared" si="15"/>
        <v>0</v>
      </c>
      <c r="AT134" s="1094">
        <f t="shared" si="15"/>
        <v>0</v>
      </c>
      <c r="AU134" s="1094">
        <f t="shared" si="15"/>
        <v>0</v>
      </c>
      <c r="AV134" s="882">
        <v>0</v>
      </c>
      <c r="AW134" s="882">
        <v>0</v>
      </c>
      <c r="AX134" s="882"/>
      <c r="AY134" s="882"/>
      <c r="AZ134" s="882"/>
      <c r="BA134" s="882"/>
      <c r="BB134" s="882"/>
      <c r="BC134" s="882"/>
      <c r="BD134" s="882"/>
      <c r="BE134" s="882"/>
      <c r="BF134" s="882"/>
      <c r="BG134" s="882"/>
      <c r="BH134" s="882"/>
      <c r="BI134" s="882"/>
      <c r="BJ134" s="882"/>
      <c r="BK134" s="882"/>
      <c r="BL134" s="882"/>
      <c r="BM134" s="882"/>
      <c r="BN134" s="882"/>
      <c r="BO134" s="882"/>
      <c r="BP134" s="882"/>
      <c r="BQ134" s="882"/>
      <c r="BR134" s="882"/>
      <c r="BS134" s="882"/>
      <c r="BT134" s="882"/>
      <c r="BU134" s="882"/>
      <c r="BV134" s="882"/>
      <c r="BW134" s="882"/>
      <c r="BX134" s="882"/>
      <c r="BY134" s="882"/>
      <c r="BZ134" s="882"/>
      <c r="CA134" s="882"/>
    </row>
    <row r="135" spans="1:79">
      <c r="A135" s="882"/>
      <c r="B135" s="882"/>
      <c r="C135" s="882"/>
      <c r="D135" s="1095"/>
      <c r="E135" s="1064" t="s">
        <v>639</v>
      </c>
      <c r="F135" s="1096">
        <v>6.6000000000000003E-2</v>
      </c>
      <c r="G135" s="897"/>
      <c r="H135" s="1094">
        <v>0</v>
      </c>
      <c r="I135" s="1094">
        <f>I134*$F$135/12</f>
        <v>0</v>
      </c>
      <c r="J135" s="1094">
        <f t="shared" ref="J135:AU135" si="16">J134*$F$135/12</f>
        <v>0</v>
      </c>
      <c r="K135" s="1094">
        <f t="shared" si="16"/>
        <v>0</v>
      </c>
      <c r="L135" s="1094">
        <f t="shared" si="16"/>
        <v>0</v>
      </c>
      <c r="M135" s="1094">
        <f t="shared" si="16"/>
        <v>0</v>
      </c>
      <c r="N135" s="1094">
        <f t="shared" si="16"/>
        <v>0</v>
      </c>
      <c r="O135" s="1094">
        <f t="shared" si="16"/>
        <v>0</v>
      </c>
      <c r="P135" s="1094">
        <f t="shared" si="16"/>
        <v>0</v>
      </c>
      <c r="Q135" s="1094">
        <f t="shared" si="16"/>
        <v>0</v>
      </c>
      <c r="R135" s="1094">
        <f t="shared" si="16"/>
        <v>0</v>
      </c>
      <c r="S135" s="1094">
        <f t="shared" si="16"/>
        <v>0</v>
      </c>
      <c r="T135" s="1094">
        <f t="shared" si="16"/>
        <v>0</v>
      </c>
      <c r="U135" s="1094">
        <f t="shared" si="16"/>
        <v>0</v>
      </c>
      <c r="V135" s="1094">
        <f t="shared" si="16"/>
        <v>0</v>
      </c>
      <c r="W135" s="1094">
        <f t="shared" si="16"/>
        <v>0</v>
      </c>
      <c r="X135" s="1094">
        <f t="shared" si="16"/>
        <v>0</v>
      </c>
      <c r="Y135" s="1094">
        <f t="shared" si="16"/>
        <v>0</v>
      </c>
      <c r="Z135" s="1094">
        <f t="shared" si="16"/>
        <v>0</v>
      </c>
      <c r="AA135" s="1094">
        <f t="shared" si="16"/>
        <v>0</v>
      </c>
      <c r="AB135" s="1094">
        <f t="shared" si="16"/>
        <v>0</v>
      </c>
      <c r="AC135" s="1094">
        <f t="shared" si="16"/>
        <v>0</v>
      </c>
      <c r="AD135" s="1094">
        <f t="shared" si="16"/>
        <v>0</v>
      </c>
      <c r="AE135" s="1094">
        <f t="shared" si="16"/>
        <v>0</v>
      </c>
      <c r="AF135" s="1094">
        <f t="shared" si="16"/>
        <v>0</v>
      </c>
      <c r="AG135" s="1094">
        <f t="shared" si="16"/>
        <v>0</v>
      </c>
      <c r="AH135" s="1094">
        <f t="shared" si="16"/>
        <v>0</v>
      </c>
      <c r="AI135" s="1094">
        <f t="shared" si="16"/>
        <v>0</v>
      </c>
      <c r="AJ135" s="1094">
        <f t="shared" si="16"/>
        <v>0</v>
      </c>
      <c r="AK135" s="1094">
        <f t="shared" si="16"/>
        <v>0</v>
      </c>
      <c r="AL135" s="1094">
        <f t="shared" si="16"/>
        <v>0</v>
      </c>
      <c r="AM135" s="1094">
        <f t="shared" si="16"/>
        <v>0</v>
      </c>
      <c r="AN135" s="1094">
        <f t="shared" si="16"/>
        <v>0</v>
      </c>
      <c r="AO135" s="1094">
        <f t="shared" si="16"/>
        <v>0</v>
      </c>
      <c r="AP135" s="1094">
        <f t="shared" si="16"/>
        <v>0</v>
      </c>
      <c r="AQ135" s="1094">
        <f t="shared" si="16"/>
        <v>0</v>
      </c>
      <c r="AR135" s="1094">
        <f t="shared" si="16"/>
        <v>0</v>
      </c>
      <c r="AS135" s="1094">
        <f t="shared" si="16"/>
        <v>0</v>
      </c>
      <c r="AT135" s="1094">
        <f t="shared" si="16"/>
        <v>0</v>
      </c>
      <c r="AU135" s="1094">
        <f t="shared" si="16"/>
        <v>0</v>
      </c>
      <c r="AV135" s="882">
        <v>0</v>
      </c>
      <c r="AW135" s="882">
        <v>0</v>
      </c>
      <c r="AX135" s="882"/>
      <c r="AY135" s="882"/>
      <c r="AZ135" s="882"/>
      <c r="BA135" s="882"/>
      <c r="BB135" s="882"/>
      <c r="BC135" s="882"/>
      <c r="BD135" s="882"/>
      <c r="BE135" s="882"/>
      <c r="BF135" s="882"/>
      <c r="BG135" s="882"/>
      <c r="BH135" s="882"/>
      <c r="BI135" s="882"/>
      <c r="BJ135" s="882"/>
      <c r="BK135" s="882"/>
      <c r="BL135" s="882"/>
      <c r="BM135" s="882"/>
      <c r="BN135" s="882"/>
      <c r="BO135" s="882"/>
      <c r="BP135" s="882"/>
      <c r="BQ135" s="882"/>
      <c r="BR135" s="882"/>
      <c r="BS135" s="882"/>
      <c r="BT135" s="882"/>
      <c r="BU135" s="882"/>
      <c r="BV135" s="882"/>
      <c r="BW135" s="882"/>
      <c r="BX135" s="882"/>
      <c r="BY135" s="882"/>
      <c r="BZ135" s="882"/>
      <c r="CA135" s="882"/>
    </row>
    <row r="136" spans="1:79">
      <c r="A136" s="882"/>
      <c r="B136" s="882"/>
      <c r="C136" s="882"/>
      <c r="D136" s="1097"/>
      <c r="E136" s="976">
        <v>0</v>
      </c>
      <c r="F136" s="976"/>
      <c r="G136" s="1098" t="s">
        <v>628</v>
      </c>
      <c r="H136" s="1099">
        <f>SUM(H135:AU135)</f>
        <v>0</v>
      </c>
      <c r="I136" s="1100">
        <v>0</v>
      </c>
      <c r="J136" s="1100">
        <v>0</v>
      </c>
      <c r="K136" s="1100">
        <v>0</v>
      </c>
      <c r="L136" s="1100">
        <v>0</v>
      </c>
      <c r="M136" s="1100">
        <v>0</v>
      </c>
      <c r="N136" s="1100">
        <v>0</v>
      </c>
      <c r="O136" s="1100">
        <v>0</v>
      </c>
      <c r="P136" s="1100">
        <v>0</v>
      </c>
      <c r="Q136" s="1100">
        <v>0</v>
      </c>
      <c r="R136" s="1100">
        <v>0</v>
      </c>
      <c r="S136" s="1100">
        <v>0</v>
      </c>
      <c r="T136" s="1100">
        <v>0</v>
      </c>
      <c r="U136" s="1100">
        <v>0</v>
      </c>
      <c r="V136" s="1100">
        <v>0</v>
      </c>
      <c r="W136" s="1100">
        <v>0</v>
      </c>
      <c r="X136" s="1100">
        <v>0</v>
      </c>
      <c r="Y136" s="1100">
        <v>0</v>
      </c>
      <c r="Z136" s="1100">
        <v>0</v>
      </c>
      <c r="AA136" s="1100">
        <v>0</v>
      </c>
      <c r="AB136" s="1100">
        <v>0</v>
      </c>
      <c r="AC136" s="1100">
        <v>0</v>
      </c>
      <c r="AD136" s="1100">
        <v>0</v>
      </c>
      <c r="AE136" s="1100">
        <v>0</v>
      </c>
      <c r="AF136" s="1100">
        <v>0</v>
      </c>
      <c r="AG136" s="1100">
        <v>0</v>
      </c>
      <c r="AH136" s="1100">
        <v>0</v>
      </c>
      <c r="AI136" s="1100">
        <v>0</v>
      </c>
      <c r="AJ136" s="1100">
        <v>0</v>
      </c>
      <c r="AK136" s="1100">
        <v>0</v>
      </c>
      <c r="AL136" s="1100">
        <v>0</v>
      </c>
      <c r="AM136" s="1100">
        <v>0</v>
      </c>
      <c r="AN136" s="1100">
        <v>0</v>
      </c>
      <c r="AO136" s="1100">
        <v>0</v>
      </c>
      <c r="AP136" s="1100">
        <v>0</v>
      </c>
      <c r="AQ136" s="1100">
        <v>0</v>
      </c>
      <c r="AR136" s="1100">
        <v>0</v>
      </c>
      <c r="AS136" s="1100">
        <v>0</v>
      </c>
      <c r="AT136" s="1100">
        <v>0</v>
      </c>
      <c r="AU136" s="882">
        <v>0</v>
      </c>
      <c r="AV136" s="882">
        <v>0</v>
      </c>
      <c r="AW136" s="882">
        <v>0</v>
      </c>
      <c r="AX136" s="882"/>
      <c r="AY136" s="882"/>
      <c r="AZ136" s="882"/>
      <c r="BA136" s="882"/>
      <c r="BB136" s="882"/>
      <c r="BC136" s="882"/>
      <c r="BD136" s="882"/>
      <c r="BE136" s="882"/>
      <c r="BF136" s="882"/>
      <c r="BG136" s="882"/>
      <c r="BH136" s="882"/>
      <c r="BI136" s="882"/>
      <c r="BJ136" s="882"/>
      <c r="BK136" s="882"/>
      <c r="BL136" s="882"/>
      <c r="BM136" s="882"/>
      <c r="BN136" s="882"/>
      <c r="BO136" s="882"/>
      <c r="BP136" s="882"/>
      <c r="BQ136" s="882"/>
      <c r="BR136" s="882"/>
      <c r="BS136" s="882"/>
      <c r="BT136" s="882"/>
      <c r="BU136" s="882"/>
      <c r="BV136" s="882"/>
      <c r="BW136" s="882"/>
      <c r="BX136" s="882"/>
      <c r="BY136" s="882"/>
      <c r="BZ136" s="882"/>
      <c r="CA136" s="882"/>
    </row>
    <row r="137" spans="1:79">
      <c r="A137" s="882"/>
      <c r="B137" s="882"/>
      <c r="C137" s="882"/>
      <c r="D137" s="882"/>
      <c r="E137" s="882">
        <v>0</v>
      </c>
      <c r="F137" s="882"/>
      <c r="G137" s="1064" t="s">
        <v>640</v>
      </c>
      <c r="H137" s="1101">
        <f>H136</f>
        <v>0</v>
      </c>
      <c r="I137" s="882">
        <v>0</v>
      </c>
      <c r="J137" s="882">
        <v>0</v>
      </c>
      <c r="K137" s="882">
        <v>0</v>
      </c>
      <c r="L137" s="882">
        <v>0</v>
      </c>
      <c r="M137" s="882">
        <v>0</v>
      </c>
      <c r="N137" s="882">
        <v>0</v>
      </c>
      <c r="O137" s="882">
        <v>0</v>
      </c>
      <c r="P137" s="882">
        <v>0</v>
      </c>
      <c r="Q137" s="882">
        <v>0</v>
      </c>
      <c r="R137" s="882">
        <v>0</v>
      </c>
      <c r="S137" s="882">
        <v>0</v>
      </c>
      <c r="T137" s="882">
        <v>0</v>
      </c>
      <c r="U137" s="882">
        <v>0</v>
      </c>
      <c r="V137" s="882">
        <v>0</v>
      </c>
      <c r="W137" s="882">
        <v>0</v>
      </c>
      <c r="X137" s="882">
        <v>0</v>
      </c>
      <c r="Y137" s="882">
        <v>0</v>
      </c>
      <c r="Z137" s="882">
        <v>0</v>
      </c>
      <c r="AA137" s="882">
        <v>0</v>
      </c>
      <c r="AB137" s="882">
        <v>0</v>
      </c>
      <c r="AC137" s="882">
        <v>0</v>
      </c>
      <c r="AD137" s="882">
        <v>0</v>
      </c>
      <c r="AE137" s="882">
        <v>0</v>
      </c>
      <c r="AF137" s="882">
        <v>0</v>
      </c>
      <c r="AG137" s="882">
        <v>0</v>
      </c>
      <c r="AH137" s="882">
        <v>0</v>
      </c>
      <c r="AI137" s="882">
        <v>0</v>
      </c>
      <c r="AJ137" s="882">
        <v>0</v>
      </c>
      <c r="AK137" s="882">
        <v>0</v>
      </c>
      <c r="AL137" s="882">
        <v>0</v>
      </c>
      <c r="AM137" s="882">
        <v>0</v>
      </c>
      <c r="AN137" s="882">
        <v>0</v>
      </c>
      <c r="AO137" s="882">
        <v>0</v>
      </c>
      <c r="AP137" s="882">
        <v>0</v>
      </c>
      <c r="AQ137" s="882">
        <v>0</v>
      </c>
      <c r="AR137" s="882">
        <v>0</v>
      </c>
      <c r="AS137" s="882">
        <v>0</v>
      </c>
      <c r="AT137" s="882">
        <v>0</v>
      </c>
      <c r="AU137" s="882">
        <v>0</v>
      </c>
      <c r="AV137" s="882">
        <v>0</v>
      </c>
      <c r="AW137" s="882">
        <v>0</v>
      </c>
      <c r="AX137" s="882"/>
      <c r="AY137" s="882"/>
      <c r="AZ137" s="882"/>
      <c r="BA137" s="882"/>
      <c r="BB137" s="882"/>
      <c r="BC137" s="882"/>
      <c r="BD137" s="882"/>
      <c r="BE137" s="882"/>
      <c r="BF137" s="882"/>
      <c r="BG137" s="882"/>
      <c r="BH137" s="882"/>
      <c r="BI137" s="882"/>
      <c r="BJ137" s="882"/>
      <c r="BK137" s="882"/>
      <c r="BL137" s="882"/>
      <c r="BM137" s="882"/>
      <c r="BN137" s="882"/>
      <c r="BO137" s="882"/>
      <c r="BP137" s="882"/>
      <c r="BQ137" s="882"/>
      <c r="BR137" s="882"/>
      <c r="BS137" s="882"/>
      <c r="BT137" s="882"/>
      <c r="BU137" s="882"/>
      <c r="BV137" s="882"/>
      <c r="BW137" s="882"/>
      <c r="BX137" s="882"/>
      <c r="BY137" s="882"/>
      <c r="BZ137" s="882"/>
      <c r="CA137" s="882"/>
    </row>
    <row r="138" spans="1:79">
      <c r="A138" s="882"/>
      <c r="B138" s="882"/>
      <c r="C138" s="882"/>
      <c r="D138" s="882"/>
      <c r="E138" s="882">
        <v>0</v>
      </c>
      <c r="F138" s="882"/>
      <c r="G138" s="882"/>
      <c r="H138" s="882">
        <v>0</v>
      </c>
      <c r="I138" s="882">
        <v>0</v>
      </c>
      <c r="J138" s="882">
        <v>0</v>
      </c>
      <c r="K138" s="882">
        <v>0</v>
      </c>
      <c r="L138" s="882">
        <v>0</v>
      </c>
      <c r="M138" s="882">
        <v>0</v>
      </c>
      <c r="N138" s="882">
        <v>0</v>
      </c>
      <c r="O138" s="882">
        <v>0</v>
      </c>
      <c r="P138" s="882">
        <v>0</v>
      </c>
      <c r="Q138" s="882">
        <v>0</v>
      </c>
      <c r="R138" s="882">
        <v>0</v>
      </c>
      <c r="S138" s="882">
        <v>0</v>
      </c>
      <c r="T138" s="882">
        <v>0</v>
      </c>
      <c r="U138" s="882">
        <v>0</v>
      </c>
      <c r="V138" s="882">
        <v>0</v>
      </c>
      <c r="W138" s="882">
        <v>0</v>
      </c>
      <c r="X138" s="882">
        <v>0</v>
      </c>
      <c r="Y138" s="882">
        <v>0</v>
      </c>
      <c r="Z138" s="882">
        <v>0</v>
      </c>
      <c r="AA138" s="882">
        <v>0</v>
      </c>
      <c r="AB138" s="882">
        <v>0</v>
      </c>
      <c r="AC138" s="882">
        <v>0</v>
      </c>
      <c r="AD138" s="882">
        <v>0</v>
      </c>
      <c r="AE138" s="882">
        <v>0</v>
      </c>
      <c r="AF138" s="882">
        <v>0</v>
      </c>
      <c r="AG138" s="882">
        <v>0</v>
      </c>
      <c r="AH138" s="882">
        <v>0</v>
      </c>
      <c r="AI138" s="882">
        <v>0</v>
      </c>
      <c r="AJ138" s="882">
        <v>0</v>
      </c>
      <c r="AK138" s="882">
        <v>0</v>
      </c>
      <c r="AL138" s="882">
        <v>0</v>
      </c>
      <c r="AM138" s="882">
        <v>0</v>
      </c>
      <c r="AN138" s="882">
        <v>0</v>
      </c>
      <c r="AO138" s="882">
        <v>0</v>
      </c>
      <c r="AP138" s="882">
        <v>0</v>
      </c>
      <c r="AQ138" s="882">
        <v>0</v>
      </c>
      <c r="AR138" s="882">
        <v>0</v>
      </c>
      <c r="AS138" s="882">
        <v>0</v>
      </c>
      <c r="AT138" s="882">
        <v>0</v>
      </c>
      <c r="AU138" s="882">
        <v>0</v>
      </c>
      <c r="AV138" s="882">
        <v>0</v>
      </c>
      <c r="AW138" s="882">
        <v>0</v>
      </c>
      <c r="AX138" s="882"/>
      <c r="AY138" s="882"/>
      <c r="AZ138" s="882"/>
      <c r="BA138" s="882"/>
      <c r="BB138" s="882"/>
      <c r="BC138" s="882"/>
      <c r="BD138" s="882"/>
      <c r="BE138" s="882"/>
      <c r="BF138" s="882"/>
      <c r="BG138" s="882"/>
      <c r="BH138" s="882"/>
      <c r="BI138" s="882"/>
      <c r="BJ138" s="882"/>
      <c r="BK138" s="882"/>
      <c r="BL138" s="882"/>
      <c r="BM138" s="882"/>
      <c r="BN138" s="882"/>
      <c r="BO138" s="882"/>
      <c r="BP138" s="882"/>
      <c r="BQ138" s="882"/>
      <c r="BR138" s="882"/>
      <c r="BS138" s="882"/>
      <c r="BT138" s="882"/>
      <c r="BU138" s="882"/>
      <c r="BV138" s="882"/>
      <c r="BW138" s="882"/>
      <c r="BX138" s="882"/>
      <c r="BY138" s="882"/>
      <c r="BZ138" s="882"/>
      <c r="CA138" s="882"/>
    </row>
    <row r="139" spans="1:79">
      <c r="A139" s="882"/>
      <c r="B139" s="882"/>
      <c r="C139" s="882"/>
      <c r="D139" s="882"/>
      <c r="E139" s="882">
        <v>0</v>
      </c>
      <c r="F139" s="882"/>
      <c r="G139" s="882"/>
      <c r="H139" s="882">
        <v>0</v>
      </c>
      <c r="I139" s="882">
        <v>0</v>
      </c>
      <c r="J139" s="882">
        <v>0</v>
      </c>
      <c r="K139" s="882">
        <v>0</v>
      </c>
      <c r="L139" s="882">
        <v>0</v>
      </c>
      <c r="M139" s="882">
        <v>0</v>
      </c>
      <c r="N139" s="882">
        <v>0</v>
      </c>
      <c r="O139" s="882">
        <v>0</v>
      </c>
      <c r="P139" s="882">
        <v>0</v>
      </c>
      <c r="Q139" s="882">
        <v>0</v>
      </c>
      <c r="R139" s="882">
        <v>0</v>
      </c>
      <c r="S139" s="882">
        <v>0</v>
      </c>
      <c r="T139" s="882">
        <v>0</v>
      </c>
      <c r="U139" s="882">
        <v>0</v>
      </c>
      <c r="V139" s="882">
        <v>0</v>
      </c>
      <c r="W139" s="882">
        <v>0</v>
      </c>
      <c r="X139" s="882">
        <v>0</v>
      </c>
      <c r="Y139" s="882">
        <v>0</v>
      </c>
      <c r="Z139" s="882">
        <v>0</v>
      </c>
      <c r="AA139" s="882">
        <v>0</v>
      </c>
      <c r="AB139" s="882">
        <v>0</v>
      </c>
      <c r="AC139" s="882">
        <v>0</v>
      </c>
      <c r="AD139" s="882">
        <v>0</v>
      </c>
      <c r="AE139" s="882">
        <v>0</v>
      </c>
      <c r="AF139" s="882">
        <v>0</v>
      </c>
      <c r="AG139" s="882">
        <v>0</v>
      </c>
      <c r="AH139" s="882">
        <v>0</v>
      </c>
      <c r="AI139" s="882">
        <v>0</v>
      </c>
      <c r="AJ139" s="882">
        <v>0</v>
      </c>
      <c r="AK139" s="882">
        <v>0</v>
      </c>
      <c r="AL139" s="882">
        <v>0</v>
      </c>
      <c r="AM139" s="882">
        <v>0</v>
      </c>
      <c r="AN139" s="882">
        <v>0</v>
      </c>
      <c r="AO139" s="882">
        <v>0</v>
      </c>
      <c r="AP139" s="882">
        <v>0</v>
      </c>
      <c r="AQ139" s="882">
        <v>0</v>
      </c>
      <c r="AR139" s="882">
        <v>0</v>
      </c>
      <c r="AS139" s="882">
        <v>0</v>
      </c>
      <c r="AT139" s="882">
        <v>0</v>
      </c>
      <c r="AU139" s="882">
        <v>0</v>
      </c>
      <c r="AV139" s="882">
        <v>0</v>
      </c>
      <c r="AW139" s="882">
        <v>0</v>
      </c>
      <c r="AX139" s="882"/>
      <c r="AY139" s="882"/>
      <c r="AZ139" s="882"/>
      <c r="BA139" s="882"/>
      <c r="BB139" s="882"/>
      <c r="BC139" s="882"/>
      <c r="BD139" s="882"/>
      <c r="BE139" s="882"/>
      <c r="BF139" s="882"/>
      <c r="BG139" s="882"/>
      <c r="BH139" s="882"/>
      <c r="BI139" s="882"/>
      <c r="BJ139" s="882"/>
      <c r="BK139" s="882"/>
      <c r="BL139" s="882"/>
      <c r="BM139" s="882"/>
      <c r="BN139" s="882"/>
      <c r="BO139" s="882"/>
      <c r="BP139" s="882"/>
      <c r="BQ139" s="882"/>
      <c r="BR139" s="882"/>
      <c r="BS139" s="882"/>
      <c r="BT139" s="882"/>
      <c r="BU139" s="882"/>
      <c r="BV139" s="882"/>
      <c r="BW139" s="882"/>
      <c r="BX139" s="882"/>
      <c r="BY139" s="882"/>
      <c r="BZ139" s="882"/>
      <c r="CA139" s="882"/>
    </row>
    <row r="140" spans="1:79">
      <c r="A140" s="882"/>
      <c r="B140" s="1089" t="s">
        <v>945</v>
      </c>
      <c r="C140" s="882"/>
      <c r="D140" s="882"/>
      <c r="E140" s="882">
        <v>0</v>
      </c>
      <c r="F140" s="882"/>
      <c r="G140" s="882"/>
      <c r="H140" s="882">
        <v>0</v>
      </c>
      <c r="I140" s="882">
        <v>0</v>
      </c>
      <c r="J140" s="882">
        <v>0</v>
      </c>
      <c r="K140" s="882">
        <v>0</v>
      </c>
      <c r="L140" s="882">
        <v>0</v>
      </c>
      <c r="M140" s="882">
        <v>0</v>
      </c>
      <c r="N140" s="882">
        <v>0</v>
      </c>
      <c r="O140" s="882">
        <v>0</v>
      </c>
      <c r="P140" s="882">
        <v>0</v>
      </c>
      <c r="Q140" s="882">
        <v>0</v>
      </c>
      <c r="R140" s="882">
        <v>0</v>
      </c>
      <c r="S140" s="882">
        <v>0</v>
      </c>
      <c r="T140" s="882">
        <v>0</v>
      </c>
      <c r="U140" s="882">
        <v>0</v>
      </c>
      <c r="V140" s="882">
        <v>0</v>
      </c>
      <c r="W140" s="882">
        <v>0</v>
      </c>
      <c r="X140" s="882">
        <v>0</v>
      </c>
      <c r="Y140" s="882">
        <v>0</v>
      </c>
      <c r="Z140" s="882">
        <v>0</v>
      </c>
      <c r="AA140" s="882">
        <v>0</v>
      </c>
      <c r="AB140" s="882">
        <v>0</v>
      </c>
      <c r="AC140" s="882">
        <v>0</v>
      </c>
      <c r="AD140" s="882">
        <v>0</v>
      </c>
      <c r="AE140" s="882">
        <v>0</v>
      </c>
      <c r="AF140" s="882">
        <v>0</v>
      </c>
      <c r="AG140" s="882">
        <v>0</v>
      </c>
      <c r="AH140" s="882">
        <v>0</v>
      </c>
      <c r="AI140" s="882">
        <v>0</v>
      </c>
      <c r="AJ140" s="882">
        <v>0</v>
      </c>
      <c r="AK140" s="882">
        <v>0</v>
      </c>
      <c r="AL140" s="882">
        <v>0</v>
      </c>
      <c r="AM140" s="882">
        <v>0</v>
      </c>
      <c r="AN140" s="882">
        <v>0</v>
      </c>
      <c r="AO140" s="882">
        <v>0</v>
      </c>
      <c r="AP140" s="882">
        <v>0</v>
      </c>
      <c r="AQ140" s="882">
        <v>0</v>
      </c>
      <c r="AR140" s="882">
        <v>0</v>
      </c>
      <c r="AS140" s="882">
        <v>0</v>
      </c>
      <c r="AT140" s="882">
        <v>0</v>
      </c>
      <c r="AU140" s="882">
        <v>0</v>
      </c>
      <c r="AV140" s="882">
        <v>0</v>
      </c>
      <c r="AW140" s="882">
        <v>0</v>
      </c>
      <c r="AX140" s="882"/>
      <c r="AY140" s="882"/>
      <c r="AZ140" s="882"/>
      <c r="BA140" s="882"/>
      <c r="BB140" s="882"/>
      <c r="BC140" s="882"/>
      <c r="BD140" s="882"/>
      <c r="BE140" s="882"/>
      <c r="BF140" s="882"/>
      <c r="BG140" s="882"/>
      <c r="BH140" s="882"/>
      <c r="BI140" s="882"/>
      <c r="BJ140" s="882"/>
      <c r="BK140" s="882"/>
      <c r="BL140" s="882"/>
      <c r="BM140" s="882"/>
      <c r="BN140" s="882"/>
      <c r="BO140" s="882"/>
      <c r="BP140" s="882"/>
      <c r="BQ140" s="882"/>
      <c r="BR140" s="882"/>
      <c r="BS140" s="882"/>
      <c r="BT140" s="882"/>
      <c r="BU140" s="882"/>
      <c r="BV140" s="882"/>
      <c r="BW140" s="882"/>
      <c r="BX140" s="882"/>
      <c r="BY140" s="882"/>
      <c r="BZ140" s="882"/>
      <c r="CA140" s="882"/>
    </row>
    <row r="141" spans="1:79">
      <c r="A141" s="882"/>
      <c r="B141" s="1089"/>
      <c r="C141" s="882"/>
      <c r="D141" s="1090"/>
      <c r="E141" s="1091">
        <v>0</v>
      </c>
      <c r="F141" s="1092" t="s">
        <v>638</v>
      </c>
      <c r="G141" s="1091"/>
      <c r="H141" s="1100">
        <v>0</v>
      </c>
      <c r="I141" s="1100">
        <v>0</v>
      </c>
      <c r="J141" s="1100">
        <v>0</v>
      </c>
      <c r="K141" s="1100">
        <v>0</v>
      </c>
      <c r="L141" s="1100">
        <v>0</v>
      </c>
      <c r="M141" s="1100">
        <v>0</v>
      </c>
      <c r="N141" s="1100">
        <v>0</v>
      </c>
      <c r="O141" s="1100">
        <v>0</v>
      </c>
      <c r="P141" s="1100">
        <v>0</v>
      </c>
      <c r="Q141" s="1100">
        <v>0</v>
      </c>
      <c r="R141" s="1100">
        <v>0</v>
      </c>
      <c r="S141" s="1100">
        <v>0</v>
      </c>
      <c r="T141" s="1100">
        <v>0</v>
      </c>
      <c r="U141" s="1100">
        <v>0</v>
      </c>
      <c r="V141" s="1100">
        <v>0</v>
      </c>
      <c r="W141" s="1100">
        <v>0</v>
      </c>
      <c r="X141" s="1100">
        <v>0</v>
      </c>
      <c r="Y141" s="1100">
        <v>0</v>
      </c>
      <c r="Z141" s="1100">
        <v>0</v>
      </c>
      <c r="AA141" s="1100">
        <v>0</v>
      </c>
      <c r="AB141" s="1100">
        <v>0</v>
      </c>
      <c r="AC141" s="1100">
        <v>0</v>
      </c>
      <c r="AD141" s="1100">
        <v>0</v>
      </c>
      <c r="AE141" s="1100">
        <v>0</v>
      </c>
      <c r="AF141" s="1100">
        <v>0</v>
      </c>
      <c r="AG141" s="1100">
        <v>0</v>
      </c>
      <c r="AH141" s="1100">
        <v>0</v>
      </c>
      <c r="AI141" s="1100">
        <v>0</v>
      </c>
      <c r="AJ141" s="1100">
        <v>0</v>
      </c>
      <c r="AK141" s="1100">
        <v>0</v>
      </c>
      <c r="AL141" s="1100">
        <v>0</v>
      </c>
      <c r="AM141" s="1100">
        <v>0</v>
      </c>
      <c r="AN141" s="1100">
        <v>0</v>
      </c>
      <c r="AO141" s="1100">
        <v>0</v>
      </c>
      <c r="AP141" s="1100">
        <v>0</v>
      </c>
      <c r="AQ141" s="1100">
        <v>0</v>
      </c>
      <c r="AR141" s="1100">
        <v>0</v>
      </c>
      <c r="AS141" s="1100">
        <v>0</v>
      </c>
      <c r="AT141" s="1100">
        <v>0</v>
      </c>
      <c r="AU141" s="1100">
        <v>0</v>
      </c>
      <c r="AV141" s="882">
        <v>0</v>
      </c>
      <c r="AW141" s="882">
        <v>0</v>
      </c>
      <c r="AX141" s="882"/>
      <c r="AY141" s="882"/>
      <c r="AZ141" s="882"/>
      <c r="BA141" s="882"/>
      <c r="BB141" s="882"/>
      <c r="BC141" s="882"/>
      <c r="BD141" s="882"/>
      <c r="BE141" s="882"/>
      <c r="BF141" s="882"/>
      <c r="BG141" s="882"/>
      <c r="BH141" s="882"/>
      <c r="BI141" s="882"/>
      <c r="BJ141" s="882"/>
      <c r="BK141" s="882"/>
      <c r="BL141" s="882"/>
      <c r="BM141" s="882"/>
      <c r="BN141" s="882"/>
      <c r="BO141" s="882"/>
      <c r="BP141" s="882"/>
      <c r="BQ141" s="882"/>
      <c r="BR141" s="882"/>
      <c r="BS141" s="882"/>
      <c r="BT141" s="882"/>
      <c r="BU141" s="882"/>
      <c r="BV141" s="882"/>
      <c r="BW141" s="882"/>
      <c r="BX141" s="882"/>
      <c r="BY141" s="882"/>
      <c r="BZ141" s="882"/>
      <c r="CA141" s="882"/>
    </row>
    <row r="142" spans="1:79">
      <c r="A142" s="882"/>
      <c r="B142" s="882"/>
      <c r="C142" s="882"/>
      <c r="D142" s="1095"/>
      <c r="E142" s="882">
        <v>0</v>
      </c>
      <c r="F142" s="1064" t="s">
        <v>626</v>
      </c>
      <c r="G142" s="882"/>
      <c r="H142" s="1094">
        <v>0</v>
      </c>
      <c r="I142" s="1094">
        <f>H142+I141</f>
        <v>0</v>
      </c>
      <c r="J142" s="1094">
        <f t="shared" ref="J142:AU142" si="17">I142+J141</f>
        <v>0</v>
      </c>
      <c r="K142" s="1094">
        <f t="shared" si="17"/>
        <v>0</v>
      </c>
      <c r="L142" s="1094">
        <f t="shared" si="17"/>
        <v>0</v>
      </c>
      <c r="M142" s="1094">
        <f t="shared" si="17"/>
        <v>0</v>
      </c>
      <c r="N142" s="1094">
        <f t="shared" si="17"/>
        <v>0</v>
      </c>
      <c r="O142" s="1094">
        <f t="shared" si="17"/>
        <v>0</v>
      </c>
      <c r="P142" s="1094">
        <f t="shared" si="17"/>
        <v>0</v>
      </c>
      <c r="Q142" s="1094">
        <f t="shared" si="17"/>
        <v>0</v>
      </c>
      <c r="R142" s="1094">
        <f t="shared" si="17"/>
        <v>0</v>
      </c>
      <c r="S142" s="1094">
        <f t="shared" si="17"/>
        <v>0</v>
      </c>
      <c r="T142" s="1094">
        <f t="shared" si="17"/>
        <v>0</v>
      </c>
      <c r="U142" s="1094">
        <f t="shared" si="17"/>
        <v>0</v>
      </c>
      <c r="V142" s="1094">
        <f t="shared" si="17"/>
        <v>0</v>
      </c>
      <c r="W142" s="1094">
        <f t="shared" si="17"/>
        <v>0</v>
      </c>
      <c r="X142" s="1094">
        <f t="shared" si="17"/>
        <v>0</v>
      </c>
      <c r="Y142" s="1094">
        <f t="shared" si="17"/>
        <v>0</v>
      </c>
      <c r="Z142" s="1094">
        <f t="shared" si="17"/>
        <v>0</v>
      </c>
      <c r="AA142" s="1094">
        <f t="shared" si="17"/>
        <v>0</v>
      </c>
      <c r="AB142" s="1094">
        <f t="shared" si="17"/>
        <v>0</v>
      </c>
      <c r="AC142" s="1094">
        <f t="shared" si="17"/>
        <v>0</v>
      </c>
      <c r="AD142" s="1094">
        <f t="shared" si="17"/>
        <v>0</v>
      </c>
      <c r="AE142" s="1094">
        <f t="shared" si="17"/>
        <v>0</v>
      </c>
      <c r="AF142" s="1094">
        <f t="shared" si="17"/>
        <v>0</v>
      </c>
      <c r="AG142" s="1094">
        <f t="shared" si="17"/>
        <v>0</v>
      </c>
      <c r="AH142" s="1094">
        <f t="shared" si="17"/>
        <v>0</v>
      </c>
      <c r="AI142" s="1094">
        <f t="shared" si="17"/>
        <v>0</v>
      </c>
      <c r="AJ142" s="1094">
        <f t="shared" si="17"/>
        <v>0</v>
      </c>
      <c r="AK142" s="1094">
        <f t="shared" si="17"/>
        <v>0</v>
      </c>
      <c r="AL142" s="1094">
        <f t="shared" si="17"/>
        <v>0</v>
      </c>
      <c r="AM142" s="1094">
        <f t="shared" si="17"/>
        <v>0</v>
      </c>
      <c r="AN142" s="1094">
        <f t="shared" si="17"/>
        <v>0</v>
      </c>
      <c r="AO142" s="1094">
        <f t="shared" si="17"/>
        <v>0</v>
      </c>
      <c r="AP142" s="1094">
        <f t="shared" si="17"/>
        <v>0</v>
      </c>
      <c r="AQ142" s="1094">
        <f t="shared" si="17"/>
        <v>0</v>
      </c>
      <c r="AR142" s="1094">
        <f t="shared" si="17"/>
        <v>0</v>
      </c>
      <c r="AS142" s="1094">
        <f t="shared" si="17"/>
        <v>0</v>
      </c>
      <c r="AT142" s="1094">
        <f t="shared" si="17"/>
        <v>0</v>
      </c>
      <c r="AU142" s="1094">
        <f t="shared" si="17"/>
        <v>0</v>
      </c>
      <c r="AV142" s="882">
        <v>0</v>
      </c>
      <c r="AW142" s="882">
        <v>0</v>
      </c>
      <c r="AX142" s="882"/>
      <c r="AY142" s="882"/>
      <c r="AZ142" s="882"/>
      <c r="BA142" s="882"/>
      <c r="BB142" s="882"/>
      <c r="BC142" s="882"/>
      <c r="BD142" s="882"/>
      <c r="BE142" s="882"/>
      <c r="BF142" s="882"/>
      <c r="BG142" s="882"/>
      <c r="BH142" s="882"/>
      <c r="BI142" s="882"/>
      <c r="BJ142" s="882"/>
      <c r="BK142" s="882"/>
      <c r="BL142" s="882"/>
      <c r="BM142" s="882"/>
      <c r="BN142" s="882"/>
      <c r="BO142" s="882"/>
      <c r="BP142" s="882"/>
      <c r="BQ142" s="882"/>
      <c r="BR142" s="882"/>
      <c r="BS142" s="882"/>
      <c r="BT142" s="882"/>
      <c r="BU142" s="882"/>
      <c r="BV142" s="882"/>
      <c r="BW142" s="882"/>
      <c r="BX142" s="882"/>
      <c r="BY142" s="882"/>
      <c r="BZ142" s="882"/>
      <c r="CA142" s="882"/>
    </row>
    <row r="143" spans="1:79">
      <c r="A143" s="882"/>
      <c r="B143" s="882"/>
      <c r="C143" s="882"/>
      <c r="D143" s="1095"/>
      <c r="E143" s="1064" t="s">
        <v>639</v>
      </c>
      <c r="F143" s="1096">
        <v>0</v>
      </c>
      <c r="G143" s="897"/>
      <c r="H143" s="1094">
        <v>0</v>
      </c>
      <c r="I143" s="1094">
        <f>I142*$F$143/12</f>
        <v>0</v>
      </c>
      <c r="J143" s="1094">
        <f t="shared" ref="J143:AU143" si="18">J142*$F$143/12</f>
        <v>0</v>
      </c>
      <c r="K143" s="1094">
        <f t="shared" si="18"/>
        <v>0</v>
      </c>
      <c r="L143" s="1094">
        <f t="shared" si="18"/>
        <v>0</v>
      </c>
      <c r="M143" s="1094">
        <f t="shared" si="18"/>
        <v>0</v>
      </c>
      <c r="N143" s="1094">
        <f t="shared" si="18"/>
        <v>0</v>
      </c>
      <c r="O143" s="1094">
        <f t="shared" si="18"/>
        <v>0</v>
      </c>
      <c r="P143" s="1094">
        <f t="shared" si="18"/>
        <v>0</v>
      </c>
      <c r="Q143" s="1094">
        <f t="shared" si="18"/>
        <v>0</v>
      </c>
      <c r="R143" s="1094">
        <f t="shared" si="18"/>
        <v>0</v>
      </c>
      <c r="S143" s="1094">
        <f t="shared" si="18"/>
        <v>0</v>
      </c>
      <c r="T143" s="1094">
        <f t="shared" si="18"/>
        <v>0</v>
      </c>
      <c r="U143" s="1094">
        <f t="shared" si="18"/>
        <v>0</v>
      </c>
      <c r="V143" s="1094">
        <f t="shared" si="18"/>
        <v>0</v>
      </c>
      <c r="W143" s="1094">
        <f t="shared" si="18"/>
        <v>0</v>
      </c>
      <c r="X143" s="1094">
        <f t="shared" si="18"/>
        <v>0</v>
      </c>
      <c r="Y143" s="1094">
        <f t="shared" si="18"/>
        <v>0</v>
      </c>
      <c r="Z143" s="1094">
        <f t="shared" si="18"/>
        <v>0</v>
      </c>
      <c r="AA143" s="1094">
        <f t="shared" si="18"/>
        <v>0</v>
      </c>
      <c r="AB143" s="1094">
        <f t="shared" si="18"/>
        <v>0</v>
      </c>
      <c r="AC143" s="1094">
        <f t="shared" si="18"/>
        <v>0</v>
      </c>
      <c r="AD143" s="1094">
        <f t="shared" si="18"/>
        <v>0</v>
      </c>
      <c r="AE143" s="1094">
        <f t="shared" si="18"/>
        <v>0</v>
      </c>
      <c r="AF143" s="1094">
        <f t="shared" si="18"/>
        <v>0</v>
      </c>
      <c r="AG143" s="1094">
        <f t="shared" si="18"/>
        <v>0</v>
      </c>
      <c r="AH143" s="1094">
        <f t="shared" si="18"/>
        <v>0</v>
      </c>
      <c r="AI143" s="1094">
        <f t="shared" si="18"/>
        <v>0</v>
      </c>
      <c r="AJ143" s="1094">
        <f t="shared" si="18"/>
        <v>0</v>
      </c>
      <c r="AK143" s="1094">
        <f t="shared" si="18"/>
        <v>0</v>
      </c>
      <c r="AL143" s="1094">
        <f t="shared" si="18"/>
        <v>0</v>
      </c>
      <c r="AM143" s="1094">
        <f t="shared" si="18"/>
        <v>0</v>
      </c>
      <c r="AN143" s="1094">
        <f t="shared" si="18"/>
        <v>0</v>
      </c>
      <c r="AO143" s="1094">
        <f t="shared" si="18"/>
        <v>0</v>
      </c>
      <c r="AP143" s="1094">
        <f t="shared" si="18"/>
        <v>0</v>
      </c>
      <c r="AQ143" s="1094">
        <f t="shared" si="18"/>
        <v>0</v>
      </c>
      <c r="AR143" s="1094">
        <f t="shared" si="18"/>
        <v>0</v>
      </c>
      <c r="AS143" s="1094">
        <f t="shared" si="18"/>
        <v>0</v>
      </c>
      <c r="AT143" s="1094">
        <f t="shared" si="18"/>
        <v>0</v>
      </c>
      <c r="AU143" s="1094">
        <f t="shared" si="18"/>
        <v>0</v>
      </c>
      <c r="AV143" s="882">
        <v>0</v>
      </c>
      <c r="AW143" s="882">
        <v>0</v>
      </c>
      <c r="AX143" s="882"/>
      <c r="AY143" s="882"/>
      <c r="AZ143" s="882"/>
      <c r="BA143" s="882"/>
      <c r="BB143" s="882"/>
      <c r="BC143" s="882"/>
      <c r="BD143" s="882"/>
      <c r="BE143" s="882"/>
      <c r="BF143" s="882"/>
      <c r="BG143" s="882"/>
      <c r="BH143" s="882"/>
      <c r="BI143" s="882"/>
      <c r="BJ143" s="882"/>
      <c r="BK143" s="882"/>
      <c r="BL143" s="882"/>
      <c r="BM143" s="882"/>
      <c r="BN143" s="882"/>
      <c r="BO143" s="882"/>
      <c r="BP143" s="882"/>
      <c r="BQ143" s="882"/>
      <c r="BR143" s="882"/>
      <c r="BS143" s="882"/>
      <c r="BT143" s="882"/>
      <c r="BU143" s="882"/>
      <c r="BV143" s="882"/>
      <c r="BW143" s="882"/>
      <c r="BX143" s="882"/>
      <c r="BY143" s="882"/>
      <c r="BZ143" s="882"/>
      <c r="CA143" s="882"/>
    </row>
    <row r="144" spans="1:79">
      <c r="A144" s="882"/>
      <c r="B144" s="882"/>
      <c r="C144" s="882"/>
      <c r="D144" s="1097"/>
      <c r="E144" s="976">
        <v>0</v>
      </c>
      <c r="F144" s="976"/>
      <c r="G144" s="1098" t="s">
        <v>628</v>
      </c>
      <c r="H144" s="1099">
        <f>SUM(H143:AU143)</f>
        <v>0</v>
      </c>
      <c r="I144" s="1100">
        <v>0</v>
      </c>
      <c r="J144" s="1100">
        <v>0</v>
      </c>
      <c r="K144" s="1100">
        <v>0</v>
      </c>
      <c r="L144" s="1100">
        <v>0</v>
      </c>
      <c r="M144" s="1100">
        <v>0</v>
      </c>
      <c r="N144" s="1100">
        <v>0</v>
      </c>
      <c r="O144" s="1100">
        <v>0</v>
      </c>
      <c r="P144" s="1100">
        <v>0</v>
      </c>
      <c r="Q144" s="1100">
        <v>0</v>
      </c>
      <c r="R144" s="1100">
        <v>0</v>
      </c>
      <c r="S144" s="1100">
        <v>0</v>
      </c>
      <c r="T144" s="1100">
        <v>0</v>
      </c>
      <c r="U144" s="1100">
        <v>0</v>
      </c>
      <c r="V144" s="1100">
        <v>0</v>
      </c>
      <c r="W144" s="1100">
        <v>0</v>
      </c>
      <c r="X144" s="1100">
        <v>0</v>
      </c>
      <c r="Y144" s="1100">
        <v>0</v>
      </c>
      <c r="Z144" s="1100">
        <v>0</v>
      </c>
      <c r="AA144" s="1100">
        <v>0</v>
      </c>
      <c r="AB144" s="1100">
        <v>0</v>
      </c>
      <c r="AC144" s="1100">
        <v>0</v>
      </c>
      <c r="AD144" s="1100">
        <v>0</v>
      </c>
      <c r="AE144" s="1100">
        <v>0</v>
      </c>
      <c r="AF144" s="1100">
        <v>0</v>
      </c>
      <c r="AG144" s="1100">
        <v>0</v>
      </c>
      <c r="AH144" s="1100">
        <v>0</v>
      </c>
      <c r="AI144" s="1100">
        <v>0</v>
      </c>
      <c r="AJ144" s="1100">
        <v>0</v>
      </c>
      <c r="AK144" s="1100">
        <v>0</v>
      </c>
      <c r="AL144" s="1100">
        <v>0</v>
      </c>
      <c r="AM144" s="1100">
        <v>0</v>
      </c>
      <c r="AN144" s="1100">
        <v>0</v>
      </c>
      <c r="AO144" s="1100">
        <v>0</v>
      </c>
      <c r="AP144" s="1100">
        <v>0</v>
      </c>
      <c r="AQ144" s="1100">
        <v>0</v>
      </c>
      <c r="AR144" s="1100">
        <v>0</v>
      </c>
      <c r="AS144" s="1100">
        <v>0</v>
      </c>
      <c r="AT144" s="1100">
        <v>0</v>
      </c>
      <c r="AU144" s="882">
        <v>0</v>
      </c>
      <c r="AV144" s="882">
        <v>0</v>
      </c>
      <c r="AW144" s="882">
        <v>0</v>
      </c>
      <c r="AX144" s="882"/>
      <c r="AY144" s="882"/>
      <c r="AZ144" s="882"/>
      <c r="BA144" s="882"/>
      <c r="BB144" s="882"/>
      <c r="BC144" s="882"/>
      <c r="BD144" s="882"/>
      <c r="BE144" s="882"/>
      <c r="BF144" s="882"/>
      <c r="BG144" s="882"/>
      <c r="BH144" s="882"/>
      <c r="BI144" s="882"/>
      <c r="BJ144" s="882"/>
      <c r="BK144" s="882"/>
      <c r="BL144" s="882"/>
      <c r="BM144" s="882"/>
      <c r="BN144" s="882"/>
      <c r="BO144" s="882"/>
      <c r="BP144" s="882"/>
      <c r="BQ144" s="882"/>
      <c r="BR144" s="882"/>
      <c r="BS144" s="882"/>
      <c r="BT144" s="882"/>
      <c r="BU144" s="882"/>
      <c r="BV144" s="882"/>
      <c r="BW144" s="882"/>
      <c r="BX144" s="882"/>
      <c r="BY144" s="882"/>
      <c r="BZ144" s="882"/>
      <c r="CA144" s="882"/>
    </row>
    <row r="145" spans="1:79">
      <c r="A145" s="882"/>
      <c r="B145" s="882"/>
      <c r="C145" s="882"/>
      <c r="D145" s="882"/>
      <c r="E145" s="882">
        <v>0</v>
      </c>
      <c r="F145" s="882"/>
      <c r="G145" s="1064" t="s">
        <v>640</v>
      </c>
      <c r="H145" s="1101">
        <f>H144</f>
        <v>0</v>
      </c>
      <c r="I145" s="882">
        <v>0</v>
      </c>
      <c r="J145" s="882">
        <v>0</v>
      </c>
      <c r="K145" s="882">
        <v>0</v>
      </c>
      <c r="L145" s="882">
        <v>0</v>
      </c>
      <c r="M145" s="882">
        <v>0</v>
      </c>
      <c r="N145" s="882">
        <v>0</v>
      </c>
      <c r="O145" s="882">
        <v>0</v>
      </c>
      <c r="P145" s="882">
        <v>0</v>
      </c>
      <c r="Q145" s="882">
        <v>0</v>
      </c>
      <c r="R145" s="882">
        <v>0</v>
      </c>
      <c r="S145" s="882">
        <v>0</v>
      </c>
      <c r="T145" s="882">
        <v>0</v>
      </c>
      <c r="U145" s="882">
        <v>0</v>
      </c>
      <c r="V145" s="882">
        <v>0</v>
      </c>
      <c r="W145" s="882">
        <v>0</v>
      </c>
      <c r="X145" s="882">
        <v>0</v>
      </c>
      <c r="Y145" s="882">
        <v>0</v>
      </c>
      <c r="Z145" s="882">
        <v>0</v>
      </c>
      <c r="AA145" s="882">
        <v>0</v>
      </c>
      <c r="AB145" s="882">
        <v>0</v>
      </c>
      <c r="AC145" s="882">
        <v>0</v>
      </c>
      <c r="AD145" s="882">
        <v>0</v>
      </c>
      <c r="AE145" s="882">
        <v>0</v>
      </c>
      <c r="AF145" s="882">
        <v>0</v>
      </c>
      <c r="AG145" s="882">
        <v>0</v>
      </c>
      <c r="AH145" s="882">
        <v>0</v>
      </c>
      <c r="AI145" s="882">
        <v>0</v>
      </c>
      <c r="AJ145" s="882">
        <v>0</v>
      </c>
      <c r="AK145" s="882">
        <v>0</v>
      </c>
      <c r="AL145" s="882">
        <v>0</v>
      </c>
      <c r="AM145" s="882">
        <v>0</v>
      </c>
      <c r="AN145" s="882">
        <v>0</v>
      </c>
      <c r="AO145" s="882">
        <v>0</v>
      </c>
      <c r="AP145" s="882">
        <v>0</v>
      </c>
      <c r="AQ145" s="882">
        <v>0</v>
      </c>
      <c r="AR145" s="882">
        <v>0</v>
      </c>
      <c r="AS145" s="882">
        <v>0</v>
      </c>
      <c r="AT145" s="882">
        <v>0</v>
      </c>
      <c r="AU145" s="882">
        <v>0</v>
      </c>
      <c r="AV145" s="882">
        <v>0</v>
      </c>
      <c r="AW145" s="882">
        <v>0</v>
      </c>
      <c r="AX145" s="882"/>
      <c r="AY145" s="882"/>
      <c r="AZ145" s="882"/>
      <c r="BA145" s="882"/>
      <c r="BB145" s="882"/>
      <c r="BC145" s="882"/>
      <c r="BD145" s="882"/>
      <c r="BE145" s="882"/>
      <c r="BF145" s="882"/>
      <c r="BG145" s="882"/>
      <c r="BH145" s="882"/>
      <c r="BI145" s="882"/>
      <c r="BJ145" s="882"/>
      <c r="BK145" s="882"/>
      <c r="BL145" s="882"/>
      <c r="BM145" s="882"/>
      <c r="BN145" s="882"/>
      <c r="BO145" s="882"/>
      <c r="BP145" s="882"/>
      <c r="BQ145" s="882"/>
      <c r="BR145" s="882"/>
      <c r="BS145" s="882"/>
      <c r="BT145" s="882"/>
      <c r="BU145" s="882"/>
      <c r="BV145" s="882"/>
      <c r="BW145" s="882"/>
      <c r="BX145" s="882"/>
      <c r="BY145" s="882"/>
      <c r="BZ145" s="882"/>
      <c r="CA145" s="882"/>
    </row>
    <row r="146" spans="1:79">
      <c r="A146" s="882"/>
      <c r="B146" s="882"/>
      <c r="C146" s="882"/>
      <c r="D146" s="882"/>
      <c r="E146" s="882">
        <v>0</v>
      </c>
      <c r="F146" s="882"/>
      <c r="G146" s="882"/>
      <c r="H146" s="882">
        <v>0</v>
      </c>
      <c r="I146" s="882">
        <v>0</v>
      </c>
      <c r="J146" s="882">
        <v>0</v>
      </c>
      <c r="K146" s="882">
        <v>0</v>
      </c>
      <c r="L146" s="882">
        <v>0</v>
      </c>
      <c r="M146" s="882">
        <v>0</v>
      </c>
      <c r="N146" s="882">
        <v>0</v>
      </c>
      <c r="O146" s="882">
        <v>0</v>
      </c>
      <c r="P146" s="882">
        <v>0</v>
      </c>
      <c r="Q146" s="882">
        <v>0</v>
      </c>
      <c r="R146" s="882">
        <v>0</v>
      </c>
      <c r="S146" s="882">
        <v>0</v>
      </c>
      <c r="T146" s="882">
        <v>0</v>
      </c>
      <c r="U146" s="882">
        <v>0</v>
      </c>
      <c r="V146" s="882">
        <v>0</v>
      </c>
      <c r="W146" s="882">
        <v>0</v>
      </c>
      <c r="X146" s="882">
        <v>0</v>
      </c>
      <c r="Y146" s="882">
        <v>0</v>
      </c>
      <c r="Z146" s="882">
        <v>0</v>
      </c>
      <c r="AA146" s="882">
        <v>0</v>
      </c>
      <c r="AB146" s="882">
        <v>0</v>
      </c>
      <c r="AC146" s="882">
        <v>0</v>
      </c>
      <c r="AD146" s="882">
        <v>0</v>
      </c>
      <c r="AE146" s="882">
        <v>0</v>
      </c>
      <c r="AF146" s="882">
        <v>0</v>
      </c>
      <c r="AG146" s="882">
        <v>0</v>
      </c>
      <c r="AH146" s="882">
        <v>0</v>
      </c>
      <c r="AI146" s="882">
        <v>0</v>
      </c>
      <c r="AJ146" s="882">
        <v>0</v>
      </c>
      <c r="AK146" s="882">
        <v>0</v>
      </c>
      <c r="AL146" s="882">
        <v>0</v>
      </c>
      <c r="AM146" s="882">
        <v>0</v>
      </c>
      <c r="AN146" s="882">
        <v>0</v>
      </c>
      <c r="AO146" s="882">
        <v>0</v>
      </c>
      <c r="AP146" s="882">
        <v>0</v>
      </c>
      <c r="AQ146" s="882">
        <v>0</v>
      </c>
      <c r="AR146" s="882">
        <v>0</v>
      </c>
      <c r="AS146" s="882">
        <v>0</v>
      </c>
      <c r="AT146" s="882">
        <v>0</v>
      </c>
      <c r="AU146" s="882">
        <v>0</v>
      </c>
      <c r="AV146" s="882">
        <v>0</v>
      </c>
      <c r="AW146" s="882">
        <v>0</v>
      </c>
      <c r="AX146" s="882"/>
      <c r="AY146" s="882"/>
      <c r="AZ146" s="882"/>
      <c r="BA146" s="882"/>
      <c r="BB146" s="882"/>
      <c r="BC146" s="882"/>
      <c r="BD146" s="882"/>
      <c r="BE146" s="882"/>
      <c r="BF146" s="882"/>
      <c r="BG146" s="882"/>
      <c r="BH146" s="882"/>
      <c r="BI146" s="882"/>
      <c r="BJ146" s="882"/>
      <c r="BK146" s="882"/>
      <c r="BL146" s="882"/>
      <c r="BM146" s="882"/>
      <c r="BN146" s="882"/>
      <c r="BO146" s="882"/>
      <c r="BP146" s="882"/>
      <c r="BQ146" s="882"/>
      <c r="BR146" s="882"/>
      <c r="BS146" s="882"/>
      <c r="BT146" s="882"/>
      <c r="BU146" s="882"/>
      <c r="BV146" s="882"/>
      <c r="BW146" s="882"/>
      <c r="BX146" s="882"/>
      <c r="BY146" s="882"/>
      <c r="BZ146" s="882"/>
      <c r="CA146" s="882"/>
    </row>
    <row r="147" spans="1:79">
      <c r="A147" s="882"/>
      <c r="B147" s="882"/>
      <c r="C147" s="882"/>
      <c r="D147" s="882"/>
      <c r="E147" s="882">
        <v>0</v>
      </c>
      <c r="F147" s="882"/>
      <c r="G147" s="882"/>
      <c r="H147" s="882">
        <v>0</v>
      </c>
      <c r="I147" s="882">
        <v>0</v>
      </c>
      <c r="J147" s="882">
        <v>0</v>
      </c>
      <c r="K147" s="882">
        <v>0</v>
      </c>
      <c r="L147" s="882">
        <v>0</v>
      </c>
      <c r="M147" s="882">
        <v>0</v>
      </c>
      <c r="N147" s="882">
        <v>0</v>
      </c>
      <c r="O147" s="882">
        <v>0</v>
      </c>
      <c r="P147" s="882">
        <v>0</v>
      </c>
      <c r="Q147" s="882">
        <v>0</v>
      </c>
      <c r="R147" s="882">
        <v>0</v>
      </c>
      <c r="S147" s="882">
        <v>0</v>
      </c>
      <c r="T147" s="882">
        <v>0</v>
      </c>
      <c r="U147" s="882">
        <v>0</v>
      </c>
      <c r="V147" s="882">
        <v>0</v>
      </c>
      <c r="W147" s="882">
        <v>0</v>
      </c>
      <c r="X147" s="882">
        <v>0</v>
      </c>
      <c r="Y147" s="882">
        <v>0</v>
      </c>
      <c r="Z147" s="882">
        <v>0</v>
      </c>
      <c r="AA147" s="882">
        <v>0</v>
      </c>
      <c r="AB147" s="882">
        <v>0</v>
      </c>
      <c r="AC147" s="882">
        <v>0</v>
      </c>
      <c r="AD147" s="882">
        <v>0</v>
      </c>
      <c r="AE147" s="882">
        <v>0</v>
      </c>
      <c r="AF147" s="882">
        <v>0</v>
      </c>
      <c r="AG147" s="882">
        <v>0</v>
      </c>
      <c r="AH147" s="882">
        <v>0</v>
      </c>
      <c r="AI147" s="882">
        <v>0</v>
      </c>
      <c r="AJ147" s="882">
        <v>0</v>
      </c>
      <c r="AK147" s="882">
        <v>0</v>
      </c>
      <c r="AL147" s="882">
        <v>0</v>
      </c>
      <c r="AM147" s="882">
        <v>0</v>
      </c>
      <c r="AN147" s="882">
        <v>0</v>
      </c>
      <c r="AO147" s="882">
        <v>0</v>
      </c>
      <c r="AP147" s="882">
        <v>0</v>
      </c>
      <c r="AQ147" s="882">
        <v>0</v>
      </c>
      <c r="AR147" s="882">
        <v>0</v>
      </c>
      <c r="AS147" s="882">
        <v>0</v>
      </c>
      <c r="AT147" s="882">
        <v>0</v>
      </c>
      <c r="AU147" s="882">
        <v>0</v>
      </c>
      <c r="AV147" s="882">
        <v>0</v>
      </c>
      <c r="AW147" s="882">
        <v>0</v>
      </c>
      <c r="AX147" s="882"/>
      <c r="AY147" s="882"/>
      <c r="AZ147" s="882"/>
      <c r="BA147" s="882"/>
      <c r="BB147" s="882"/>
      <c r="BC147" s="882"/>
      <c r="BD147" s="882"/>
      <c r="BE147" s="882"/>
      <c r="BF147" s="882"/>
      <c r="BG147" s="882"/>
      <c r="BH147" s="882"/>
      <c r="BI147" s="882"/>
      <c r="BJ147" s="882"/>
      <c r="BK147" s="882"/>
      <c r="BL147" s="882"/>
      <c r="BM147" s="882"/>
      <c r="BN147" s="882"/>
      <c r="BO147" s="882"/>
      <c r="BP147" s="882"/>
      <c r="BQ147" s="882"/>
      <c r="BR147" s="882"/>
      <c r="BS147" s="882"/>
      <c r="BT147" s="882"/>
      <c r="BU147" s="882"/>
      <c r="BV147" s="882"/>
      <c r="BW147" s="882"/>
      <c r="BX147" s="882"/>
      <c r="BY147" s="882"/>
      <c r="BZ147" s="882"/>
      <c r="CA147" s="882"/>
    </row>
    <row r="148" spans="1:79">
      <c r="A148" s="882"/>
      <c r="B148" s="1089" t="s">
        <v>207</v>
      </c>
      <c r="C148" s="882"/>
      <c r="D148" s="882"/>
      <c r="E148" s="882">
        <v>0</v>
      </c>
      <c r="F148" s="882"/>
      <c r="G148" s="882"/>
      <c r="H148" s="882">
        <v>0</v>
      </c>
      <c r="I148" s="882">
        <v>0</v>
      </c>
      <c r="J148" s="882">
        <v>0</v>
      </c>
      <c r="K148" s="882">
        <v>0</v>
      </c>
      <c r="L148" s="882">
        <v>0</v>
      </c>
      <c r="M148" s="882">
        <v>0</v>
      </c>
      <c r="N148" s="882">
        <v>0</v>
      </c>
      <c r="O148" s="882">
        <v>0</v>
      </c>
      <c r="P148" s="882">
        <v>0</v>
      </c>
      <c r="Q148" s="882">
        <v>0</v>
      </c>
      <c r="R148" s="882">
        <v>0</v>
      </c>
      <c r="S148" s="882">
        <v>0</v>
      </c>
      <c r="T148" s="882">
        <v>0</v>
      </c>
      <c r="U148" s="882">
        <v>0</v>
      </c>
      <c r="V148" s="882">
        <v>0</v>
      </c>
      <c r="W148" s="882">
        <v>0</v>
      </c>
      <c r="X148" s="882">
        <v>0</v>
      </c>
      <c r="Y148" s="882">
        <v>0</v>
      </c>
      <c r="Z148" s="882">
        <v>0</v>
      </c>
      <c r="AA148" s="882">
        <v>0</v>
      </c>
      <c r="AB148" s="882">
        <v>0</v>
      </c>
      <c r="AC148" s="882">
        <v>0</v>
      </c>
      <c r="AD148" s="882">
        <v>0</v>
      </c>
      <c r="AE148" s="882">
        <v>0</v>
      </c>
      <c r="AF148" s="882">
        <v>0</v>
      </c>
      <c r="AG148" s="882">
        <v>0</v>
      </c>
      <c r="AH148" s="882">
        <v>0</v>
      </c>
      <c r="AI148" s="882">
        <v>0</v>
      </c>
      <c r="AJ148" s="882">
        <v>0</v>
      </c>
      <c r="AK148" s="882">
        <v>0</v>
      </c>
      <c r="AL148" s="882">
        <v>0</v>
      </c>
      <c r="AM148" s="882">
        <v>0</v>
      </c>
      <c r="AN148" s="882">
        <v>0</v>
      </c>
      <c r="AO148" s="882">
        <v>0</v>
      </c>
      <c r="AP148" s="882">
        <v>0</v>
      </c>
      <c r="AQ148" s="882">
        <v>0</v>
      </c>
      <c r="AR148" s="882">
        <v>0</v>
      </c>
      <c r="AS148" s="882">
        <v>0</v>
      </c>
      <c r="AT148" s="882">
        <v>0</v>
      </c>
      <c r="AU148" s="882">
        <v>0</v>
      </c>
      <c r="AV148" s="882">
        <v>0</v>
      </c>
      <c r="AW148" s="882">
        <v>0</v>
      </c>
      <c r="AX148" s="882"/>
      <c r="AY148" s="882"/>
      <c r="AZ148" s="882"/>
      <c r="BA148" s="882"/>
      <c r="BB148" s="882"/>
      <c r="BC148" s="882"/>
      <c r="BD148" s="882"/>
      <c r="BE148" s="882"/>
      <c r="BF148" s="882"/>
      <c r="BG148" s="882"/>
      <c r="BH148" s="882"/>
      <c r="BI148" s="882"/>
      <c r="BJ148" s="882"/>
      <c r="BK148" s="882"/>
      <c r="BL148" s="882"/>
      <c r="BM148" s="882"/>
      <c r="BN148" s="882"/>
      <c r="BO148" s="882"/>
      <c r="BP148" s="882"/>
      <c r="BQ148" s="882"/>
      <c r="BR148" s="882"/>
      <c r="BS148" s="882"/>
      <c r="BT148" s="882"/>
      <c r="BU148" s="882"/>
      <c r="BV148" s="882"/>
      <c r="BW148" s="882"/>
      <c r="BX148" s="882"/>
      <c r="BY148" s="882"/>
      <c r="BZ148" s="882"/>
      <c r="CA148" s="882"/>
    </row>
    <row r="149" spans="1:79">
      <c r="A149" s="882"/>
      <c r="B149" s="1089"/>
      <c r="C149" s="882"/>
      <c r="D149" s="1090"/>
      <c r="E149" s="1091">
        <v>0</v>
      </c>
      <c r="F149" s="1092" t="s">
        <v>638</v>
      </c>
      <c r="G149" s="1091"/>
      <c r="H149" s="1100">
        <v>0</v>
      </c>
      <c r="I149" s="1100">
        <v>0</v>
      </c>
      <c r="J149" s="1100">
        <v>0</v>
      </c>
      <c r="K149" s="1100">
        <v>0</v>
      </c>
      <c r="L149" s="1100">
        <v>0</v>
      </c>
      <c r="M149" s="1100">
        <v>0</v>
      </c>
      <c r="N149" s="1100">
        <v>0</v>
      </c>
      <c r="O149" s="1100">
        <v>0</v>
      </c>
      <c r="P149" s="1100">
        <v>0</v>
      </c>
      <c r="Q149" s="1100">
        <v>0</v>
      </c>
      <c r="R149" s="1100">
        <v>0</v>
      </c>
      <c r="S149" s="1100">
        <v>0</v>
      </c>
      <c r="T149" s="1100">
        <v>0</v>
      </c>
      <c r="U149" s="1100">
        <v>0</v>
      </c>
      <c r="V149" s="1100">
        <v>0</v>
      </c>
      <c r="W149" s="1100">
        <v>0</v>
      </c>
      <c r="X149" s="1100">
        <v>0</v>
      </c>
      <c r="Y149" s="1100">
        <v>0</v>
      </c>
      <c r="Z149" s="1100">
        <v>0</v>
      </c>
      <c r="AA149" s="1100">
        <v>0</v>
      </c>
      <c r="AB149" s="1100">
        <v>0</v>
      </c>
      <c r="AC149" s="1100">
        <v>0</v>
      </c>
      <c r="AD149" s="1100">
        <v>0</v>
      </c>
      <c r="AE149" s="1100">
        <v>0</v>
      </c>
      <c r="AF149" s="1100">
        <v>0</v>
      </c>
      <c r="AG149" s="1100">
        <v>0</v>
      </c>
      <c r="AH149" s="1100">
        <v>0</v>
      </c>
      <c r="AI149" s="1100">
        <v>0</v>
      </c>
      <c r="AJ149" s="1100">
        <v>0</v>
      </c>
      <c r="AK149" s="1100">
        <v>0</v>
      </c>
      <c r="AL149" s="1100">
        <v>0</v>
      </c>
      <c r="AM149" s="1100">
        <v>0</v>
      </c>
      <c r="AN149" s="1100">
        <v>0</v>
      </c>
      <c r="AO149" s="1100">
        <v>0</v>
      </c>
      <c r="AP149" s="1100">
        <v>0</v>
      </c>
      <c r="AQ149" s="1100">
        <v>0</v>
      </c>
      <c r="AR149" s="1100">
        <v>0</v>
      </c>
      <c r="AS149" s="1100">
        <v>0</v>
      </c>
      <c r="AT149" s="1100">
        <v>0</v>
      </c>
      <c r="AU149" s="1100">
        <v>0</v>
      </c>
      <c r="AV149" s="882">
        <v>0</v>
      </c>
      <c r="AW149" s="882">
        <v>0</v>
      </c>
      <c r="AX149" s="882"/>
      <c r="AY149" s="882"/>
    </row>
    <row r="150" spans="1:79">
      <c r="A150" s="882"/>
      <c r="B150" s="882"/>
      <c r="C150" s="882"/>
      <c r="D150" s="1095"/>
      <c r="E150" s="882">
        <v>0</v>
      </c>
      <c r="F150" s="1064" t="s">
        <v>626</v>
      </c>
      <c r="G150" s="882"/>
      <c r="H150" s="1094">
        <v>0</v>
      </c>
      <c r="I150" s="1094">
        <f>H150+I149</f>
        <v>0</v>
      </c>
      <c r="J150" s="1094">
        <f t="shared" ref="J150:AU150" si="19">I150+J149</f>
        <v>0</v>
      </c>
      <c r="K150" s="1094">
        <f t="shared" si="19"/>
        <v>0</v>
      </c>
      <c r="L150" s="1094">
        <f t="shared" si="19"/>
        <v>0</v>
      </c>
      <c r="M150" s="1094">
        <f t="shared" si="19"/>
        <v>0</v>
      </c>
      <c r="N150" s="1094">
        <f t="shared" si="19"/>
        <v>0</v>
      </c>
      <c r="O150" s="1094">
        <f t="shared" si="19"/>
        <v>0</v>
      </c>
      <c r="P150" s="1094">
        <f t="shared" si="19"/>
        <v>0</v>
      </c>
      <c r="Q150" s="1094">
        <f t="shared" si="19"/>
        <v>0</v>
      </c>
      <c r="R150" s="1094">
        <f t="shared" si="19"/>
        <v>0</v>
      </c>
      <c r="S150" s="1094">
        <f t="shared" si="19"/>
        <v>0</v>
      </c>
      <c r="T150" s="1094">
        <f t="shared" si="19"/>
        <v>0</v>
      </c>
      <c r="U150" s="1094">
        <f t="shared" si="19"/>
        <v>0</v>
      </c>
      <c r="V150" s="1094">
        <f t="shared" si="19"/>
        <v>0</v>
      </c>
      <c r="W150" s="1094">
        <f t="shared" si="19"/>
        <v>0</v>
      </c>
      <c r="X150" s="1094">
        <f t="shared" si="19"/>
        <v>0</v>
      </c>
      <c r="Y150" s="1094">
        <f t="shared" si="19"/>
        <v>0</v>
      </c>
      <c r="Z150" s="1094">
        <f t="shared" si="19"/>
        <v>0</v>
      </c>
      <c r="AA150" s="1094">
        <f t="shared" si="19"/>
        <v>0</v>
      </c>
      <c r="AB150" s="1094">
        <f t="shared" si="19"/>
        <v>0</v>
      </c>
      <c r="AC150" s="1094">
        <f t="shared" si="19"/>
        <v>0</v>
      </c>
      <c r="AD150" s="1094">
        <f t="shared" si="19"/>
        <v>0</v>
      </c>
      <c r="AE150" s="1094">
        <f t="shared" si="19"/>
        <v>0</v>
      </c>
      <c r="AF150" s="1094">
        <f t="shared" si="19"/>
        <v>0</v>
      </c>
      <c r="AG150" s="1094">
        <f t="shared" si="19"/>
        <v>0</v>
      </c>
      <c r="AH150" s="1094">
        <f t="shared" si="19"/>
        <v>0</v>
      </c>
      <c r="AI150" s="1094">
        <f t="shared" si="19"/>
        <v>0</v>
      </c>
      <c r="AJ150" s="1094">
        <f t="shared" si="19"/>
        <v>0</v>
      </c>
      <c r="AK150" s="1094">
        <f t="shared" si="19"/>
        <v>0</v>
      </c>
      <c r="AL150" s="1094">
        <f t="shared" si="19"/>
        <v>0</v>
      </c>
      <c r="AM150" s="1094">
        <f t="shared" si="19"/>
        <v>0</v>
      </c>
      <c r="AN150" s="1094">
        <f t="shared" si="19"/>
        <v>0</v>
      </c>
      <c r="AO150" s="1094">
        <f t="shared" si="19"/>
        <v>0</v>
      </c>
      <c r="AP150" s="1094">
        <f t="shared" si="19"/>
        <v>0</v>
      </c>
      <c r="AQ150" s="1094">
        <f t="shared" si="19"/>
        <v>0</v>
      </c>
      <c r="AR150" s="1094">
        <f t="shared" si="19"/>
        <v>0</v>
      </c>
      <c r="AS150" s="1094">
        <f t="shared" si="19"/>
        <v>0</v>
      </c>
      <c r="AT150" s="1094">
        <f t="shared" si="19"/>
        <v>0</v>
      </c>
      <c r="AU150" s="1094">
        <f t="shared" si="19"/>
        <v>0</v>
      </c>
      <c r="AV150" s="882">
        <v>0</v>
      </c>
      <c r="AW150" s="882">
        <v>0</v>
      </c>
      <c r="AX150" s="882"/>
      <c r="AY150" s="882"/>
    </row>
    <row r="151" spans="1:79">
      <c r="A151" s="882"/>
      <c r="B151" s="882"/>
      <c r="C151" s="882"/>
      <c r="D151" s="1095"/>
      <c r="E151" s="1064" t="s">
        <v>639</v>
      </c>
      <c r="F151" s="1096">
        <v>0</v>
      </c>
      <c r="G151" s="897"/>
      <c r="H151" s="1094">
        <v>0</v>
      </c>
      <c r="I151" s="1094">
        <f>I150*$F$151/12</f>
        <v>0</v>
      </c>
      <c r="J151" s="1094">
        <f t="shared" ref="J151:AU151" si="20">J150*$F$151/12</f>
        <v>0</v>
      </c>
      <c r="K151" s="1094">
        <f t="shared" si="20"/>
        <v>0</v>
      </c>
      <c r="L151" s="1094">
        <f t="shared" si="20"/>
        <v>0</v>
      </c>
      <c r="M151" s="1094">
        <f t="shared" si="20"/>
        <v>0</v>
      </c>
      <c r="N151" s="1094">
        <f t="shared" si="20"/>
        <v>0</v>
      </c>
      <c r="O151" s="1094">
        <f t="shared" si="20"/>
        <v>0</v>
      </c>
      <c r="P151" s="1094">
        <f t="shared" si="20"/>
        <v>0</v>
      </c>
      <c r="Q151" s="1094">
        <f t="shared" si="20"/>
        <v>0</v>
      </c>
      <c r="R151" s="1094">
        <f t="shared" si="20"/>
        <v>0</v>
      </c>
      <c r="S151" s="1094">
        <f t="shared" si="20"/>
        <v>0</v>
      </c>
      <c r="T151" s="1094">
        <f t="shared" si="20"/>
        <v>0</v>
      </c>
      <c r="U151" s="1094">
        <f t="shared" si="20"/>
        <v>0</v>
      </c>
      <c r="V151" s="1094">
        <f t="shared" si="20"/>
        <v>0</v>
      </c>
      <c r="W151" s="1094">
        <f t="shared" si="20"/>
        <v>0</v>
      </c>
      <c r="X151" s="1094">
        <f t="shared" si="20"/>
        <v>0</v>
      </c>
      <c r="Y151" s="1094">
        <f t="shared" si="20"/>
        <v>0</v>
      </c>
      <c r="Z151" s="1094">
        <f t="shared" si="20"/>
        <v>0</v>
      </c>
      <c r="AA151" s="1094">
        <f t="shared" si="20"/>
        <v>0</v>
      </c>
      <c r="AB151" s="1094">
        <f t="shared" si="20"/>
        <v>0</v>
      </c>
      <c r="AC151" s="1094">
        <f t="shared" si="20"/>
        <v>0</v>
      </c>
      <c r="AD151" s="1094">
        <f t="shared" si="20"/>
        <v>0</v>
      </c>
      <c r="AE151" s="1094">
        <f t="shared" si="20"/>
        <v>0</v>
      </c>
      <c r="AF151" s="1094">
        <f t="shared" si="20"/>
        <v>0</v>
      </c>
      <c r="AG151" s="1094">
        <f t="shared" si="20"/>
        <v>0</v>
      </c>
      <c r="AH151" s="1094">
        <f t="shared" si="20"/>
        <v>0</v>
      </c>
      <c r="AI151" s="1094">
        <f t="shared" si="20"/>
        <v>0</v>
      </c>
      <c r="AJ151" s="1094">
        <f t="shared" si="20"/>
        <v>0</v>
      </c>
      <c r="AK151" s="1094">
        <f t="shared" si="20"/>
        <v>0</v>
      </c>
      <c r="AL151" s="1094">
        <f t="shared" si="20"/>
        <v>0</v>
      </c>
      <c r="AM151" s="1094">
        <f t="shared" si="20"/>
        <v>0</v>
      </c>
      <c r="AN151" s="1094">
        <f t="shared" si="20"/>
        <v>0</v>
      </c>
      <c r="AO151" s="1094">
        <f t="shared" si="20"/>
        <v>0</v>
      </c>
      <c r="AP151" s="1094">
        <f t="shared" si="20"/>
        <v>0</v>
      </c>
      <c r="AQ151" s="1094">
        <f t="shared" si="20"/>
        <v>0</v>
      </c>
      <c r="AR151" s="1094">
        <f t="shared" si="20"/>
        <v>0</v>
      </c>
      <c r="AS151" s="1094">
        <f t="shared" si="20"/>
        <v>0</v>
      </c>
      <c r="AT151" s="1094">
        <f t="shared" si="20"/>
        <v>0</v>
      </c>
      <c r="AU151" s="1094">
        <f t="shared" si="20"/>
        <v>0</v>
      </c>
      <c r="AV151" s="882">
        <v>0</v>
      </c>
      <c r="AW151" s="882">
        <v>0</v>
      </c>
      <c r="AX151" s="882"/>
      <c r="AY151" s="882"/>
    </row>
    <row r="152" spans="1:79">
      <c r="A152" s="882"/>
      <c r="B152" s="882"/>
      <c r="C152" s="882"/>
      <c r="D152" s="1097"/>
      <c r="E152" s="976">
        <v>0</v>
      </c>
      <c r="F152" s="976"/>
      <c r="G152" s="1098" t="s">
        <v>628</v>
      </c>
      <c r="H152" s="1099">
        <f>SUM(H151:AU151)</f>
        <v>0</v>
      </c>
      <c r="I152" s="1100">
        <v>0</v>
      </c>
      <c r="J152" s="1100">
        <v>0</v>
      </c>
      <c r="K152" s="1100">
        <v>0</v>
      </c>
      <c r="L152" s="1100">
        <v>0</v>
      </c>
      <c r="M152" s="1100">
        <v>0</v>
      </c>
      <c r="N152" s="1100">
        <v>0</v>
      </c>
      <c r="O152" s="1100">
        <v>0</v>
      </c>
      <c r="P152" s="1100">
        <v>0</v>
      </c>
      <c r="Q152" s="1100">
        <v>0</v>
      </c>
      <c r="R152" s="1100">
        <v>0</v>
      </c>
      <c r="S152" s="1100">
        <v>0</v>
      </c>
      <c r="T152" s="1100">
        <v>0</v>
      </c>
      <c r="U152" s="1100">
        <v>0</v>
      </c>
      <c r="V152" s="1100">
        <v>0</v>
      </c>
      <c r="W152" s="1100">
        <v>0</v>
      </c>
      <c r="X152" s="1100">
        <v>0</v>
      </c>
      <c r="Y152" s="1100">
        <v>0</v>
      </c>
      <c r="Z152" s="1100">
        <v>0</v>
      </c>
      <c r="AA152" s="1100">
        <v>0</v>
      </c>
      <c r="AB152" s="1100">
        <v>0</v>
      </c>
      <c r="AC152" s="1100">
        <v>0</v>
      </c>
      <c r="AD152" s="1100">
        <v>0</v>
      </c>
      <c r="AE152" s="1100">
        <v>0</v>
      </c>
      <c r="AF152" s="1100">
        <v>0</v>
      </c>
      <c r="AG152" s="1100">
        <v>0</v>
      </c>
      <c r="AH152" s="1100">
        <v>0</v>
      </c>
      <c r="AI152" s="1100">
        <v>0</v>
      </c>
      <c r="AJ152" s="1100">
        <v>0</v>
      </c>
      <c r="AK152" s="1100">
        <v>0</v>
      </c>
      <c r="AL152" s="1100">
        <v>0</v>
      </c>
      <c r="AM152" s="1100">
        <v>0</v>
      </c>
      <c r="AN152" s="1100">
        <v>0</v>
      </c>
      <c r="AO152" s="1100">
        <v>0</v>
      </c>
      <c r="AP152" s="1100">
        <v>0</v>
      </c>
      <c r="AQ152" s="1100">
        <v>0</v>
      </c>
      <c r="AR152" s="1100">
        <v>0</v>
      </c>
      <c r="AS152" s="1100">
        <v>0</v>
      </c>
      <c r="AT152" s="1100">
        <v>0</v>
      </c>
      <c r="AU152" s="882">
        <v>0</v>
      </c>
      <c r="AV152" s="882">
        <v>0</v>
      </c>
      <c r="AW152" s="882">
        <v>0</v>
      </c>
      <c r="AX152" s="882"/>
      <c r="AY152" s="882"/>
    </row>
    <row r="153" spans="1:79">
      <c r="A153" s="882"/>
      <c r="B153" s="882"/>
      <c r="C153" s="882"/>
      <c r="D153" s="882"/>
      <c r="E153" s="882">
        <v>0</v>
      </c>
      <c r="F153" s="882"/>
      <c r="G153" s="1064" t="s">
        <v>640</v>
      </c>
      <c r="H153" s="1101">
        <f>H152</f>
        <v>0</v>
      </c>
      <c r="I153" s="882">
        <v>0</v>
      </c>
      <c r="J153" s="882">
        <v>0</v>
      </c>
      <c r="K153" s="882">
        <v>0</v>
      </c>
      <c r="L153" s="882">
        <v>0</v>
      </c>
      <c r="M153" s="882">
        <v>0</v>
      </c>
      <c r="N153" s="882">
        <v>0</v>
      </c>
      <c r="O153" s="882">
        <v>0</v>
      </c>
      <c r="P153" s="882">
        <v>0</v>
      </c>
      <c r="Q153" s="882">
        <v>0</v>
      </c>
      <c r="R153" s="882">
        <v>0</v>
      </c>
      <c r="S153" s="882">
        <v>0</v>
      </c>
      <c r="T153" s="882">
        <v>0</v>
      </c>
      <c r="U153" s="882">
        <v>0</v>
      </c>
      <c r="V153" s="882">
        <v>0</v>
      </c>
      <c r="W153" s="882">
        <v>0</v>
      </c>
      <c r="X153" s="882">
        <v>0</v>
      </c>
      <c r="Y153" s="882">
        <v>0</v>
      </c>
      <c r="Z153" s="882">
        <v>0</v>
      </c>
      <c r="AA153" s="882">
        <v>0</v>
      </c>
      <c r="AB153" s="882">
        <v>0</v>
      </c>
      <c r="AC153" s="882">
        <v>0</v>
      </c>
      <c r="AD153" s="882">
        <v>0</v>
      </c>
      <c r="AE153" s="882">
        <v>0</v>
      </c>
      <c r="AF153" s="882">
        <v>0</v>
      </c>
      <c r="AG153" s="882">
        <v>0</v>
      </c>
      <c r="AH153" s="882">
        <v>0</v>
      </c>
      <c r="AI153" s="882">
        <v>0</v>
      </c>
      <c r="AJ153" s="882">
        <v>0</v>
      </c>
      <c r="AK153" s="882">
        <v>0</v>
      </c>
      <c r="AL153" s="882">
        <v>0</v>
      </c>
      <c r="AM153" s="882">
        <v>0</v>
      </c>
      <c r="AN153" s="882">
        <v>0</v>
      </c>
      <c r="AO153" s="882">
        <v>0</v>
      </c>
      <c r="AP153" s="882">
        <v>0</v>
      </c>
      <c r="AQ153" s="882">
        <v>0</v>
      </c>
      <c r="AR153" s="882">
        <v>0</v>
      </c>
      <c r="AS153" s="882">
        <v>0</v>
      </c>
      <c r="AT153" s="882">
        <v>0</v>
      </c>
      <c r="AU153" s="882">
        <v>0</v>
      </c>
      <c r="AV153" s="882">
        <v>0</v>
      </c>
      <c r="AW153" s="882">
        <v>0</v>
      </c>
      <c r="AX153" s="882"/>
      <c r="AY153" s="882"/>
    </row>
    <row r="154" spans="1:79">
      <c r="A154" s="882"/>
      <c r="B154" s="882"/>
      <c r="C154" s="882"/>
      <c r="D154" s="882"/>
      <c r="E154" s="882">
        <v>0</v>
      </c>
      <c r="F154" s="882"/>
      <c r="G154" s="1064"/>
      <c r="H154" s="1100">
        <v>0</v>
      </c>
      <c r="I154" s="882">
        <v>0</v>
      </c>
      <c r="J154" s="882">
        <v>0</v>
      </c>
      <c r="K154" s="882">
        <v>0</v>
      </c>
      <c r="L154" s="882">
        <v>0</v>
      </c>
      <c r="M154" s="882">
        <v>0</v>
      </c>
      <c r="N154" s="882">
        <v>0</v>
      </c>
      <c r="O154" s="882">
        <v>0</v>
      </c>
      <c r="P154" s="882">
        <v>0</v>
      </c>
      <c r="Q154" s="882">
        <v>0</v>
      </c>
      <c r="R154" s="882">
        <v>0</v>
      </c>
      <c r="S154" s="882">
        <v>0</v>
      </c>
      <c r="T154" s="882">
        <v>0</v>
      </c>
      <c r="U154" s="882">
        <v>0</v>
      </c>
      <c r="V154" s="882">
        <v>0</v>
      </c>
      <c r="W154" s="882">
        <v>0</v>
      </c>
      <c r="X154" s="882">
        <v>0</v>
      </c>
      <c r="Y154" s="882">
        <v>0</v>
      </c>
      <c r="Z154" s="882">
        <v>0</v>
      </c>
      <c r="AA154" s="882">
        <v>0</v>
      </c>
      <c r="AB154" s="882">
        <v>0</v>
      </c>
      <c r="AC154" s="882">
        <v>0</v>
      </c>
      <c r="AD154" s="882">
        <v>0</v>
      </c>
      <c r="AE154" s="882">
        <v>0</v>
      </c>
      <c r="AF154" s="882">
        <v>0</v>
      </c>
      <c r="AG154" s="882">
        <v>0</v>
      </c>
      <c r="AH154" s="882">
        <v>0</v>
      </c>
      <c r="AI154" s="882">
        <v>0</v>
      </c>
      <c r="AJ154" s="882">
        <v>0</v>
      </c>
      <c r="AK154" s="882">
        <v>0</v>
      </c>
      <c r="AL154" s="882">
        <v>0</v>
      </c>
      <c r="AM154" s="882">
        <v>0</v>
      </c>
      <c r="AN154" s="882">
        <v>0</v>
      </c>
      <c r="AO154" s="882">
        <v>0</v>
      </c>
      <c r="AP154" s="882">
        <v>0</v>
      </c>
      <c r="AQ154" s="882">
        <v>0</v>
      </c>
      <c r="AR154" s="882">
        <v>0</v>
      </c>
      <c r="AS154" s="882">
        <v>0</v>
      </c>
      <c r="AT154" s="882">
        <v>0</v>
      </c>
      <c r="AU154" s="882">
        <v>0</v>
      </c>
      <c r="AV154" s="882">
        <v>0</v>
      </c>
      <c r="AW154" s="882">
        <v>0</v>
      </c>
      <c r="AX154" s="882"/>
      <c r="AY154" s="882"/>
    </row>
    <row r="155" spans="1:79">
      <c r="A155" s="882"/>
      <c r="B155" s="882"/>
      <c r="C155" s="882"/>
      <c r="D155" s="882"/>
      <c r="E155" s="882">
        <v>0</v>
      </c>
      <c r="F155" s="882"/>
      <c r="G155" s="1064"/>
      <c r="H155" s="1100">
        <v>0</v>
      </c>
      <c r="I155" s="882">
        <v>0</v>
      </c>
      <c r="J155" s="882">
        <v>0</v>
      </c>
      <c r="K155" s="882">
        <v>0</v>
      </c>
      <c r="L155" s="882">
        <v>0</v>
      </c>
      <c r="M155" s="882">
        <v>0</v>
      </c>
      <c r="N155" s="882">
        <v>0</v>
      </c>
      <c r="O155" s="882">
        <v>0</v>
      </c>
      <c r="P155" s="882">
        <v>0</v>
      </c>
      <c r="Q155" s="882">
        <v>0</v>
      </c>
      <c r="R155" s="882">
        <v>0</v>
      </c>
      <c r="S155" s="882">
        <v>0</v>
      </c>
      <c r="T155" s="882">
        <v>0</v>
      </c>
      <c r="U155" s="882">
        <v>0</v>
      </c>
      <c r="V155" s="882">
        <v>0</v>
      </c>
      <c r="W155" s="882">
        <v>0</v>
      </c>
      <c r="X155" s="882">
        <v>0</v>
      </c>
      <c r="Y155" s="882">
        <v>0</v>
      </c>
      <c r="Z155" s="882">
        <v>0</v>
      </c>
      <c r="AA155" s="882">
        <v>0</v>
      </c>
      <c r="AB155" s="882">
        <v>0</v>
      </c>
      <c r="AC155" s="882">
        <v>0</v>
      </c>
      <c r="AD155" s="882">
        <v>0</v>
      </c>
      <c r="AE155" s="882">
        <v>0</v>
      </c>
      <c r="AF155" s="882">
        <v>0</v>
      </c>
      <c r="AG155" s="882">
        <v>0</v>
      </c>
      <c r="AH155" s="882">
        <v>0</v>
      </c>
      <c r="AI155" s="882">
        <v>0</v>
      </c>
      <c r="AJ155" s="882">
        <v>0</v>
      </c>
      <c r="AK155" s="882">
        <v>0</v>
      </c>
      <c r="AL155" s="882">
        <v>0</v>
      </c>
      <c r="AM155" s="882">
        <v>0</v>
      </c>
      <c r="AN155" s="882">
        <v>0</v>
      </c>
      <c r="AO155" s="882">
        <v>0</v>
      </c>
      <c r="AP155" s="882">
        <v>0</v>
      </c>
      <c r="AQ155" s="882">
        <v>0</v>
      </c>
      <c r="AR155" s="882">
        <v>0</v>
      </c>
      <c r="AS155" s="882">
        <v>0</v>
      </c>
      <c r="AT155" s="882">
        <v>0</v>
      </c>
      <c r="AU155" s="882">
        <v>0</v>
      </c>
      <c r="AV155" s="882">
        <v>0</v>
      </c>
      <c r="AW155" s="882">
        <v>0</v>
      </c>
      <c r="AX155" s="882"/>
      <c r="AY155" s="882"/>
    </row>
    <row r="156" spans="1:79">
      <c r="A156" s="882"/>
      <c r="B156" s="882"/>
      <c r="C156" s="882"/>
      <c r="D156" s="882"/>
      <c r="E156" s="882">
        <v>0</v>
      </c>
      <c r="F156" s="940"/>
      <c r="G156" s="1064" t="s">
        <v>641</v>
      </c>
      <c r="H156" s="1100">
        <v>0</v>
      </c>
      <c r="I156" s="1100">
        <f>I113+I133+I141+I149</f>
        <v>0</v>
      </c>
      <c r="J156" s="1100">
        <f t="shared" ref="J156:AU156" si="21">J113+J133+J141+J149</f>
        <v>0</v>
      </c>
      <c r="K156" s="1100">
        <f t="shared" si="21"/>
        <v>0</v>
      </c>
      <c r="L156" s="1100">
        <f t="shared" si="21"/>
        <v>0</v>
      </c>
      <c r="M156" s="1100">
        <f t="shared" si="21"/>
        <v>0</v>
      </c>
      <c r="N156" s="1100">
        <f t="shared" si="21"/>
        <v>0</v>
      </c>
      <c r="O156" s="1100">
        <f t="shared" si="21"/>
        <v>0</v>
      </c>
      <c r="P156" s="1100">
        <f t="shared" si="21"/>
        <v>0</v>
      </c>
      <c r="Q156" s="1100">
        <f t="shared" si="21"/>
        <v>0</v>
      </c>
      <c r="R156" s="1100">
        <f t="shared" si="21"/>
        <v>0</v>
      </c>
      <c r="S156" s="1100">
        <f t="shared" si="21"/>
        <v>0</v>
      </c>
      <c r="T156" s="1100">
        <f t="shared" si="21"/>
        <v>0</v>
      </c>
      <c r="U156" s="1100">
        <f t="shared" si="21"/>
        <v>0</v>
      </c>
      <c r="V156" s="1100">
        <f t="shared" si="21"/>
        <v>0</v>
      </c>
      <c r="W156" s="1100">
        <f t="shared" si="21"/>
        <v>0</v>
      </c>
      <c r="X156" s="1100">
        <f t="shared" si="21"/>
        <v>0</v>
      </c>
      <c r="Y156" s="1100">
        <f t="shared" si="21"/>
        <v>0</v>
      </c>
      <c r="Z156" s="1100">
        <f t="shared" si="21"/>
        <v>0</v>
      </c>
      <c r="AA156" s="1100">
        <f t="shared" si="21"/>
        <v>0</v>
      </c>
      <c r="AB156" s="1100">
        <f t="shared" si="21"/>
        <v>0</v>
      </c>
      <c r="AC156" s="1100">
        <f t="shared" si="21"/>
        <v>0</v>
      </c>
      <c r="AD156" s="1100">
        <f t="shared" si="21"/>
        <v>0</v>
      </c>
      <c r="AE156" s="1100">
        <f t="shared" si="21"/>
        <v>0</v>
      </c>
      <c r="AF156" s="1100">
        <f t="shared" si="21"/>
        <v>0</v>
      </c>
      <c r="AG156" s="1100">
        <f t="shared" si="21"/>
        <v>0</v>
      </c>
      <c r="AH156" s="1100">
        <f t="shared" si="21"/>
        <v>0</v>
      </c>
      <c r="AI156" s="1100">
        <f t="shared" si="21"/>
        <v>0</v>
      </c>
      <c r="AJ156" s="1100">
        <f t="shared" si="21"/>
        <v>0</v>
      </c>
      <c r="AK156" s="1100">
        <f t="shared" si="21"/>
        <v>0</v>
      </c>
      <c r="AL156" s="1100">
        <f t="shared" si="21"/>
        <v>0</v>
      </c>
      <c r="AM156" s="1100">
        <f t="shared" si="21"/>
        <v>0</v>
      </c>
      <c r="AN156" s="1100">
        <f t="shared" si="21"/>
        <v>0</v>
      </c>
      <c r="AO156" s="1100">
        <f t="shared" si="21"/>
        <v>0</v>
      </c>
      <c r="AP156" s="1100">
        <f t="shared" si="21"/>
        <v>0</v>
      </c>
      <c r="AQ156" s="1100">
        <f t="shared" si="21"/>
        <v>0</v>
      </c>
      <c r="AR156" s="1100">
        <f t="shared" si="21"/>
        <v>0</v>
      </c>
      <c r="AS156" s="1100">
        <f t="shared" si="21"/>
        <v>0</v>
      </c>
      <c r="AT156" s="1100">
        <f t="shared" si="21"/>
        <v>0</v>
      </c>
      <c r="AU156" s="1100">
        <f t="shared" si="21"/>
        <v>0</v>
      </c>
      <c r="AV156" s="882">
        <v>0</v>
      </c>
      <c r="AW156" s="882">
        <v>0</v>
      </c>
      <c r="AX156" s="882"/>
      <c r="AY156" s="882"/>
    </row>
    <row r="157" spans="1:79">
      <c r="A157" s="882"/>
      <c r="B157" s="882"/>
      <c r="C157" s="882"/>
      <c r="D157" s="882"/>
      <c r="E157" s="882">
        <v>0</v>
      </c>
      <c r="F157" s="882"/>
      <c r="G157" s="1064" t="s">
        <v>642</v>
      </c>
      <c r="H157" s="1100">
        <v>0</v>
      </c>
      <c r="I157" s="1100">
        <f>I114+I134+I142+I150</f>
        <v>0</v>
      </c>
      <c r="J157" s="1100">
        <f t="shared" ref="J157:AU157" si="22">J114+J134+J142+J150</f>
        <v>0</v>
      </c>
      <c r="K157" s="1100">
        <f t="shared" si="22"/>
        <v>0</v>
      </c>
      <c r="L157" s="1100">
        <f t="shared" si="22"/>
        <v>0</v>
      </c>
      <c r="M157" s="1100">
        <f t="shared" si="22"/>
        <v>0</v>
      </c>
      <c r="N157" s="1100">
        <f t="shared" si="22"/>
        <v>0</v>
      </c>
      <c r="O157" s="1100">
        <f t="shared" si="22"/>
        <v>0</v>
      </c>
      <c r="P157" s="1100">
        <f t="shared" si="22"/>
        <v>0</v>
      </c>
      <c r="Q157" s="1100">
        <f t="shared" si="22"/>
        <v>0</v>
      </c>
      <c r="R157" s="1100">
        <f t="shared" si="22"/>
        <v>0</v>
      </c>
      <c r="S157" s="1100">
        <f t="shared" si="22"/>
        <v>0</v>
      </c>
      <c r="T157" s="1100">
        <f t="shared" si="22"/>
        <v>0</v>
      </c>
      <c r="U157" s="1100">
        <f t="shared" si="22"/>
        <v>0</v>
      </c>
      <c r="V157" s="1100">
        <f t="shared" si="22"/>
        <v>0</v>
      </c>
      <c r="W157" s="1100">
        <f t="shared" si="22"/>
        <v>0</v>
      </c>
      <c r="X157" s="1100">
        <f t="shared" si="22"/>
        <v>0</v>
      </c>
      <c r="Y157" s="1100">
        <f t="shared" si="22"/>
        <v>0</v>
      </c>
      <c r="Z157" s="1100">
        <f t="shared" si="22"/>
        <v>0</v>
      </c>
      <c r="AA157" s="1100">
        <f t="shared" si="22"/>
        <v>0</v>
      </c>
      <c r="AB157" s="1100">
        <f t="shared" si="22"/>
        <v>0</v>
      </c>
      <c r="AC157" s="1100">
        <f t="shared" si="22"/>
        <v>0</v>
      </c>
      <c r="AD157" s="1100">
        <f t="shared" si="22"/>
        <v>0</v>
      </c>
      <c r="AE157" s="1100">
        <f t="shared" si="22"/>
        <v>0</v>
      </c>
      <c r="AF157" s="1100">
        <f t="shared" si="22"/>
        <v>0</v>
      </c>
      <c r="AG157" s="1100">
        <f t="shared" si="22"/>
        <v>0</v>
      </c>
      <c r="AH157" s="1100">
        <f t="shared" si="22"/>
        <v>0</v>
      </c>
      <c r="AI157" s="1100">
        <f t="shared" si="22"/>
        <v>0</v>
      </c>
      <c r="AJ157" s="1100">
        <f t="shared" si="22"/>
        <v>0</v>
      </c>
      <c r="AK157" s="1100">
        <f t="shared" si="22"/>
        <v>0</v>
      </c>
      <c r="AL157" s="1100">
        <f t="shared" si="22"/>
        <v>0</v>
      </c>
      <c r="AM157" s="1100">
        <f t="shared" si="22"/>
        <v>0</v>
      </c>
      <c r="AN157" s="1100">
        <f t="shared" si="22"/>
        <v>0</v>
      </c>
      <c r="AO157" s="1100">
        <f t="shared" si="22"/>
        <v>0</v>
      </c>
      <c r="AP157" s="1100">
        <f t="shared" si="22"/>
        <v>0</v>
      </c>
      <c r="AQ157" s="1100">
        <f t="shared" si="22"/>
        <v>0</v>
      </c>
      <c r="AR157" s="1100">
        <f t="shared" si="22"/>
        <v>0</v>
      </c>
      <c r="AS157" s="1100">
        <f t="shared" si="22"/>
        <v>0</v>
      </c>
      <c r="AT157" s="1100">
        <f t="shared" si="22"/>
        <v>0</v>
      </c>
      <c r="AU157" s="1100">
        <f t="shared" si="22"/>
        <v>0</v>
      </c>
      <c r="AV157" s="882">
        <v>0</v>
      </c>
      <c r="AW157" s="882">
        <v>0</v>
      </c>
      <c r="AX157" s="882"/>
      <c r="AY157" s="882"/>
    </row>
    <row r="158" spans="1:79">
      <c r="E158" s="494">
        <v>0</v>
      </c>
      <c r="G158" s="1105" t="s">
        <v>643</v>
      </c>
      <c r="H158" s="1106">
        <v>0</v>
      </c>
      <c r="I158" s="1106">
        <f>I115+I135+I143+I151</f>
        <v>0</v>
      </c>
      <c r="J158" s="1106">
        <f t="shared" ref="J158:AU158" si="23">J115+J135+J143+J151</f>
        <v>0</v>
      </c>
      <c r="K158" s="1106">
        <f t="shared" si="23"/>
        <v>0</v>
      </c>
      <c r="L158" s="1106">
        <f t="shared" si="23"/>
        <v>0</v>
      </c>
      <c r="M158" s="1106">
        <f t="shared" si="23"/>
        <v>0</v>
      </c>
      <c r="N158" s="1106">
        <f t="shared" si="23"/>
        <v>0</v>
      </c>
      <c r="O158" s="1106">
        <f t="shared" si="23"/>
        <v>0</v>
      </c>
      <c r="P158" s="1106">
        <f t="shared" si="23"/>
        <v>0</v>
      </c>
      <c r="Q158" s="1106">
        <f t="shared" si="23"/>
        <v>0</v>
      </c>
      <c r="R158" s="1106">
        <f t="shared" si="23"/>
        <v>0</v>
      </c>
      <c r="S158" s="1106">
        <f t="shared" si="23"/>
        <v>0</v>
      </c>
      <c r="T158" s="1106">
        <f t="shared" si="23"/>
        <v>0</v>
      </c>
      <c r="U158" s="1106">
        <f t="shared" si="23"/>
        <v>0</v>
      </c>
      <c r="V158" s="1106">
        <f t="shared" si="23"/>
        <v>0</v>
      </c>
      <c r="W158" s="1106">
        <f t="shared" si="23"/>
        <v>0</v>
      </c>
      <c r="X158" s="1106">
        <f t="shared" si="23"/>
        <v>0</v>
      </c>
      <c r="Y158" s="1106">
        <f t="shared" si="23"/>
        <v>0</v>
      </c>
      <c r="Z158" s="1106">
        <f t="shared" si="23"/>
        <v>0</v>
      </c>
      <c r="AA158" s="1106">
        <f t="shared" si="23"/>
        <v>0</v>
      </c>
      <c r="AB158" s="1106">
        <f t="shared" si="23"/>
        <v>0</v>
      </c>
      <c r="AC158" s="1106">
        <f t="shared" si="23"/>
        <v>0</v>
      </c>
      <c r="AD158" s="1106">
        <f t="shared" si="23"/>
        <v>0</v>
      </c>
      <c r="AE158" s="1106">
        <f t="shared" si="23"/>
        <v>0</v>
      </c>
      <c r="AF158" s="1106">
        <f t="shared" si="23"/>
        <v>0</v>
      </c>
      <c r="AG158" s="1106">
        <f t="shared" si="23"/>
        <v>0</v>
      </c>
      <c r="AH158" s="1106">
        <f t="shared" si="23"/>
        <v>0</v>
      </c>
      <c r="AI158" s="1106">
        <f t="shared" si="23"/>
        <v>0</v>
      </c>
      <c r="AJ158" s="1106">
        <f t="shared" si="23"/>
        <v>0</v>
      </c>
      <c r="AK158" s="1106">
        <f t="shared" si="23"/>
        <v>0</v>
      </c>
      <c r="AL158" s="1106">
        <f t="shared" si="23"/>
        <v>0</v>
      </c>
      <c r="AM158" s="1106">
        <f t="shared" si="23"/>
        <v>0</v>
      </c>
      <c r="AN158" s="1106">
        <f t="shared" si="23"/>
        <v>0</v>
      </c>
      <c r="AO158" s="1106">
        <f t="shared" si="23"/>
        <v>0</v>
      </c>
      <c r="AP158" s="1106">
        <f t="shared" si="23"/>
        <v>0</v>
      </c>
      <c r="AQ158" s="1106">
        <f t="shared" si="23"/>
        <v>0</v>
      </c>
      <c r="AR158" s="1106">
        <f t="shared" si="23"/>
        <v>0</v>
      </c>
      <c r="AS158" s="1106">
        <f t="shared" si="23"/>
        <v>0</v>
      </c>
      <c r="AT158" s="1106">
        <f t="shared" si="23"/>
        <v>0</v>
      </c>
      <c r="AU158" s="1106">
        <f t="shared" si="23"/>
        <v>0</v>
      </c>
      <c r="AV158" s="494">
        <v>0</v>
      </c>
      <c r="AW158" s="494">
        <v>0</v>
      </c>
    </row>
    <row r="159" spans="1:79">
      <c r="E159" s="494">
        <v>0</v>
      </c>
      <c r="G159" s="1107" t="s">
        <v>628</v>
      </c>
      <c r="H159" s="1108">
        <f>H116+H136+H144+H152</f>
        <v>0</v>
      </c>
      <c r="I159" s="494">
        <v>0</v>
      </c>
      <c r="J159" s="494">
        <v>0</v>
      </c>
      <c r="K159" s="494">
        <v>0</v>
      </c>
      <c r="L159" s="494">
        <v>0</v>
      </c>
      <c r="M159" s="494">
        <v>0</v>
      </c>
      <c r="N159" s="494">
        <v>0</v>
      </c>
      <c r="O159" s="494">
        <v>0</v>
      </c>
      <c r="P159" s="494">
        <v>0</v>
      </c>
      <c r="Q159" s="494">
        <v>0</v>
      </c>
      <c r="R159" s="494">
        <v>0</v>
      </c>
      <c r="S159" s="494">
        <v>0</v>
      </c>
      <c r="T159" s="494">
        <v>0</v>
      </c>
      <c r="U159" s="494">
        <v>0</v>
      </c>
      <c r="V159" s="494">
        <v>0</v>
      </c>
      <c r="W159" s="494">
        <v>0</v>
      </c>
      <c r="X159" s="494">
        <v>0</v>
      </c>
      <c r="Y159" s="494">
        <v>0</v>
      </c>
      <c r="Z159" s="494">
        <v>0</v>
      </c>
      <c r="AA159" s="494">
        <v>0</v>
      </c>
      <c r="AB159" s="494">
        <v>0</v>
      </c>
      <c r="AC159" s="494">
        <v>0</v>
      </c>
      <c r="AD159" s="494">
        <v>0</v>
      </c>
      <c r="AE159" s="494">
        <v>0</v>
      </c>
      <c r="AF159" s="494">
        <v>0</v>
      </c>
      <c r="AG159" s="494">
        <v>0</v>
      </c>
      <c r="AH159" s="494">
        <v>0</v>
      </c>
      <c r="AI159" s="494">
        <v>0</v>
      </c>
      <c r="AJ159" s="494">
        <v>0</v>
      </c>
      <c r="AK159" s="494">
        <v>0</v>
      </c>
      <c r="AL159" s="494">
        <v>0</v>
      </c>
      <c r="AM159" s="494">
        <v>0</v>
      </c>
      <c r="AN159" s="494">
        <v>0</v>
      </c>
      <c r="AO159" s="494">
        <v>0</v>
      </c>
      <c r="AP159" s="494">
        <v>0</v>
      </c>
      <c r="AQ159" s="494">
        <v>0</v>
      </c>
      <c r="AR159" s="494">
        <v>0</v>
      </c>
      <c r="AS159" s="494">
        <v>0</v>
      </c>
      <c r="AT159" s="494">
        <v>0</v>
      </c>
      <c r="AU159" s="494">
        <v>0</v>
      </c>
      <c r="AV159" s="494">
        <v>0</v>
      </c>
      <c r="AW159" s="494">
        <v>0</v>
      </c>
    </row>
    <row r="160" spans="1:79">
      <c r="E160" s="494">
        <v>0</v>
      </c>
      <c r="G160" s="1107" t="s">
        <v>644</v>
      </c>
      <c r="H160" s="1109">
        <f>H117+H137+H145+H153</f>
        <v>0</v>
      </c>
      <c r="I160" s="494">
        <v>0</v>
      </c>
      <c r="J160" s="494">
        <v>0</v>
      </c>
      <c r="K160" s="494">
        <v>0</v>
      </c>
      <c r="L160" s="494">
        <v>0</v>
      </c>
      <c r="M160" s="494">
        <v>0</v>
      </c>
      <c r="N160" s="494">
        <v>0</v>
      </c>
      <c r="O160" s="494">
        <v>0</v>
      </c>
      <c r="P160" s="494">
        <v>0</v>
      </c>
      <c r="Q160" s="494">
        <v>0</v>
      </c>
      <c r="R160" s="494">
        <v>0</v>
      </c>
      <c r="S160" s="494">
        <v>0</v>
      </c>
      <c r="T160" s="494">
        <v>0</v>
      </c>
      <c r="U160" s="494">
        <v>0</v>
      </c>
      <c r="V160" s="494">
        <v>0</v>
      </c>
      <c r="W160" s="494">
        <v>0</v>
      </c>
      <c r="X160" s="494">
        <v>0</v>
      </c>
      <c r="Y160" s="494">
        <v>0</v>
      </c>
      <c r="Z160" s="494">
        <v>0</v>
      </c>
      <c r="AA160" s="494">
        <v>0</v>
      </c>
      <c r="AB160" s="494">
        <v>0</v>
      </c>
      <c r="AC160" s="494">
        <v>0</v>
      </c>
      <c r="AD160" s="494">
        <v>0</v>
      </c>
      <c r="AE160" s="494">
        <v>0</v>
      </c>
      <c r="AF160" s="494">
        <v>0</v>
      </c>
      <c r="AG160" s="494">
        <v>0</v>
      </c>
      <c r="AH160" s="494">
        <v>0</v>
      </c>
      <c r="AI160" s="494">
        <v>0</v>
      </c>
      <c r="AJ160" s="494">
        <v>0</v>
      </c>
      <c r="AK160" s="494">
        <v>0</v>
      </c>
      <c r="AL160" s="494">
        <v>0</v>
      </c>
      <c r="AM160" s="494">
        <v>0</v>
      </c>
      <c r="AN160" s="494">
        <v>0</v>
      </c>
      <c r="AO160" s="494">
        <v>0</v>
      </c>
      <c r="AP160" s="494">
        <v>0</v>
      </c>
      <c r="AQ160" s="494">
        <v>0</v>
      </c>
      <c r="AR160" s="494">
        <v>0</v>
      </c>
      <c r="AS160" s="494">
        <v>0</v>
      </c>
      <c r="AT160" s="494">
        <v>0</v>
      </c>
      <c r="AU160" s="494">
        <v>0</v>
      </c>
      <c r="AV160" s="494">
        <v>0</v>
      </c>
      <c r="AW160" s="494">
        <v>0</v>
      </c>
    </row>
  </sheetData>
  <mergeCells count="2">
    <mergeCell ref="E17:F17"/>
    <mergeCell ref="E108:F108"/>
  </mergeCells>
  <pageMargins left="0.45" right="0.2" top="0.75" bottom="0.25" header="0.511811023622047" footer="0.511811023622047"/>
  <pageSetup fitToWidth="2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O45"/>
  <sheetViews>
    <sheetView showGridLines="0" topLeftCell="B1" zoomScale="106" zoomScaleNormal="106" workbookViewId="0">
      <selection activeCell="I8" sqref="I8"/>
    </sheetView>
  </sheetViews>
  <sheetFormatPr baseColWidth="10" defaultColWidth="8.6640625" defaultRowHeight="15"/>
  <cols>
    <col min="1" max="1" width="14.5" customWidth="1"/>
    <col min="2" max="2" width="23.5" style="182" customWidth="1"/>
    <col min="3" max="3" width="10.5" customWidth="1"/>
    <col min="4" max="4" width="21.5" customWidth="1"/>
    <col min="5" max="9" width="15.5" customWidth="1"/>
    <col min="10" max="10" width="2.5" customWidth="1"/>
    <col min="11" max="11" width="16.5" customWidth="1"/>
    <col min="12" max="12" width="21" customWidth="1"/>
    <col min="13" max="13" width="13.5" customWidth="1"/>
    <col min="14" max="14" width="11.83203125" customWidth="1"/>
  </cols>
  <sheetData>
    <row r="1" spans="1:13" ht="21" customHeight="1">
      <c r="A1" s="1110"/>
      <c r="F1" s="1111"/>
      <c r="G1" s="1111"/>
      <c r="H1" s="1111"/>
      <c r="I1" s="1111"/>
      <c r="J1" s="1112" t="s">
        <v>894</v>
      </c>
      <c r="K1" s="1113"/>
    </row>
    <row r="2" spans="1:13" ht="15.75" customHeight="1">
      <c r="A2" s="85"/>
      <c r="B2" s="1114"/>
      <c r="F2" s="1111"/>
      <c r="G2" s="1111"/>
      <c r="H2" s="1111"/>
      <c r="I2" s="1111"/>
      <c r="K2" s="1115"/>
    </row>
    <row r="3" spans="1:13">
      <c r="A3" s="1116"/>
      <c r="E3" s="1117"/>
      <c r="F3" s="1117"/>
      <c r="G3" s="1117"/>
      <c r="H3" s="1117"/>
      <c r="I3" s="1118"/>
      <c r="J3" s="1117"/>
      <c r="K3" s="1117"/>
    </row>
    <row r="4" spans="1:13">
      <c r="A4" s="1116"/>
      <c r="E4" s="1119" t="s">
        <v>645</v>
      </c>
      <c r="F4" s="50" t="s">
        <v>646</v>
      </c>
      <c r="G4" s="50" t="s">
        <v>647</v>
      </c>
      <c r="H4" s="1118" t="s">
        <v>648</v>
      </c>
      <c r="I4" s="1118" t="s">
        <v>649</v>
      </c>
    </row>
    <row r="5" spans="1:13">
      <c r="A5" s="1116"/>
      <c r="D5" s="1120" t="s">
        <v>650</v>
      </c>
      <c r="E5" s="1121">
        <v>0</v>
      </c>
      <c r="F5" s="1122">
        <v>0</v>
      </c>
      <c r="G5" s="1122">
        <v>0</v>
      </c>
      <c r="H5" s="1123">
        <v>0</v>
      </c>
      <c r="I5" s="1124" t="s">
        <v>651</v>
      </c>
    </row>
    <row r="6" spans="1:13">
      <c r="E6" s="1125"/>
      <c r="F6" s="1126"/>
      <c r="G6" s="1126"/>
      <c r="H6" s="1127"/>
      <c r="I6" s="1127" t="s">
        <v>652</v>
      </c>
      <c r="K6" s="1128" t="s">
        <v>653</v>
      </c>
    </row>
    <row r="7" spans="1:13">
      <c r="C7" t="s">
        <v>654</v>
      </c>
      <c r="E7" s="1129">
        <v>0</v>
      </c>
      <c r="F7" s="1130">
        <v>0</v>
      </c>
      <c r="G7" s="1130">
        <v>0</v>
      </c>
      <c r="H7" s="1130">
        <v>0</v>
      </c>
      <c r="I7" s="1130">
        <v>0</v>
      </c>
      <c r="J7" s="1131"/>
      <c r="K7" s="1131">
        <f>SUM(E7:I7)</f>
        <v>0</v>
      </c>
      <c r="L7" s="182"/>
      <c r="M7" s="109"/>
    </row>
    <row r="8" spans="1:13">
      <c r="E8" s="1132"/>
      <c r="F8" s="1133"/>
      <c r="G8" s="1133"/>
      <c r="H8" s="1133"/>
      <c r="I8" s="1134"/>
      <c r="J8" s="1135"/>
      <c r="K8" s="1135"/>
      <c r="M8" s="109"/>
    </row>
    <row r="9" spans="1:13">
      <c r="A9" s="182"/>
      <c r="B9" s="1136" t="s">
        <v>655</v>
      </c>
      <c r="D9" t="s">
        <v>656</v>
      </c>
      <c r="E9" s="1137">
        <f>E7</f>
        <v>0</v>
      </c>
      <c r="F9" s="1138">
        <f>F7</f>
        <v>0</v>
      </c>
      <c r="G9" s="1138">
        <f>G7</f>
        <v>0</v>
      </c>
      <c r="H9" s="1138">
        <f>H7</f>
        <v>0</v>
      </c>
      <c r="I9" s="1138">
        <f>I7</f>
        <v>0</v>
      </c>
      <c r="J9" s="1139"/>
      <c r="K9" s="1139">
        <f>SUM(E9:I9)</f>
        <v>0</v>
      </c>
      <c r="M9" s="109"/>
    </row>
    <row r="10" spans="1:13">
      <c r="A10" s="182"/>
      <c r="B10" s="1140"/>
      <c r="E10" s="1129"/>
      <c r="F10" s="1130"/>
      <c r="G10" s="1130"/>
      <c r="H10" s="1130"/>
      <c r="I10" s="1130"/>
      <c r="J10" s="1131"/>
      <c r="K10" s="1131"/>
    </row>
    <row r="11" spans="1:13">
      <c r="A11" s="182"/>
      <c r="B11" s="1140"/>
      <c r="E11" s="1129"/>
      <c r="F11" s="1130"/>
      <c r="G11" s="1130"/>
      <c r="H11" s="1130"/>
      <c r="I11" s="1130"/>
      <c r="J11" s="1131"/>
      <c r="K11" s="1131"/>
      <c r="M11">
        <v>0.39322457142857098</v>
      </c>
    </row>
    <row r="12" spans="1:13">
      <c r="A12" s="182">
        <v>0</v>
      </c>
      <c r="B12" s="1140" t="s">
        <v>657</v>
      </c>
      <c r="E12" s="1129"/>
      <c r="F12" s="1130"/>
      <c r="G12" s="1130"/>
      <c r="H12" s="1130"/>
      <c r="I12" s="1130"/>
      <c r="J12" s="1131"/>
      <c r="K12" s="1131"/>
      <c r="M12" s="149"/>
    </row>
    <row r="13" spans="1:13">
      <c r="A13" s="182"/>
      <c r="B13" s="1141" t="s">
        <v>860</v>
      </c>
      <c r="E13" s="1142">
        <v>0</v>
      </c>
      <c r="F13" s="1130"/>
      <c r="G13" s="1130"/>
      <c r="H13" s="1130"/>
      <c r="I13" s="1130"/>
      <c r="J13" s="1131"/>
      <c r="K13" s="1131">
        <f>SUM(E13:I13)</f>
        <v>0</v>
      </c>
    </row>
    <row r="14" spans="1:13">
      <c r="A14" s="182"/>
      <c r="B14" s="1141" t="s">
        <v>861</v>
      </c>
      <c r="E14" s="1143"/>
      <c r="G14" s="1130"/>
      <c r="H14" s="1130"/>
      <c r="I14" s="1130"/>
      <c r="J14" s="1131"/>
      <c r="K14" s="1131"/>
    </row>
    <row r="15" spans="1:13">
      <c r="A15" s="182"/>
      <c r="B15" s="1141"/>
      <c r="C15" t="s">
        <v>864</v>
      </c>
      <c r="E15" s="1143">
        <v>0</v>
      </c>
      <c r="F15" s="1130"/>
      <c r="G15" s="1130"/>
      <c r="H15" s="1130"/>
      <c r="I15" s="1130"/>
      <c r="J15" s="1131"/>
      <c r="K15" s="1131">
        <f>SUM(E15:I15)</f>
        <v>0</v>
      </c>
    </row>
    <row r="16" spans="1:13">
      <c r="A16" s="1144"/>
      <c r="B16" s="1136"/>
      <c r="C16" t="s">
        <v>865</v>
      </c>
      <c r="E16" s="1145">
        <v>0</v>
      </c>
      <c r="F16" s="1146"/>
      <c r="G16" s="1146"/>
      <c r="H16" s="1146"/>
      <c r="I16" s="1146"/>
      <c r="J16" s="1135"/>
      <c r="K16" s="1131">
        <f>SUM(E16:I16)</f>
        <v>0</v>
      </c>
    </row>
    <row r="17" spans="1:15">
      <c r="A17" s="1144"/>
      <c r="B17" s="1136"/>
      <c r="E17" s="1129"/>
      <c r="F17" s="1146"/>
      <c r="G17" s="1146"/>
      <c r="H17" s="1146"/>
      <c r="I17" s="1146"/>
      <c r="J17" s="1135"/>
      <c r="K17" s="1135"/>
    </row>
    <row r="18" spans="1:15">
      <c r="A18" s="182">
        <v>0</v>
      </c>
      <c r="B18" s="1136" t="s">
        <v>658</v>
      </c>
      <c r="D18" s="452"/>
      <c r="E18" s="1129">
        <f>E7-E13-E15-E16</f>
        <v>0</v>
      </c>
      <c r="F18" s="1130">
        <f>F7-F13-F15-F16</f>
        <v>0</v>
      </c>
      <c r="G18" s="1130">
        <f>G7-G13-G15-G16</f>
        <v>0</v>
      </c>
      <c r="H18" s="1130">
        <f>H7-H13-H15-H16</f>
        <v>0</v>
      </c>
      <c r="I18" s="1130">
        <f>I7-I13-I15-I16</f>
        <v>0</v>
      </c>
      <c r="J18" s="1131"/>
      <c r="K18" s="1131">
        <f>SUM(E18:I18)</f>
        <v>0</v>
      </c>
    </row>
    <row r="19" spans="1:15">
      <c r="A19" s="182"/>
      <c r="B19" s="1140"/>
      <c r="D19" s="452"/>
      <c r="E19" s="1129"/>
      <c r="F19" s="1146"/>
      <c r="G19" s="1146"/>
      <c r="H19" s="1146"/>
      <c r="I19" s="1146"/>
      <c r="J19" s="1135"/>
      <c r="K19" s="1135"/>
      <c r="M19" s="182"/>
    </row>
    <row r="20" spans="1:15" s="85" customFormat="1">
      <c r="A20" s="182">
        <v>0</v>
      </c>
      <c r="B20" s="1136" t="s">
        <v>659</v>
      </c>
      <c r="D20" s="1147">
        <v>0</v>
      </c>
      <c r="E20" s="1129">
        <f>E18*$D$20</f>
        <v>0</v>
      </c>
      <c r="F20" s="1146">
        <f>F18*$D$20</f>
        <v>0</v>
      </c>
      <c r="G20" s="1146">
        <f>G18*$D$20</f>
        <v>0</v>
      </c>
      <c r="H20" s="1146">
        <f>H18*$D$20</f>
        <v>0</v>
      </c>
      <c r="I20" s="1146">
        <f>I18*$D$20</f>
        <v>0</v>
      </c>
      <c r="J20" s="1131"/>
      <c r="K20" s="1135">
        <f>SUM(E20:I20)</f>
        <v>0</v>
      </c>
    </row>
    <row r="21" spans="1:15">
      <c r="A21" s="182">
        <v>0</v>
      </c>
      <c r="B21" s="1136" t="s">
        <v>660</v>
      </c>
      <c r="D21" s="1147">
        <v>0</v>
      </c>
      <c r="E21" s="1129">
        <f>E18*$D$21</f>
        <v>0</v>
      </c>
      <c r="F21" s="1146">
        <f>F18*$D$21</f>
        <v>0</v>
      </c>
      <c r="G21" s="1146">
        <f>G18*$D$21</f>
        <v>0</v>
      </c>
      <c r="H21" s="1146">
        <f>H18*$D$21</f>
        <v>0</v>
      </c>
      <c r="I21" s="1146">
        <f>I18*$D$21</f>
        <v>0</v>
      </c>
      <c r="J21" s="1135"/>
      <c r="K21" s="1135">
        <f>SUM(E21:I21)</f>
        <v>0</v>
      </c>
    </row>
    <row r="22" spans="1:15">
      <c r="E22" s="1148"/>
      <c r="F22" s="1146"/>
      <c r="G22" s="1146"/>
      <c r="H22" s="1135"/>
      <c r="I22" s="1146"/>
      <c r="J22" s="1135"/>
      <c r="K22" s="149"/>
    </row>
    <row r="23" spans="1:15">
      <c r="B23" s="182" t="s">
        <v>661</v>
      </c>
      <c r="C23" s="1149" t="s">
        <v>662</v>
      </c>
      <c r="D23" s="181"/>
      <c r="E23" s="1150">
        <f>E15+E20</f>
        <v>0</v>
      </c>
      <c r="F23" s="1151">
        <f>F15+F20</f>
        <v>0</v>
      </c>
      <c r="G23" s="1151">
        <f>G15+G20</f>
        <v>0</v>
      </c>
      <c r="H23" s="1151">
        <f>H15+H20</f>
        <v>0</v>
      </c>
      <c r="I23" s="1151">
        <f>I15+I20</f>
        <v>0</v>
      </c>
      <c r="J23" s="1151"/>
      <c r="K23" s="1152">
        <f>SUM(E23:I23)</f>
        <v>0</v>
      </c>
      <c r="L23" s="392"/>
      <c r="M23" s="182"/>
      <c r="O23" s="149"/>
    </row>
    <row r="24" spans="1:15">
      <c r="C24" s="1153" t="s">
        <v>663</v>
      </c>
      <c r="D24" s="1154"/>
      <c r="E24" s="1155">
        <f>E16+E21</f>
        <v>0</v>
      </c>
      <c r="F24" s="1156">
        <f>F16+F21</f>
        <v>0</v>
      </c>
      <c r="G24" s="1156">
        <f>G16+G21</f>
        <v>0</v>
      </c>
      <c r="H24" s="1156">
        <f>H16+H21</f>
        <v>0</v>
      </c>
      <c r="I24" s="1156">
        <f>I16+I21</f>
        <v>0</v>
      </c>
      <c r="J24" s="1156"/>
      <c r="K24" s="1157">
        <f>SUM(E24:I24)</f>
        <v>0</v>
      </c>
      <c r="L24" s="392"/>
      <c r="M24" s="182"/>
      <c r="O24" s="149"/>
    </row>
    <row r="25" spans="1:15">
      <c r="E25" s="1146"/>
      <c r="F25" s="1135"/>
      <c r="G25" s="1135"/>
      <c r="H25" s="1135"/>
      <c r="I25" s="1146"/>
      <c r="J25" s="1135"/>
      <c r="K25" s="1135"/>
    </row>
    <row r="26" spans="1:15">
      <c r="B26" s="1158" t="s">
        <v>664</v>
      </c>
      <c r="E26" s="149"/>
      <c r="F26" s="149"/>
      <c r="G26" s="149"/>
      <c r="H26" s="149"/>
      <c r="I26" s="149"/>
      <c r="J26" s="149"/>
      <c r="K26" s="149"/>
      <c r="L26" s="72"/>
    </row>
    <row r="27" spans="1:15">
      <c r="B27" s="1159" t="s">
        <v>665</v>
      </c>
      <c r="E27" s="149"/>
      <c r="F27" s="149"/>
      <c r="G27" s="149"/>
      <c r="H27" s="149"/>
      <c r="I27" s="149"/>
      <c r="J27" s="149"/>
      <c r="K27" s="149"/>
      <c r="L27" s="1160"/>
      <c r="N27" s="1161"/>
      <c r="O27" s="452"/>
    </row>
    <row r="28" spans="1:15">
      <c r="B28" s="1159" t="s">
        <v>667</v>
      </c>
      <c r="E28" s="149"/>
      <c r="F28" s="149"/>
      <c r="G28" s="149"/>
      <c r="H28" s="149"/>
      <c r="I28" s="149"/>
      <c r="J28" s="149"/>
      <c r="K28" s="149"/>
      <c r="L28" s="1161"/>
      <c r="M28" t="s">
        <v>862</v>
      </c>
      <c r="N28" s="1161">
        <v>500000</v>
      </c>
      <c r="O28" s="452">
        <v>0.25</v>
      </c>
    </row>
    <row r="29" spans="1:15">
      <c r="E29" s="149"/>
      <c r="F29" s="149"/>
      <c r="G29" s="149"/>
      <c r="H29" s="149"/>
      <c r="I29" s="149"/>
      <c r="J29" s="149"/>
      <c r="K29" s="149"/>
      <c r="M29" t="s">
        <v>863</v>
      </c>
      <c r="N29" s="1162">
        <v>500000</v>
      </c>
      <c r="O29" s="1163">
        <v>0.25</v>
      </c>
    </row>
    <row r="30" spans="1:15">
      <c r="B30" s="1158"/>
      <c r="E30" s="149"/>
      <c r="F30" s="149"/>
      <c r="G30" s="149"/>
      <c r="H30" s="149"/>
      <c r="I30" s="149"/>
      <c r="J30" s="149"/>
      <c r="K30" s="149"/>
      <c r="M30" s="109"/>
      <c r="N30" s="1161">
        <v>1000000</v>
      </c>
      <c r="O30" s="452">
        <v>0.5</v>
      </c>
    </row>
    <row r="31" spans="1:15">
      <c r="E31" s="182"/>
      <c r="F31" s="149"/>
    </row>
    <row r="32" spans="1:15">
      <c r="F32" s="182"/>
    </row>
    <row r="33" spans="5:10">
      <c r="E33" s="182"/>
    </row>
    <row r="34" spans="5:10">
      <c r="E34" s="182"/>
    </row>
    <row r="35" spans="5:10"/>
    <row r="37" spans="5:10"/>
    <row r="39" spans="5:10"/>
    <row r="41" spans="5:10"/>
    <row r="43" spans="5:10"/>
    <row r="45" spans="5:10"/>
  </sheetData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113"/>
  <sheetViews>
    <sheetView tabSelected="1" topLeftCell="B1" zoomScale="80" zoomScaleNormal="80" workbookViewId="0">
      <selection activeCell="D3" sqref="D3"/>
    </sheetView>
  </sheetViews>
  <sheetFormatPr baseColWidth="10" defaultColWidth="8.83203125" defaultRowHeight="15"/>
  <cols>
    <col min="1" max="1" width="8.83203125" style="707"/>
    <col min="2" max="2" width="23" style="707" customWidth="1"/>
    <col min="3" max="3" width="26.5" style="707" customWidth="1"/>
    <col min="4" max="4" width="14.83203125" style="707" customWidth="1"/>
    <col min="5" max="5" width="20.5" style="707" customWidth="1"/>
    <col min="6" max="6" width="14.5" style="707" customWidth="1"/>
    <col min="7" max="7" width="14.1640625" style="707" customWidth="1"/>
    <col min="8" max="8" width="11.5" style="707" customWidth="1"/>
    <col min="9" max="9" width="8.83203125" style="707"/>
    <col min="10" max="10" width="15.5" style="707" customWidth="1"/>
    <col min="11" max="16384" width="8.83203125" style="707"/>
  </cols>
  <sheetData>
    <row r="2" spans="2:6">
      <c r="C2" s="1426" t="s">
        <v>668</v>
      </c>
      <c r="D2" s="1426"/>
    </row>
    <row r="3" spans="2:6">
      <c r="C3" s="1165" t="s">
        <v>669</v>
      </c>
      <c r="D3" s="1166">
        <f>'Development Budget'!J94</f>
        <v>0</v>
      </c>
    </row>
    <row r="4" spans="2:6">
      <c r="D4" s="1167">
        <f>SUM(D3:D3)</f>
        <v>0</v>
      </c>
      <c r="E4" s="1168" t="s">
        <v>808</v>
      </c>
      <c r="F4" s="1169">
        <f>D4*0.5</f>
        <v>0</v>
      </c>
    </row>
    <row r="5" spans="2:6">
      <c r="E5" s="1168" t="s">
        <v>809</v>
      </c>
      <c r="F5" s="168">
        <f>D4*0.25</f>
        <v>0</v>
      </c>
    </row>
    <row r="6" spans="2:6">
      <c r="C6" s="1165" t="s">
        <v>670</v>
      </c>
      <c r="D6" s="1170">
        <f>F5</f>
        <v>0</v>
      </c>
    </row>
    <row r="8" spans="2:6">
      <c r="C8" s="1164" t="s">
        <v>671</v>
      </c>
      <c r="D8" s="1164"/>
    </row>
    <row r="10" spans="2:6">
      <c r="C10" s="1165" t="s">
        <v>807</v>
      </c>
      <c r="D10" s="1171" t="e">
        <f>D6/D4</f>
        <v>#DIV/0!</v>
      </c>
      <c r="E10" s="1171"/>
      <c r="F10" s="1172" t="s">
        <v>810</v>
      </c>
    </row>
    <row r="15" spans="2:6" ht="17.25" customHeight="1">
      <c r="B15" s="1173"/>
      <c r="E15" s="1174"/>
      <c r="F15" s="1175"/>
    </row>
    <row r="16" spans="2:6" ht="17.25" customHeight="1">
      <c r="B16" s="1173"/>
      <c r="E16" s="1174"/>
    </row>
    <row r="17" spans="2:10">
      <c r="B17" s="1168"/>
    </row>
    <row r="18" spans="2:10">
      <c r="B18" s="1168"/>
      <c r="D18" s="1135"/>
      <c r="E18" s="1135"/>
    </row>
    <row r="19" spans="2:10">
      <c r="B19" s="1176"/>
      <c r="D19" s="1135"/>
      <c r="E19" s="1135"/>
    </row>
    <row r="20" spans="2:10">
      <c r="B20" s="1177"/>
      <c r="D20" s="1135"/>
      <c r="E20" s="1135"/>
    </row>
    <row r="21" spans="2:10">
      <c r="B21" s="1176"/>
      <c r="D21" s="1135"/>
      <c r="E21" s="1135"/>
    </row>
    <row r="22" spans="2:10">
      <c r="B22" s="1176"/>
      <c r="D22" s="1135"/>
      <c r="E22" s="1135"/>
    </row>
    <row r="23" spans="2:10">
      <c r="B23" s="1176"/>
      <c r="D23" s="1135"/>
      <c r="E23" s="1135"/>
    </row>
    <row r="24" spans="2:10">
      <c r="B24" s="1176"/>
      <c r="D24" s="1135"/>
      <c r="E24" s="1135"/>
    </row>
    <row r="25" spans="2:10">
      <c r="B25" s="1176"/>
      <c r="D25" s="1135"/>
      <c r="E25" s="1135"/>
    </row>
    <row r="26" spans="2:10">
      <c r="B26" s="1176"/>
      <c r="D26" s="1135"/>
      <c r="E26" s="1135"/>
    </row>
    <row r="27" spans="2:10">
      <c r="B27" s="1176"/>
      <c r="D27" s="1135"/>
      <c r="E27" s="1135"/>
    </row>
    <row r="28" spans="2:10">
      <c r="B28" s="1168"/>
      <c r="D28" s="1135"/>
      <c r="E28" s="1135"/>
    </row>
    <row r="29" spans="2:10">
      <c r="B29" s="1176"/>
      <c r="D29" s="1135"/>
      <c r="E29" s="1135"/>
    </row>
    <row r="30" spans="2:10">
      <c r="B30" s="1176"/>
      <c r="D30" s="1135"/>
      <c r="E30" s="1135"/>
    </row>
    <row r="31" spans="2:10">
      <c r="B31" s="1176"/>
      <c r="D31" s="1135"/>
      <c r="E31" s="1135"/>
    </row>
    <row r="32" spans="2:10">
      <c r="B32" s="1176"/>
      <c r="D32" s="1135"/>
      <c r="E32" s="1135"/>
    </row>
    <row r="33" spans="2:10">
      <c r="B33" s="1176"/>
      <c r="D33" s="1135"/>
      <c r="E33" s="1135"/>
    </row>
    <row r="34" spans="2:10">
      <c r="B34" s="1176"/>
      <c r="D34" s="1135"/>
      <c r="E34" s="1135"/>
    </row>
    <row r="35" spans="2:10">
      <c r="B35" s="1176"/>
      <c r="D35" s="1135"/>
      <c r="E35" s="1135"/>
    </row>
    <row r="36" spans="2:10">
      <c r="B36" s="1168"/>
      <c r="D36" s="1135"/>
      <c r="E36" s="1135"/>
    </row>
    <row r="37" spans="2:10">
      <c r="B37" s="1176"/>
      <c r="D37" s="1135"/>
      <c r="E37" s="1135"/>
    </row>
    <row r="38" spans="2:10">
      <c r="B38" s="1176"/>
      <c r="D38" s="1135"/>
      <c r="E38" s="1135"/>
      <c r="F38" s="1175"/>
    </row>
    <row r="39" spans="2:10">
      <c r="B39" s="1176"/>
      <c r="D39" s="1135"/>
      <c r="E39" s="1135"/>
    </row>
    <row r="40" spans="2:10">
      <c r="B40" s="1176"/>
      <c r="D40" s="1135"/>
      <c r="E40" s="1135"/>
    </row>
    <row r="41" spans="2:10">
      <c r="B41" s="1176"/>
      <c r="D41" s="1135"/>
      <c r="E41" s="1135"/>
    </row>
    <row r="42" spans="2:10">
      <c r="B42" s="1176"/>
      <c r="D42" s="1135"/>
      <c r="E42" s="1135"/>
    </row>
    <row r="43" spans="2:10">
      <c r="B43" s="1168"/>
      <c r="D43" s="1135"/>
      <c r="E43" s="1135"/>
    </row>
    <row r="44" spans="2:10">
      <c r="B44" s="1176"/>
      <c r="D44" s="1135"/>
      <c r="E44" s="1135"/>
    </row>
    <row r="45" spans="2:10">
      <c r="B45" s="1176"/>
      <c r="D45" s="1135"/>
      <c r="E45" s="1135"/>
    </row>
    <row r="46" spans="2:10">
      <c r="B46" s="1176"/>
      <c r="D46" s="1135"/>
      <c r="E46" s="1135"/>
    </row>
    <row r="47" spans="2:10">
      <c r="B47" s="1176"/>
      <c r="D47" s="1135"/>
      <c r="E47" s="1135"/>
    </row>
    <row r="48" spans="2:10">
      <c r="B48" s="1176"/>
      <c r="D48" s="1135"/>
      <c r="E48" s="1135"/>
    </row>
    <row r="49" spans="2:6">
      <c r="B49" s="1176"/>
      <c r="D49" s="1135"/>
      <c r="E49" s="1135"/>
    </row>
    <row r="50" spans="2:6">
      <c r="B50" s="1176"/>
      <c r="D50" s="1135"/>
      <c r="E50" s="1135"/>
    </row>
    <row r="51" spans="2:6">
      <c r="B51" s="1176"/>
      <c r="D51" s="1135"/>
      <c r="E51" s="1135"/>
    </row>
    <row r="52" spans="2:6">
      <c r="B52" s="1176"/>
      <c r="D52" s="1135"/>
      <c r="E52" s="1135"/>
    </row>
    <row r="53" spans="2:6">
      <c r="B53" s="1176"/>
      <c r="D53" s="1135"/>
      <c r="E53" s="1135"/>
    </row>
    <row r="54" spans="2:6">
      <c r="B54" s="1176"/>
      <c r="D54" s="1135"/>
      <c r="E54" s="1135"/>
    </row>
    <row r="55" spans="2:6">
      <c r="B55" s="1176"/>
      <c r="D55" s="1135"/>
      <c r="E55" s="1135"/>
    </row>
    <row r="56" spans="2:6">
      <c r="B56" s="1168"/>
      <c r="D56" s="1135"/>
      <c r="E56" s="1135"/>
    </row>
    <row r="57" spans="2:6">
      <c r="B57" s="1176"/>
      <c r="D57" s="1135"/>
      <c r="E57" s="1135"/>
    </row>
    <row r="58" spans="2:6">
      <c r="B58" s="1176"/>
      <c r="D58" s="1135"/>
      <c r="E58" s="1135"/>
    </row>
    <row r="59" spans="2:6">
      <c r="B59" s="1176"/>
      <c r="D59" s="1135"/>
      <c r="E59" s="1135"/>
    </row>
    <row r="60" spans="2:6">
      <c r="B60" s="1176"/>
      <c r="D60" s="1135"/>
      <c r="E60" s="1135"/>
    </row>
    <row r="61" spans="2:6">
      <c r="B61" s="1176"/>
      <c r="D61" s="1135"/>
      <c r="E61" s="1135"/>
    </row>
    <row r="62" spans="2:6">
      <c r="B62" s="1168"/>
      <c r="D62" s="1135"/>
      <c r="E62" s="1135"/>
      <c r="F62" s="1172"/>
    </row>
    <row r="63" spans="2:6">
      <c r="B63" s="1176"/>
      <c r="D63" s="1135"/>
      <c r="E63" s="1135"/>
    </row>
    <row r="64" spans="2:6">
      <c r="B64" s="1176"/>
      <c r="D64" s="1135"/>
      <c r="E64" s="1135"/>
    </row>
    <row r="65" spans="2:5">
      <c r="B65" s="1176"/>
      <c r="D65" s="1135"/>
      <c r="E65" s="1135"/>
    </row>
    <row r="66" spans="2:5">
      <c r="B66" s="1176"/>
      <c r="D66" s="1135"/>
      <c r="E66" s="1135"/>
    </row>
    <row r="67" spans="2:5">
      <c r="B67" s="1176"/>
      <c r="D67" s="1135"/>
      <c r="E67" s="1135"/>
    </row>
    <row r="68" spans="2:5">
      <c r="B68" s="1176"/>
      <c r="D68" s="1135"/>
      <c r="E68" s="1135"/>
    </row>
    <row r="69" spans="2:5">
      <c r="B69" s="1176"/>
      <c r="D69" s="1135"/>
      <c r="E69" s="1135"/>
    </row>
    <row r="70" spans="2:5">
      <c r="B70" s="1176"/>
      <c r="D70" s="1135"/>
      <c r="E70" s="1135"/>
    </row>
    <row r="71" spans="2:5">
      <c r="B71" s="1176"/>
      <c r="D71" s="1135"/>
      <c r="E71" s="1135"/>
    </row>
    <row r="72" spans="2:5">
      <c r="B72" s="1176"/>
      <c r="D72" s="1135"/>
      <c r="E72" s="1135"/>
    </row>
    <row r="73" spans="2:5">
      <c r="B73" s="1176"/>
      <c r="D73" s="1135"/>
      <c r="E73" s="1135"/>
    </row>
    <row r="74" spans="2:5">
      <c r="B74" s="1168"/>
      <c r="D74" s="1135"/>
      <c r="E74" s="1135"/>
    </row>
    <row r="75" spans="2:5">
      <c r="B75" s="1176"/>
      <c r="D75" s="1135"/>
      <c r="E75" s="1135"/>
    </row>
    <row r="76" spans="2:5">
      <c r="B76" s="1176"/>
      <c r="D76" s="1135"/>
      <c r="E76" s="1135"/>
    </row>
    <row r="77" spans="2:5">
      <c r="B77" s="1176"/>
      <c r="D77" s="1135"/>
      <c r="E77" s="1135"/>
    </row>
    <row r="78" spans="2:5">
      <c r="B78" s="1176"/>
      <c r="D78" s="1135"/>
      <c r="E78" s="1135"/>
    </row>
    <row r="79" spans="2:5">
      <c r="B79" s="1176"/>
      <c r="D79" s="1135"/>
      <c r="E79" s="1135"/>
    </row>
    <row r="80" spans="2:5">
      <c r="B80" s="1176"/>
      <c r="D80" s="1135"/>
      <c r="E80" s="1135"/>
    </row>
    <row r="81" spans="2:5">
      <c r="B81" s="1168"/>
      <c r="D81" s="1135"/>
      <c r="E81" s="1135"/>
    </row>
    <row r="82" spans="2:5">
      <c r="B82" s="1176"/>
      <c r="D82" s="1135"/>
      <c r="E82" s="1135"/>
    </row>
    <row r="83" spans="2:5">
      <c r="B83" s="1176"/>
      <c r="D83" s="1135"/>
      <c r="E83" s="1135"/>
    </row>
    <row r="84" spans="2:5">
      <c r="B84" s="1176"/>
      <c r="D84" s="1135"/>
      <c r="E84" s="1135"/>
    </row>
    <row r="85" spans="2:5">
      <c r="B85" s="1176"/>
      <c r="D85" s="1135"/>
      <c r="E85" s="1135"/>
    </row>
    <row r="86" spans="2:5">
      <c r="B86" s="1176"/>
      <c r="D86" s="1135"/>
      <c r="E86" s="1135"/>
    </row>
    <row r="87" spans="2:5">
      <c r="B87" s="1176"/>
      <c r="D87" s="1135"/>
      <c r="E87" s="1135"/>
    </row>
    <row r="88" spans="2:5">
      <c r="B88" s="1176"/>
      <c r="D88" s="1135"/>
      <c r="E88" s="1135"/>
    </row>
    <row r="89" spans="2:5">
      <c r="B89" s="1176"/>
      <c r="D89" s="1135"/>
      <c r="E89" s="1135"/>
    </row>
    <row r="90" spans="2:5">
      <c r="B90" s="1176"/>
      <c r="D90" s="1135"/>
      <c r="E90" s="1135"/>
    </row>
    <row r="91" spans="2:5">
      <c r="B91" s="1176"/>
      <c r="D91" s="1135"/>
      <c r="E91" s="1135"/>
    </row>
    <row r="92" spans="2:5">
      <c r="B92" s="1168"/>
      <c r="D92" s="1135"/>
      <c r="E92" s="1135"/>
    </row>
    <row r="93" spans="2:5">
      <c r="B93" s="1176"/>
      <c r="D93" s="1135"/>
      <c r="E93" s="1135"/>
    </row>
    <row r="94" spans="2:5">
      <c r="B94" s="1176"/>
      <c r="D94" s="1135"/>
      <c r="E94" s="1135"/>
    </row>
    <row r="95" spans="2:5">
      <c r="B95" s="1176"/>
      <c r="D95" s="1135"/>
      <c r="E95" s="1135"/>
    </row>
    <row r="96" spans="2:5">
      <c r="B96" s="1176"/>
      <c r="D96" s="1135"/>
      <c r="E96" s="1135"/>
    </row>
    <row r="97" spans="2:5">
      <c r="B97" s="1176"/>
      <c r="D97" s="1135"/>
      <c r="E97" s="1135"/>
    </row>
    <row r="98" spans="2:5">
      <c r="B98" s="1168"/>
      <c r="D98" s="1135"/>
      <c r="E98" s="1135"/>
    </row>
    <row r="99" spans="2:5">
      <c r="B99" s="1176"/>
      <c r="D99" s="1135"/>
      <c r="E99" s="1135"/>
    </row>
    <row r="100" spans="2:5">
      <c r="B100" s="1176"/>
      <c r="D100" s="1135"/>
      <c r="E100" s="1135"/>
    </row>
    <row r="101" spans="2:5">
      <c r="B101" s="1176"/>
      <c r="D101" s="1135"/>
      <c r="E101" s="1135"/>
    </row>
    <row r="102" spans="2:5">
      <c r="B102" s="1176"/>
      <c r="D102" s="1135"/>
      <c r="E102" s="1135"/>
    </row>
    <row r="103" spans="2:5">
      <c r="B103" s="1176"/>
      <c r="D103" s="1135"/>
      <c r="E103" s="1135"/>
    </row>
    <row r="104" spans="2:5">
      <c r="B104" s="1176"/>
      <c r="D104" s="1135"/>
      <c r="E104" s="1135"/>
    </row>
    <row r="105" spans="2:5">
      <c r="B105" s="1176"/>
      <c r="D105" s="1135"/>
      <c r="E105" s="1135"/>
    </row>
    <row r="106" spans="2:5">
      <c r="B106" s="1176"/>
      <c r="D106" s="1135"/>
      <c r="E106" s="1135"/>
    </row>
    <row r="107" spans="2:5">
      <c r="B107" s="1168"/>
      <c r="D107" s="1135"/>
      <c r="E107" s="1135"/>
    </row>
    <row r="108" spans="2:5">
      <c r="B108" s="1176"/>
      <c r="D108" s="1135"/>
      <c r="E108" s="1135"/>
    </row>
    <row r="109" spans="2:5">
      <c r="B109" s="1176"/>
      <c r="D109" s="1135"/>
      <c r="E109" s="1135"/>
    </row>
    <row r="110" spans="2:5">
      <c r="D110" s="1135"/>
      <c r="E110" s="1135"/>
    </row>
    <row r="111" spans="2:5">
      <c r="B111" s="1168"/>
      <c r="D111" s="1135"/>
      <c r="E111" s="1135"/>
    </row>
    <row r="112" spans="2:5">
      <c r="B112" s="1168"/>
      <c r="D112" s="1135"/>
      <c r="E112" s="1135"/>
    </row>
    <row r="113" spans="2:5">
      <c r="B113" s="1168"/>
      <c r="D113" s="1178"/>
      <c r="E113" s="1178"/>
    </row>
  </sheetData>
  <mergeCells count="1">
    <mergeCell ref="C2:D2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53"/>
  <sheetViews>
    <sheetView zoomScale="110" zoomScaleNormal="110" workbookViewId="0">
      <selection activeCell="Q42" sqref="Q42"/>
    </sheetView>
  </sheetViews>
  <sheetFormatPr baseColWidth="10" defaultColWidth="9.1640625" defaultRowHeight="11"/>
  <cols>
    <col min="1" max="15" width="10.5" style="1179" customWidth="1"/>
    <col min="16" max="16" width="3.5" style="1179" customWidth="1"/>
    <col min="17" max="17" width="14" style="1179" customWidth="1"/>
    <col min="18" max="18" width="12.5" style="1179" customWidth="1"/>
    <col min="19" max="16384" width="9.1640625" style="1179"/>
  </cols>
  <sheetData>
    <row r="1" spans="1:23" ht="12.75" customHeight="1">
      <c r="A1" s="1434"/>
      <c r="B1" s="1434"/>
      <c r="C1" s="1434"/>
      <c r="D1" s="1434"/>
      <c r="E1" s="1434"/>
      <c r="F1" s="1434"/>
      <c r="G1" s="1434"/>
      <c r="H1" s="1434"/>
      <c r="I1" s="1434"/>
      <c r="J1" s="1434"/>
      <c r="K1" s="1434"/>
      <c r="L1" s="1434"/>
      <c r="M1" s="1434"/>
      <c r="N1" s="1434"/>
      <c r="O1" s="1434"/>
      <c r="P1" s="1434"/>
      <c r="Q1" s="1434"/>
      <c r="R1" s="1434"/>
    </row>
    <row r="2" spans="1:23" ht="12.75" customHeight="1">
      <c r="A2" s="1435" t="s">
        <v>672</v>
      </c>
      <c r="B2" s="1435"/>
      <c r="C2" s="1435"/>
      <c r="D2" s="1435"/>
      <c r="E2" s="1435"/>
      <c r="F2" s="1435"/>
      <c r="G2" s="1435"/>
      <c r="H2" s="1435"/>
      <c r="I2" s="1435"/>
      <c r="J2" s="1435"/>
      <c r="K2" s="1435"/>
      <c r="L2" s="1435"/>
      <c r="M2" s="1435"/>
      <c r="N2" s="1435"/>
      <c r="O2" s="1435"/>
      <c r="P2" s="1435"/>
      <c r="Q2" s="1435"/>
      <c r="R2" s="1435"/>
    </row>
    <row r="3" spans="1:23" ht="12.75" customHeight="1">
      <c r="A3" s="1180"/>
      <c r="D3" s="1181"/>
      <c r="E3" s="1181"/>
      <c r="F3" s="1181"/>
      <c r="G3" s="1181"/>
      <c r="H3" s="1181"/>
      <c r="I3" s="1181"/>
      <c r="J3" s="1181"/>
      <c r="K3" s="1181"/>
      <c r="M3" s="1182" t="s">
        <v>673</v>
      </c>
      <c r="N3" s="1183">
        <v>0.56507936507936496</v>
      </c>
      <c r="O3" s="1184"/>
      <c r="P3" s="1184"/>
      <c r="Q3" s="1436" t="s">
        <v>674</v>
      </c>
      <c r="R3" s="1436"/>
    </row>
    <row r="4" spans="1:23" ht="12.75" customHeight="1">
      <c r="A4" s="1437" t="s">
        <v>675</v>
      </c>
      <c r="B4" s="1185" t="s">
        <v>676</v>
      </c>
      <c r="C4" s="1438" t="s">
        <v>677</v>
      </c>
      <c r="D4" s="1438"/>
      <c r="E4" s="1438"/>
      <c r="F4" s="1186" t="s">
        <v>678</v>
      </c>
      <c r="G4" s="1186" t="s">
        <v>679</v>
      </c>
      <c r="H4" s="1186" t="s">
        <v>131</v>
      </c>
      <c r="I4" s="1186" t="s">
        <v>680</v>
      </c>
      <c r="J4" s="1186" t="s">
        <v>295</v>
      </c>
      <c r="K4" s="1186" t="s">
        <v>131</v>
      </c>
      <c r="L4" s="1186" t="s">
        <v>116</v>
      </c>
      <c r="M4" s="1186" t="s">
        <v>681</v>
      </c>
      <c r="N4" s="1187" t="s">
        <v>682</v>
      </c>
      <c r="Q4" s="1436"/>
      <c r="R4" s="1436"/>
      <c r="U4" s="1188"/>
      <c r="V4" s="1188" t="s">
        <v>116</v>
      </c>
      <c r="W4" s="1188"/>
    </row>
    <row r="5" spans="1:23" ht="12.75" customHeight="1">
      <c r="A5" s="1437"/>
      <c r="B5" s="1189" t="s">
        <v>683</v>
      </c>
      <c r="C5" s="1181" t="s">
        <v>684</v>
      </c>
      <c r="D5" s="1189" t="s">
        <v>685</v>
      </c>
      <c r="E5" s="1190" t="s">
        <v>686</v>
      </c>
      <c r="F5" s="1181" t="s">
        <v>687</v>
      </c>
      <c r="G5" s="1181" t="s">
        <v>688</v>
      </c>
      <c r="H5" s="1181" t="s">
        <v>689</v>
      </c>
      <c r="I5" s="1181" t="s">
        <v>116</v>
      </c>
      <c r="J5" s="1181" t="s">
        <v>690</v>
      </c>
      <c r="K5" s="1181" t="s">
        <v>691</v>
      </c>
      <c r="L5" s="1181" t="s">
        <v>692</v>
      </c>
      <c r="M5" s="1181" t="s">
        <v>693</v>
      </c>
      <c r="N5" s="1191" t="s">
        <v>694</v>
      </c>
      <c r="O5" s="1192"/>
      <c r="Q5" s="1179" t="s">
        <v>695</v>
      </c>
      <c r="R5" s="1193">
        <v>982800</v>
      </c>
      <c r="U5" s="1194" t="s">
        <v>60</v>
      </c>
      <c r="V5" s="1194" t="s">
        <v>696</v>
      </c>
      <c r="W5" s="1194" t="s">
        <v>697</v>
      </c>
    </row>
    <row r="6" spans="1:23" ht="12.75" customHeight="1">
      <c r="A6" s="1195"/>
      <c r="B6" s="1428">
        <v>0.36065573770491799</v>
      </c>
      <c r="C6" s="1196"/>
      <c r="D6" s="1197" t="s">
        <v>698</v>
      </c>
      <c r="E6" s="1198"/>
      <c r="F6" s="1199"/>
      <c r="G6" s="1200"/>
      <c r="H6" s="1201">
        <v>0</v>
      </c>
      <c r="I6" s="1202">
        <v>828</v>
      </c>
      <c r="J6" s="1203"/>
      <c r="K6" s="1201">
        <v>4290</v>
      </c>
      <c r="L6" s="1204">
        <v>0</v>
      </c>
      <c r="M6" s="1205">
        <v>28600</v>
      </c>
      <c r="N6" s="1206">
        <v>13.75</v>
      </c>
      <c r="O6" s="1429">
        <v>0.93</v>
      </c>
      <c r="P6" s="1207">
        <v>2813.1147540983602</v>
      </c>
      <c r="Q6" s="1179" t="s">
        <v>699</v>
      </c>
      <c r="R6" s="1193">
        <v>0</v>
      </c>
      <c r="V6" s="1208">
        <v>604</v>
      </c>
      <c r="W6" s="1209">
        <v>0.45792266868839998</v>
      </c>
    </row>
    <row r="7" spans="1:23" ht="12.75" customHeight="1">
      <c r="A7" s="1210" t="s">
        <v>327</v>
      </c>
      <c r="B7" s="1428"/>
      <c r="C7" s="1211"/>
      <c r="D7" s="1212" t="s">
        <v>700</v>
      </c>
      <c r="E7" s="1213">
        <v>2</v>
      </c>
      <c r="F7" s="1214"/>
      <c r="G7" s="1215"/>
      <c r="H7" s="1193">
        <v>0</v>
      </c>
      <c r="I7" s="1216">
        <v>828</v>
      </c>
      <c r="J7" s="1217"/>
      <c r="K7" s="1193">
        <v>6840</v>
      </c>
      <c r="L7" s="1218">
        <v>0</v>
      </c>
      <c r="M7" s="1219">
        <v>34200</v>
      </c>
      <c r="N7" s="1220">
        <v>16.442307692307701</v>
      </c>
      <c r="O7" s="1429"/>
      <c r="P7" s="1207">
        <v>4485.2459016393404</v>
      </c>
      <c r="Q7" s="1179" t="s">
        <v>701</v>
      </c>
      <c r="R7" s="1193"/>
      <c r="V7" s="1208">
        <v>583</v>
      </c>
      <c r="W7" s="1209">
        <v>0.405424200278164</v>
      </c>
    </row>
    <row r="8" spans="1:23" ht="12.75" customHeight="1">
      <c r="A8" s="1221" t="s">
        <v>327</v>
      </c>
      <c r="B8" s="1428"/>
      <c r="C8" s="1211"/>
      <c r="D8" s="1212" t="s">
        <v>702</v>
      </c>
      <c r="E8" s="1213">
        <v>2</v>
      </c>
      <c r="F8" s="1214"/>
      <c r="G8" s="1215"/>
      <c r="H8" s="1193">
        <v>0</v>
      </c>
      <c r="I8" s="1216">
        <v>828</v>
      </c>
      <c r="J8" s="1217"/>
      <c r="K8" s="1193">
        <v>2925</v>
      </c>
      <c r="L8" s="1218">
        <v>0</v>
      </c>
      <c r="M8" s="1219">
        <v>39000</v>
      </c>
      <c r="N8" s="1220">
        <v>18.75</v>
      </c>
      <c r="O8" s="1429"/>
      <c r="P8" s="1207">
        <v>1918.0327868852501</v>
      </c>
      <c r="Q8" s="1179" t="s">
        <v>703</v>
      </c>
      <c r="R8" s="1222">
        <v>982800</v>
      </c>
      <c r="V8" s="1208">
        <v>783</v>
      </c>
      <c r="W8" s="1209">
        <v>0.44539249146757698</v>
      </c>
    </row>
    <row r="9" spans="1:23" ht="12.75" customHeight="1">
      <c r="A9" s="1221">
        <v>0</v>
      </c>
      <c r="B9" s="1428"/>
      <c r="C9" s="1211"/>
      <c r="D9" s="1212" t="s">
        <v>704</v>
      </c>
      <c r="E9" s="1213">
        <v>2</v>
      </c>
      <c r="F9" s="1214"/>
      <c r="G9" s="1215"/>
      <c r="H9" s="1193">
        <v>0</v>
      </c>
      <c r="I9" s="1216">
        <v>828</v>
      </c>
      <c r="J9" s="1217"/>
      <c r="K9" s="1193">
        <v>1075</v>
      </c>
      <c r="L9" s="1218">
        <v>0</v>
      </c>
      <c r="M9" s="1219">
        <v>43000</v>
      </c>
      <c r="N9" s="1220">
        <v>20.673076923076898</v>
      </c>
      <c r="O9" s="1429"/>
      <c r="P9" s="1207">
        <v>704.91803278688496</v>
      </c>
      <c r="Q9" s="1179" t="s">
        <v>330</v>
      </c>
      <c r="R9" s="1193">
        <v>-68796</v>
      </c>
      <c r="V9" s="1208">
        <v>794</v>
      </c>
      <c r="W9" s="1209">
        <v>0.424826110219369</v>
      </c>
    </row>
    <row r="10" spans="1:23" ht="12.75" customHeight="1">
      <c r="A10" s="1221">
        <v>0.5</v>
      </c>
      <c r="B10" s="1428"/>
      <c r="C10" s="1211"/>
      <c r="D10" s="1212" t="s">
        <v>705</v>
      </c>
      <c r="E10" s="1213">
        <v>2</v>
      </c>
      <c r="F10" s="1214"/>
      <c r="G10" s="1215"/>
      <c r="H10" s="1193">
        <v>0</v>
      </c>
      <c r="I10" s="1216">
        <v>828</v>
      </c>
      <c r="J10" s="1217"/>
      <c r="K10" s="1193">
        <v>1075</v>
      </c>
      <c r="L10" s="1218">
        <v>0</v>
      </c>
      <c r="M10" s="1219">
        <v>43000</v>
      </c>
      <c r="N10" s="1220">
        <v>20.673076923076898</v>
      </c>
      <c r="O10" s="1429"/>
      <c r="P10" s="1207">
        <v>704.91803278688496</v>
      </c>
      <c r="Q10" s="1179" t="s">
        <v>706</v>
      </c>
      <c r="R10" s="1223">
        <v>914004</v>
      </c>
      <c r="V10" s="1208">
        <v>794</v>
      </c>
      <c r="W10" s="1209">
        <v>0.424826110219369</v>
      </c>
    </row>
    <row r="11" spans="1:23" ht="12.75" customHeight="1">
      <c r="A11" s="1221" t="s">
        <v>327</v>
      </c>
      <c r="B11" s="1428"/>
      <c r="C11" s="1211"/>
      <c r="D11" s="1212" t="s">
        <v>707</v>
      </c>
      <c r="E11" s="1213">
        <v>2</v>
      </c>
      <c r="F11" s="1214"/>
      <c r="G11" s="1215"/>
      <c r="H11" s="1193">
        <v>0</v>
      </c>
      <c r="I11" s="1216">
        <v>828</v>
      </c>
      <c r="J11" s="1217"/>
      <c r="K11" s="1193">
        <v>975</v>
      </c>
      <c r="L11" s="1218">
        <v>0</v>
      </c>
      <c r="M11" s="1219">
        <v>39000</v>
      </c>
      <c r="N11" s="1220">
        <v>18.75</v>
      </c>
      <c r="O11" s="1429"/>
      <c r="P11" s="1207">
        <v>639.34426229508199</v>
      </c>
      <c r="Q11" s="1179" t="s">
        <v>708</v>
      </c>
      <c r="R11" s="1193">
        <v>-477524</v>
      </c>
      <c r="V11" s="1208">
        <v>783</v>
      </c>
      <c r="W11" s="1209">
        <v>0.44539249146757698</v>
      </c>
    </row>
    <row r="12" spans="1:23" ht="12.75" customHeight="1">
      <c r="A12" s="1221" t="s">
        <v>327</v>
      </c>
      <c r="B12" s="1428"/>
      <c r="C12" s="1211"/>
      <c r="D12" s="1212" t="s">
        <v>709</v>
      </c>
      <c r="E12" s="1213">
        <v>2</v>
      </c>
      <c r="F12" s="1214"/>
      <c r="G12" s="1215"/>
      <c r="H12" s="1193">
        <v>0</v>
      </c>
      <c r="I12" s="1216">
        <v>828</v>
      </c>
      <c r="J12" s="1217"/>
      <c r="K12" s="1193">
        <v>855</v>
      </c>
      <c r="L12" s="1218">
        <v>0</v>
      </c>
      <c r="M12" s="1219">
        <v>34200</v>
      </c>
      <c r="N12" s="1220">
        <v>16.442307692307701</v>
      </c>
      <c r="O12" s="1429"/>
      <c r="P12" s="1207">
        <v>560.65573770491801</v>
      </c>
      <c r="Q12" s="1224"/>
      <c r="R12" s="1193">
        <v>-67100</v>
      </c>
      <c r="V12" s="1208">
        <v>583</v>
      </c>
      <c r="W12" s="1209">
        <v>0.405424200278164</v>
      </c>
    </row>
    <row r="13" spans="1:23" ht="12.75" customHeight="1">
      <c r="A13" s="1225" t="s">
        <v>327</v>
      </c>
      <c r="B13" s="1428"/>
      <c r="C13" s="1226"/>
      <c r="D13" s="1227" t="s">
        <v>710</v>
      </c>
      <c r="E13" s="1228"/>
      <c r="F13" s="1229"/>
      <c r="G13" s="1230"/>
      <c r="H13" s="1231">
        <v>0</v>
      </c>
      <c r="I13" s="1232">
        <v>828</v>
      </c>
      <c r="J13" s="1233"/>
      <c r="K13" s="1231">
        <v>715</v>
      </c>
      <c r="L13" s="1234">
        <v>0</v>
      </c>
      <c r="M13" s="1235">
        <v>28600</v>
      </c>
      <c r="N13" s="1236">
        <v>13.75</v>
      </c>
      <c r="O13" s="1429"/>
      <c r="P13" s="1207">
        <v>468.85245901639303</v>
      </c>
      <c r="Q13" s="1179" t="s">
        <v>711</v>
      </c>
      <c r="R13" s="1193">
        <v>-18300</v>
      </c>
      <c r="V13" s="1208">
        <v>604</v>
      </c>
      <c r="W13" s="1209">
        <v>0.45792266868839998</v>
      </c>
    </row>
    <row r="14" spans="1:23" ht="12.75" customHeight="1">
      <c r="A14" s="1195"/>
      <c r="B14" s="1428">
        <v>0.67213114754098402</v>
      </c>
      <c r="C14" s="1237"/>
      <c r="D14" s="1238" t="s">
        <v>698</v>
      </c>
      <c r="E14" s="1239">
        <v>1</v>
      </c>
      <c r="F14" s="1199"/>
      <c r="G14" s="1200"/>
      <c r="H14" s="1201">
        <v>0</v>
      </c>
      <c r="I14" s="1202">
        <v>994</v>
      </c>
      <c r="J14" s="1203"/>
      <c r="K14" s="1201">
        <v>10200</v>
      </c>
      <c r="L14" s="1204">
        <v>0</v>
      </c>
      <c r="M14" s="1205">
        <v>34000</v>
      </c>
      <c r="N14" s="1206">
        <v>16.346153846153801</v>
      </c>
      <c r="O14" s="1429">
        <v>0.93</v>
      </c>
      <c r="P14" s="1207">
        <v>6688.52459016393</v>
      </c>
      <c r="Q14" s="1179" t="s">
        <v>712</v>
      </c>
      <c r="R14" s="1222">
        <v>-562924</v>
      </c>
      <c r="V14" s="1208">
        <v>469</v>
      </c>
      <c r="W14" s="1209">
        <v>0.35557240333585999</v>
      </c>
    </row>
    <row r="15" spans="1:23" ht="12.75" customHeight="1">
      <c r="A15" s="1240" t="s">
        <v>327</v>
      </c>
      <c r="B15" s="1428"/>
      <c r="C15" s="1241"/>
      <c r="D15" s="1242" t="s">
        <v>700</v>
      </c>
      <c r="E15" s="1243">
        <v>2</v>
      </c>
      <c r="F15" s="1214"/>
      <c r="G15" s="1215"/>
      <c r="H15" s="1193">
        <v>0</v>
      </c>
      <c r="I15" s="1216">
        <v>994</v>
      </c>
      <c r="J15" s="1217"/>
      <c r="K15" s="1193">
        <v>16000</v>
      </c>
      <c r="L15" s="1218">
        <v>0</v>
      </c>
      <c r="M15" s="1219">
        <v>40000</v>
      </c>
      <c r="N15" s="1220">
        <v>19.230769230769202</v>
      </c>
      <c r="O15" s="1429"/>
      <c r="P15" s="1207">
        <v>10491.8032786885</v>
      </c>
      <c r="Q15" s="1179" t="s">
        <v>713</v>
      </c>
      <c r="R15" s="1244">
        <v>351080</v>
      </c>
      <c r="V15" s="1208">
        <v>438</v>
      </c>
      <c r="W15" s="1209">
        <v>0.30458970792767698</v>
      </c>
    </row>
    <row r="16" spans="1:23" ht="12.75" customHeight="1">
      <c r="A16" s="1245" t="s">
        <v>327</v>
      </c>
      <c r="B16" s="1428"/>
      <c r="C16" s="1241"/>
      <c r="D16" s="1242" t="s">
        <v>702</v>
      </c>
      <c r="E16" s="1243">
        <v>2</v>
      </c>
      <c r="F16" s="1214"/>
      <c r="G16" s="1215"/>
      <c r="H16" s="1193">
        <v>0</v>
      </c>
      <c r="I16" s="1216">
        <v>994</v>
      </c>
      <c r="J16" s="1217"/>
      <c r="K16" s="1193">
        <v>8800</v>
      </c>
      <c r="L16" s="1218">
        <v>0</v>
      </c>
      <c r="M16" s="1219">
        <v>44000</v>
      </c>
      <c r="N16" s="1220">
        <v>21.153846153846199</v>
      </c>
      <c r="O16" s="1429"/>
      <c r="P16" s="1207">
        <v>5770.49180327869</v>
      </c>
      <c r="R16" s="1193">
        <v>-10351.4399999999</v>
      </c>
      <c r="V16" s="1208">
        <v>658</v>
      </c>
      <c r="W16" s="1209">
        <v>0.374288964732651</v>
      </c>
    </row>
    <row r="17" spans="1:23" ht="12.75" customHeight="1">
      <c r="A17" s="1245" t="s">
        <v>327</v>
      </c>
      <c r="B17" s="1428"/>
      <c r="C17" s="1241"/>
      <c r="D17" s="1242" t="s">
        <v>704</v>
      </c>
      <c r="E17" s="1243">
        <v>2</v>
      </c>
      <c r="F17" s="1214"/>
      <c r="G17" s="1215"/>
      <c r="H17" s="1193">
        <v>0</v>
      </c>
      <c r="I17" s="1216">
        <v>994</v>
      </c>
      <c r="J17" s="1217"/>
      <c r="K17" s="1193">
        <v>6000</v>
      </c>
      <c r="L17" s="1218">
        <v>0</v>
      </c>
      <c r="M17" s="1219">
        <v>48000</v>
      </c>
      <c r="N17" s="1220">
        <v>23.076923076923102</v>
      </c>
      <c r="O17" s="1429"/>
      <c r="P17" s="1207">
        <v>3934.4262295081999</v>
      </c>
      <c r="Q17" s="1208"/>
      <c r="V17" s="1208">
        <v>669</v>
      </c>
      <c r="W17" s="1209">
        <v>0.35794542536115598</v>
      </c>
    </row>
    <row r="18" spans="1:23" ht="12.75" customHeight="1">
      <c r="A18" s="1221">
        <v>0.6</v>
      </c>
      <c r="B18" s="1428"/>
      <c r="C18" s="1211"/>
      <c r="D18" s="1242" t="s">
        <v>705</v>
      </c>
      <c r="E18" s="1243">
        <v>2</v>
      </c>
      <c r="F18" s="1214"/>
      <c r="G18" s="1215"/>
      <c r="H18" s="1193">
        <v>0</v>
      </c>
      <c r="I18" s="1216">
        <v>0</v>
      </c>
      <c r="J18" s="1217"/>
      <c r="K18" s="1193"/>
      <c r="L18" s="1218"/>
      <c r="M18" s="1219"/>
      <c r="N18" s="1220"/>
      <c r="O18" s="1429"/>
      <c r="P18" s="1207"/>
      <c r="Q18" s="1432" t="s">
        <v>714</v>
      </c>
      <c r="R18" s="1432"/>
      <c r="V18" s="1208"/>
      <c r="W18" s="1209"/>
    </row>
    <row r="19" spans="1:23" ht="12.75" customHeight="1">
      <c r="A19" s="1221" t="s">
        <v>327</v>
      </c>
      <c r="B19" s="1428"/>
      <c r="C19" s="1211"/>
      <c r="D19" s="1242" t="s">
        <v>707</v>
      </c>
      <c r="E19" s="1243">
        <v>2</v>
      </c>
      <c r="F19" s="1214"/>
      <c r="G19" s="1215"/>
      <c r="H19" s="1193">
        <v>0</v>
      </c>
      <c r="I19" s="1216">
        <v>0</v>
      </c>
      <c r="J19" s="1217"/>
      <c r="K19" s="1193"/>
      <c r="L19" s="1218"/>
      <c r="M19" s="1219"/>
      <c r="N19" s="1220"/>
      <c r="O19" s="1429"/>
      <c r="P19" s="1207"/>
      <c r="Q19" s="1432"/>
      <c r="R19" s="1432"/>
      <c r="V19" s="1208"/>
      <c r="W19" s="1209"/>
    </row>
    <row r="20" spans="1:23" ht="12.75" customHeight="1">
      <c r="A20" s="1221" t="s">
        <v>327</v>
      </c>
      <c r="B20" s="1428"/>
      <c r="C20" s="1211"/>
      <c r="D20" s="1242" t="s">
        <v>709</v>
      </c>
      <c r="E20" s="1243">
        <v>2</v>
      </c>
      <c r="F20" s="1214"/>
      <c r="G20" s="1215"/>
      <c r="H20" s="1193">
        <v>0</v>
      </c>
      <c r="I20" s="1216">
        <v>0</v>
      </c>
      <c r="J20" s="1217"/>
      <c r="K20" s="1193"/>
      <c r="L20" s="1218"/>
      <c r="M20" s="1219"/>
      <c r="N20" s="1220"/>
      <c r="O20" s="1429"/>
      <c r="P20" s="1207"/>
      <c r="Q20" s="1246" t="s">
        <v>715</v>
      </c>
      <c r="R20" s="1247"/>
      <c r="V20" s="1208"/>
      <c r="W20" s="1209"/>
    </row>
    <row r="21" spans="1:23" ht="12.75" customHeight="1">
      <c r="A21" s="1225" t="s">
        <v>327</v>
      </c>
      <c r="B21" s="1428"/>
      <c r="C21" s="1226"/>
      <c r="D21" s="1248" t="s">
        <v>710</v>
      </c>
      <c r="E21" s="1249">
        <v>1</v>
      </c>
      <c r="F21" s="1229"/>
      <c r="G21" s="1230"/>
      <c r="H21" s="1231">
        <v>0</v>
      </c>
      <c r="I21" s="1232">
        <v>0</v>
      </c>
      <c r="J21" s="1233"/>
      <c r="K21" s="1231"/>
      <c r="L21" s="1234"/>
      <c r="M21" s="1235"/>
      <c r="N21" s="1236"/>
      <c r="O21" s="1429"/>
      <c r="P21" s="1207"/>
      <c r="Q21" s="1433" t="s">
        <v>716</v>
      </c>
      <c r="R21" s="1433"/>
      <c r="V21" s="1208"/>
      <c r="W21" s="1209"/>
    </row>
    <row r="22" spans="1:23" ht="12.75" customHeight="1">
      <c r="A22" s="1195"/>
      <c r="B22" s="1428">
        <v>0.27868852459016402</v>
      </c>
      <c r="C22" s="1196"/>
      <c r="D22" s="1238" t="s">
        <v>698</v>
      </c>
      <c r="E22" s="1239">
        <v>1</v>
      </c>
      <c r="F22" s="1199"/>
      <c r="G22" s="1200"/>
      <c r="H22" s="1201">
        <v>0</v>
      </c>
      <c r="I22" s="1250">
        <v>497</v>
      </c>
      <c r="J22" s="1203"/>
      <c r="K22" s="1201">
        <v>5875</v>
      </c>
      <c r="L22" s="1204">
        <v>0</v>
      </c>
      <c r="M22" s="1205">
        <v>47000</v>
      </c>
      <c r="N22" s="1206">
        <v>22.596153846153801</v>
      </c>
      <c r="O22" s="1429">
        <v>0.93</v>
      </c>
      <c r="P22" s="1207">
        <v>3852.4590163934399</v>
      </c>
      <c r="Q22" s="1430"/>
      <c r="R22" s="1430"/>
      <c r="V22" s="1208">
        <v>144</v>
      </c>
      <c r="W22" s="1209">
        <v>0.109173616376042</v>
      </c>
    </row>
    <row r="23" spans="1:23" ht="12.75" customHeight="1">
      <c r="A23" s="1251">
        <v>1</v>
      </c>
      <c r="B23" s="1428"/>
      <c r="C23" s="1211"/>
      <c r="D23" s="1242" t="s">
        <v>700</v>
      </c>
      <c r="E23" s="1243">
        <v>2</v>
      </c>
      <c r="F23" s="1214"/>
      <c r="G23" s="1215"/>
      <c r="H23" s="1193">
        <v>0</v>
      </c>
      <c r="I23" s="1252">
        <v>497</v>
      </c>
      <c r="J23" s="1217"/>
      <c r="K23" s="1193">
        <v>8925</v>
      </c>
      <c r="L23" s="1218">
        <v>0</v>
      </c>
      <c r="M23" s="1219">
        <v>51000</v>
      </c>
      <c r="N23" s="1220">
        <v>24.519230769230798</v>
      </c>
      <c r="O23" s="1429"/>
      <c r="P23" s="1207">
        <v>5852.4590163934399</v>
      </c>
      <c r="V23" s="1208">
        <v>163</v>
      </c>
      <c r="W23" s="1209">
        <v>0.113351877607789</v>
      </c>
    </row>
    <row r="24" spans="1:23" ht="12.75" customHeight="1">
      <c r="A24" s="1221">
        <v>1</v>
      </c>
      <c r="B24" s="1428"/>
      <c r="C24" s="1211"/>
      <c r="D24" s="1242" t="s">
        <v>702</v>
      </c>
      <c r="E24" s="1243">
        <v>2</v>
      </c>
      <c r="F24" s="1214"/>
      <c r="G24" s="1215"/>
      <c r="H24" s="1193">
        <v>0</v>
      </c>
      <c r="I24" s="1252">
        <v>497</v>
      </c>
      <c r="J24" s="1217"/>
      <c r="K24" s="1193">
        <v>5800</v>
      </c>
      <c r="L24" s="1218">
        <v>0</v>
      </c>
      <c r="M24" s="1219">
        <v>58000</v>
      </c>
      <c r="N24" s="1220">
        <v>27.884615384615401</v>
      </c>
      <c r="O24" s="1429"/>
      <c r="P24" s="1253">
        <v>3803.2786885245901</v>
      </c>
      <c r="Q24" s="1431" t="s">
        <v>717</v>
      </c>
      <c r="R24" s="1431"/>
      <c r="V24" s="1208">
        <v>308</v>
      </c>
      <c r="W24" s="1209">
        <v>0.17519908987485799</v>
      </c>
    </row>
    <row r="25" spans="1:23" ht="12.75" customHeight="1">
      <c r="A25" s="1221">
        <v>1</v>
      </c>
      <c r="B25" s="1428"/>
      <c r="C25" s="1211"/>
      <c r="D25" s="1242" t="s">
        <v>704</v>
      </c>
      <c r="E25" s="1243">
        <v>2</v>
      </c>
      <c r="F25" s="1214"/>
      <c r="G25" s="1215"/>
      <c r="H25" s="1193">
        <v>0</v>
      </c>
      <c r="I25" s="1252">
        <v>497</v>
      </c>
      <c r="J25" s="1217"/>
      <c r="K25" s="1193">
        <v>1550</v>
      </c>
      <c r="L25" s="1218">
        <v>0</v>
      </c>
      <c r="M25" s="1219">
        <v>62000</v>
      </c>
      <c r="N25" s="1220">
        <v>29.807692307692299</v>
      </c>
      <c r="O25" s="1429"/>
      <c r="P25" s="1253">
        <v>1016.39344262295</v>
      </c>
      <c r="Q25" s="1254" t="s">
        <v>698</v>
      </c>
      <c r="R25" s="1255"/>
      <c r="V25" s="1208">
        <v>319</v>
      </c>
      <c r="W25" s="1209">
        <v>0.17067950775815899</v>
      </c>
    </row>
    <row r="26" spans="1:23" ht="12.75" customHeight="1">
      <c r="A26" s="1221">
        <v>1</v>
      </c>
      <c r="B26" s="1428"/>
      <c r="C26" s="1211"/>
      <c r="D26" s="1242" t="s">
        <v>705</v>
      </c>
      <c r="E26" s="1243">
        <v>2</v>
      </c>
      <c r="F26" s="1214"/>
      <c r="G26" s="1215"/>
      <c r="H26" s="1193">
        <v>0</v>
      </c>
      <c r="I26" s="1252">
        <v>497</v>
      </c>
      <c r="J26" s="1217"/>
      <c r="K26" s="1193"/>
      <c r="L26" s="1218"/>
      <c r="M26" s="1219"/>
      <c r="N26" s="1220"/>
      <c r="O26" s="1429"/>
      <c r="Q26" s="1254" t="s">
        <v>700</v>
      </c>
      <c r="R26" s="1255"/>
    </row>
    <row r="27" spans="1:23" ht="12.75" customHeight="1">
      <c r="A27" s="1221">
        <v>1</v>
      </c>
      <c r="B27" s="1428"/>
      <c r="C27" s="1211"/>
      <c r="D27" s="1242" t="s">
        <v>707</v>
      </c>
      <c r="E27" s="1243">
        <v>2</v>
      </c>
      <c r="F27" s="1214"/>
      <c r="G27" s="1215"/>
      <c r="H27" s="1193">
        <v>0</v>
      </c>
      <c r="I27" s="1252">
        <v>497</v>
      </c>
      <c r="J27" s="1217"/>
      <c r="K27" s="1193"/>
      <c r="L27" s="1218"/>
      <c r="M27" s="1219"/>
      <c r="N27" s="1220"/>
      <c r="O27" s="1429"/>
      <c r="Q27" s="1254" t="s">
        <v>702</v>
      </c>
      <c r="R27" s="1255"/>
    </row>
    <row r="28" spans="1:23" ht="12.75" customHeight="1">
      <c r="A28" s="1221">
        <v>1</v>
      </c>
      <c r="B28" s="1428"/>
      <c r="C28" s="1211"/>
      <c r="D28" s="1242" t="s">
        <v>709</v>
      </c>
      <c r="E28" s="1243">
        <v>2</v>
      </c>
      <c r="F28" s="1214"/>
      <c r="G28" s="1215"/>
      <c r="H28" s="1193">
        <v>0</v>
      </c>
      <c r="I28" s="1252">
        <v>497</v>
      </c>
      <c r="J28" s="1217"/>
      <c r="K28" s="1193"/>
      <c r="L28" s="1218"/>
      <c r="M28" s="1219"/>
      <c r="N28" s="1220"/>
      <c r="O28" s="1429"/>
      <c r="Q28" s="1254" t="s">
        <v>704</v>
      </c>
      <c r="R28" s="1255"/>
    </row>
    <row r="29" spans="1:23" ht="12.75" customHeight="1">
      <c r="A29" s="1225">
        <v>1</v>
      </c>
      <c r="B29" s="1428"/>
      <c r="C29" s="1226"/>
      <c r="D29" s="1248" t="s">
        <v>710</v>
      </c>
      <c r="E29" s="1249">
        <v>1</v>
      </c>
      <c r="F29" s="1229"/>
      <c r="G29" s="1230"/>
      <c r="H29" s="1231">
        <v>0</v>
      </c>
      <c r="I29" s="1256">
        <v>497</v>
      </c>
      <c r="J29" s="1233"/>
      <c r="K29" s="1231"/>
      <c r="L29" s="1234"/>
      <c r="M29" s="1235"/>
      <c r="N29" s="1236"/>
      <c r="O29" s="1429"/>
      <c r="Q29" s="1254" t="s">
        <v>705</v>
      </c>
      <c r="R29" s="1255"/>
    </row>
    <row r="30" spans="1:23" ht="12.75" customHeight="1">
      <c r="A30" s="1257"/>
      <c r="B30" s="1193"/>
      <c r="C30" s="1193"/>
      <c r="D30" s="1193"/>
      <c r="E30" s="1258" t="s">
        <v>718</v>
      </c>
      <c r="F30" s="1259">
        <v>80</v>
      </c>
      <c r="G30" s="1193"/>
      <c r="H30" s="1259">
        <v>0</v>
      </c>
      <c r="I30" s="1193"/>
      <c r="J30" s="1193"/>
      <c r="K30" s="1259">
        <v>81900</v>
      </c>
      <c r="L30" s="1260"/>
      <c r="M30" s="1261">
        <v>53704.918032786903</v>
      </c>
      <c r="N30" s="1262" t="s">
        <v>719</v>
      </c>
      <c r="Q30" s="1254" t="s">
        <v>707</v>
      </c>
      <c r="R30" s="1255"/>
    </row>
    <row r="31" spans="1:23" ht="12.75" customHeight="1">
      <c r="E31" s="1263"/>
      <c r="F31" s="1258"/>
      <c r="G31" s="1258"/>
      <c r="H31" s="1264"/>
      <c r="I31" s="1193"/>
      <c r="J31" s="1265"/>
      <c r="M31" s="1181"/>
      <c r="N31" s="1181"/>
      <c r="Q31" s="1254" t="s">
        <v>709</v>
      </c>
      <c r="R31" s="1255"/>
    </row>
    <row r="32" spans="1:23" ht="12.75" customHeight="1">
      <c r="A32" s="1266"/>
      <c r="B32" s="1267"/>
      <c r="C32" s="1268">
        <v>2</v>
      </c>
      <c r="D32" s="1268">
        <v>3</v>
      </c>
      <c r="E32" s="1268">
        <v>4</v>
      </c>
      <c r="F32" s="1268">
        <v>5</v>
      </c>
      <c r="G32" s="1269">
        <v>6</v>
      </c>
      <c r="J32" s="1270"/>
      <c r="K32" s="1271">
        <v>0</v>
      </c>
      <c r="L32" s="1272">
        <v>1</v>
      </c>
      <c r="M32" s="1272">
        <v>2</v>
      </c>
      <c r="N32" s="1272">
        <v>3</v>
      </c>
      <c r="O32" s="1273">
        <v>4</v>
      </c>
      <c r="Q32" s="1254" t="s">
        <v>710</v>
      </c>
      <c r="R32" s="1255"/>
    </row>
    <row r="33" spans="1:18" ht="12.75" customHeight="1">
      <c r="A33" s="1274"/>
      <c r="B33" s="1275">
        <v>19890</v>
      </c>
      <c r="C33" s="1276">
        <v>22710</v>
      </c>
      <c r="D33" s="1276">
        <v>25560</v>
      </c>
      <c r="E33" s="1276">
        <v>28380</v>
      </c>
      <c r="F33" s="1276">
        <v>30660</v>
      </c>
      <c r="G33" s="1277">
        <v>32940</v>
      </c>
      <c r="H33" s="1278"/>
      <c r="J33" s="1246" t="s">
        <v>720</v>
      </c>
      <c r="K33" s="1279">
        <v>0</v>
      </c>
      <c r="L33" s="1279">
        <v>-210</v>
      </c>
      <c r="M33" s="1280">
        <v>-279</v>
      </c>
      <c r="N33" s="1280">
        <v>-349</v>
      </c>
      <c r="O33" s="1281">
        <v>0</v>
      </c>
    </row>
    <row r="34" spans="1:18" ht="12.75" customHeight="1">
      <c r="A34" s="1274"/>
      <c r="B34" s="1275">
        <v>26520</v>
      </c>
      <c r="C34" s="1276">
        <v>30280</v>
      </c>
      <c r="D34" s="1276">
        <v>34080</v>
      </c>
      <c r="E34" s="1276">
        <v>37840</v>
      </c>
      <c r="F34" s="1276">
        <v>40880</v>
      </c>
      <c r="G34" s="1277">
        <v>43920</v>
      </c>
      <c r="H34" s="1278"/>
      <c r="J34" s="1282">
        <v>0.3</v>
      </c>
      <c r="K34" s="1283">
        <v>497</v>
      </c>
      <c r="L34" s="1283">
        <v>532</v>
      </c>
      <c r="M34" s="1284">
        <v>428</v>
      </c>
      <c r="N34" s="1284">
        <v>494</v>
      </c>
      <c r="O34" s="1285">
        <v>823</v>
      </c>
      <c r="Q34" s="1431" t="s">
        <v>721</v>
      </c>
      <c r="R34" s="1431"/>
    </row>
    <row r="35" spans="1:18" ht="12.75" customHeight="1">
      <c r="A35" s="1274"/>
      <c r="B35" s="1286"/>
      <c r="C35" s="1287"/>
      <c r="D35" s="1287"/>
      <c r="E35" s="1287"/>
      <c r="F35" s="1287"/>
      <c r="G35" s="1288"/>
      <c r="H35" s="1278"/>
      <c r="J35" s="1289" t="s">
        <v>722</v>
      </c>
      <c r="K35" s="1290">
        <v>497</v>
      </c>
      <c r="L35" s="1290">
        <v>322</v>
      </c>
      <c r="M35" s="1290">
        <v>149</v>
      </c>
      <c r="N35" s="1290">
        <v>145</v>
      </c>
      <c r="O35" s="1291">
        <v>823</v>
      </c>
      <c r="Q35" s="1254"/>
      <c r="R35" s="1255"/>
    </row>
    <row r="36" spans="1:18" ht="12.75" customHeight="1">
      <c r="A36" s="1274"/>
      <c r="B36" s="1275">
        <v>39780</v>
      </c>
      <c r="C36" s="1276">
        <v>45420</v>
      </c>
      <c r="D36" s="1276">
        <v>51120</v>
      </c>
      <c r="E36" s="1276">
        <v>56760</v>
      </c>
      <c r="F36" s="1276">
        <v>61320</v>
      </c>
      <c r="G36" s="1277">
        <v>65880</v>
      </c>
      <c r="H36" s="1278"/>
      <c r="J36" s="1282">
        <v>0.4</v>
      </c>
      <c r="K36" s="1283">
        <v>663</v>
      </c>
      <c r="L36" s="1283">
        <v>710</v>
      </c>
      <c r="M36" s="1284">
        <v>852</v>
      </c>
      <c r="N36" s="1284">
        <v>984</v>
      </c>
      <c r="O36" s="1285">
        <v>1098</v>
      </c>
      <c r="Q36" s="1254"/>
      <c r="R36" s="1255"/>
    </row>
    <row r="37" spans="1:18" ht="12.75" customHeight="1">
      <c r="A37" s="1274"/>
      <c r="B37" s="1275">
        <v>46410</v>
      </c>
      <c r="C37" s="1276">
        <v>52990</v>
      </c>
      <c r="D37" s="1276">
        <v>59640</v>
      </c>
      <c r="E37" s="1276">
        <v>66220</v>
      </c>
      <c r="F37" s="1276">
        <v>71540</v>
      </c>
      <c r="G37" s="1277">
        <v>76860</v>
      </c>
      <c r="H37" s="1278"/>
      <c r="J37" s="1289" t="s">
        <v>722</v>
      </c>
      <c r="K37" s="1290">
        <v>663</v>
      </c>
      <c r="L37" s="1290">
        <v>500</v>
      </c>
      <c r="M37" s="1290">
        <v>573</v>
      </c>
      <c r="N37" s="1290">
        <v>635</v>
      </c>
      <c r="O37" s="1291">
        <v>1098</v>
      </c>
      <c r="Q37" s="1254"/>
      <c r="R37" s="1255"/>
    </row>
    <row r="38" spans="1:18" ht="12.75" customHeight="1">
      <c r="A38" s="1292"/>
      <c r="B38" s="1275">
        <v>53040</v>
      </c>
      <c r="C38" s="1276">
        <v>60560</v>
      </c>
      <c r="D38" s="1276">
        <v>68160</v>
      </c>
      <c r="E38" s="1276">
        <v>75680</v>
      </c>
      <c r="F38" s="1276">
        <v>81760</v>
      </c>
      <c r="G38" s="1277">
        <v>87840</v>
      </c>
      <c r="H38" s="1278"/>
      <c r="J38" s="1282">
        <v>0.5</v>
      </c>
      <c r="K38" s="1283">
        <v>828</v>
      </c>
      <c r="L38" s="1283">
        <v>887</v>
      </c>
      <c r="M38" s="1284">
        <v>1065</v>
      </c>
      <c r="N38" s="1284">
        <v>1230</v>
      </c>
      <c r="O38" s="1285">
        <v>1372</v>
      </c>
      <c r="Q38" s="1254"/>
      <c r="R38" s="1255"/>
    </row>
    <row r="39" spans="1:18" ht="12.75" customHeight="1">
      <c r="A39" s="1293"/>
      <c r="B39" s="1294">
        <v>66300</v>
      </c>
      <c r="C39" s="1295">
        <v>75700</v>
      </c>
      <c r="D39" s="1295">
        <v>85200</v>
      </c>
      <c r="E39" s="1295">
        <v>94600</v>
      </c>
      <c r="F39" s="1295">
        <v>102200</v>
      </c>
      <c r="G39" s="1296">
        <v>109800</v>
      </c>
      <c r="H39" s="1278"/>
      <c r="J39" s="1289" t="s">
        <v>722</v>
      </c>
      <c r="K39" s="1290">
        <v>828</v>
      </c>
      <c r="L39" s="1290">
        <v>677</v>
      </c>
      <c r="M39" s="1290">
        <v>786</v>
      </c>
      <c r="N39" s="1290">
        <v>881</v>
      </c>
      <c r="O39" s="1291">
        <v>1372</v>
      </c>
    </row>
    <row r="40" spans="1:18" ht="12.75" customHeight="1">
      <c r="C40" s="1278"/>
      <c r="D40" s="1278"/>
      <c r="E40" s="1278"/>
      <c r="F40" s="1278"/>
      <c r="G40" s="1278"/>
      <c r="H40" s="1278"/>
      <c r="J40" s="1282">
        <v>0.6</v>
      </c>
      <c r="K40" s="1283">
        <v>994</v>
      </c>
      <c r="L40" s="1283">
        <v>1065</v>
      </c>
      <c r="M40" s="1284">
        <v>1278</v>
      </c>
      <c r="N40" s="1284">
        <v>1476</v>
      </c>
      <c r="O40" s="1285">
        <v>1647</v>
      </c>
    </row>
    <row r="41" spans="1:18" ht="12.75" customHeight="1">
      <c r="A41" s="1297"/>
      <c r="B41" s="1298"/>
      <c r="C41" s="1298"/>
      <c r="D41" s="1298"/>
      <c r="E41" s="1298"/>
      <c r="F41" s="1298"/>
      <c r="G41" s="1299" t="s">
        <v>723</v>
      </c>
      <c r="H41" s="1300" t="s">
        <v>724</v>
      </c>
      <c r="J41" s="1289" t="s">
        <v>722</v>
      </c>
      <c r="K41" s="1290">
        <v>994</v>
      </c>
      <c r="L41" s="1290">
        <v>855</v>
      </c>
      <c r="M41" s="1290">
        <v>999</v>
      </c>
      <c r="N41" s="1290">
        <v>1127</v>
      </c>
      <c r="O41" s="1291">
        <v>1647</v>
      </c>
    </row>
    <row r="42" spans="1:18" ht="12.75" customHeight="1">
      <c r="A42" s="1301" t="s">
        <v>725</v>
      </c>
      <c r="C42" s="1427" t="s">
        <v>726</v>
      </c>
      <c r="D42" s="1427"/>
      <c r="E42" s="1302"/>
      <c r="G42" s="1303" t="s">
        <v>727</v>
      </c>
      <c r="H42" s="1304"/>
      <c r="J42" s="1282">
        <v>0.7</v>
      </c>
      <c r="K42" s="1283">
        <v>1160</v>
      </c>
      <c r="L42" s="1283">
        <v>1242</v>
      </c>
      <c r="M42" s="1284">
        <v>1491</v>
      </c>
      <c r="N42" s="1284">
        <v>1722</v>
      </c>
      <c r="O42" s="1285">
        <v>1921</v>
      </c>
    </row>
    <row r="43" spans="1:18" ht="12.75" customHeight="1">
      <c r="A43" s="1305" t="s">
        <v>728</v>
      </c>
      <c r="B43" s="1306"/>
      <c r="C43" s="1307" t="s">
        <v>729</v>
      </c>
      <c r="D43" s="1308"/>
      <c r="E43" s="1308"/>
      <c r="F43" s="1308">
        <v>2</v>
      </c>
      <c r="G43" s="1308">
        <v>3</v>
      </c>
      <c r="H43" s="1309">
        <v>4</v>
      </c>
      <c r="J43" s="1289" t="s">
        <v>722</v>
      </c>
      <c r="K43" s="1290">
        <v>1160</v>
      </c>
      <c r="L43" s="1290">
        <v>1032</v>
      </c>
      <c r="M43" s="1290">
        <v>1212</v>
      </c>
      <c r="N43" s="1290">
        <v>1373</v>
      </c>
      <c r="O43" s="1291">
        <v>1921</v>
      </c>
    </row>
    <row r="44" spans="1:18" ht="12.75" customHeight="1">
      <c r="A44" s="1310" t="s">
        <v>730</v>
      </c>
      <c r="B44" s="1311"/>
      <c r="C44" s="1312" t="s">
        <v>71</v>
      </c>
      <c r="D44" s="1313"/>
      <c r="E44" s="1314"/>
      <c r="F44" s="1314"/>
      <c r="G44" s="1314"/>
      <c r="H44" s="1314"/>
      <c r="J44" s="1282">
        <v>0.8</v>
      </c>
      <c r="K44" s="1283">
        <v>1326</v>
      </c>
      <c r="L44" s="1283">
        <v>1420</v>
      </c>
      <c r="M44" s="1284">
        <v>1704</v>
      </c>
      <c r="N44" s="1284">
        <v>1968</v>
      </c>
      <c r="O44" s="1285">
        <v>2196</v>
      </c>
    </row>
    <row r="45" spans="1:18" ht="12.75" customHeight="1">
      <c r="A45" s="1310" t="s">
        <v>731</v>
      </c>
      <c r="B45" s="1311"/>
      <c r="C45" s="1312" t="s">
        <v>71</v>
      </c>
      <c r="D45" s="1313"/>
      <c r="E45" s="1314"/>
      <c r="F45" s="1314"/>
      <c r="G45" s="1314"/>
      <c r="H45" s="1314"/>
      <c r="J45" s="1289" t="s">
        <v>722</v>
      </c>
      <c r="K45" s="1290">
        <v>1326</v>
      </c>
      <c r="L45" s="1290">
        <v>1210</v>
      </c>
      <c r="M45" s="1290">
        <v>1425</v>
      </c>
      <c r="N45" s="1290">
        <v>1619</v>
      </c>
      <c r="O45" s="1291">
        <v>2196</v>
      </c>
    </row>
    <row r="46" spans="1:18" ht="12.75" customHeight="1">
      <c r="A46" s="1315" t="s">
        <v>732</v>
      </c>
      <c r="B46" s="1316" t="s">
        <v>347</v>
      </c>
      <c r="C46" s="1312" t="s">
        <v>71</v>
      </c>
      <c r="D46" s="1313"/>
      <c r="E46" s="1314"/>
      <c r="F46" s="1314"/>
      <c r="G46" s="1314"/>
      <c r="H46" s="1314"/>
      <c r="J46" s="1282">
        <v>1</v>
      </c>
      <c r="K46" s="1283">
        <v>1657</v>
      </c>
      <c r="L46" s="1283">
        <v>1775</v>
      </c>
      <c r="M46" s="1284">
        <v>2130</v>
      </c>
      <c r="N46" s="1284">
        <v>2460</v>
      </c>
      <c r="O46" s="1285">
        <v>2745</v>
      </c>
    </row>
    <row r="47" spans="1:18" ht="12.75" customHeight="1">
      <c r="A47" s="1310" t="s">
        <v>732</v>
      </c>
      <c r="B47" s="1316" t="s">
        <v>733</v>
      </c>
      <c r="C47" s="1312" t="s">
        <v>71</v>
      </c>
      <c r="D47" s="1313"/>
      <c r="E47" s="1314"/>
      <c r="F47" s="1314"/>
      <c r="G47" s="1314"/>
      <c r="H47" s="1314"/>
      <c r="J47" s="1289" t="s">
        <v>722</v>
      </c>
      <c r="K47" s="1290">
        <v>1657</v>
      </c>
      <c r="L47" s="1290">
        <v>1565</v>
      </c>
      <c r="M47" s="1290">
        <v>1851</v>
      </c>
      <c r="N47" s="1290">
        <v>2111</v>
      </c>
      <c r="O47" s="1291">
        <v>2745</v>
      </c>
    </row>
    <row r="48" spans="1:18" ht="12.75" customHeight="1">
      <c r="A48" s="1310" t="s">
        <v>734</v>
      </c>
      <c r="B48" s="1311"/>
      <c r="C48" s="1312" t="s">
        <v>71</v>
      </c>
      <c r="D48" s="1313"/>
      <c r="E48" s="1314"/>
      <c r="F48" s="1314"/>
      <c r="G48" s="1314"/>
      <c r="H48" s="1314"/>
      <c r="J48" s="1317" t="s">
        <v>735</v>
      </c>
      <c r="K48" s="1318"/>
      <c r="L48" s="1318"/>
      <c r="M48" s="1319"/>
      <c r="N48" s="1319"/>
      <c r="O48" s="1320"/>
    </row>
    <row r="49" spans="1:15" ht="12.75" customHeight="1">
      <c r="A49" s="1315" t="s">
        <v>352</v>
      </c>
      <c r="B49" s="1311"/>
      <c r="C49" s="1312" t="s">
        <v>71</v>
      </c>
      <c r="D49" s="1313"/>
      <c r="E49" s="1314"/>
      <c r="F49" s="1314"/>
      <c r="G49" s="1314"/>
      <c r="H49" s="1314"/>
      <c r="J49" s="1289" t="s">
        <v>722</v>
      </c>
      <c r="K49" s="1290"/>
      <c r="L49" s="1290"/>
      <c r="M49" s="1290"/>
      <c r="N49" s="1290"/>
      <c r="O49" s="1291"/>
    </row>
    <row r="50" spans="1:15" ht="12.75" customHeight="1">
      <c r="A50" s="1315" t="s">
        <v>353</v>
      </c>
      <c r="B50" s="1311"/>
      <c r="C50" s="1312" t="s">
        <v>71</v>
      </c>
      <c r="D50" s="1313"/>
      <c r="E50" s="1314"/>
      <c r="F50" s="1314"/>
      <c r="G50" s="1314"/>
      <c r="H50" s="1314"/>
      <c r="J50" s="1317" t="s">
        <v>736</v>
      </c>
      <c r="K50" s="1318"/>
      <c r="L50" s="1318"/>
      <c r="M50" s="1319"/>
      <c r="N50" s="1319"/>
      <c r="O50" s="1320"/>
    </row>
    <row r="51" spans="1:15" ht="12.75" customHeight="1">
      <c r="A51" s="1315" t="s">
        <v>450</v>
      </c>
      <c r="B51" s="1311"/>
      <c r="C51" s="1312" t="s">
        <v>73</v>
      </c>
      <c r="D51" s="1321"/>
      <c r="E51" s="1314"/>
      <c r="F51" s="1314"/>
      <c r="G51" s="1314"/>
      <c r="H51" s="1314"/>
      <c r="J51" s="1289" t="s">
        <v>722</v>
      </c>
      <c r="K51" s="1290"/>
      <c r="L51" s="1290"/>
      <c r="M51" s="1290"/>
      <c r="N51" s="1290"/>
      <c r="O51" s="1291"/>
    </row>
    <row r="52" spans="1:15" ht="12.75" customHeight="1">
      <c r="A52" s="1315" t="s">
        <v>732</v>
      </c>
      <c r="B52" s="1316"/>
      <c r="C52" s="1312"/>
      <c r="D52" s="1321"/>
      <c r="E52" s="1314"/>
      <c r="F52" s="1314"/>
      <c r="G52" s="1314"/>
      <c r="H52" s="1314"/>
      <c r="J52" s="1317" t="s">
        <v>737</v>
      </c>
      <c r="K52" s="1318"/>
      <c r="L52" s="1318"/>
      <c r="M52" s="1319"/>
      <c r="N52" s="1319"/>
      <c r="O52" s="1320"/>
    </row>
    <row r="53" spans="1:15" ht="12.75" customHeight="1">
      <c r="A53" s="1322"/>
      <c r="B53" s="1323"/>
      <c r="C53" s="1324" t="s">
        <v>738</v>
      </c>
      <c r="D53" s="1325">
        <v>0</v>
      </c>
      <c r="E53" s="1325">
        <v>210</v>
      </c>
      <c r="F53" s="1325">
        <v>279</v>
      </c>
      <c r="G53" s="1325">
        <v>349</v>
      </c>
      <c r="H53" s="1326">
        <v>0</v>
      </c>
      <c r="J53" s="1327" t="s">
        <v>722</v>
      </c>
      <c r="K53" s="1328"/>
      <c r="L53" s="1329"/>
      <c r="M53" s="1329"/>
      <c r="N53" s="1329"/>
      <c r="O53" s="1330"/>
    </row>
  </sheetData>
  <mergeCells count="17">
    <mergeCell ref="A1:R1"/>
    <mergeCell ref="A2:R2"/>
    <mergeCell ref="Q3:R4"/>
    <mergeCell ref="A4:A5"/>
    <mergeCell ref="C4:E4"/>
    <mergeCell ref="B6:B13"/>
    <mergeCell ref="O6:O13"/>
    <mergeCell ref="B14:B21"/>
    <mergeCell ref="O14:O21"/>
    <mergeCell ref="Q18:R19"/>
    <mergeCell ref="Q21:R21"/>
    <mergeCell ref="C42:D42"/>
    <mergeCell ref="B22:B29"/>
    <mergeCell ref="O22:O29"/>
    <mergeCell ref="Q22:R22"/>
    <mergeCell ref="Q24:R24"/>
    <mergeCell ref="Q34:R34"/>
  </mergeCells>
  <conditionalFormatting sqref="R25:R32 R35:R38">
    <cfRule type="expression" dxfId="1" priority="2">
      <formula>R25&gt;0.6</formula>
    </cfRule>
  </conditionalFormatting>
  <dataValidations count="3">
    <dataValidation type="list" allowBlank="1" showInputMessage="1" showErrorMessage="1" sqref="A7 A15" xr:uid="{00000000-0002-0000-0B00-000000000000}">
      <formula1>"LIHTC,HOME,NHTF,Voucher"</formula1>
      <formula2>0</formula2>
    </dataValidation>
    <dataValidation type="list" allowBlank="1" showInputMessage="1" showErrorMessage="1" sqref="A6 A14 A22" xr:uid="{00000000-0002-0000-0B00-000001000000}">
      <formula1>$A$33:$A$39</formula1>
      <formula2>0</formula2>
    </dataValidation>
    <dataValidation type="list" allowBlank="1" showInputMessage="1" showErrorMessage="1" sqref="C44:C52" xr:uid="{00000000-0002-0000-0B00-000002000000}">
      <formula1>"Y,N"</formula1>
      <formula2>0</formula2>
    </dataValidation>
  </dataValidations>
  <printOptions horizontalCentered="1"/>
  <pageMargins left="0.25" right="0.25" top="0.5" bottom="0.5" header="0.25" footer="0.25"/>
  <pageSetup scale="65" orientation="landscape" cellComments="atEnd" horizontalDpi="300" verticalDpi="300"/>
  <headerFooter>
    <oddHeader>&amp;C&amp;"Times New Roman,Regular"&amp;F&amp;R&amp;8 _x005F_x000a_</oddHeader>
    <oddFooter>&amp;L&amp;"Times New Roman,Regular"&amp;D&amp;C&amp;"Times New Roman,Regular"DRAFT - FOR DISCUSSION PURPOSES ONLY&amp;R&amp;"Times New Roman,Regular"&amp;P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33CC"/>
  </sheetPr>
  <dimension ref="A1:W53"/>
  <sheetViews>
    <sheetView zoomScale="110" zoomScaleNormal="110" workbookViewId="0">
      <selection activeCell="R43" sqref="R43"/>
    </sheetView>
  </sheetViews>
  <sheetFormatPr baseColWidth="10" defaultColWidth="9.1640625" defaultRowHeight="11"/>
  <cols>
    <col min="1" max="15" width="10.5" style="1179" customWidth="1"/>
    <col min="16" max="16" width="3.5" style="1179" customWidth="1"/>
    <col min="17" max="17" width="14" style="1179" customWidth="1"/>
    <col min="18" max="18" width="12.5" style="1179" customWidth="1"/>
    <col min="19" max="16384" width="9.1640625" style="1179"/>
  </cols>
  <sheetData>
    <row r="1" spans="1:23" ht="12.75" customHeight="1">
      <c r="A1" s="1434" t="s">
        <v>892</v>
      </c>
      <c r="B1" s="1434"/>
      <c r="C1" s="1434"/>
      <c r="D1" s="1434"/>
      <c r="E1" s="1434"/>
      <c r="F1" s="1434"/>
      <c r="G1" s="1434"/>
      <c r="H1" s="1434"/>
      <c r="I1" s="1434"/>
      <c r="J1" s="1434"/>
      <c r="K1" s="1434"/>
      <c r="L1" s="1434"/>
      <c r="M1" s="1434"/>
      <c r="N1" s="1434"/>
      <c r="O1" s="1434"/>
      <c r="P1" s="1434"/>
      <c r="Q1" s="1434"/>
      <c r="R1" s="1434"/>
    </row>
    <row r="2" spans="1:23" ht="12.75" customHeight="1">
      <c r="A2" s="1435" t="s">
        <v>672</v>
      </c>
      <c r="B2" s="1435"/>
      <c r="C2" s="1435"/>
      <c r="D2" s="1435"/>
      <c r="E2" s="1435"/>
      <c r="F2" s="1435"/>
      <c r="G2" s="1435"/>
      <c r="H2" s="1435"/>
      <c r="I2" s="1435"/>
      <c r="J2" s="1435"/>
      <c r="K2" s="1435"/>
      <c r="L2" s="1435"/>
      <c r="M2" s="1435"/>
      <c r="N2" s="1435"/>
      <c r="O2" s="1435"/>
      <c r="P2" s="1435"/>
      <c r="Q2" s="1435"/>
      <c r="R2" s="1435"/>
    </row>
    <row r="3" spans="1:23" ht="12.75" customHeight="1">
      <c r="A3" s="1180"/>
      <c r="D3" s="1181"/>
      <c r="E3" s="1181"/>
      <c r="F3" s="1181"/>
      <c r="G3" s="1181"/>
      <c r="H3" s="1181"/>
      <c r="I3" s="1181"/>
      <c r="J3" s="1181"/>
      <c r="K3" s="1181"/>
      <c r="M3" s="1182" t="s">
        <v>673</v>
      </c>
      <c r="N3" s="1183">
        <v>0.56507936507936496</v>
      </c>
      <c r="O3" s="1184"/>
      <c r="P3" s="1184"/>
      <c r="Q3" s="1436" t="s">
        <v>674</v>
      </c>
      <c r="R3" s="1436"/>
    </row>
    <row r="4" spans="1:23" ht="12.75" customHeight="1">
      <c r="A4" s="1437" t="s">
        <v>675</v>
      </c>
      <c r="B4" s="1185" t="s">
        <v>676</v>
      </c>
      <c r="C4" s="1438" t="s">
        <v>677</v>
      </c>
      <c r="D4" s="1438"/>
      <c r="E4" s="1438"/>
      <c r="F4" s="1186" t="s">
        <v>678</v>
      </c>
      <c r="G4" s="1186" t="s">
        <v>679</v>
      </c>
      <c r="H4" s="1186" t="s">
        <v>131</v>
      </c>
      <c r="I4" s="1186" t="s">
        <v>680</v>
      </c>
      <c r="J4" s="1186" t="s">
        <v>295</v>
      </c>
      <c r="K4" s="1186" t="s">
        <v>131</v>
      </c>
      <c r="L4" s="1186" t="s">
        <v>116</v>
      </c>
      <c r="M4" s="1186" t="s">
        <v>681</v>
      </c>
      <c r="N4" s="1187" t="s">
        <v>682</v>
      </c>
      <c r="Q4" s="1436"/>
      <c r="R4" s="1436"/>
      <c r="U4" s="1188"/>
      <c r="V4" s="1188" t="s">
        <v>116</v>
      </c>
      <c r="W4" s="1188"/>
    </row>
    <row r="5" spans="1:23" ht="12.75" customHeight="1">
      <c r="A5" s="1437"/>
      <c r="B5" s="1189" t="s">
        <v>683</v>
      </c>
      <c r="C5" s="1181" t="s">
        <v>684</v>
      </c>
      <c r="D5" s="1189" t="s">
        <v>685</v>
      </c>
      <c r="E5" s="1190" t="s">
        <v>686</v>
      </c>
      <c r="F5" s="1181" t="s">
        <v>687</v>
      </c>
      <c r="G5" s="1181" t="s">
        <v>688</v>
      </c>
      <c r="H5" s="1181" t="s">
        <v>689</v>
      </c>
      <c r="I5" s="1181" t="s">
        <v>116</v>
      </c>
      <c r="J5" s="1181" t="s">
        <v>690</v>
      </c>
      <c r="K5" s="1181" t="s">
        <v>691</v>
      </c>
      <c r="L5" s="1181" t="s">
        <v>692</v>
      </c>
      <c r="M5" s="1181" t="s">
        <v>693</v>
      </c>
      <c r="N5" s="1191" t="s">
        <v>694</v>
      </c>
      <c r="O5" s="1192"/>
      <c r="Q5" s="1179" t="s">
        <v>695</v>
      </c>
      <c r="R5" s="1193">
        <v>999600</v>
      </c>
      <c r="U5" s="1194" t="s">
        <v>60</v>
      </c>
      <c r="V5" s="1194" t="s">
        <v>696</v>
      </c>
      <c r="W5" s="1194" t="s">
        <v>697</v>
      </c>
    </row>
    <row r="6" spans="1:23" ht="12.75" customHeight="1">
      <c r="A6" s="1195"/>
      <c r="B6" s="1428">
        <v>0.36065573770491799</v>
      </c>
      <c r="C6" s="1196"/>
      <c r="D6" s="1197" t="s">
        <v>698</v>
      </c>
      <c r="E6" s="1198"/>
      <c r="F6" s="1199"/>
      <c r="G6" s="1200"/>
      <c r="H6" s="1201">
        <v>0</v>
      </c>
      <c r="I6" s="1202">
        <v>662</v>
      </c>
      <c r="J6" s="1203"/>
      <c r="K6" s="1201">
        <v>4290</v>
      </c>
      <c r="L6" s="1204">
        <v>0</v>
      </c>
      <c r="M6" s="1205">
        <v>37600</v>
      </c>
      <c r="N6" s="1206">
        <v>18.076923076923102</v>
      </c>
      <c r="O6" s="1429">
        <v>0.93</v>
      </c>
      <c r="P6" s="1207">
        <v>3698.3606557377002</v>
      </c>
      <c r="Q6" s="1179" t="s">
        <v>699</v>
      </c>
      <c r="R6" s="1193">
        <v>100</v>
      </c>
      <c r="V6" s="1208">
        <v>604</v>
      </c>
      <c r="W6" s="1209">
        <v>0.45792266868839998</v>
      </c>
    </row>
    <row r="7" spans="1:23" ht="12.75" customHeight="1">
      <c r="A7" s="1210" t="s">
        <v>327</v>
      </c>
      <c r="B7" s="1428"/>
      <c r="C7" s="1211"/>
      <c r="D7" s="1212" t="s">
        <v>700</v>
      </c>
      <c r="E7" s="1213">
        <v>2</v>
      </c>
      <c r="F7" s="1214"/>
      <c r="G7" s="1215"/>
      <c r="H7" s="1193">
        <v>0</v>
      </c>
      <c r="I7" s="1216">
        <v>771</v>
      </c>
      <c r="J7" s="1217"/>
      <c r="K7" s="1193">
        <v>6840</v>
      </c>
      <c r="L7" s="1218">
        <v>0</v>
      </c>
      <c r="M7" s="1219">
        <v>45960</v>
      </c>
      <c r="N7" s="1220">
        <v>22.096153846153801</v>
      </c>
      <c r="O7" s="1429"/>
      <c r="P7" s="1207">
        <v>6027.5409836065601</v>
      </c>
      <c r="Q7" s="1179" t="s">
        <v>701</v>
      </c>
      <c r="R7" s="1193">
        <v>13908</v>
      </c>
      <c r="V7" s="1208">
        <v>583</v>
      </c>
      <c r="W7" s="1209">
        <v>0.405424200278164</v>
      </c>
    </row>
    <row r="8" spans="1:23" ht="12.75" customHeight="1">
      <c r="A8" s="1221" t="s">
        <v>327</v>
      </c>
      <c r="B8" s="1428"/>
      <c r="C8" s="1211"/>
      <c r="D8" s="1212" t="s">
        <v>702</v>
      </c>
      <c r="E8" s="1213">
        <v>2</v>
      </c>
      <c r="F8" s="1214"/>
      <c r="G8" s="1215"/>
      <c r="H8" s="1193">
        <v>0</v>
      </c>
      <c r="I8" s="1216">
        <v>866</v>
      </c>
      <c r="J8" s="1217"/>
      <c r="K8" s="1193">
        <v>2925</v>
      </c>
      <c r="L8" s="1218">
        <v>0</v>
      </c>
      <c r="M8" s="1219">
        <v>53560</v>
      </c>
      <c r="N8" s="1220">
        <v>25.75</v>
      </c>
      <c r="O8" s="1429"/>
      <c r="P8" s="1207">
        <v>2634.0983606557402</v>
      </c>
      <c r="Q8" s="1179" t="s">
        <v>703</v>
      </c>
      <c r="R8" s="1222">
        <v>1013608</v>
      </c>
      <c r="V8" s="1208">
        <v>783</v>
      </c>
      <c r="W8" s="1209">
        <v>0.44539249146757698</v>
      </c>
    </row>
    <row r="9" spans="1:23" ht="12.75" customHeight="1">
      <c r="A9" s="1221">
        <v>0</v>
      </c>
      <c r="B9" s="1428"/>
      <c r="C9" s="1211"/>
      <c r="D9" s="1212" t="s">
        <v>704</v>
      </c>
      <c r="E9" s="1213">
        <v>2</v>
      </c>
      <c r="F9" s="1214"/>
      <c r="G9" s="1215"/>
      <c r="H9" s="1193">
        <v>0</v>
      </c>
      <c r="I9" s="1216">
        <v>1372</v>
      </c>
      <c r="J9" s="1217"/>
      <c r="K9" s="1193">
        <v>1075</v>
      </c>
      <c r="L9" s="1218">
        <v>0</v>
      </c>
      <c r="M9" s="1219">
        <v>43000</v>
      </c>
      <c r="N9" s="1220">
        <v>20.673076923076898</v>
      </c>
      <c r="O9" s="1429"/>
      <c r="P9" s="1207">
        <v>704.91803278688496</v>
      </c>
      <c r="Q9" s="1179" t="s">
        <v>330</v>
      </c>
      <c r="R9" s="1193">
        <v>-70952.56</v>
      </c>
      <c r="V9" s="1208">
        <v>794</v>
      </c>
      <c r="W9" s="1209">
        <v>0.424826110219369</v>
      </c>
    </row>
    <row r="10" spans="1:23" ht="12.75" customHeight="1">
      <c r="A10" s="1221">
        <v>0.5</v>
      </c>
      <c r="B10" s="1428"/>
      <c r="C10" s="1211"/>
      <c r="D10" s="1212" t="s">
        <v>705</v>
      </c>
      <c r="E10" s="1213">
        <v>2</v>
      </c>
      <c r="F10" s="1214"/>
      <c r="G10" s="1215"/>
      <c r="H10" s="1193">
        <v>0</v>
      </c>
      <c r="I10" s="1216">
        <v>1372</v>
      </c>
      <c r="J10" s="1217"/>
      <c r="K10" s="1193">
        <v>1075</v>
      </c>
      <c r="L10" s="1218">
        <v>0</v>
      </c>
      <c r="M10" s="1219">
        <v>43000</v>
      </c>
      <c r="N10" s="1220">
        <v>20.673076923076898</v>
      </c>
      <c r="O10" s="1429"/>
      <c r="P10" s="1207">
        <v>704.91803278688496</v>
      </c>
      <c r="Q10" s="1179" t="s">
        <v>706</v>
      </c>
      <c r="R10" s="1223">
        <v>942655.44</v>
      </c>
      <c r="V10" s="1208">
        <v>794</v>
      </c>
      <c r="W10" s="1209">
        <v>0.424826110219369</v>
      </c>
    </row>
    <row r="11" spans="1:23" ht="12.75" customHeight="1">
      <c r="A11" s="1221" t="s">
        <v>327</v>
      </c>
      <c r="B11" s="1428"/>
      <c r="C11" s="1211"/>
      <c r="D11" s="1212" t="s">
        <v>707</v>
      </c>
      <c r="E11" s="1213">
        <v>2</v>
      </c>
      <c r="F11" s="1214"/>
      <c r="G11" s="1215"/>
      <c r="H11" s="1193">
        <v>0</v>
      </c>
      <c r="I11" s="1216">
        <v>866</v>
      </c>
      <c r="J11" s="1217"/>
      <c r="K11" s="1193">
        <v>975</v>
      </c>
      <c r="L11" s="1218">
        <v>0</v>
      </c>
      <c r="M11" s="1219">
        <v>53560</v>
      </c>
      <c r="N11" s="1220">
        <v>25.75</v>
      </c>
      <c r="O11" s="1429"/>
      <c r="P11" s="1207">
        <v>878.03278688524597</v>
      </c>
      <c r="Q11" s="1179" t="s">
        <v>708</v>
      </c>
      <c r="R11" s="1193">
        <v>-562924</v>
      </c>
      <c r="V11" s="1208">
        <v>783</v>
      </c>
      <c r="W11" s="1209">
        <v>0.44539249146757698</v>
      </c>
    </row>
    <row r="12" spans="1:23" ht="12.75" customHeight="1">
      <c r="A12" s="1221" t="s">
        <v>327</v>
      </c>
      <c r="B12" s="1428"/>
      <c r="C12" s="1211"/>
      <c r="D12" s="1212" t="s">
        <v>709</v>
      </c>
      <c r="E12" s="1213">
        <v>2</v>
      </c>
      <c r="F12" s="1214"/>
      <c r="G12" s="1215"/>
      <c r="H12" s="1193">
        <v>0</v>
      </c>
      <c r="I12" s="1216">
        <v>771</v>
      </c>
      <c r="J12" s="1217"/>
      <c r="K12" s="1193">
        <v>855</v>
      </c>
      <c r="L12" s="1218">
        <v>0</v>
      </c>
      <c r="M12" s="1219">
        <v>45960</v>
      </c>
      <c r="N12" s="1220">
        <v>22.096153846153801</v>
      </c>
      <c r="O12" s="1429"/>
      <c r="P12" s="1207">
        <v>753.44262295082001</v>
      </c>
      <c r="Q12" s="1224"/>
      <c r="R12" s="1193"/>
      <c r="V12" s="1208">
        <v>583</v>
      </c>
      <c r="W12" s="1209">
        <v>0.405424200278164</v>
      </c>
    </row>
    <row r="13" spans="1:23" ht="12.75" customHeight="1">
      <c r="A13" s="1225" t="s">
        <v>327</v>
      </c>
      <c r="B13" s="1428"/>
      <c r="C13" s="1226"/>
      <c r="D13" s="1227" t="s">
        <v>710</v>
      </c>
      <c r="E13" s="1228"/>
      <c r="F13" s="1229"/>
      <c r="G13" s="1230"/>
      <c r="H13" s="1231">
        <v>0</v>
      </c>
      <c r="I13" s="1232">
        <v>662</v>
      </c>
      <c r="J13" s="1233"/>
      <c r="K13" s="1231">
        <v>715</v>
      </c>
      <c r="L13" s="1234">
        <v>0</v>
      </c>
      <c r="M13" s="1235">
        <v>37600</v>
      </c>
      <c r="N13" s="1236">
        <v>18.076923076923102</v>
      </c>
      <c r="O13" s="1429"/>
      <c r="P13" s="1207">
        <v>616.39344262295106</v>
      </c>
      <c r="Q13" s="1179" t="s">
        <v>711</v>
      </c>
      <c r="R13" s="1193">
        <v>-18300</v>
      </c>
      <c r="V13" s="1208">
        <v>604</v>
      </c>
      <c r="W13" s="1209">
        <v>0.45792266868839998</v>
      </c>
    </row>
    <row r="14" spans="1:23" ht="12.75" customHeight="1">
      <c r="A14" s="1195"/>
      <c r="B14" s="1428">
        <v>0.67213114754098402</v>
      </c>
      <c r="C14" s="1196"/>
      <c r="D14" s="1238" t="s">
        <v>698</v>
      </c>
      <c r="E14" s="1239">
        <v>1</v>
      </c>
      <c r="F14" s="1199"/>
      <c r="G14" s="1200"/>
      <c r="H14" s="1201">
        <v>0</v>
      </c>
      <c r="I14" s="1202">
        <v>840</v>
      </c>
      <c r="J14" s="1203"/>
      <c r="K14" s="1201">
        <v>10200</v>
      </c>
      <c r="L14" s="1204">
        <v>0</v>
      </c>
      <c r="M14" s="1205">
        <v>43000</v>
      </c>
      <c r="N14" s="1206">
        <v>20.673076923076898</v>
      </c>
      <c r="O14" s="1429">
        <v>0.93</v>
      </c>
      <c r="P14" s="1207">
        <v>8459.01639344262</v>
      </c>
      <c r="Q14" s="1179" t="s">
        <v>712</v>
      </c>
      <c r="R14" s="1222">
        <v>-581224</v>
      </c>
      <c r="V14" s="1208">
        <v>469</v>
      </c>
      <c r="W14" s="1209">
        <v>0.35557240333585999</v>
      </c>
    </row>
    <row r="15" spans="1:23" ht="12.75" customHeight="1">
      <c r="A15" s="1240" t="s">
        <v>327</v>
      </c>
      <c r="B15" s="1428"/>
      <c r="C15" s="1211"/>
      <c r="D15" s="1242" t="s">
        <v>700</v>
      </c>
      <c r="E15" s="1243">
        <v>2</v>
      </c>
      <c r="F15" s="1214"/>
      <c r="G15" s="1215"/>
      <c r="H15" s="1193">
        <v>0</v>
      </c>
      <c r="I15" s="1216">
        <v>984</v>
      </c>
      <c r="J15" s="1217"/>
      <c r="K15" s="1193">
        <v>16000</v>
      </c>
      <c r="L15" s="1218">
        <v>0</v>
      </c>
      <c r="M15" s="1219">
        <v>51760</v>
      </c>
      <c r="N15" s="1220">
        <v>24.884615384615401</v>
      </c>
      <c r="O15" s="1429"/>
      <c r="P15" s="1207">
        <v>13576.393442623001</v>
      </c>
      <c r="Q15" s="1179" t="s">
        <v>713</v>
      </c>
      <c r="R15" s="1244">
        <v>361431.44</v>
      </c>
      <c r="V15" s="1208">
        <v>438</v>
      </c>
      <c r="W15" s="1209">
        <v>0.30458970792767698</v>
      </c>
    </row>
    <row r="16" spans="1:23" ht="12.75" customHeight="1">
      <c r="A16" s="1245" t="s">
        <v>327</v>
      </c>
      <c r="B16" s="1428"/>
      <c r="C16" s="1211"/>
      <c r="D16" s="1242" t="s">
        <v>702</v>
      </c>
      <c r="E16" s="1243">
        <v>2</v>
      </c>
      <c r="F16" s="1214"/>
      <c r="G16" s="1215"/>
      <c r="H16" s="1193">
        <v>0</v>
      </c>
      <c r="I16" s="1216">
        <v>1112</v>
      </c>
      <c r="J16" s="1217"/>
      <c r="K16" s="1193">
        <v>8800</v>
      </c>
      <c r="L16" s="1218">
        <v>0</v>
      </c>
      <c r="M16" s="1219">
        <v>58560</v>
      </c>
      <c r="N16" s="1220">
        <v>28.153846153846199</v>
      </c>
      <c r="O16" s="1429"/>
      <c r="P16" s="1207">
        <v>7680</v>
      </c>
      <c r="R16" s="1193">
        <v>0</v>
      </c>
      <c r="V16" s="1208">
        <v>658</v>
      </c>
      <c r="W16" s="1209">
        <v>0.374288964732651</v>
      </c>
    </row>
    <row r="17" spans="1:23" ht="12.75" customHeight="1">
      <c r="A17" s="1245" t="s">
        <v>327</v>
      </c>
      <c r="B17" s="1428"/>
      <c r="C17" s="1211"/>
      <c r="D17" s="1242" t="s">
        <v>704</v>
      </c>
      <c r="E17" s="1243">
        <v>2</v>
      </c>
      <c r="F17" s="1214"/>
      <c r="G17" s="1215"/>
      <c r="H17" s="1193">
        <v>0</v>
      </c>
      <c r="I17" s="1216">
        <v>1647</v>
      </c>
      <c r="J17" s="1217"/>
      <c r="K17" s="1193">
        <v>6000</v>
      </c>
      <c r="L17" s="1218">
        <v>0</v>
      </c>
      <c r="M17" s="1219">
        <v>48000</v>
      </c>
      <c r="N17" s="1220">
        <v>23.076923076923102</v>
      </c>
      <c r="O17" s="1429"/>
      <c r="P17" s="1207">
        <v>3934.4262295081999</v>
      </c>
      <c r="Q17" s="1208"/>
      <c r="V17" s="1208">
        <v>669</v>
      </c>
      <c r="W17" s="1209">
        <v>0.35794542536115598</v>
      </c>
    </row>
    <row r="18" spans="1:23" ht="12.75" customHeight="1">
      <c r="A18" s="1221">
        <v>0.6</v>
      </c>
      <c r="B18" s="1428"/>
      <c r="C18" s="1211"/>
      <c r="D18" s="1242" t="s">
        <v>705</v>
      </c>
      <c r="E18" s="1243">
        <v>2</v>
      </c>
      <c r="F18" s="1214"/>
      <c r="G18" s="1215"/>
      <c r="H18" s="1193">
        <v>0</v>
      </c>
      <c r="I18" s="1216">
        <v>0</v>
      </c>
      <c r="J18" s="1217"/>
      <c r="K18" s="1193"/>
      <c r="L18" s="1218"/>
      <c r="M18" s="1219"/>
      <c r="N18" s="1220"/>
      <c r="O18" s="1429"/>
      <c r="P18" s="1207"/>
      <c r="Q18" s="1432"/>
      <c r="R18" s="1432"/>
      <c r="V18" s="1208"/>
      <c r="W18" s="1209"/>
    </row>
    <row r="19" spans="1:23" ht="12.75" customHeight="1">
      <c r="A19" s="1221" t="s">
        <v>327</v>
      </c>
      <c r="B19" s="1428"/>
      <c r="C19" s="1211"/>
      <c r="D19" s="1242" t="s">
        <v>707</v>
      </c>
      <c r="E19" s="1243">
        <v>2</v>
      </c>
      <c r="F19" s="1214"/>
      <c r="G19" s="1215"/>
      <c r="H19" s="1193">
        <v>0</v>
      </c>
      <c r="I19" s="1216">
        <v>0</v>
      </c>
      <c r="J19" s="1217"/>
      <c r="K19" s="1193"/>
      <c r="L19" s="1218"/>
      <c r="M19" s="1219"/>
      <c r="N19" s="1220"/>
      <c r="O19" s="1429"/>
      <c r="P19" s="1207"/>
      <c r="Q19" s="1432"/>
      <c r="R19" s="1432"/>
      <c r="V19" s="1208"/>
      <c r="W19" s="1209"/>
    </row>
    <row r="20" spans="1:23" ht="12.75" customHeight="1">
      <c r="A20" s="1221" t="s">
        <v>327</v>
      </c>
      <c r="B20" s="1428"/>
      <c r="C20" s="1211"/>
      <c r="D20" s="1242" t="s">
        <v>709</v>
      </c>
      <c r="E20" s="1243">
        <v>2</v>
      </c>
      <c r="F20" s="1214"/>
      <c r="G20" s="1215"/>
      <c r="H20" s="1193">
        <v>0</v>
      </c>
      <c r="I20" s="1216">
        <v>0</v>
      </c>
      <c r="J20" s="1217"/>
      <c r="K20" s="1193"/>
      <c r="L20" s="1218"/>
      <c r="M20" s="1219"/>
      <c r="N20" s="1220"/>
      <c r="O20" s="1429"/>
      <c r="P20" s="1207"/>
      <c r="Q20" s="1246" t="s">
        <v>715</v>
      </c>
      <c r="R20" s="1247"/>
      <c r="V20" s="1208"/>
      <c r="W20" s="1209"/>
    </row>
    <row r="21" spans="1:23" ht="12.75" customHeight="1">
      <c r="A21" s="1225" t="s">
        <v>327</v>
      </c>
      <c r="B21" s="1428"/>
      <c r="C21" s="1226"/>
      <c r="D21" s="1248" t="s">
        <v>710</v>
      </c>
      <c r="E21" s="1249">
        <v>1</v>
      </c>
      <c r="F21" s="1229"/>
      <c r="G21" s="1230"/>
      <c r="H21" s="1231">
        <v>0</v>
      </c>
      <c r="I21" s="1232">
        <v>0</v>
      </c>
      <c r="J21" s="1233"/>
      <c r="K21" s="1231"/>
      <c r="L21" s="1234"/>
      <c r="M21" s="1235"/>
      <c r="N21" s="1236"/>
      <c r="O21" s="1429"/>
      <c r="P21" s="1207"/>
      <c r="Q21" s="1433" t="s">
        <v>739</v>
      </c>
      <c r="R21" s="1433"/>
      <c r="V21" s="1208"/>
      <c r="W21" s="1209"/>
    </row>
    <row r="22" spans="1:23" ht="12.75" customHeight="1">
      <c r="A22" s="1195"/>
      <c r="B22" s="1428">
        <v>0.27868852459016402</v>
      </c>
      <c r="C22" s="1196"/>
      <c r="D22" s="1238" t="s">
        <v>698</v>
      </c>
      <c r="E22" s="1239">
        <v>1</v>
      </c>
      <c r="F22" s="1199"/>
      <c r="G22" s="1200"/>
      <c r="H22" s="1201">
        <v>0</v>
      </c>
      <c r="I22" s="1250">
        <v>307</v>
      </c>
      <c r="J22" s="1203"/>
      <c r="K22" s="1201">
        <v>5875</v>
      </c>
      <c r="L22" s="1204">
        <v>0</v>
      </c>
      <c r="M22" s="1205">
        <v>56000</v>
      </c>
      <c r="N22" s="1206">
        <v>26.923076923076898</v>
      </c>
      <c r="O22" s="1429">
        <v>0.93</v>
      </c>
      <c r="P22" s="1207">
        <v>4590.1639344262303</v>
      </c>
      <c r="Q22" s="1430"/>
      <c r="R22" s="1430"/>
      <c r="V22" s="1208">
        <v>144</v>
      </c>
      <c r="W22" s="1209">
        <v>0.109173616376042</v>
      </c>
    </row>
    <row r="23" spans="1:23" ht="12.75" customHeight="1">
      <c r="A23" s="1251">
        <v>1</v>
      </c>
      <c r="B23" s="1428"/>
      <c r="C23" s="1211"/>
      <c r="D23" s="1242" t="s">
        <v>700</v>
      </c>
      <c r="E23" s="1243">
        <v>2</v>
      </c>
      <c r="F23" s="1214"/>
      <c r="G23" s="1215"/>
      <c r="H23" s="1193">
        <v>0</v>
      </c>
      <c r="I23" s="1252">
        <v>134</v>
      </c>
      <c r="J23" s="1217"/>
      <c r="K23" s="1193">
        <v>8925</v>
      </c>
      <c r="L23" s="1218">
        <v>0</v>
      </c>
      <c r="M23" s="1219">
        <v>62760</v>
      </c>
      <c r="N23" s="1220">
        <v>30.173076923076898</v>
      </c>
      <c r="O23" s="1429"/>
      <c r="P23" s="1207">
        <v>7201.9672131147499</v>
      </c>
      <c r="V23" s="1208">
        <v>163</v>
      </c>
      <c r="W23" s="1209">
        <v>0.113351877607789</v>
      </c>
    </row>
    <row r="24" spans="1:23" ht="12.75" customHeight="1">
      <c r="A24" s="1221">
        <v>1</v>
      </c>
      <c r="B24" s="1428"/>
      <c r="C24" s="1211"/>
      <c r="D24" s="1242" t="s">
        <v>702</v>
      </c>
      <c r="E24" s="1243">
        <v>2</v>
      </c>
      <c r="F24" s="1214"/>
      <c r="G24" s="1215"/>
      <c r="H24" s="1193">
        <v>0</v>
      </c>
      <c r="I24" s="1252">
        <v>130</v>
      </c>
      <c r="J24" s="1217"/>
      <c r="K24" s="1193">
        <v>5800</v>
      </c>
      <c r="L24" s="1218">
        <v>0</v>
      </c>
      <c r="M24" s="1219">
        <v>72560</v>
      </c>
      <c r="N24" s="1220">
        <v>34.884615384615401</v>
      </c>
      <c r="O24" s="1429"/>
      <c r="P24" s="1253">
        <v>4758.0327868852501</v>
      </c>
      <c r="Q24" s="1431" t="s">
        <v>717</v>
      </c>
      <c r="R24" s="1431"/>
      <c r="V24" s="1208">
        <v>308</v>
      </c>
      <c r="W24" s="1209">
        <v>0.17519908987485799</v>
      </c>
    </row>
    <row r="25" spans="1:23" ht="12.75" customHeight="1">
      <c r="A25" s="1221">
        <v>1</v>
      </c>
      <c r="B25" s="1428"/>
      <c r="C25" s="1211"/>
      <c r="D25" s="1242" t="s">
        <v>704</v>
      </c>
      <c r="E25" s="1243">
        <v>2</v>
      </c>
      <c r="F25" s="1214"/>
      <c r="G25" s="1215"/>
      <c r="H25" s="1193">
        <v>0</v>
      </c>
      <c r="I25" s="1252">
        <v>823</v>
      </c>
      <c r="J25" s="1217"/>
      <c r="K25" s="1193">
        <v>1550</v>
      </c>
      <c r="L25" s="1218">
        <v>0</v>
      </c>
      <c r="M25" s="1219">
        <v>62000</v>
      </c>
      <c r="N25" s="1220">
        <v>29.807692307692299</v>
      </c>
      <c r="O25" s="1429"/>
      <c r="P25" s="1253">
        <v>1016.39344262295</v>
      </c>
      <c r="Q25" s="1254" t="s">
        <v>698</v>
      </c>
      <c r="R25" s="1255"/>
      <c r="V25" s="1208">
        <v>319</v>
      </c>
      <c r="W25" s="1209">
        <v>0.17067950775815899</v>
      </c>
    </row>
    <row r="26" spans="1:23" ht="12.75" customHeight="1">
      <c r="A26" s="1221">
        <v>1</v>
      </c>
      <c r="B26" s="1428"/>
      <c r="C26" s="1211"/>
      <c r="D26" s="1242" t="s">
        <v>705</v>
      </c>
      <c r="E26" s="1243">
        <v>2</v>
      </c>
      <c r="F26" s="1214"/>
      <c r="G26" s="1215"/>
      <c r="H26" s="1193">
        <v>0</v>
      </c>
      <c r="I26" s="1252">
        <v>823</v>
      </c>
      <c r="J26" s="1217"/>
      <c r="K26" s="1193"/>
      <c r="L26" s="1218"/>
      <c r="M26" s="1219"/>
      <c r="N26" s="1220"/>
      <c r="O26" s="1429"/>
      <c r="Q26" s="1254" t="s">
        <v>700</v>
      </c>
      <c r="R26" s="1255"/>
    </row>
    <row r="27" spans="1:23" ht="12.75" customHeight="1">
      <c r="A27" s="1221">
        <v>1</v>
      </c>
      <c r="B27" s="1428"/>
      <c r="C27" s="1211"/>
      <c r="D27" s="1242" t="s">
        <v>707</v>
      </c>
      <c r="E27" s="1243">
        <v>2</v>
      </c>
      <c r="F27" s="1214"/>
      <c r="G27" s="1215"/>
      <c r="H27" s="1193">
        <v>0</v>
      </c>
      <c r="I27" s="1252">
        <v>130</v>
      </c>
      <c r="J27" s="1217"/>
      <c r="K27" s="1193"/>
      <c r="L27" s="1218"/>
      <c r="M27" s="1219"/>
      <c r="N27" s="1220"/>
      <c r="O27" s="1429"/>
      <c r="Q27" s="1254" t="s">
        <v>702</v>
      </c>
      <c r="R27" s="1255"/>
    </row>
    <row r="28" spans="1:23" ht="12.75" customHeight="1">
      <c r="A28" s="1221">
        <v>1</v>
      </c>
      <c r="B28" s="1428"/>
      <c r="C28" s="1211"/>
      <c r="D28" s="1242" t="s">
        <v>709</v>
      </c>
      <c r="E28" s="1243">
        <v>2</v>
      </c>
      <c r="F28" s="1214"/>
      <c r="G28" s="1215"/>
      <c r="H28" s="1193">
        <v>0</v>
      </c>
      <c r="I28" s="1252">
        <v>134</v>
      </c>
      <c r="J28" s="1217"/>
      <c r="K28" s="1193"/>
      <c r="L28" s="1218"/>
      <c r="M28" s="1219"/>
      <c r="N28" s="1220"/>
      <c r="O28" s="1429"/>
      <c r="Q28" s="1254" t="s">
        <v>704</v>
      </c>
      <c r="R28" s="1255"/>
    </row>
    <row r="29" spans="1:23" ht="12.75" customHeight="1">
      <c r="A29" s="1225">
        <v>1</v>
      </c>
      <c r="B29" s="1428"/>
      <c r="C29" s="1226"/>
      <c r="D29" s="1248" t="s">
        <v>710</v>
      </c>
      <c r="E29" s="1249">
        <v>1</v>
      </c>
      <c r="F29" s="1229"/>
      <c r="G29" s="1230"/>
      <c r="H29" s="1231">
        <v>0</v>
      </c>
      <c r="I29" s="1256">
        <v>307</v>
      </c>
      <c r="J29" s="1233"/>
      <c r="K29" s="1231"/>
      <c r="L29" s="1234"/>
      <c r="M29" s="1235"/>
      <c r="N29" s="1236"/>
      <c r="O29" s="1429"/>
      <c r="Q29" s="1254" t="s">
        <v>705</v>
      </c>
      <c r="R29" s="1255"/>
    </row>
    <row r="30" spans="1:23" ht="12.75" customHeight="1">
      <c r="A30" s="1257"/>
      <c r="B30" s="1193"/>
      <c r="C30" s="1193"/>
      <c r="D30" s="1193"/>
      <c r="E30" s="1258" t="s">
        <v>718</v>
      </c>
      <c r="F30" s="1259">
        <v>80</v>
      </c>
      <c r="G30" s="1193"/>
      <c r="H30" s="1259">
        <v>0</v>
      </c>
      <c r="I30" s="1193"/>
      <c r="J30" s="1193"/>
      <c r="K30" s="1259">
        <v>81900</v>
      </c>
      <c r="L30" s="1260"/>
      <c r="M30" s="1261">
        <v>67234.098360655698</v>
      </c>
      <c r="N30" s="1262" t="s">
        <v>719</v>
      </c>
      <c r="Q30" s="1254" t="s">
        <v>707</v>
      </c>
      <c r="R30" s="1255"/>
    </row>
    <row r="31" spans="1:23" ht="12.75" customHeight="1">
      <c r="E31" s="1263"/>
      <c r="F31" s="1258"/>
      <c r="G31" s="1258"/>
      <c r="H31" s="1264"/>
      <c r="I31" s="1193"/>
      <c r="J31" s="1265"/>
      <c r="M31" s="1181"/>
      <c r="N31" s="1181"/>
      <c r="Q31" s="1254" t="s">
        <v>709</v>
      </c>
      <c r="R31" s="1255"/>
    </row>
    <row r="32" spans="1:23" ht="12.75" customHeight="1">
      <c r="A32" s="1266"/>
      <c r="B32" s="1267"/>
      <c r="C32" s="1268">
        <v>2</v>
      </c>
      <c r="D32" s="1268">
        <v>3</v>
      </c>
      <c r="E32" s="1268">
        <v>4</v>
      </c>
      <c r="F32" s="1268">
        <v>5</v>
      </c>
      <c r="G32" s="1269">
        <v>6</v>
      </c>
      <c r="J32" s="1270"/>
      <c r="K32" s="1271">
        <v>0</v>
      </c>
      <c r="L32" s="1272">
        <v>1</v>
      </c>
      <c r="M32" s="1272">
        <v>2</v>
      </c>
      <c r="N32" s="1272">
        <v>3</v>
      </c>
      <c r="O32" s="1273">
        <v>4</v>
      </c>
      <c r="Q32" s="1254" t="s">
        <v>710</v>
      </c>
      <c r="R32" s="1255"/>
    </row>
    <row r="33" spans="1:18" ht="12.75" customHeight="1">
      <c r="A33" s="1274"/>
      <c r="B33" s="1275">
        <v>19890</v>
      </c>
      <c r="C33" s="1276">
        <v>22710</v>
      </c>
      <c r="D33" s="1276">
        <v>25560</v>
      </c>
      <c r="E33" s="1276">
        <v>28380</v>
      </c>
      <c r="F33" s="1276">
        <v>30660</v>
      </c>
      <c r="G33" s="1277">
        <v>32940</v>
      </c>
      <c r="H33" s="1278"/>
      <c r="J33" s="1246" t="s">
        <v>720</v>
      </c>
      <c r="K33" s="1279">
        <v>0</v>
      </c>
      <c r="L33" s="1279">
        <v>-225</v>
      </c>
      <c r="M33" s="1280">
        <v>-294</v>
      </c>
      <c r="N33" s="1280">
        <v>-364</v>
      </c>
      <c r="O33" s="1281">
        <v>0</v>
      </c>
    </row>
    <row r="34" spans="1:18" ht="12.75" customHeight="1">
      <c r="A34" s="1274"/>
      <c r="B34" s="1275">
        <v>26520</v>
      </c>
      <c r="C34" s="1276">
        <v>30280</v>
      </c>
      <c r="D34" s="1276">
        <v>34080</v>
      </c>
      <c r="E34" s="1276">
        <v>37840</v>
      </c>
      <c r="F34" s="1276">
        <v>40880</v>
      </c>
      <c r="G34" s="1277">
        <v>43920</v>
      </c>
      <c r="H34" s="1278"/>
      <c r="J34" s="1282">
        <v>0.3</v>
      </c>
      <c r="K34" s="1283">
        <v>497</v>
      </c>
      <c r="L34" s="1283">
        <v>532</v>
      </c>
      <c r="M34" s="1284">
        <v>428</v>
      </c>
      <c r="N34" s="1284">
        <v>494</v>
      </c>
      <c r="O34" s="1285">
        <v>823</v>
      </c>
      <c r="Q34" s="1431" t="s">
        <v>721</v>
      </c>
      <c r="R34" s="1431"/>
    </row>
    <row r="35" spans="1:18" ht="12.75" customHeight="1">
      <c r="A35" s="1274"/>
      <c r="B35" s="1286"/>
      <c r="C35" s="1287"/>
      <c r="D35" s="1287"/>
      <c r="E35" s="1287"/>
      <c r="F35" s="1287"/>
      <c r="G35" s="1288"/>
      <c r="H35" s="1278"/>
      <c r="J35" s="1289" t="s">
        <v>722</v>
      </c>
      <c r="K35" s="1290">
        <v>497</v>
      </c>
      <c r="L35" s="1290">
        <v>307</v>
      </c>
      <c r="M35" s="1290">
        <v>134</v>
      </c>
      <c r="N35" s="1290">
        <v>130</v>
      </c>
      <c r="O35" s="1291">
        <v>823</v>
      </c>
      <c r="Q35" s="1254"/>
      <c r="R35" s="1255">
        <v>0.56315789473684197</v>
      </c>
    </row>
    <row r="36" spans="1:18" ht="12.75" customHeight="1">
      <c r="A36" s="1274"/>
      <c r="B36" s="1275">
        <v>39780</v>
      </c>
      <c r="C36" s="1276">
        <v>45420</v>
      </c>
      <c r="D36" s="1276">
        <v>51120</v>
      </c>
      <c r="E36" s="1276">
        <v>56760</v>
      </c>
      <c r="F36" s="1276">
        <v>61320</v>
      </c>
      <c r="G36" s="1277">
        <v>65880</v>
      </c>
      <c r="H36" s="1278"/>
      <c r="J36" s="1282">
        <v>0.4</v>
      </c>
      <c r="K36" s="1283">
        <v>663</v>
      </c>
      <c r="L36" s="1283">
        <v>710</v>
      </c>
      <c r="M36" s="1284">
        <v>852</v>
      </c>
      <c r="N36" s="1284">
        <v>984</v>
      </c>
      <c r="O36" s="1285">
        <v>1098</v>
      </c>
      <c r="Q36" s="1254"/>
      <c r="R36" s="1255">
        <v>0.56399999999999995</v>
      </c>
    </row>
    <row r="37" spans="1:18" ht="12.75" customHeight="1">
      <c r="A37" s="1274"/>
      <c r="B37" s="1275">
        <v>46410</v>
      </c>
      <c r="C37" s="1276">
        <v>52990</v>
      </c>
      <c r="D37" s="1276">
        <v>59640</v>
      </c>
      <c r="E37" s="1276">
        <v>66220</v>
      </c>
      <c r="F37" s="1276">
        <v>71540</v>
      </c>
      <c r="G37" s="1277">
        <v>76860</v>
      </c>
      <c r="H37" s="1278"/>
      <c r="J37" s="1289" t="s">
        <v>722</v>
      </c>
      <c r="K37" s="1290">
        <v>663</v>
      </c>
      <c r="L37" s="1290">
        <v>485</v>
      </c>
      <c r="M37" s="1290">
        <v>558</v>
      </c>
      <c r="N37" s="1290">
        <v>620</v>
      </c>
      <c r="O37" s="1291">
        <v>1098</v>
      </c>
      <c r="Q37" s="1254"/>
      <c r="R37" s="1255">
        <v>0.56666666666666698</v>
      </c>
    </row>
    <row r="38" spans="1:18" ht="12.75" customHeight="1">
      <c r="A38" s="1292"/>
      <c r="B38" s="1275">
        <v>53040</v>
      </c>
      <c r="C38" s="1276">
        <v>60560</v>
      </c>
      <c r="D38" s="1276">
        <v>68160</v>
      </c>
      <c r="E38" s="1276">
        <v>75680</v>
      </c>
      <c r="F38" s="1276">
        <v>81760</v>
      </c>
      <c r="G38" s="1277">
        <v>87840</v>
      </c>
      <c r="H38" s="1278"/>
      <c r="J38" s="1282">
        <v>0.5</v>
      </c>
      <c r="K38" s="1283">
        <v>828</v>
      </c>
      <c r="L38" s="1283">
        <v>887</v>
      </c>
      <c r="M38" s="1284">
        <v>1065</v>
      </c>
      <c r="N38" s="1284">
        <v>1230</v>
      </c>
      <c r="O38" s="1285">
        <v>1372</v>
      </c>
      <c r="Q38" s="1254"/>
      <c r="R38" s="1255">
        <v>0.57142857142857095</v>
      </c>
    </row>
    <row r="39" spans="1:18" ht="12.75" customHeight="1">
      <c r="A39" s="1293"/>
      <c r="B39" s="1294">
        <v>66300</v>
      </c>
      <c r="C39" s="1295">
        <v>75700</v>
      </c>
      <c r="D39" s="1295">
        <v>85200</v>
      </c>
      <c r="E39" s="1295">
        <v>94600</v>
      </c>
      <c r="F39" s="1295">
        <v>102200</v>
      </c>
      <c r="G39" s="1296">
        <v>109800</v>
      </c>
      <c r="H39" s="1278"/>
      <c r="J39" s="1289" t="s">
        <v>722</v>
      </c>
      <c r="K39" s="1290">
        <v>828</v>
      </c>
      <c r="L39" s="1290">
        <v>662</v>
      </c>
      <c r="M39" s="1290">
        <v>771</v>
      </c>
      <c r="N39" s="1290">
        <v>866</v>
      </c>
      <c r="O39" s="1291">
        <v>1372</v>
      </c>
    </row>
    <row r="40" spans="1:18" ht="12.75" customHeight="1">
      <c r="C40" s="1278"/>
      <c r="D40" s="1278"/>
      <c r="E40" s="1278"/>
      <c r="F40" s="1278"/>
      <c r="G40" s="1278"/>
      <c r="H40" s="1278"/>
      <c r="J40" s="1282">
        <v>0.6</v>
      </c>
      <c r="K40" s="1283">
        <v>994</v>
      </c>
      <c r="L40" s="1283">
        <v>1065</v>
      </c>
      <c r="M40" s="1284">
        <v>1278</v>
      </c>
      <c r="N40" s="1284">
        <v>1476</v>
      </c>
      <c r="O40" s="1285">
        <v>1647</v>
      </c>
    </row>
    <row r="41" spans="1:18" ht="12.75" customHeight="1">
      <c r="A41" s="1297"/>
      <c r="B41" s="1298"/>
      <c r="C41" s="1298"/>
      <c r="D41" s="1298"/>
      <c r="E41" s="1298"/>
      <c r="F41" s="1298"/>
      <c r="G41" s="1299" t="s">
        <v>723</v>
      </c>
      <c r="H41" s="1300" t="s">
        <v>724</v>
      </c>
      <c r="J41" s="1289" t="s">
        <v>722</v>
      </c>
      <c r="K41" s="1290">
        <v>994</v>
      </c>
      <c r="L41" s="1290">
        <v>840</v>
      </c>
      <c r="M41" s="1290">
        <v>984</v>
      </c>
      <c r="N41" s="1290">
        <v>1112</v>
      </c>
      <c r="O41" s="1291">
        <v>1647</v>
      </c>
    </row>
    <row r="42" spans="1:18" ht="12.75" customHeight="1">
      <c r="A42" s="1301" t="s">
        <v>725</v>
      </c>
      <c r="C42" s="1427" t="s">
        <v>666</v>
      </c>
      <c r="D42" s="1427"/>
      <c r="E42" s="1302"/>
      <c r="G42" s="1303" t="s">
        <v>727</v>
      </c>
      <c r="H42" s="1304"/>
      <c r="J42" s="1282">
        <v>0.7</v>
      </c>
      <c r="K42" s="1283">
        <v>1160</v>
      </c>
      <c r="L42" s="1283">
        <v>1242</v>
      </c>
      <c r="M42" s="1284">
        <v>1491</v>
      </c>
      <c r="N42" s="1284">
        <v>1722</v>
      </c>
      <c r="O42" s="1285">
        <v>1921</v>
      </c>
    </row>
    <row r="43" spans="1:18" ht="12.75" customHeight="1">
      <c r="A43" s="1305" t="s">
        <v>728</v>
      </c>
      <c r="B43" s="1306"/>
      <c r="C43" s="1307" t="s">
        <v>729</v>
      </c>
      <c r="D43" s="1308"/>
      <c r="E43" s="1308"/>
      <c r="F43" s="1308">
        <v>2</v>
      </c>
      <c r="G43" s="1308">
        <v>3</v>
      </c>
      <c r="H43" s="1309">
        <v>4</v>
      </c>
      <c r="J43" s="1289" t="s">
        <v>722</v>
      </c>
      <c r="K43" s="1290">
        <v>1160</v>
      </c>
      <c r="L43" s="1290">
        <v>1017</v>
      </c>
      <c r="M43" s="1290">
        <v>1197</v>
      </c>
      <c r="N43" s="1290">
        <v>1358</v>
      </c>
      <c r="O43" s="1291">
        <v>1921</v>
      </c>
    </row>
    <row r="44" spans="1:18" ht="12.75" customHeight="1">
      <c r="A44" s="1310" t="s">
        <v>730</v>
      </c>
      <c r="B44" s="1311"/>
      <c r="C44" s="1312" t="s">
        <v>71</v>
      </c>
      <c r="D44" s="1313"/>
      <c r="E44" s="1313"/>
      <c r="F44" s="1313"/>
      <c r="G44" s="1313"/>
      <c r="H44" s="1314"/>
      <c r="J44" s="1282">
        <v>0.8</v>
      </c>
      <c r="K44" s="1283">
        <v>1326</v>
      </c>
      <c r="L44" s="1283">
        <v>1420</v>
      </c>
      <c r="M44" s="1284">
        <v>1704</v>
      </c>
      <c r="N44" s="1284">
        <v>1968</v>
      </c>
      <c r="O44" s="1285">
        <v>2196</v>
      </c>
    </row>
    <row r="45" spans="1:18" ht="12.75" customHeight="1">
      <c r="A45" s="1310" t="s">
        <v>731</v>
      </c>
      <c r="B45" s="1311"/>
      <c r="C45" s="1312" t="s">
        <v>71</v>
      </c>
      <c r="D45" s="1313"/>
      <c r="E45" s="1313"/>
      <c r="F45" s="1313"/>
      <c r="G45" s="1313"/>
      <c r="H45" s="1314"/>
      <c r="J45" s="1289" t="s">
        <v>722</v>
      </c>
      <c r="K45" s="1290">
        <v>1326</v>
      </c>
      <c r="L45" s="1290">
        <v>1195</v>
      </c>
      <c r="M45" s="1290">
        <v>1410</v>
      </c>
      <c r="N45" s="1290">
        <v>1604</v>
      </c>
      <c r="O45" s="1291">
        <v>2196</v>
      </c>
    </row>
    <row r="46" spans="1:18" ht="12.75" customHeight="1">
      <c r="A46" s="1315" t="s">
        <v>732</v>
      </c>
      <c r="B46" s="1316" t="s">
        <v>347</v>
      </c>
      <c r="C46" s="1312" t="s">
        <v>71</v>
      </c>
      <c r="D46" s="1313"/>
      <c r="E46" s="1313"/>
      <c r="F46" s="1313"/>
      <c r="G46" s="1313"/>
      <c r="H46" s="1314"/>
      <c r="J46" s="1282">
        <v>1</v>
      </c>
      <c r="K46" s="1283">
        <v>1657</v>
      </c>
      <c r="L46" s="1283">
        <v>1775</v>
      </c>
      <c r="M46" s="1284">
        <v>2130</v>
      </c>
      <c r="N46" s="1284">
        <v>2460</v>
      </c>
      <c r="O46" s="1285">
        <v>2745</v>
      </c>
    </row>
    <row r="47" spans="1:18" ht="12.75" customHeight="1">
      <c r="A47" s="1310" t="s">
        <v>732</v>
      </c>
      <c r="B47" s="1316" t="s">
        <v>733</v>
      </c>
      <c r="C47" s="1312" t="s">
        <v>71</v>
      </c>
      <c r="D47" s="1313"/>
      <c r="E47" s="1313"/>
      <c r="F47" s="1313"/>
      <c r="G47" s="1313"/>
      <c r="H47" s="1314"/>
      <c r="J47" s="1289" t="s">
        <v>722</v>
      </c>
      <c r="K47" s="1290">
        <v>1657</v>
      </c>
      <c r="L47" s="1290">
        <v>1550</v>
      </c>
      <c r="M47" s="1290">
        <v>1836</v>
      </c>
      <c r="N47" s="1290">
        <v>2096</v>
      </c>
      <c r="O47" s="1291">
        <v>2745</v>
      </c>
    </row>
    <row r="48" spans="1:18" ht="12.75" customHeight="1">
      <c r="A48" s="1310" t="s">
        <v>734</v>
      </c>
      <c r="B48" s="1311"/>
      <c r="C48" s="1312" t="s">
        <v>71</v>
      </c>
      <c r="D48" s="1313"/>
      <c r="E48" s="1313"/>
      <c r="F48" s="1313"/>
      <c r="G48" s="1313"/>
      <c r="H48" s="1314"/>
      <c r="J48" s="1317" t="s">
        <v>735</v>
      </c>
      <c r="K48" s="1318"/>
      <c r="L48" s="1318"/>
      <c r="M48" s="1319"/>
      <c r="N48" s="1319"/>
      <c r="O48" s="1320"/>
    </row>
    <row r="49" spans="1:15" ht="12.75" customHeight="1">
      <c r="A49" s="1315" t="s">
        <v>352</v>
      </c>
      <c r="B49" s="1311"/>
      <c r="C49" s="1312" t="s">
        <v>71</v>
      </c>
      <c r="D49" s="1313"/>
      <c r="E49" s="1313"/>
      <c r="F49" s="1313"/>
      <c r="G49" s="1313"/>
      <c r="H49" s="1314"/>
      <c r="J49" s="1289" t="s">
        <v>722</v>
      </c>
      <c r="K49" s="1290"/>
      <c r="L49" s="1290"/>
      <c r="M49" s="1290"/>
      <c r="N49" s="1290"/>
      <c r="O49" s="1291"/>
    </row>
    <row r="50" spans="1:15" ht="12.75" customHeight="1">
      <c r="A50" s="1315" t="s">
        <v>353</v>
      </c>
      <c r="B50" s="1311"/>
      <c r="C50" s="1312" t="s">
        <v>71</v>
      </c>
      <c r="D50" s="1313"/>
      <c r="E50" s="1313"/>
      <c r="F50" s="1313"/>
      <c r="G50" s="1313"/>
      <c r="H50" s="1314"/>
      <c r="J50" s="1317" t="s">
        <v>736</v>
      </c>
      <c r="K50" s="1318"/>
      <c r="L50" s="1318"/>
      <c r="M50" s="1319"/>
      <c r="N50" s="1319"/>
      <c r="O50" s="1320"/>
    </row>
    <row r="51" spans="1:15" ht="12.75" customHeight="1">
      <c r="A51" s="1315" t="s">
        <v>450</v>
      </c>
      <c r="B51" s="1311"/>
      <c r="C51" s="1312" t="s">
        <v>73</v>
      </c>
      <c r="D51" s="1321"/>
      <c r="E51" s="1313"/>
      <c r="F51" s="1313"/>
      <c r="G51" s="1313"/>
      <c r="H51" s="1314"/>
      <c r="J51" s="1289" t="s">
        <v>722</v>
      </c>
      <c r="K51" s="1290"/>
      <c r="L51" s="1290"/>
      <c r="M51" s="1290"/>
      <c r="N51" s="1290"/>
      <c r="O51" s="1291"/>
    </row>
    <row r="52" spans="1:15" ht="12.75" customHeight="1">
      <c r="A52" s="1315" t="s">
        <v>732</v>
      </c>
      <c r="B52" s="1316"/>
      <c r="C52" s="1312" t="s">
        <v>71</v>
      </c>
      <c r="D52" s="1321"/>
      <c r="E52" s="1313"/>
      <c r="F52" s="1313"/>
      <c r="G52" s="1313"/>
      <c r="H52" s="1314"/>
      <c r="J52" s="1317" t="s">
        <v>737</v>
      </c>
      <c r="K52" s="1318"/>
      <c r="L52" s="1318"/>
      <c r="M52" s="1319"/>
      <c r="N52" s="1319"/>
      <c r="O52" s="1320"/>
    </row>
    <row r="53" spans="1:15" ht="12.75" customHeight="1">
      <c r="A53" s="1322"/>
      <c r="B53" s="1323"/>
      <c r="C53" s="1324" t="s">
        <v>738</v>
      </c>
      <c r="D53" s="1325">
        <v>0</v>
      </c>
      <c r="E53" s="1325">
        <v>225</v>
      </c>
      <c r="F53" s="1325">
        <v>294</v>
      </c>
      <c r="G53" s="1325">
        <v>364</v>
      </c>
      <c r="H53" s="1326">
        <v>0</v>
      </c>
      <c r="J53" s="1327" t="s">
        <v>722</v>
      </c>
      <c r="K53" s="1328"/>
      <c r="L53" s="1329"/>
      <c r="M53" s="1329"/>
      <c r="N53" s="1329"/>
      <c r="O53" s="1330"/>
    </row>
  </sheetData>
  <mergeCells count="17">
    <mergeCell ref="A1:R1"/>
    <mergeCell ref="A2:R2"/>
    <mergeCell ref="Q3:R4"/>
    <mergeCell ref="A4:A5"/>
    <mergeCell ref="C4:E4"/>
    <mergeCell ref="B6:B13"/>
    <mergeCell ref="O6:O13"/>
    <mergeCell ref="B14:B21"/>
    <mergeCell ref="O14:O21"/>
    <mergeCell ref="Q18:R19"/>
    <mergeCell ref="Q21:R21"/>
    <mergeCell ref="C42:D42"/>
    <mergeCell ref="B22:B29"/>
    <mergeCell ref="O22:O29"/>
    <mergeCell ref="Q22:R22"/>
    <mergeCell ref="Q24:R24"/>
    <mergeCell ref="Q34:R34"/>
  </mergeCells>
  <conditionalFormatting sqref="R25:R32 R35:R38">
    <cfRule type="expression" dxfId="0" priority="2">
      <formula>R25&gt;0.6</formula>
    </cfRule>
  </conditionalFormatting>
  <dataValidations count="3">
    <dataValidation type="list" allowBlank="1" showInputMessage="1" showErrorMessage="1" sqref="A7 A15" xr:uid="{00000000-0002-0000-0C00-000000000000}">
      <formula1>"LIHTC,HOME,NHTF,Voucher"</formula1>
      <formula2>0</formula2>
    </dataValidation>
    <dataValidation type="list" allowBlank="1" showInputMessage="1" showErrorMessage="1" sqref="A6 A14 A22" xr:uid="{00000000-0002-0000-0C00-000001000000}">
      <formula1>$A$33:$A$39</formula1>
      <formula2>0</formula2>
    </dataValidation>
    <dataValidation type="list" allowBlank="1" showInputMessage="1" showErrorMessage="1" sqref="C44:C52" xr:uid="{00000000-0002-0000-0C00-000002000000}">
      <formula1>"Y,N"</formula1>
      <formula2>0</formula2>
    </dataValidation>
  </dataValidations>
  <printOptions horizontalCentered="1"/>
  <pageMargins left="0.25" right="0.25" top="0.5" bottom="0.5" header="0.25" footer="0.25"/>
  <pageSetup scale="65" orientation="landscape" cellComments="atEnd" horizontalDpi="300" verticalDpi="300"/>
  <headerFooter>
    <oddHeader>&amp;C&amp;"Times New Roman,Regular"&amp;F&amp;R&amp;8 _x005F_x000a_</oddHeader>
    <oddFooter>&amp;L&amp;"Times New Roman,Regular"&amp;D&amp;C&amp;"Times New Roman,Regular"DRAFT - FOR DISCUSSION PURPOSES ONLY&amp;R&amp;"Times New Roman,Regular"&amp;P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WVZ126"/>
  <sheetViews>
    <sheetView topLeftCell="A12" zoomScaleNormal="100" workbookViewId="0">
      <selection activeCell="R8" sqref="R8"/>
    </sheetView>
  </sheetViews>
  <sheetFormatPr baseColWidth="10" defaultColWidth="8.6640625" defaultRowHeight="15"/>
  <cols>
    <col min="1" max="1" width="44.5" customWidth="1"/>
    <col min="2" max="2" width="25.5" style="1331" customWidth="1"/>
    <col min="3" max="3" width="18.5" style="1331" customWidth="1"/>
    <col min="4" max="4" width="1.5" style="1331" customWidth="1"/>
    <col min="5" max="5" width="18.5" style="1331" customWidth="1"/>
    <col min="6" max="6" width="1.5" style="1331" customWidth="1"/>
    <col min="7" max="7" width="16.5" style="1331" customWidth="1"/>
    <col min="8" max="8" width="1.5" style="1331" customWidth="1"/>
    <col min="9" max="9" width="15.5" style="1331" customWidth="1"/>
    <col min="10" max="10" width="1.5" style="1331" customWidth="1"/>
    <col min="11" max="11" width="15.5" style="1331" customWidth="1"/>
    <col min="12" max="12" width="1.5" style="1331" customWidth="1"/>
    <col min="13" max="13" width="2.5" style="1331" hidden="1" customWidth="1"/>
    <col min="14" max="14" width="16.5" style="1331" customWidth="1"/>
    <col min="15" max="15" width="2" style="1331" customWidth="1"/>
    <col min="16" max="16" width="15.5" style="1331" customWidth="1"/>
    <col min="17" max="18" width="14.5" customWidth="1"/>
    <col min="19" max="19" width="16.5" customWidth="1"/>
    <col min="20" max="20" width="9.5" customWidth="1"/>
    <col min="21" max="21" width="14.5" customWidth="1"/>
    <col min="257" max="257" width="44.5" customWidth="1"/>
    <col min="258" max="258" width="11.5" hidden="1" customWidth="1"/>
    <col min="259" max="259" width="18.5" customWidth="1"/>
    <col min="260" max="260" width="1.5" customWidth="1"/>
    <col min="261" max="261" width="18.5" customWidth="1"/>
    <col min="262" max="262" width="1.5" customWidth="1"/>
    <col min="263" max="263" width="16.5" customWidth="1"/>
    <col min="264" max="264" width="1.5" customWidth="1"/>
    <col min="265" max="265" width="15.5" customWidth="1"/>
    <col min="266" max="266" width="1.5" customWidth="1"/>
    <col min="267" max="267" width="15.5" customWidth="1"/>
    <col min="268" max="268" width="1.5" customWidth="1"/>
    <col min="269" max="269" width="11.5" hidden="1" customWidth="1"/>
    <col min="270" max="270" width="16.5" customWidth="1"/>
    <col min="271" max="271" width="2" customWidth="1"/>
    <col min="272" max="272" width="15.5" customWidth="1"/>
    <col min="273" max="274" width="11.5" hidden="1" customWidth="1"/>
    <col min="275" max="275" width="14.5" customWidth="1"/>
    <col min="277" max="277" width="14.5" customWidth="1"/>
    <col min="513" max="513" width="44.5" customWidth="1"/>
    <col min="514" max="514" width="11.5" hidden="1" customWidth="1"/>
    <col min="515" max="515" width="18.5" customWidth="1"/>
    <col min="516" max="516" width="1.5" customWidth="1"/>
    <col min="517" max="517" width="18.5" customWidth="1"/>
    <col min="518" max="518" width="1.5" customWidth="1"/>
    <col min="519" max="519" width="16.5" customWidth="1"/>
    <col min="520" max="520" width="1.5" customWidth="1"/>
    <col min="521" max="521" width="15.5" customWidth="1"/>
    <col min="522" max="522" width="1.5" customWidth="1"/>
    <col min="523" max="523" width="15.5" customWidth="1"/>
    <col min="524" max="524" width="1.5" customWidth="1"/>
    <col min="525" max="525" width="11.5" hidden="1" customWidth="1"/>
    <col min="526" max="526" width="16.5" customWidth="1"/>
    <col min="527" max="527" width="2" customWidth="1"/>
    <col min="528" max="528" width="15.5" customWidth="1"/>
    <col min="529" max="530" width="11.5" hidden="1" customWidth="1"/>
    <col min="531" max="531" width="14.5" customWidth="1"/>
    <col min="533" max="533" width="14.5" customWidth="1"/>
    <col min="769" max="769" width="44.5" customWidth="1"/>
    <col min="770" max="770" width="11.5" hidden="1" customWidth="1"/>
    <col min="771" max="771" width="18.5" customWidth="1"/>
    <col min="772" max="772" width="1.5" customWidth="1"/>
    <col min="773" max="773" width="18.5" customWidth="1"/>
    <col min="774" max="774" width="1.5" customWidth="1"/>
    <col min="775" max="775" width="16.5" customWidth="1"/>
    <col min="776" max="776" width="1.5" customWidth="1"/>
    <col min="777" max="777" width="15.5" customWidth="1"/>
    <col min="778" max="778" width="1.5" customWidth="1"/>
    <col min="779" max="779" width="15.5" customWidth="1"/>
    <col min="780" max="780" width="1.5" customWidth="1"/>
    <col min="781" max="781" width="11.5" hidden="1" customWidth="1"/>
    <col min="782" max="782" width="16.5" customWidth="1"/>
    <col min="783" max="783" width="2" customWidth="1"/>
    <col min="784" max="784" width="15.5" customWidth="1"/>
    <col min="785" max="786" width="11.5" hidden="1" customWidth="1"/>
    <col min="787" max="787" width="14.5" customWidth="1"/>
    <col min="789" max="789" width="14.5" customWidth="1"/>
    <col min="1025" max="1025" width="44.5" customWidth="1"/>
    <col min="1026" max="1026" width="11.5" hidden="1" customWidth="1"/>
    <col min="1027" max="1027" width="18.5" customWidth="1"/>
    <col min="1028" max="1028" width="1.5" customWidth="1"/>
    <col min="1029" max="1029" width="18.5" customWidth="1"/>
    <col min="1030" max="1030" width="1.5" customWidth="1"/>
    <col min="1031" max="1031" width="16.5" customWidth="1"/>
    <col min="1032" max="1032" width="1.5" customWidth="1"/>
    <col min="1033" max="1033" width="15.5" customWidth="1"/>
    <col min="1034" max="1034" width="1.5" customWidth="1"/>
    <col min="1035" max="1035" width="15.5" customWidth="1"/>
    <col min="1036" max="1036" width="1.5" customWidth="1"/>
    <col min="1037" max="1037" width="11.5" hidden="1" customWidth="1"/>
    <col min="1038" max="1038" width="16.5" customWidth="1"/>
    <col min="1039" max="1039" width="2" customWidth="1"/>
    <col min="1040" max="1040" width="15.5" customWidth="1"/>
    <col min="1041" max="1042" width="11.5" hidden="1" customWidth="1"/>
    <col min="1043" max="1043" width="14.5" customWidth="1"/>
    <col min="1045" max="1045" width="14.5" customWidth="1"/>
    <col min="1281" max="1281" width="44.5" customWidth="1"/>
    <col min="1282" max="1282" width="11.5" hidden="1" customWidth="1"/>
    <col min="1283" max="1283" width="18.5" customWidth="1"/>
    <col min="1284" max="1284" width="1.5" customWidth="1"/>
    <col min="1285" max="1285" width="18.5" customWidth="1"/>
    <col min="1286" max="1286" width="1.5" customWidth="1"/>
    <col min="1287" max="1287" width="16.5" customWidth="1"/>
    <col min="1288" max="1288" width="1.5" customWidth="1"/>
    <col min="1289" max="1289" width="15.5" customWidth="1"/>
    <col min="1290" max="1290" width="1.5" customWidth="1"/>
    <col min="1291" max="1291" width="15.5" customWidth="1"/>
    <col min="1292" max="1292" width="1.5" customWidth="1"/>
    <col min="1293" max="1293" width="11.5" hidden="1" customWidth="1"/>
    <col min="1294" max="1294" width="16.5" customWidth="1"/>
    <col min="1295" max="1295" width="2" customWidth="1"/>
    <col min="1296" max="1296" width="15.5" customWidth="1"/>
    <col min="1297" max="1298" width="11.5" hidden="1" customWidth="1"/>
    <col min="1299" max="1299" width="14.5" customWidth="1"/>
    <col min="1301" max="1301" width="14.5" customWidth="1"/>
    <col min="1537" max="1537" width="44.5" customWidth="1"/>
    <col min="1538" max="1538" width="11.5" hidden="1" customWidth="1"/>
    <col min="1539" max="1539" width="18.5" customWidth="1"/>
    <col min="1540" max="1540" width="1.5" customWidth="1"/>
    <col min="1541" max="1541" width="18.5" customWidth="1"/>
    <col min="1542" max="1542" width="1.5" customWidth="1"/>
    <col min="1543" max="1543" width="16.5" customWidth="1"/>
    <col min="1544" max="1544" width="1.5" customWidth="1"/>
    <col min="1545" max="1545" width="15.5" customWidth="1"/>
    <col min="1546" max="1546" width="1.5" customWidth="1"/>
    <col min="1547" max="1547" width="15.5" customWidth="1"/>
    <col min="1548" max="1548" width="1.5" customWidth="1"/>
    <col min="1549" max="1549" width="11.5" hidden="1" customWidth="1"/>
    <col min="1550" max="1550" width="16.5" customWidth="1"/>
    <col min="1551" max="1551" width="2" customWidth="1"/>
    <col min="1552" max="1552" width="15.5" customWidth="1"/>
    <col min="1553" max="1554" width="11.5" hidden="1" customWidth="1"/>
    <col min="1555" max="1555" width="14.5" customWidth="1"/>
    <col min="1557" max="1557" width="14.5" customWidth="1"/>
    <col min="1793" max="1793" width="44.5" customWidth="1"/>
    <col min="1794" max="1794" width="11.5" hidden="1" customWidth="1"/>
    <col min="1795" max="1795" width="18.5" customWidth="1"/>
    <col min="1796" max="1796" width="1.5" customWidth="1"/>
    <col min="1797" max="1797" width="18.5" customWidth="1"/>
    <col min="1798" max="1798" width="1.5" customWidth="1"/>
    <col min="1799" max="1799" width="16.5" customWidth="1"/>
    <col min="1800" max="1800" width="1.5" customWidth="1"/>
    <col min="1801" max="1801" width="15.5" customWidth="1"/>
    <col min="1802" max="1802" width="1.5" customWidth="1"/>
    <col min="1803" max="1803" width="15.5" customWidth="1"/>
    <col min="1804" max="1804" width="1.5" customWidth="1"/>
    <col min="1805" max="1805" width="11.5" hidden="1" customWidth="1"/>
    <col min="1806" max="1806" width="16.5" customWidth="1"/>
    <col min="1807" max="1807" width="2" customWidth="1"/>
    <col min="1808" max="1808" width="15.5" customWidth="1"/>
    <col min="1809" max="1810" width="11.5" hidden="1" customWidth="1"/>
    <col min="1811" max="1811" width="14.5" customWidth="1"/>
    <col min="1813" max="1813" width="14.5" customWidth="1"/>
    <col min="2049" max="2049" width="44.5" customWidth="1"/>
    <col min="2050" max="2050" width="11.5" hidden="1" customWidth="1"/>
    <col min="2051" max="2051" width="18.5" customWidth="1"/>
    <col min="2052" max="2052" width="1.5" customWidth="1"/>
    <col min="2053" max="2053" width="18.5" customWidth="1"/>
    <col min="2054" max="2054" width="1.5" customWidth="1"/>
    <col min="2055" max="2055" width="16.5" customWidth="1"/>
    <col min="2056" max="2056" width="1.5" customWidth="1"/>
    <col min="2057" max="2057" width="15.5" customWidth="1"/>
    <col min="2058" max="2058" width="1.5" customWidth="1"/>
    <col min="2059" max="2059" width="15.5" customWidth="1"/>
    <col min="2060" max="2060" width="1.5" customWidth="1"/>
    <col min="2061" max="2061" width="11.5" hidden="1" customWidth="1"/>
    <col min="2062" max="2062" width="16.5" customWidth="1"/>
    <col min="2063" max="2063" width="2" customWidth="1"/>
    <col min="2064" max="2064" width="15.5" customWidth="1"/>
    <col min="2065" max="2066" width="11.5" hidden="1" customWidth="1"/>
    <col min="2067" max="2067" width="14.5" customWidth="1"/>
    <col min="2069" max="2069" width="14.5" customWidth="1"/>
    <col min="2305" max="2305" width="44.5" customWidth="1"/>
    <col min="2306" max="2306" width="11.5" hidden="1" customWidth="1"/>
    <col min="2307" max="2307" width="18.5" customWidth="1"/>
    <col min="2308" max="2308" width="1.5" customWidth="1"/>
    <col min="2309" max="2309" width="18.5" customWidth="1"/>
    <col min="2310" max="2310" width="1.5" customWidth="1"/>
    <col min="2311" max="2311" width="16.5" customWidth="1"/>
    <col min="2312" max="2312" width="1.5" customWidth="1"/>
    <col min="2313" max="2313" width="15.5" customWidth="1"/>
    <col min="2314" max="2314" width="1.5" customWidth="1"/>
    <col min="2315" max="2315" width="15.5" customWidth="1"/>
    <col min="2316" max="2316" width="1.5" customWidth="1"/>
    <col min="2317" max="2317" width="11.5" hidden="1" customWidth="1"/>
    <col min="2318" max="2318" width="16.5" customWidth="1"/>
    <col min="2319" max="2319" width="2" customWidth="1"/>
    <col min="2320" max="2320" width="15.5" customWidth="1"/>
    <col min="2321" max="2322" width="11.5" hidden="1" customWidth="1"/>
    <col min="2323" max="2323" width="14.5" customWidth="1"/>
    <col min="2325" max="2325" width="14.5" customWidth="1"/>
    <col min="2561" max="2561" width="44.5" customWidth="1"/>
    <col min="2562" max="2562" width="11.5" hidden="1" customWidth="1"/>
    <col min="2563" max="2563" width="18.5" customWidth="1"/>
    <col min="2564" max="2564" width="1.5" customWidth="1"/>
    <col min="2565" max="2565" width="18.5" customWidth="1"/>
    <col min="2566" max="2566" width="1.5" customWidth="1"/>
    <col min="2567" max="2567" width="16.5" customWidth="1"/>
    <col min="2568" max="2568" width="1.5" customWidth="1"/>
    <col min="2569" max="2569" width="15.5" customWidth="1"/>
    <col min="2570" max="2570" width="1.5" customWidth="1"/>
    <col min="2571" max="2571" width="15.5" customWidth="1"/>
    <col min="2572" max="2572" width="1.5" customWidth="1"/>
    <col min="2573" max="2573" width="11.5" hidden="1" customWidth="1"/>
    <col min="2574" max="2574" width="16.5" customWidth="1"/>
    <col min="2575" max="2575" width="2" customWidth="1"/>
    <col min="2576" max="2576" width="15.5" customWidth="1"/>
    <col min="2577" max="2578" width="11.5" hidden="1" customWidth="1"/>
    <col min="2579" max="2579" width="14.5" customWidth="1"/>
    <col min="2581" max="2581" width="14.5" customWidth="1"/>
    <col min="2817" max="2817" width="44.5" customWidth="1"/>
    <col min="2818" max="2818" width="11.5" hidden="1" customWidth="1"/>
    <col min="2819" max="2819" width="18.5" customWidth="1"/>
    <col min="2820" max="2820" width="1.5" customWidth="1"/>
    <col min="2821" max="2821" width="18.5" customWidth="1"/>
    <col min="2822" max="2822" width="1.5" customWidth="1"/>
    <col min="2823" max="2823" width="16.5" customWidth="1"/>
    <col min="2824" max="2824" width="1.5" customWidth="1"/>
    <col min="2825" max="2825" width="15.5" customWidth="1"/>
    <col min="2826" max="2826" width="1.5" customWidth="1"/>
    <col min="2827" max="2827" width="15.5" customWidth="1"/>
    <col min="2828" max="2828" width="1.5" customWidth="1"/>
    <col min="2829" max="2829" width="11.5" hidden="1" customWidth="1"/>
    <col min="2830" max="2830" width="16.5" customWidth="1"/>
    <col min="2831" max="2831" width="2" customWidth="1"/>
    <col min="2832" max="2832" width="15.5" customWidth="1"/>
    <col min="2833" max="2834" width="11.5" hidden="1" customWidth="1"/>
    <col min="2835" max="2835" width="14.5" customWidth="1"/>
    <col min="2837" max="2837" width="14.5" customWidth="1"/>
    <col min="3073" max="3073" width="44.5" customWidth="1"/>
    <col min="3074" max="3074" width="11.5" hidden="1" customWidth="1"/>
    <col min="3075" max="3075" width="18.5" customWidth="1"/>
    <col min="3076" max="3076" width="1.5" customWidth="1"/>
    <col min="3077" max="3077" width="18.5" customWidth="1"/>
    <col min="3078" max="3078" width="1.5" customWidth="1"/>
    <col min="3079" max="3079" width="16.5" customWidth="1"/>
    <col min="3080" max="3080" width="1.5" customWidth="1"/>
    <col min="3081" max="3081" width="15.5" customWidth="1"/>
    <col min="3082" max="3082" width="1.5" customWidth="1"/>
    <col min="3083" max="3083" width="15.5" customWidth="1"/>
    <col min="3084" max="3084" width="1.5" customWidth="1"/>
    <col min="3085" max="3085" width="11.5" hidden="1" customWidth="1"/>
    <col min="3086" max="3086" width="16.5" customWidth="1"/>
    <col min="3087" max="3087" width="2" customWidth="1"/>
    <col min="3088" max="3088" width="15.5" customWidth="1"/>
    <col min="3089" max="3090" width="11.5" hidden="1" customWidth="1"/>
    <col min="3091" max="3091" width="14.5" customWidth="1"/>
    <col min="3093" max="3093" width="14.5" customWidth="1"/>
    <col min="3329" max="3329" width="44.5" customWidth="1"/>
    <col min="3330" max="3330" width="11.5" hidden="1" customWidth="1"/>
    <col min="3331" max="3331" width="18.5" customWidth="1"/>
    <col min="3332" max="3332" width="1.5" customWidth="1"/>
    <col min="3333" max="3333" width="18.5" customWidth="1"/>
    <col min="3334" max="3334" width="1.5" customWidth="1"/>
    <col min="3335" max="3335" width="16.5" customWidth="1"/>
    <col min="3336" max="3336" width="1.5" customWidth="1"/>
    <col min="3337" max="3337" width="15.5" customWidth="1"/>
    <col min="3338" max="3338" width="1.5" customWidth="1"/>
    <col min="3339" max="3339" width="15.5" customWidth="1"/>
    <col min="3340" max="3340" width="1.5" customWidth="1"/>
    <col min="3341" max="3341" width="11.5" hidden="1" customWidth="1"/>
    <col min="3342" max="3342" width="16.5" customWidth="1"/>
    <col min="3343" max="3343" width="2" customWidth="1"/>
    <col min="3344" max="3344" width="15.5" customWidth="1"/>
    <col min="3345" max="3346" width="11.5" hidden="1" customWidth="1"/>
    <col min="3347" max="3347" width="14.5" customWidth="1"/>
    <col min="3349" max="3349" width="14.5" customWidth="1"/>
    <col min="3585" max="3585" width="44.5" customWidth="1"/>
    <col min="3586" max="3586" width="11.5" hidden="1" customWidth="1"/>
    <col min="3587" max="3587" width="18.5" customWidth="1"/>
    <col min="3588" max="3588" width="1.5" customWidth="1"/>
    <col min="3589" max="3589" width="18.5" customWidth="1"/>
    <col min="3590" max="3590" width="1.5" customWidth="1"/>
    <col min="3591" max="3591" width="16.5" customWidth="1"/>
    <col min="3592" max="3592" width="1.5" customWidth="1"/>
    <col min="3593" max="3593" width="15.5" customWidth="1"/>
    <col min="3594" max="3594" width="1.5" customWidth="1"/>
    <col min="3595" max="3595" width="15.5" customWidth="1"/>
    <col min="3596" max="3596" width="1.5" customWidth="1"/>
    <col min="3597" max="3597" width="11.5" hidden="1" customWidth="1"/>
    <col min="3598" max="3598" width="16.5" customWidth="1"/>
    <col min="3599" max="3599" width="2" customWidth="1"/>
    <col min="3600" max="3600" width="15.5" customWidth="1"/>
    <col min="3601" max="3602" width="11.5" hidden="1" customWidth="1"/>
    <col min="3603" max="3603" width="14.5" customWidth="1"/>
    <col min="3605" max="3605" width="14.5" customWidth="1"/>
    <col min="3841" max="3841" width="44.5" customWidth="1"/>
    <col min="3842" max="3842" width="11.5" hidden="1" customWidth="1"/>
    <col min="3843" max="3843" width="18.5" customWidth="1"/>
    <col min="3844" max="3844" width="1.5" customWidth="1"/>
    <col min="3845" max="3845" width="18.5" customWidth="1"/>
    <col min="3846" max="3846" width="1.5" customWidth="1"/>
    <col min="3847" max="3847" width="16.5" customWidth="1"/>
    <col min="3848" max="3848" width="1.5" customWidth="1"/>
    <col min="3849" max="3849" width="15.5" customWidth="1"/>
    <col min="3850" max="3850" width="1.5" customWidth="1"/>
    <col min="3851" max="3851" width="15.5" customWidth="1"/>
    <col min="3852" max="3852" width="1.5" customWidth="1"/>
    <col min="3853" max="3853" width="11.5" hidden="1" customWidth="1"/>
    <col min="3854" max="3854" width="16.5" customWidth="1"/>
    <col min="3855" max="3855" width="2" customWidth="1"/>
    <col min="3856" max="3856" width="15.5" customWidth="1"/>
    <col min="3857" max="3858" width="11.5" hidden="1" customWidth="1"/>
    <col min="3859" max="3859" width="14.5" customWidth="1"/>
    <col min="3861" max="3861" width="14.5" customWidth="1"/>
    <col min="4097" max="4097" width="44.5" customWidth="1"/>
    <col min="4098" max="4098" width="11.5" hidden="1" customWidth="1"/>
    <col min="4099" max="4099" width="18.5" customWidth="1"/>
    <col min="4100" max="4100" width="1.5" customWidth="1"/>
    <col min="4101" max="4101" width="18.5" customWidth="1"/>
    <col min="4102" max="4102" width="1.5" customWidth="1"/>
    <col min="4103" max="4103" width="16.5" customWidth="1"/>
    <col min="4104" max="4104" width="1.5" customWidth="1"/>
    <col min="4105" max="4105" width="15.5" customWidth="1"/>
    <col min="4106" max="4106" width="1.5" customWidth="1"/>
    <col min="4107" max="4107" width="15.5" customWidth="1"/>
    <col min="4108" max="4108" width="1.5" customWidth="1"/>
    <col min="4109" max="4109" width="11.5" hidden="1" customWidth="1"/>
    <col min="4110" max="4110" width="16.5" customWidth="1"/>
    <col min="4111" max="4111" width="2" customWidth="1"/>
    <col min="4112" max="4112" width="15.5" customWidth="1"/>
    <col min="4113" max="4114" width="11.5" hidden="1" customWidth="1"/>
    <col min="4115" max="4115" width="14.5" customWidth="1"/>
    <col min="4117" max="4117" width="14.5" customWidth="1"/>
    <col min="4353" max="4353" width="44.5" customWidth="1"/>
    <col min="4354" max="4354" width="11.5" hidden="1" customWidth="1"/>
    <col min="4355" max="4355" width="18.5" customWidth="1"/>
    <col min="4356" max="4356" width="1.5" customWidth="1"/>
    <col min="4357" max="4357" width="18.5" customWidth="1"/>
    <col min="4358" max="4358" width="1.5" customWidth="1"/>
    <col min="4359" max="4359" width="16.5" customWidth="1"/>
    <col min="4360" max="4360" width="1.5" customWidth="1"/>
    <col min="4361" max="4361" width="15.5" customWidth="1"/>
    <col min="4362" max="4362" width="1.5" customWidth="1"/>
    <col min="4363" max="4363" width="15.5" customWidth="1"/>
    <col min="4364" max="4364" width="1.5" customWidth="1"/>
    <col min="4365" max="4365" width="11.5" hidden="1" customWidth="1"/>
    <col min="4366" max="4366" width="16.5" customWidth="1"/>
    <col min="4367" max="4367" width="2" customWidth="1"/>
    <col min="4368" max="4368" width="15.5" customWidth="1"/>
    <col min="4369" max="4370" width="11.5" hidden="1" customWidth="1"/>
    <col min="4371" max="4371" width="14.5" customWidth="1"/>
    <col min="4373" max="4373" width="14.5" customWidth="1"/>
    <col min="4609" max="4609" width="44.5" customWidth="1"/>
    <col min="4610" max="4610" width="11.5" hidden="1" customWidth="1"/>
    <col min="4611" max="4611" width="18.5" customWidth="1"/>
    <col min="4612" max="4612" width="1.5" customWidth="1"/>
    <col min="4613" max="4613" width="18.5" customWidth="1"/>
    <col min="4614" max="4614" width="1.5" customWidth="1"/>
    <col min="4615" max="4615" width="16.5" customWidth="1"/>
    <col min="4616" max="4616" width="1.5" customWidth="1"/>
    <col min="4617" max="4617" width="15.5" customWidth="1"/>
    <col min="4618" max="4618" width="1.5" customWidth="1"/>
    <col min="4619" max="4619" width="15.5" customWidth="1"/>
    <col min="4620" max="4620" width="1.5" customWidth="1"/>
    <col min="4621" max="4621" width="11.5" hidden="1" customWidth="1"/>
    <col min="4622" max="4622" width="16.5" customWidth="1"/>
    <col min="4623" max="4623" width="2" customWidth="1"/>
    <col min="4624" max="4624" width="15.5" customWidth="1"/>
    <col min="4625" max="4626" width="11.5" hidden="1" customWidth="1"/>
    <col min="4627" max="4627" width="14.5" customWidth="1"/>
    <col min="4629" max="4629" width="14.5" customWidth="1"/>
    <col min="4865" max="4865" width="44.5" customWidth="1"/>
    <col min="4866" max="4866" width="11.5" hidden="1" customWidth="1"/>
    <col min="4867" max="4867" width="18.5" customWidth="1"/>
    <col min="4868" max="4868" width="1.5" customWidth="1"/>
    <col min="4869" max="4869" width="18.5" customWidth="1"/>
    <col min="4870" max="4870" width="1.5" customWidth="1"/>
    <col min="4871" max="4871" width="16.5" customWidth="1"/>
    <col min="4872" max="4872" width="1.5" customWidth="1"/>
    <col min="4873" max="4873" width="15.5" customWidth="1"/>
    <col min="4874" max="4874" width="1.5" customWidth="1"/>
    <col min="4875" max="4875" width="15.5" customWidth="1"/>
    <col min="4876" max="4876" width="1.5" customWidth="1"/>
    <col min="4877" max="4877" width="11.5" hidden="1" customWidth="1"/>
    <col min="4878" max="4878" width="16.5" customWidth="1"/>
    <col min="4879" max="4879" width="2" customWidth="1"/>
    <col min="4880" max="4880" width="15.5" customWidth="1"/>
    <col min="4881" max="4882" width="11.5" hidden="1" customWidth="1"/>
    <col min="4883" max="4883" width="14.5" customWidth="1"/>
    <col min="4885" max="4885" width="14.5" customWidth="1"/>
    <col min="5121" max="5121" width="44.5" customWidth="1"/>
    <col min="5122" max="5122" width="11.5" hidden="1" customWidth="1"/>
    <col min="5123" max="5123" width="18.5" customWidth="1"/>
    <col min="5124" max="5124" width="1.5" customWidth="1"/>
    <col min="5125" max="5125" width="18.5" customWidth="1"/>
    <col min="5126" max="5126" width="1.5" customWidth="1"/>
    <col min="5127" max="5127" width="16.5" customWidth="1"/>
    <col min="5128" max="5128" width="1.5" customWidth="1"/>
    <col min="5129" max="5129" width="15.5" customWidth="1"/>
    <col min="5130" max="5130" width="1.5" customWidth="1"/>
    <col min="5131" max="5131" width="15.5" customWidth="1"/>
    <col min="5132" max="5132" width="1.5" customWidth="1"/>
    <col min="5133" max="5133" width="11.5" hidden="1" customWidth="1"/>
    <col min="5134" max="5134" width="16.5" customWidth="1"/>
    <col min="5135" max="5135" width="2" customWidth="1"/>
    <col min="5136" max="5136" width="15.5" customWidth="1"/>
    <col min="5137" max="5138" width="11.5" hidden="1" customWidth="1"/>
    <col min="5139" max="5139" width="14.5" customWidth="1"/>
    <col min="5141" max="5141" width="14.5" customWidth="1"/>
    <col min="5377" max="5377" width="44.5" customWidth="1"/>
    <col min="5378" max="5378" width="11.5" hidden="1" customWidth="1"/>
    <col min="5379" max="5379" width="18.5" customWidth="1"/>
    <col min="5380" max="5380" width="1.5" customWidth="1"/>
    <col min="5381" max="5381" width="18.5" customWidth="1"/>
    <col min="5382" max="5382" width="1.5" customWidth="1"/>
    <col min="5383" max="5383" width="16.5" customWidth="1"/>
    <col min="5384" max="5384" width="1.5" customWidth="1"/>
    <col min="5385" max="5385" width="15.5" customWidth="1"/>
    <col min="5386" max="5386" width="1.5" customWidth="1"/>
    <col min="5387" max="5387" width="15.5" customWidth="1"/>
    <col min="5388" max="5388" width="1.5" customWidth="1"/>
    <col min="5389" max="5389" width="11.5" hidden="1" customWidth="1"/>
    <col min="5390" max="5390" width="16.5" customWidth="1"/>
    <col min="5391" max="5391" width="2" customWidth="1"/>
    <col min="5392" max="5392" width="15.5" customWidth="1"/>
    <col min="5393" max="5394" width="11.5" hidden="1" customWidth="1"/>
    <col min="5395" max="5395" width="14.5" customWidth="1"/>
    <col min="5397" max="5397" width="14.5" customWidth="1"/>
    <col min="5633" max="5633" width="44.5" customWidth="1"/>
    <col min="5634" max="5634" width="11.5" hidden="1" customWidth="1"/>
    <col min="5635" max="5635" width="18.5" customWidth="1"/>
    <col min="5636" max="5636" width="1.5" customWidth="1"/>
    <col min="5637" max="5637" width="18.5" customWidth="1"/>
    <col min="5638" max="5638" width="1.5" customWidth="1"/>
    <col min="5639" max="5639" width="16.5" customWidth="1"/>
    <col min="5640" max="5640" width="1.5" customWidth="1"/>
    <col min="5641" max="5641" width="15.5" customWidth="1"/>
    <col min="5642" max="5642" width="1.5" customWidth="1"/>
    <col min="5643" max="5643" width="15.5" customWidth="1"/>
    <col min="5644" max="5644" width="1.5" customWidth="1"/>
    <col min="5645" max="5645" width="11.5" hidden="1" customWidth="1"/>
    <col min="5646" max="5646" width="16.5" customWidth="1"/>
    <col min="5647" max="5647" width="2" customWidth="1"/>
    <col min="5648" max="5648" width="15.5" customWidth="1"/>
    <col min="5649" max="5650" width="11.5" hidden="1" customWidth="1"/>
    <col min="5651" max="5651" width="14.5" customWidth="1"/>
    <col min="5653" max="5653" width="14.5" customWidth="1"/>
    <col min="5889" max="5889" width="44.5" customWidth="1"/>
    <col min="5890" max="5890" width="11.5" hidden="1" customWidth="1"/>
    <col min="5891" max="5891" width="18.5" customWidth="1"/>
    <col min="5892" max="5892" width="1.5" customWidth="1"/>
    <col min="5893" max="5893" width="18.5" customWidth="1"/>
    <col min="5894" max="5894" width="1.5" customWidth="1"/>
    <col min="5895" max="5895" width="16.5" customWidth="1"/>
    <col min="5896" max="5896" width="1.5" customWidth="1"/>
    <col min="5897" max="5897" width="15.5" customWidth="1"/>
    <col min="5898" max="5898" width="1.5" customWidth="1"/>
    <col min="5899" max="5899" width="15.5" customWidth="1"/>
    <col min="5900" max="5900" width="1.5" customWidth="1"/>
    <col min="5901" max="5901" width="11.5" hidden="1" customWidth="1"/>
    <col min="5902" max="5902" width="16.5" customWidth="1"/>
    <col min="5903" max="5903" width="2" customWidth="1"/>
    <col min="5904" max="5904" width="15.5" customWidth="1"/>
    <col min="5905" max="5906" width="11.5" hidden="1" customWidth="1"/>
    <col min="5907" max="5907" width="14.5" customWidth="1"/>
    <col min="5909" max="5909" width="14.5" customWidth="1"/>
    <col min="6145" max="6145" width="44.5" customWidth="1"/>
    <col min="6146" max="6146" width="11.5" hidden="1" customWidth="1"/>
    <col min="6147" max="6147" width="18.5" customWidth="1"/>
    <col min="6148" max="6148" width="1.5" customWidth="1"/>
    <col min="6149" max="6149" width="18.5" customWidth="1"/>
    <col min="6150" max="6150" width="1.5" customWidth="1"/>
    <col min="6151" max="6151" width="16.5" customWidth="1"/>
    <col min="6152" max="6152" width="1.5" customWidth="1"/>
    <col min="6153" max="6153" width="15.5" customWidth="1"/>
    <col min="6154" max="6154" width="1.5" customWidth="1"/>
    <col min="6155" max="6155" width="15.5" customWidth="1"/>
    <col min="6156" max="6156" width="1.5" customWidth="1"/>
    <col min="6157" max="6157" width="11.5" hidden="1" customWidth="1"/>
    <col min="6158" max="6158" width="16.5" customWidth="1"/>
    <col min="6159" max="6159" width="2" customWidth="1"/>
    <col min="6160" max="6160" width="15.5" customWidth="1"/>
    <col min="6161" max="6162" width="11.5" hidden="1" customWidth="1"/>
    <col min="6163" max="6163" width="14.5" customWidth="1"/>
    <col min="6165" max="6165" width="14.5" customWidth="1"/>
    <col min="6401" max="6401" width="44.5" customWidth="1"/>
    <col min="6402" max="6402" width="11.5" hidden="1" customWidth="1"/>
    <col min="6403" max="6403" width="18.5" customWidth="1"/>
    <col min="6404" max="6404" width="1.5" customWidth="1"/>
    <col min="6405" max="6405" width="18.5" customWidth="1"/>
    <col min="6406" max="6406" width="1.5" customWidth="1"/>
    <col min="6407" max="6407" width="16.5" customWidth="1"/>
    <col min="6408" max="6408" width="1.5" customWidth="1"/>
    <col min="6409" max="6409" width="15.5" customWidth="1"/>
    <col min="6410" max="6410" width="1.5" customWidth="1"/>
    <col min="6411" max="6411" width="15.5" customWidth="1"/>
    <col min="6412" max="6412" width="1.5" customWidth="1"/>
    <col min="6413" max="6413" width="11.5" hidden="1" customWidth="1"/>
    <col min="6414" max="6414" width="16.5" customWidth="1"/>
    <col min="6415" max="6415" width="2" customWidth="1"/>
    <col min="6416" max="6416" width="15.5" customWidth="1"/>
    <col min="6417" max="6418" width="11.5" hidden="1" customWidth="1"/>
    <col min="6419" max="6419" width="14.5" customWidth="1"/>
    <col min="6421" max="6421" width="14.5" customWidth="1"/>
    <col min="6657" max="6657" width="44.5" customWidth="1"/>
    <col min="6658" max="6658" width="11.5" hidden="1" customWidth="1"/>
    <col min="6659" max="6659" width="18.5" customWidth="1"/>
    <col min="6660" max="6660" width="1.5" customWidth="1"/>
    <col min="6661" max="6661" width="18.5" customWidth="1"/>
    <col min="6662" max="6662" width="1.5" customWidth="1"/>
    <col min="6663" max="6663" width="16.5" customWidth="1"/>
    <col min="6664" max="6664" width="1.5" customWidth="1"/>
    <col min="6665" max="6665" width="15.5" customWidth="1"/>
    <col min="6666" max="6666" width="1.5" customWidth="1"/>
    <col min="6667" max="6667" width="15.5" customWidth="1"/>
    <col min="6668" max="6668" width="1.5" customWidth="1"/>
    <col min="6669" max="6669" width="11.5" hidden="1" customWidth="1"/>
    <col min="6670" max="6670" width="16.5" customWidth="1"/>
    <col min="6671" max="6671" width="2" customWidth="1"/>
    <col min="6672" max="6672" width="15.5" customWidth="1"/>
    <col min="6673" max="6674" width="11.5" hidden="1" customWidth="1"/>
    <col min="6675" max="6675" width="14.5" customWidth="1"/>
    <col min="6677" max="6677" width="14.5" customWidth="1"/>
    <col min="6913" max="6913" width="44.5" customWidth="1"/>
    <col min="6914" max="6914" width="11.5" hidden="1" customWidth="1"/>
    <col min="6915" max="6915" width="18.5" customWidth="1"/>
    <col min="6916" max="6916" width="1.5" customWidth="1"/>
    <col min="6917" max="6917" width="18.5" customWidth="1"/>
    <col min="6918" max="6918" width="1.5" customWidth="1"/>
    <col min="6919" max="6919" width="16.5" customWidth="1"/>
    <col min="6920" max="6920" width="1.5" customWidth="1"/>
    <col min="6921" max="6921" width="15.5" customWidth="1"/>
    <col min="6922" max="6922" width="1.5" customWidth="1"/>
    <col min="6923" max="6923" width="15.5" customWidth="1"/>
    <col min="6924" max="6924" width="1.5" customWidth="1"/>
    <col min="6925" max="6925" width="11.5" hidden="1" customWidth="1"/>
    <col min="6926" max="6926" width="16.5" customWidth="1"/>
    <col min="6927" max="6927" width="2" customWidth="1"/>
    <col min="6928" max="6928" width="15.5" customWidth="1"/>
    <col min="6929" max="6930" width="11.5" hidden="1" customWidth="1"/>
    <col min="6931" max="6931" width="14.5" customWidth="1"/>
    <col min="6933" max="6933" width="14.5" customWidth="1"/>
    <col min="7169" max="7169" width="44.5" customWidth="1"/>
    <col min="7170" max="7170" width="11.5" hidden="1" customWidth="1"/>
    <col min="7171" max="7171" width="18.5" customWidth="1"/>
    <col min="7172" max="7172" width="1.5" customWidth="1"/>
    <col min="7173" max="7173" width="18.5" customWidth="1"/>
    <col min="7174" max="7174" width="1.5" customWidth="1"/>
    <col min="7175" max="7175" width="16.5" customWidth="1"/>
    <col min="7176" max="7176" width="1.5" customWidth="1"/>
    <col min="7177" max="7177" width="15.5" customWidth="1"/>
    <col min="7178" max="7178" width="1.5" customWidth="1"/>
    <col min="7179" max="7179" width="15.5" customWidth="1"/>
    <col min="7180" max="7180" width="1.5" customWidth="1"/>
    <col min="7181" max="7181" width="11.5" hidden="1" customWidth="1"/>
    <col min="7182" max="7182" width="16.5" customWidth="1"/>
    <col min="7183" max="7183" width="2" customWidth="1"/>
    <col min="7184" max="7184" width="15.5" customWidth="1"/>
    <col min="7185" max="7186" width="11.5" hidden="1" customWidth="1"/>
    <col min="7187" max="7187" width="14.5" customWidth="1"/>
    <col min="7189" max="7189" width="14.5" customWidth="1"/>
    <col min="7425" max="7425" width="44.5" customWidth="1"/>
    <col min="7426" max="7426" width="11.5" hidden="1" customWidth="1"/>
    <col min="7427" max="7427" width="18.5" customWidth="1"/>
    <col min="7428" max="7428" width="1.5" customWidth="1"/>
    <col min="7429" max="7429" width="18.5" customWidth="1"/>
    <col min="7430" max="7430" width="1.5" customWidth="1"/>
    <col min="7431" max="7431" width="16.5" customWidth="1"/>
    <col min="7432" max="7432" width="1.5" customWidth="1"/>
    <col min="7433" max="7433" width="15.5" customWidth="1"/>
    <col min="7434" max="7434" width="1.5" customWidth="1"/>
    <col min="7435" max="7435" width="15.5" customWidth="1"/>
    <col min="7436" max="7436" width="1.5" customWidth="1"/>
    <col min="7437" max="7437" width="11.5" hidden="1" customWidth="1"/>
    <col min="7438" max="7438" width="16.5" customWidth="1"/>
    <col min="7439" max="7439" width="2" customWidth="1"/>
    <col min="7440" max="7440" width="15.5" customWidth="1"/>
    <col min="7441" max="7442" width="11.5" hidden="1" customWidth="1"/>
    <col min="7443" max="7443" width="14.5" customWidth="1"/>
    <col min="7445" max="7445" width="14.5" customWidth="1"/>
    <col min="7681" max="7681" width="44.5" customWidth="1"/>
    <col min="7682" max="7682" width="11.5" hidden="1" customWidth="1"/>
    <col min="7683" max="7683" width="18.5" customWidth="1"/>
    <col min="7684" max="7684" width="1.5" customWidth="1"/>
    <col min="7685" max="7685" width="18.5" customWidth="1"/>
    <col min="7686" max="7686" width="1.5" customWidth="1"/>
    <col min="7687" max="7687" width="16.5" customWidth="1"/>
    <col min="7688" max="7688" width="1.5" customWidth="1"/>
    <col min="7689" max="7689" width="15.5" customWidth="1"/>
    <col min="7690" max="7690" width="1.5" customWidth="1"/>
    <col min="7691" max="7691" width="15.5" customWidth="1"/>
    <col min="7692" max="7692" width="1.5" customWidth="1"/>
    <col min="7693" max="7693" width="11.5" hidden="1" customWidth="1"/>
    <col min="7694" max="7694" width="16.5" customWidth="1"/>
    <col min="7695" max="7695" width="2" customWidth="1"/>
    <col min="7696" max="7696" width="15.5" customWidth="1"/>
    <col min="7697" max="7698" width="11.5" hidden="1" customWidth="1"/>
    <col min="7699" max="7699" width="14.5" customWidth="1"/>
    <col min="7701" max="7701" width="14.5" customWidth="1"/>
    <col min="7937" max="7937" width="44.5" customWidth="1"/>
    <col min="7938" max="7938" width="11.5" hidden="1" customWidth="1"/>
    <col min="7939" max="7939" width="18.5" customWidth="1"/>
    <col min="7940" max="7940" width="1.5" customWidth="1"/>
    <col min="7941" max="7941" width="18.5" customWidth="1"/>
    <col min="7942" max="7942" width="1.5" customWidth="1"/>
    <col min="7943" max="7943" width="16.5" customWidth="1"/>
    <col min="7944" max="7944" width="1.5" customWidth="1"/>
    <col min="7945" max="7945" width="15.5" customWidth="1"/>
    <col min="7946" max="7946" width="1.5" customWidth="1"/>
    <col min="7947" max="7947" width="15.5" customWidth="1"/>
    <col min="7948" max="7948" width="1.5" customWidth="1"/>
    <col min="7949" max="7949" width="11.5" hidden="1" customWidth="1"/>
    <col min="7950" max="7950" width="16.5" customWidth="1"/>
    <col min="7951" max="7951" width="2" customWidth="1"/>
    <col min="7952" max="7952" width="15.5" customWidth="1"/>
    <col min="7953" max="7954" width="11.5" hidden="1" customWidth="1"/>
    <col min="7955" max="7955" width="14.5" customWidth="1"/>
    <col min="7957" max="7957" width="14.5" customWidth="1"/>
    <col min="8193" max="8193" width="44.5" customWidth="1"/>
    <col min="8194" max="8194" width="11.5" hidden="1" customWidth="1"/>
    <col min="8195" max="8195" width="18.5" customWidth="1"/>
    <col min="8196" max="8196" width="1.5" customWidth="1"/>
    <col min="8197" max="8197" width="18.5" customWidth="1"/>
    <col min="8198" max="8198" width="1.5" customWidth="1"/>
    <col min="8199" max="8199" width="16.5" customWidth="1"/>
    <col min="8200" max="8200" width="1.5" customWidth="1"/>
    <col min="8201" max="8201" width="15.5" customWidth="1"/>
    <col min="8202" max="8202" width="1.5" customWidth="1"/>
    <col min="8203" max="8203" width="15.5" customWidth="1"/>
    <col min="8204" max="8204" width="1.5" customWidth="1"/>
    <col min="8205" max="8205" width="11.5" hidden="1" customWidth="1"/>
    <col min="8206" max="8206" width="16.5" customWidth="1"/>
    <col min="8207" max="8207" width="2" customWidth="1"/>
    <col min="8208" max="8208" width="15.5" customWidth="1"/>
    <col min="8209" max="8210" width="11.5" hidden="1" customWidth="1"/>
    <col min="8211" max="8211" width="14.5" customWidth="1"/>
    <col min="8213" max="8213" width="14.5" customWidth="1"/>
    <col min="8449" max="8449" width="44.5" customWidth="1"/>
    <col min="8450" max="8450" width="11.5" hidden="1" customWidth="1"/>
    <col min="8451" max="8451" width="18.5" customWidth="1"/>
    <col min="8452" max="8452" width="1.5" customWidth="1"/>
    <col min="8453" max="8453" width="18.5" customWidth="1"/>
    <col min="8454" max="8454" width="1.5" customWidth="1"/>
    <col min="8455" max="8455" width="16.5" customWidth="1"/>
    <col min="8456" max="8456" width="1.5" customWidth="1"/>
    <col min="8457" max="8457" width="15.5" customWidth="1"/>
    <col min="8458" max="8458" width="1.5" customWidth="1"/>
    <col min="8459" max="8459" width="15.5" customWidth="1"/>
    <col min="8460" max="8460" width="1.5" customWidth="1"/>
    <col min="8461" max="8461" width="11.5" hidden="1" customWidth="1"/>
    <col min="8462" max="8462" width="16.5" customWidth="1"/>
    <col min="8463" max="8463" width="2" customWidth="1"/>
    <col min="8464" max="8464" width="15.5" customWidth="1"/>
    <col min="8465" max="8466" width="11.5" hidden="1" customWidth="1"/>
    <col min="8467" max="8467" width="14.5" customWidth="1"/>
    <col min="8469" max="8469" width="14.5" customWidth="1"/>
    <col min="8705" max="8705" width="44.5" customWidth="1"/>
    <col min="8706" max="8706" width="11.5" hidden="1" customWidth="1"/>
    <col min="8707" max="8707" width="18.5" customWidth="1"/>
    <col min="8708" max="8708" width="1.5" customWidth="1"/>
    <col min="8709" max="8709" width="18.5" customWidth="1"/>
    <col min="8710" max="8710" width="1.5" customWidth="1"/>
    <col min="8711" max="8711" width="16.5" customWidth="1"/>
    <col min="8712" max="8712" width="1.5" customWidth="1"/>
    <col min="8713" max="8713" width="15.5" customWidth="1"/>
    <col min="8714" max="8714" width="1.5" customWidth="1"/>
    <col min="8715" max="8715" width="15.5" customWidth="1"/>
    <col min="8716" max="8716" width="1.5" customWidth="1"/>
    <col min="8717" max="8717" width="11.5" hidden="1" customWidth="1"/>
    <col min="8718" max="8718" width="16.5" customWidth="1"/>
    <col min="8719" max="8719" width="2" customWidth="1"/>
    <col min="8720" max="8720" width="15.5" customWidth="1"/>
    <col min="8721" max="8722" width="11.5" hidden="1" customWidth="1"/>
    <col min="8723" max="8723" width="14.5" customWidth="1"/>
    <col min="8725" max="8725" width="14.5" customWidth="1"/>
    <col min="8961" max="8961" width="44.5" customWidth="1"/>
    <col min="8962" max="8962" width="11.5" hidden="1" customWidth="1"/>
    <col min="8963" max="8963" width="18.5" customWidth="1"/>
    <col min="8964" max="8964" width="1.5" customWidth="1"/>
    <col min="8965" max="8965" width="18.5" customWidth="1"/>
    <col min="8966" max="8966" width="1.5" customWidth="1"/>
    <col min="8967" max="8967" width="16.5" customWidth="1"/>
    <col min="8968" max="8968" width="1.5" customWidth="1"/>
    <col min="8969" max="8969" width="15.5" customWidth="1"/>
    <col min="8970" max="8970" width="1.5" customWidth="1"/>
    <col min="8971" max="8971" width="15.5" customWidth="1"/>
    <col min="8972" max="8972" width="1.5" customWidth="1"/>
    <col min="8973" max="8973" width="11.5" hidden="1" customWidth="1"/>
    <col min="8974" max="8974" width="16.5" customWidth="1"/>
    <col min="8975" max="8975" width="2" customWidth="1"/>
    <col min="8976" max="8976" width="15.5" customWidth="1"/>
    <col min="8977" max="8978" width="11.5" hidden="1" customWidth="1"/>
    <col min="8979" max="8979" width="14.5" customWidth="1"/>
    <col min="8981" max="8981" width="14.5" customWidth="1"/>
    <col min="9217" max="9217" width="44.5" customWidth="1"/>
    <col min="9218" max="9218" width="11.5" hidden="1" customWidth="1"/>
    <col min="9219" max="9219" width="18.5" customWidth="1"/>
    <col min="9220" max="9220" width="1.5" customWidth="1"/>
    <col min="9221" max="9221" width="18.5" customWidth="1"/>
    <col min="9222" max="9222" width="1.5" customWidth="1"/>
    <col min="9223" max="9223" width="16.5" customWidth="1"/>
    <col min="9224" max="9224" width="1.5" customWidth="1"/>
    <col min="9225" max="9225" width="15.5" customWidth="1"/>
    <col min="9226" max="9226" width="1.5" customWidth="1"/>
    <col min="9227" max="9227" width="15.5" customWidth="1"/>
    <col min="9228" max="9228" width="1.5" customWidth="1"/>
    <col min="9229" max="9229" width="11.5" hidden="1" customWidth="1"/>
    <col min="9230" max="9230" width="16.5" customWidth="1"/>
    <col min="9231" max="9231" width="2" customWidth="1"/>
    <col min="9232" max="9232" width="15.5" customWidth="1"/>
    <col min="9233" max="9234" width="11.5" hidden="1" customWidth="1"/>
    <col min="9235" max="9235" width="14.5" customWidth="1"/>
    <col min="9237" max="9237" width="14.5" customWidth="1"/>
    <col min="9473" max="9473" width="44.5" customWidth="1"/>
    <col min="9474" max="9474" width="11.5" hidden="1" customWidth="1"/>
    <col min="9475" max="9475" width="18.5" customWidth="1"/>
    <col min="9476" max="9476" width="1.5" customWidth="1"/>
    <col min="9477" max="9477" width="18.5" customWidth="1"/>
    <col min="9478" max="9478" width="1.5" customWidth="1"/>
    <col min="9479" max="9479" width="16.5" customWidth="1"/>
    <col min="9480" max="9480" width="1.5" customWidth="1"/>
    <col min="9481" max="9481" width="15.5" customWidth="1"/>
    <col min="9482" max="9482" width="1.5" customWidth="1"/>
    <col min="9483" max="9483" width="15.5" customWidth="1"/>
    <col min="9484" max="9484" width="1.5" customWidth="1"/>
    <col min="9485" max="9485" width="11.5" hidden="1" customWidth="1"/>
    <col min="9486" max="9486" width="16.5" customWidth="1"/>
    <col min="9487" max="9487" width="2" customWidth="1"/>
    <col min="9488" max="9488" width="15.5" customWidth="1"/>
    <col min="9489" max="9490" width="11.5" hidden="1" customWidth="1"/>
    <col min="9491" max="9491" width="14.5" customWidth="1"/>
    <col min="9493" max="9493" width="14.5" customWidth="1"/>
    <col min="9729" max="9729" width="44.5" customWidth="1"/>
    <col min="9730" max="9730" width="11.5" hidden="1" customWidth="1"/>
    <col min="9731" max="9731" width="18.5" customWidth="1"/>
    <col min="9732" max="9732" width="1.5" customWidth="1"/>
    <col min="9733" max="9733" width="18.5" customWidth="1"/>
    <col min="9734" max="9734" width="1.5" customWidth="1"/>
    <col min="9735" max="9735" width="16.5" customWidth="1"/>
    <col min="9736" max="9736" width="1.5" customWidth="1"/>
    <col min="9737" max="9737" width="15.5" customWidth="1"/>
    <col min="9738" max="9738" width="1.5" customWidth="1"/>
    <col min="9739" max="9739" width="15.5" customWidth="1"/>
    <col min="9740" max="9740" width="1.5" customWidth="1"/>
    <col min="9741" max="9741" width="11.5" hidden="1" customWidth="1"/>
    <col min="9742" max="9742" width="16.5" customWidth="1"/>
    <col min="9743" max="9743" width="2" customWidth="1"/>
    <col min="9744" max="9744" width="15.5" customWidth="1"/>
    <col min="9745" max="9746" width="11.5" hidden="1" customWidth="1"/>
    <col min="9747" max="9747" width="14.5" customWidth="1"/>
    <col min="9749" max="9749" width="14.5" customWidth="1"/>
    <col min="9985" max="9985" width="44.5" customWidth="1"/>
    <col min="9986" max="9986" width="11.5" hidden="1" customWidth="1"/>
    <col min="9987" max="9987" width="18.5" customWidth="1"/>
    <col min="9988" max="9988" width="1.5" customWidth="1"/>
    <col min="9989" max="9989" width="18.5" customWidth="1"/>
    <col min="9990" max="9990" width="1.5" customWidth="1"/>
    <col min="9991" max="9991" width="16.5" customWidth="1"/>
    <col min="9992" max="9992" width="1.5" customWidth="1"/>
    <col min="9993" max="9993" width="15.5" customWidth="1"/>
    <col min="9994" max="9994" width="1.5" customWidth="1"/>
    <col min="9995" max="9995" width="15.5" customWidth="1"/>
    <col min="9996" max="9996" width="1.5" customWidth="1"/>
    <col min="9997" max="9997" width="11.5" hidden="1" customWidth="1"/>
    <col min="9998" max="9998" width="16.5" customWidth="1"/>
    <col min="9999" max="9999" width="2" customWidth="1"/>
    <col min="10000" max="10000" width="15.5" customWidth="1"/>
    <col min="10001" max="10002" width="11.5" hidden="1" customWidth="1"/>
    <col min="10003" max="10003" width="14.5" customWidth="1"/>
    <col min="10005" max="10005" width="14.5" customWidth="1"/>
    <col min="10241" max="10241" width="44.5" customWidth="1"/>
    <col min="10242" max="10242" width="11.5" hidden="1" customWidth="1"/>
    <col min="10243" max="10243" width="18.5" customWidth="1"/>
    <col min="10244" max="10244" width="1.5" customWidth="1"/>
    <col min="10245" max="10245" width="18.5" customWidth="1"/>
    <col min="10246" max="10246" width="1.5" customWidth="1"/>
    <col min="10247" max="10247" width="16.5" customWidth="1"/>
    <col min="10248" max="10248" width="1.5" customWidth="1"/>
    <col min="10249" max="10249" width="15.5" customWidth="1"/>
    <col min="10250" max="10250" width="1.5" customWidth="1"/>
    <col min="10251" max="10251" width="15.5" customWidth="1"/>
    <col min="10252" max="10252" width="1.5" customWidth="1"/>
    <col min="10253" max="10253" width="11.5" hidden="1" customWidth="1"/>
    <col min="10254" max="10254" width="16.5" customWidth="1"/>
    <col min="10255" max="10255" width="2" customWidth="1"/>
    <col min="10256" max="10256" width="15.5" customWidth="1"/>
    <col min="10257" max="10258" width="11.5" hidden="1" customWidth="1"/>
    <col min="10259" max="10259" width="14.5" customWidth="1"/>
    <col min="10261" max="10261" width="14.5" customWidth="1"/>
    <col min="10497" max="10497" width="44.5" customWidth="1"/>
    <col min="10498" max="10498" width="11.5" hidden="1" customWidth="1"/>
    <col min="10499" max="10499" width="18.5" customWidth="1"/>
    <col min="10500" max="10500" width="1.5" customWidth="1"/>
    <col min="10501" max="10501" width="18.5" customWidth="1"/>
    <col min="10502" max="10502" width="1.5" customWidth="1"/>
    <col min="10503" max="10503" width="16.5" customWidth="1"/>
    <col min="10504" max="10504" width="1.5" customWidth="1"/>
    <col min="10505" max="10505" width="15.5" customWidth="1"/>
    <col min="10506" max="10506" width="1.5" customWidth="1"/>
    <col min="10507" max="10507" width="15.5" customWidth="1"/>
    <col min="10508" max="10508" width="1.5" customWidth="1"/>
    <col min="10509" max="10509" width="11.5" hidden="1" customWidth="1"/>
    <col min="10510" max="10510" width="16.5" customWidth="1"/>
    <col min="10511" max="10511" width="2" customWidth="1"/>
    <col min="10512" max="10512" width="15.5" customWidth="1"/>
    <col min="10513" max="10514" width="11.5" hidden="1" customWidth="1"/>
    <col min="10515" max="10515" width="14.5" customWidth="1"/>
    <col min="10517" max="10517" width="14.5" customWidth="1"/>
    <col min="10753" max="10753" width="44.5" customWidth="1"/>
    <col min="10754" max="10754" width="11.5" hidden="1" customWidth="1"/>
    <col min="10755" max="10755" width="18.5" customWidth="1"/>
    <col min="10756" max="10756" width="1.5" customWidth="1"/>
    <col min="10757" max="10757" width="18.5" customWidth="1"/>
    <col min="10758" max="10758" width="1.5" customWidth="1"/>
    <col min="10759" max="10759" width="16.5" customWidth="1"/>
    <col min="10760" max="10760" width="1.5" customWidth="1"/>
    <col min="10761" max="10761" width="15.5" customWidth="1"/>
    <col min="10762" max="10762" width="1.5" customWidth="1"/>
    <col min="10763" max="10763" width="15.5" customWidth="1"/>
    <col min="10764" max="10764" width="1.5" customWidth="1"/>
    <col min="10765" max="10765" width="11.5" hidden="1" customWidth="1"/>
    <col min="10766" max="10766" width="16.5" customWidth="1"/>
    <col min="10767" max="10767" width="2" customWidth="1"/>
    <col min="10768" max="10768" width="15.5" customWidth="1"/>
    <col min="10769" max="10770" width="11.5" hidden="1" customWidth="1"/>
    <col min="10771" max="10771" width="14.5" customWidth="1"/>
    <col min="10773" max="10773" width="14.5" customWidth="1"/>
    <col min="11009" max="11009" width="44.5" customWidth="1"/>
    <col min="11010" max="11010" width="11.5" hidden="1" customWidth="1"/>
    <col min="11011" max="11011" width="18.5" customWidth="1"/>
    <col min="11012" max="11012" width="1.5" customWidth="1"/>
    <col min="11013" max="11013" width="18.5" customWidth="1"/>
    <col min="11014" max="11014" width="1.5" customWidth="1"/>
    <col min="11015" max="11015" width="16.5" customWidth="1"/>
    <col min="11016" max="11016" width="1.5" customWidth="1"/>
    <col min="11017" max="11017" width="15.5" customWidth="1"/>
    <col min="11018" max="11018" width="1.5" customWidth="1"/>
    <col min="11019" max="11019" width="15.5" customWidth="1"/>
    <col min="11020" max="11020" width="1.5" customWidth="1"/>
    <col min="11021" max="11021" width="11.5" hidden="1" customWidth="1"/>
    <col min="11022" max="11022" width="16.5" customWidth="1"/>
    <col min="11023" max="11023" width="2" customWidth="1"/>
    <col min="11024" max="11024" width="15.5" customWidth="1"/>
    <col min="11025" max="11026" width="11.5" hidden="1" customWidth="1"/>
    <col min="11027" max="11027" width="14.5" customWidth="1"/>
    <col min="11029" max="11029" width="14.5" customWidth="1"/>
    <col min="11265" max="11265" width="44.5" customWidth="1"/>
    <col min="11266" max="11266" width="11.5" hidden="1" customWidth="1"/>
    <col min="11267" max="11267" width="18.5" customWidth="1"/>
    <col min="11268" max="11268" width="1.5" customWidth="1"/>
    <col min="11269" max="11269" width="18.5" customWidth="1"/>
    <col min="11270" max="11270" width="1.5" customWidth="1"/>
    <col min="11271" max="11271" width="16.5" customWidth="1"/>
    <col min="11272" max="11272" width="1.5" customWidth="1"/>
    <col min="11273" max="11273" width="15.5" customWidth="1"/>
    <col min="11274" max="11274" width="1.5" customWidth="1"/>
    <col min="11275" max="11275" width="15.5" customWidth="1"/>
    <col min="11276" max="11276" width="1.5" customWidth="1"/>
    <col min="11277" max="11277" width="11.5" hidden="1" customWidth="1"/>
    <col min="11278" max="11278" width="16.5" customWidth="1"/>
    <col min="11279" max="11279" width="2" customWidth="1"/>
    <col min="11280" max="11280" width="15.5" customWidth="1"/>
    <col min="11281" max="11282" width="11.5" hidden="1" customWidth="1"/>
    <col min="11283" max="11283" width="14.5" customWidth="1"/>
    <col min="11285" max="11285" width="14.5" customWidth="1"/>
    <col min="11521" max="11521" width="44.5" customWidth="1"/>
    <col min="11522" max="11522" width="11.5" hidden="1" customWidth="1"/>
    <col min="11523" max="11523" width="18.5" customWidth="1"/>
    <col min="11524" max="11524" width="1.5" customWidth="1"/>
    <col min="11525" max="11525" width="18.5" customWidth="1"/>
    <col min="11526" max="11526" width="1.5" customWidth="1"/>
    <col min="11527" max="11527" width="16.5" customWidth="1"/>
    <col min="11528" max="11528" width="1.5" customWidth="1"/>
    <col min="11529" max="11529" width="15.5" customWidth="1"/>
    <col min="11530" max="11530" width="1.5" customWidth="1"/>
    <col min="11531" max="11531" width="15.5" customWidth="1"/>
    <col min="11532" max="11532" width="1.5" customWidth="1"/>
    <col min="11533" max="11533" width="11.5" hidden="1" customWidth="1"/>
    <col min="11534" max="11534" width="16.5" customWidth="1"/>
    <col min="11535" max="11535" width="2" customWidth="1"/>
    <col min="11536" max="11536" width="15.5" customWidth="1"/>
    <col min="11537" max="11538" width="11.5" hidden="1" customWidth="1"/>
    <col min="11539" max="11539" width="14.5" customWidth="1"/>
    <col min="11541" max="11541" width="14.5" customWidth="1"/>
    <col min="11777" max="11777" width="44.5" customWidth="1"/>
    <col min="11778" max="11778" width="11.5" hidden="1" customWidth="1"/>
    <col min="11779" max="11779" width="18.5" customWidth="1"/>
    <col min="11780" max="11780" width="1.5" customWidth="1"/>
    <col min="11781" max="11781" width="18.5" customWidth="1"/>
    <col min="11782" max="11782" width="1.5" customWidth="1"/>
    <col min="11783" max="11783" width="16.5" customWidth="1"/>
    <col min="11784" max="11784" width="1.5" customWidth="1"/>
    <col min="11785" max="11785" width="15.5" customWidth="1"/>
    <col min="11786" max="11786" width="1.5" customWidth="1"/>
    <col min="11787" max="11787" width="15.5" customWidth="1"/>
    <col min="11788" max="11788" width="1.5" customWidth="1"/>
    <col min="11789" max="11789" width="11.5" hidden="1" customWidth="1"/>
    <col min="11790" max="11790" width="16.5" customWidth="1"/>
    <col min="11791" max="11791" width="2" customWidth="1"/>
    <col min="11792" max="11792" width="15.5" customWidth="1"/>
    <col min="11793" max="11794" width="11.5" hidden="1" customWidth="1"/>
    <col min="11795" max="11795" width="14.5" customWidth="1"/>
    <col min="11797" max="11797" width="14.5" customWidth="1"/>
    <col min="12033" max="12033" width="44.5" customWidth="1"/>
    <col min="12034" max="12034" width="11.5" hidden="1" customWidth="1"/>
    <col min="12035" max="12035" width="18.5" customWidth="1"/>
    <col min="12036" max="12036" width="1.5" customWidth="1"/>
    <col min="12037" max="12037" width="18.5" customWidth="1"/>
    <col min="12038" max="12038" width="1.5" customWidth="1"/>
    <col min="12039" max="12039" width="16.5" customWidth="1"/>
    <col min="12040" max="12040" width="1.5" customWidth="1"/>
    <col min="12041" max="12041" width="15.5" customWidth="1"/>
    <col min="12042" max="12042" width="1.5" customWidth="1"/>
    <col min="12043" max="12043" width="15.5" customWidth="1"/>
    <col min="12044" max="12044" width="1.5" customWidth="1"/>
    <col min="12045" max="12045" width="11.5" hidden="1" customWidth="1"/>
    <col min="12046" max="12046" width="16.5" customWidth="1"/>
    <col min="12047" max="12047" width="2" customWidth="1"/>
    <col min="12048" max="12048" width="15.5" customWidth="1"/>
    <col min="12049" max="12050" width="11.5" hidden="1" customWidth="1"/>
    <col min="12051" max="12051" width="14.5" customWidth="1"/>
    <col min="12053" max="12053" width="14.5" customWidth="1"/>
    <col min="12289" max="12289" width="44.5" customWidth="1"/>
    <col min="12290" max="12290" width="11.5" hidden="1" customWidth="1"/>
    <col min="12291" max="12291" width="18.5" customWidth="1"/>
    <col min="12292" max="12292" width="1.5" customWidth="1"/>
    <col min="12293" max="12293" width="18.5" customWidth="1"/>
    <col min="12294" max="12294" width="1.5" customWidth="1"/>
    <col min="12295" max="12295" width="16.5" customWidth="1"/>
    <col min="12296" max="12296" width="1.5" customWidth="1"/>
    <col min="12297" max="12297" width="15.5" customWidth="1"/>
    <col min="12298" max="12298" width="1.5" customWidth="1"/>
    <col min="12299" max="12299" width="15.5" customWidth="1"/>
    <col min="12300" max="12300" width="1.5" customWidth="1"/>
    <col min="12301" max="12301" width="11.5" hidden="1" customWidth="1"/>
    <col min="12302" max="12302" width="16.5" customWidth="1"/>
    <col min="12303" max="12303" width="2" customWidth="1"/>
    <col min="12304" max="12304" width="15.5" customWidth="1"/>
    <col min="12305" max="12306" width="11.5" hidden="1" customWidth="1"/>
    <col min="12307" max="12307" width="14.5" customWidth="1"/>
    <col min="12309" max="12309" width="14.5" customWidth="1"/>
    <col min="12545" max="12545" width="44.5" customWidth="1"/>
    <col min="12546" max="12546" width="11.5" hidden="1" customWidth="1"/>
    <col min="12547" max="12547" width="18.5" customWidth="1"/>
    <col min="12548" max="12548" width="1.5" customWidth="1"/>
    <col min="12549" max="12549" width="18.5" customWidth="1"/>
    <col min="12550" max="12550" width="1.5" customWidth="1"/>
    <col min="12551" max="12551" width="16.5" customWidth="1"/>
    <col min="12552" max="12552" width="1.5" customWidth="1"/>
    <col min="12553" max="12553" width="15.5" customWidth="1"/>
    <col min="12554" max="12554" width="1.5" customWidth="1"/>
    <col min="12555" max="12555" width="15.5" customWidth="1"/>
    <col min="12556" max="12556" width="1.5" customWidth="1"/>
    <col min="12557" max="12557" width="11.5" hidden="1" customWidth="1"/>
    <col min="12558" max="12558" width="16.5" customWidth="1"/>
    <col min="12559" max="12559" width="2" customWidth="1"/>
    <col min="12560" max="12560" width="15.5" customWidth="1"/>
    <col min="12561" max="12562" width="11.5" hidden="1" customWidth="1"/>
    <col min="12563" max="12563" width="14.5" customWidth="1"/>
    <col min="12565" max="12565" width="14.5" customWidth="1"/>
    <col min="12801" max="12801" width="44.5" customWidth="1"/>
    <col min="12802" max="12802" width="11.5" hidden="1" customWidth="1"/>
    <col min="12803" max="12803" width="18.5" customWidth="1"/>
    <col min="12804" max="12804" width="1.5" customWidth="1"/>
    <col min="12805" max="12805" width="18.5" customWidth="1"/>
    <col min="12806" max="12806" width="1.5" customWidth="1"/>
    <col min="12807" max="12807" width="16.5" customWidth="1"/>
    <col min="12808" max="12808" width="1.5" customWidth="1"/>
    <col min="12809" max="12809" width="15.5" customWidth="1"/>
    <col min="12810" max="12810" width="1.5" customWidth="1"/>
    <col min="12811" max="12811" width="15.5" customWidth="1"/>
    <col min="12812" max="12812" width="1.5" customWidth="1"/>
    <col min="12813" max="12813" width="11.5" hidden="1" customWidth="1"/>
    <col min="12814" max="12814" width="16.5" customWidth="1"/>
    <col min="12815" max="12815" width="2" customWidth="1"/>
    <col min="12816" max="12816" width="15.5" customWidth="1"/>
    <col min="12817" max="12818" width="11.5" hidden="1" customWidth="1"/>
    <col min="12819" max="12819" width="14.5" customWidth="1"/>
    <col min="12821" max="12821" width="14.5" customWidth="1"/>
    <col min="13057" max="13057" width="44.5" customWidth="1"/>
    <col min="13058" max="13058" width="11.5" hidden="1" customWidth="1"/>
    <col min="13059" max="13059" width="18.5" customWidth="1"/>
    <col min="13060" max="13060" width="1.5" customWidth="1"/>
    <col min="13061" max="13061" width="18.5" customWidth="1"/>
    <col min="13062" max="13062" width="1.5" customWidth="1"/>
    <col min="13063" max="13063" width="16.5" customWidth="1"/>
    <col min="13064" max="13064" width="1.5" customWidth="1"/>
    <col min="13065" max="13065" width="15.5" customWidth="1"/>
    <col min="13066" max="13066" width="1.5" customWidth="1"/>
    <col min="13067" max="13067" width="15.5" customWidth="1"/>
    <col min="13068" max="13068" width="1.5" customWidth="1"/>
    <col min="13069" max="13069" width="11.5" hidden="1" customWidth="1"/>
    <col min="13070" max="13070" width="16.5" customWidth="1"/>
    <col min="13071" max="13071" width="2" customWidth="1"/>
    <col min="13072" max="13072" width="15.5" customWidth="1"/>
    <col min="13073" max="13074" width="11.5" hidden="1" customWidth="1"/>
    <col min="13075" max="13075" width="14.5" customWidth="1"/>
    <col min="13077" max="13077" width="14.5" customWidth="1"/>
    <col min="13313" max="13313" width="44.5" customWidth="1"/>
    <col min="13314" max="13314" width="11.5" hidden="1" customWidth="1"/>
    <col min="13315" max="13315" width="18.5" customWidth="1"/>
    <col min="13316" max="13316" width="1.5" customWidth="1"/>
    <col min="13317" max="13317" width="18.5" customWidth="1"/>
    <col min="13318" max="13318" width="1.5" customWidth="1"/>
    <col min="13319" max="13319" width="16.5" customWidth="1"/>
    <col min="13320" max="13320" width="1.5" customWidth="1"/>
    <col min="13321" max="13321" width="15.5" customWidth="1"/>
    <col min="13322" max="13322" width="1.5" customWidth="1"/>
    <col min="13323" max="13323" width="15.5" customWidth="1"/>
    <col min="13324" max="13324" width="1.5" customWidth="1"/>
    <col min="13325" max="13325" width="11.5" hidden="1" customWidth="1"/>
    <col min="13326" max="13326" width="16.5" customWidth="1"/>
    <col min="13327" max="13327" width="2" customWidth="1"/>
    <col min="13328" max="13328" width="15.5" customWidth="1"/>
    <col min="13329" max="13330" width="11.5" hidden="1" customWidth="1"/>
    <col min="13331" max="13331" width="14.5" customWidth="1"/>
    <col min="13333" max="13333" width="14.5" customWidth="1"/>
    <col min="13569" max="13569" width="44.5" customWidth="1"/>
    <col min="13570" max="13570" width="11.5" hidden="1" customWidth="1"/>
    <col min="13571" max="13571" width="18.5" customWidth="1"/>
    <col min="13572" max="13572" width="1.5" customWidth="1"/>
    <col min="13573" max="13573" width="18.5" customWidth="1"/>
    <col min="13574" max="13574" width="1.5" customWidth="1"/>
    <col min="13575" max="13575" width="16.5" customWidth="1"/>
    <col min="13576" max="13576" width="1.5" customWidth="1"/>
    <col min="13577" max="13577" width="15.5" customWidth="1"/>
    <col min="13578" max="13578" width="1.5" customWidth="1"/>
    <col min="13579" max="13579" width="15.5" customWidth="1"/>
    <col min="13580" max="13580" width="1.5" customWidth="1"/>
    <col min="13581" max="13581" width="11.5" hidden="1" customWidth="1"/>
    <col min="13582" max="13582" width="16.5" customWidth="1"/>
    <col min="13583" max="13583" width="2" customWidth="1"/>
    <col min="13584" max="13584" width="15.5" customWidth="1"/>
    <col min="13585" max="13586" width="11.5" hidden="1" customWidth="1"/>
    <col min="13587" max="13587" width="14.5" customWidth="1"/>
    <col min="13589" max="13589" width="14.5" customWidth="1"/>
    <col min="13825" max="13825" width="44.5" customWidth="1"/>
    <col min="13826" max="13826" width="11.5" hidden="1" customWidth="1"/>
    <col min="13827" max="13827" width="18.5" customWidth="1"/>
    <col min="13828" max="13828" width="1.5" customWidth="1"/>
    <col min="13829" max="13829" width="18.5" customWidth="1"/>
    <col min="13830" max="13830" width="1.5" customWidth="1"/>
    <col min="13831" max="13831" width="16.5" customWidth="1"/>
    <col min="13832" max="13832" width="1.5" customWidth="1"/>
    <col min="13833" max="13833" width="15.5" customWidth="1"/>
    <col min="13834" max="13834" width="1.5" customWidth="1"/>
    <col min="13835" max="13835" width="15.5" customWidth="1"/>
    <col min="13836" max="13836" width="1.5" customWidth="1"/>
    <col min="13837" max="13837" width="11.5" hidden="1" customWidth="1"/>
    <col min="13838" max="13838" width="16.5" customWidth="1"/>
    <col min="13839" max="13839" width="2" customWidth="1"/>
    <col min="13840" max="13840" width="15.5" customWidth="1"/>
    <col min="13841" max="13842" width="11.5" hidden="1" customWidth="1"/>
    <col min="13843" max="13843" width="14.5" customWidth="1"/>
    <col min="13845" max="13845" width="14.5" customWidth="1"/>
    <col min="14081" max="14081" width="44.5" customWidth="1"/>
    <col min="14082" max="14082" width="11.5" hidden="1" customWidth="1"/>
    <col min="14083" max="14083" width="18.5" customWidth="1"/>
    <col min="14084" max="14084" width="1.5" customWidth="1"/>
    <col min="14085" max="14085" width="18.5" customWidth="1"/>
    <col min="14086" max="14086" width="1.5" customWidth="1"/>
    <col min="14087" max="14087" width="16.5" customWidth="1"/>
    <col min="14088" max="14088" width="1.5" customWidth="1"/>
    <col min="14089" max="14089" width="15.5" customWidth="1"/>
    <col min="14090" max="14090" width="1.5" customWidth="1"/>
    <col min="14091" max="14091" width="15.5" customWidth="1"/>
    <col min="14092" max="14092" width="1.5" customWidth="1"/>
    <col min="14093" max="14093" width="11.5" hidden="1" customWidth="1"/>
    <col min="14094" max="14094" width="16.5" customWidth="1"/>
    <col min="14095" max="14095" width="2" customWidth="1"/>
    <col min="14096" max="14096" width="15.5" customWidth="1"/>
    <col min="14097" max="14098" width="11.5" hidden="1" customWidth="1"/>
    <col min="14099" max="14099" width="14.5" customWidth="1"/>
    <col min="14101" max="14101" width="14.5" customWidth="1"/>
    <col min="14337" max="14337" width="44.5" customWidth="1"/>
    <col min="14338" max="14338" width="11.5" hidden="1" customWidth="1"/>
    <col min="14339" max="14339" width="18.5" customWidth="1"/>
    <col min="14340" max="14340" width="1.5" customWidth="1"/>
    <col min="14341" max="14341" width="18.5" customWidth="1"/>
    <col min="14342" max="14342" width="1.5" customWidth="1"/>
    <col min="14343" max="14343" width="16.5" customWidth="1"/>
    <col min="14344" max="14344" width="1.5" customWidth="1"/>
    <col min="14345" max="14345" width="15.5" customWidth="1"/>
    <col min="14346" max="14346" width="1.5" customWidth="1"/>
    <col min="14347" max="14347" width="15.5" customWidth="1"/>
    <col min="14348" max="14348" width="1.5" customWidth="1"/>
    <col min="14349" max="14349" width="11.5" hidden="1" customWidth="1"/>
    <col min="14350" max="14350" width="16.5" customWidth="1"/>
    <col min="14351" max="14351" width="2" customWidth="1"/>
    <col min="14352" max="14352" width="15.5" customWidth="1"/>
    <col min="14353" max="14354" width="11.5" hidden="1" customWidth="1"/>
    <col min="14355" max="14355" width="14.5" customWidth="1"/>
    <col min="14357" max="14357" width="14.5" customWidth="1"/>
    <col min="14593" max="14593" width="44.5" customWidth="1"/>
    <col min="14594" max="14594" width="11.5" hidden="1" customWidth="1"/>
    <col min="14595" max="14595" width="18.5" customWidth="1"/>
    <col min="14596" max="14596" width="1.5" customWidth="1"/>
    <col min="14597" max="14597" width="18.5" customWidth="1"/>
    <col min="14598" max="14598" width="1.5" customWidth="1"/>
    <col min="14599" max="14599" width="16.5" customWidth="1"/>
    <col min="14600" max="14600" width="1.5" customWidth="1"/>
    <col min="14601" max="14601" width="15.5" customWidth="1"/>
    <col min="14602" max="14602" width="1.5" customWidth="1"/>
    <col min="14603" max="14603" width="15.5" customWidth="1"/>
    <col min="14604" max="14604" width="1.5" customWidth="1"/>
    <col min="14605" max="14605" width="11.5" hidden="1" customWidth="1"/>
    <col min="14606" max="14606" width="16.5" customWidth="1"/>
    <col min="14607" max="14607" width="2" customWidth="1"/>
    <col min="14608" max="14608" width="15.5" customWidth="1"/>
    <col min="14609" max="14610" width="11.5" hidden="1" customWidth="1"/>
    <col min="14611" max="14611" width="14.5" customWidth="1"/>
    <col min="14613" max="14613" width="14.5" customWidth="1"/>
    <col min="14849" max="14849" width="44.5" customWidth="1"/>
    <col min="14850" max="14850" width="11.5" hidden="1" customWidth="1"/>
    <col min="14851" max="14851" width="18.5" customWidth="1"/>
    <col min="14852" max="14852" width="1.5" customWidth="1"/>
    <col min="14853" max="14853" width="18.5" customWidth="1"/>
    <col min="14854" max="14854" width="1.5" customWidth="1"/>
    <col min="14855" max="14855" width="16.5" customWidth="1"/>
    <col min="14856" max="14856" width="1.5" customWidth="1"/>
    <col min="14857" max="14857" width="15.5" customWidth="1"/>
    <col min="14858" max="14858" width="1.5" customWidth="1"/>
    <col min="14859" max="14859" width="15.5" customWidth="1"/>
    <col min="14860" max="14860" width="1.5" customWidth="1"/>
    <col min="14861" max="14861" width="11.5" hidden="1" customWidth="1"/>
    <col min="14862" max="14862" width="16.5" customWidth="1"/>
    <col min="14863" max="14863" width="2" customWidth="1"/>
    <col min="14864" max="14864" width="15.5" customWidth="1"/>
    <col min="14865" max="14866" width="11.5" hidden="1" customWidth="1"/>
    <col min="14867" max="14867" width="14.5" customWidth="1"/>
    <col min="14869" max="14869" width="14.5" customWidth="1"/>
    <col min="15105" max="15105" width="44.5" customWidth="1"/>
    <col min="15106" max="15106" width="11.5" hidden="1" customWidth="1"/>
    <col min="15107" max="15107" width="18.5" customWidth="1"/>
    <col min="15108" max="15108" width="1.5" customWidth="1"/>
    <col min="15109" max="15109" width="18.5" customWidth="1"/>
    <col min="15110" max="15110" width="1.5" customWidth="1"/>
    <col min="15111" max="15111" width="16.5" customWidth="1"/>
    <col min="15112" max="15112" width="1.5" customWidth="1"/>
    <col min="15113" max="15113" width="15.5" customWidth="1"/>
    <col min="15114" max="15114" width="1.5" customWidth="1"/>
    <col min="15115" max="15115" width="15.5" customWidth="1"/>
    <col min="15116" max="15116" width="1.5" customWidth="1"/>
    <col min="15117" max="15117" width="11.5" hidden="1" customWidth="1"/>
    <col min="15118" max="15118" width="16.5" customWidth="1"/>
    <col min="15119" max="15119" width="2" customWidth="1"/>
    <col min="15120" max="15120" width="15.5" customWidth="1"/>
    <col min="15121" max="15122" width="11.5" hidden="1" customWidth="1"/>
    <col min="15123" max="15123" width="14.5" customWidth="1"/>
    <col min="15125" max="15125" width="14.5" customWidth="1"/>
    <col min="15361" max="15361" width="44.5" customWidth="1"/>
    <col min="15362" max="15362" width="11.5" hidden="1" customWidth="1"/>
    <col min="15363" max="15363" width="18.5" customWidth="1"/>
    <col min="15364" max="15364" width="1.5" customWidth="1"/>
    <col min="15365" max="15365" width="18.5" customWidth="1"/>
    <col min="15366" max="15366" width="1.5" customWidth="1"/>
    <col min="15367" max="15367" width="16.5" customWidth="1"/>
    <col min="15368" max="15368" width="1.5" customWidth="1"/>
    <col min="15369" max="15369" width="15.5" customWidth="1"/>
    <col min="15370" max="15370" width="1.5" customWidth="1"/>
    <col min="15371" max="15371" width="15.5" customWidth="1"/>
    <col min="15372" max="15372" width="1.5" customWidth="1"/>
    <col min="15373" max="15373" width="11.5" hidden="1" customWidth="1"/>
    <col min="15374" max="15374" width="16.5" customWidth="1"/>
    <col min="15375" max="15375" width="2" customWidth="1"/>
    <col min="15376" max="15376" width="15.5" customWidth="1"/>
    <col min="15377" max="15378" width="11.5" hidden="1" customWidth="1"/>
    <col min="15379" max="15379" width="14.5" customWidth="1"/>
    <col min="15381" max="15381" width="14.5" customWidth="1"/>
    <col min="15617" max="15617" width="44.5" customWidth="1"/>
    <col min="15618" max="15618" width="11.5" hidden="1" customWidth="1"/>
    <col min="15619" max="15619" width="18.5" customWidth="1"/>
    <col min="15620" max="15620" width="1.5" customWidth="1"/>
    <col min="15621" max="15621" width="18.5" customWidth="1"/>
    <col min="15622" max="15622" width="1.5" customWidth="1"/>
    <col min="15623" max="15623" width="16.5" customWidth="1"/>
    <col min="15624" max="15624" width="1.5" customWidth="1"/>
    <col min="15625" max="15625" width="15.5" customWidth="1"/>
    <col min="15626" max="15626" width="1.5" customWidth="1"/>
    <col min="15627" max="15627" width="15.5" customWidth="1"/>
    <col min="15628" max="15628" width="1.5" customWidth="1"/>
    <col min="15629" max="15629" width="11.5" hidden="1" customWidth="1"/>
    <col min="15630" max="15630" width="16.5" customWidth="1"/>
    <col min="15631" max="15631" width="2" customWidth="1"/>
    <col min="15632" max="15632" width="15.5" customWidth="1"/>
    <col min="15633" max="15634" width="11.5" hidden="1" customWidth="1"/>
    <col min="15635" max="15635" width="14.5" customWidth="1"/>
    <col min="15637" max="15637" width="14.5" customWidth="1"/>
    <col min="15873" max="15873" width="44.5" customWidth="1"/>
    <col min="15874" max="15874" width="11.5" hidden="1" customWidth="1"/>
    <col min="15875" max="15875" width="18.5" customWidth="1"/>
    <col min="15876" max="15876" width="1.5" customWidth="1"/>
    <col min="15877" max="15877" width="18.5" customWidth="1"/>
    <col min="15878" max="15878" width="1.5" customWidth="1"/>
    <col min="15879" max="15879" width="16.5" customWidth="1"/>
    <col min="15880" max="15880" width="1.5" customWidth="1"/>
    <col min="15881" max="15881" width="15.5" customWidth="1"/>
    <col min="15882" max="15882" width="1.5" customWidth="1"/>
    <col min="15883" max="15883" width="15.5" customWidth="1"/>
    <col min="15884" max="15884" width="1.5" customWidth="1"/>
    <col min="15885" max="15885" width="11.5" hidden="1" customWidth="1"/>
    <col min="15886" max="15886" width="16.5" customWidth="1"/>
    <col min="15887" max="15887" width="2" customWidth="1"/>
    <col min="15888" max="15888" width="15.5" customWidth="1"/>
    <col min="15889" max="15890" width="11.5" hidden="1" customWidth="1"/>
    <col min="15891" max="15891" width="14.5" customWidth="1"/>
    <col min="15893" max="15893" width="14.5" customWidth="1"/>
    <col min="16129" max="16129" width="44.5" customWidth="1"/>
    <col min="16130" max="16130" width="11.5" hidden="1" customWidth="1"/>
    <col min="16131" max="16131" width="18.5" customWidth="1"/>
    <col min="16132" max="16132" width="1.5" customWidth="1"/>
    <col min="16133" max="16133" width="18.5" customWidth="1"/>
    <col min="16134" max="16134" width="1.5" customWidth="1"/>
    <col min="16135" max="16135" width="16.5" customWidth="1"/>
    <col min="16136" max="16136" width="1.5" customWidth="1"/>
    <col min="16137" max="16137" width="15.5" customWidth="1"/>
    <col min="16138" max="16138" width="1.5" customWidth="1"/>
    <col min="16139" max="16139" width="15.5" customWidth="1"/>
    <col min="16140" max="16140" width="1.5" customWidth="1"/>
    <col min="16141" max="16141" width="11.5" hidden="1" customWidth="1"/>
    <col min="16142" max="16142" width="16.5" customWidth="1"/>
    <col min="16143" max="16143" width="2" customWidth="1"/>
    <col min="16144" max="16144" width="15.5" customWidth="1"/>
    <col min="16145" max="16146" width="11.5" hidden="1" customWidth="1"/>
    <col min="16147" max="16147" width="14.5" customWidth="1"/>
    <col min="16149" max="16149" width="14.5" customWidth="1"/>
  </cols>
  <sheetData>
    <row r="1" spans="1:21" ht="21" customHeight="1">
      <c r="A1" s="1332" t="s">
        <v>793</v>
      </c>
      <c r="P1" s="1333" t="s">
        <v>912</v>
      </c>
    </row>
    <row r="2" spans="1:21" ht="15.75" customHeight="1">
      <c r="A2" s="1334" t="s">
        <v>794</v>
      </c>
      <c r="B2" s="1335"/>
      <c r="G2" s="1336"/>
      <c r="K2" s="1331" t="s">
        <v>141</v>
      </c>
      <c r="N2" s="1331" t="s">
        <v>141</v>
      </c>
      <c r="O2" s="1331" t="s">
        <v>141</v>
      </c>
      <c r="P2" s="1337">
        <v>44403</v>
      </c>
    </row>
    <row r="3" spans="1:21">
      <c r="G3" s="1338"/>
    </row>
    <row r="4" spans="1:21">
      <c r="A4" s="31"/>
      <c r="B4" s="1339"/>
      <c r="C4" s="1340" t="s">
        <v>740</v>
      </c>
      <c r="D4" s="1341"/>
      <c r="E4" s="1342"/>
      <c r="F4" s="1343"/>
      <c r="G4" s="1342" t="s">
        <v>795</v>
      </c>
      <c r="H4" s="1341"/>
      <c r="I4" s="1342" t="s">
        <v>796</v>
      </c>
      <c r="J4" s="1341"/>
      <c r="K4" s="1344" t="s">
        <v>171</v>
      </c>
      <c r="L4" s="1343"/>
      <c r="M4" s="1343"/>
      <c r="N4" s="1344" t="s">
        <v>624</v>
      </c>
      <c r="O4" s="1343"/>
      <c r="P4" s="1342" t="s">
        <v>193</v>
      </c>
      <c r="Q4" t="s">
        <v>193</v>
      </c>
    </row>
    <row r="5" spans="1:21">
      <c r="A5" s="41"/>
      <c r="B5" s="1345"/>
      <c r="C5" s="1346" t="s">
        <v>741</v>
      </c>
      <c r="E5" s="1347" t="s">
        <v>742</v>
      </c>
      <c r="G5" s="1347" t="s">
        <v>797</v>
      </c>
      <c r="I5" s="1348" t="s">
        <v>798</v>
      </c>
      <c r="K5" s="1348"/>
      <c r="N5" s="1348"/>
      <c r="P5" s="1349" t="s">
        <v>743</v>
      </c>
    </row>
    <row r="6" spans="1:21">
      <c r="A6" s="1350" t="s">
        <v>744</v>
      </c>
      <c r="B6" s="1351"/>
      <c r="C6" s="1352"/>
      <c r="E6" s="1348"/>
      <c r="G6" s="1348"/>
      <c r="I6" s="1348"/>
      <c r="K6" s="1348"/>
      <c r="N6" s="1348"/>
      <c r="P6" s="1348"/>
    </row>
    <row r="7" spans="1:21" ht="6.75" customHeight="1">
      <c r="A7" s="1353"/>
      <c r="B7" s="1354"/>
      <c r="C7" s="1352"/>
      <c r="E7" s="1348"/>
      <c r="G7" s="1348"/>
      <c r="I7" s="1348"/>
      <c r="K7" s="1348"/>
      <c r="N7" s="1348"/>
      <c r="P7" s="1348"/>
    </row>
    <row r="8" spans="1:21">
      <c r="A8" s="1355" t="s">
        <v>799</v>
      </c>
      <c r="C8" s="1352"/>
      <c r="E8" s="1348"/>
      <c r="G8" s="1348"/>
      <c r="I8" s="1348"/>
      <c r="K8" s="1348"/>
      <c r="N8" s="1348"/>
      <c r="P8" s="1348">
        <v>10613079</v>
      </c>
      <c r="S8" s="109"/>
    </row>
    <row r="9" spans="1:21">
      <c r="A9" s="1355"/>
      <c r="C9" s="1352"/>
      <c r="E9" s="1348"/>
      <c r="G9" s="1348"/>
      <c r="I9" s="1348"/>
      <c r="K9" s="1348"/>
      <c r="N9" s="1348"/>
      <c r="P9" s="1348">
        <v>0</v>
      </c>
    </row>
    <row r="10" spans="1:21">
      <c r="A10" s="822" t="s">
        <v>800</v>
      </c>
      <c r="B10" s="1356"/>
      <c r="C10" s="1357"/>
      <c r="D10" s="1356"/>
      <c r="E10" s="1357"/>
      <c r="F10" s="1356"/>
      <c r="G10" s="1357"/>
      <c r="H10" s="1356"/>
      <c r="I10" s="1357"/>
      <c r="J10" s="1356"/>
      <c r="K10" s="1357"/>
      <c r="L10" s="1356"/>
      <c r="M10" s="1356"/>
      <c r="N10" s="1357"/>
      <c r="O10" s="1356"/>
      <c r="P10" s="1357">
        <v>3660000</v>
      </c>
    </row>
    <row r="11" spans="1:21">
      <c r="A11" s="760" t="s">
        <v>801</v>
      </c>
      <c r="C11" s="1352"/>
      <c r="E11" s="1348"/>
      <c r="G11" s="1348"/>
      <c r="I11" s="1348"/>
      <c r="K11" s="1348"/>
      <c r="N11" s="1348"/>
      <c r="P11" s="1348">
        <v>2877977</v>
      </c>
    </row>
    <row r="12" spans="1:21">
      <c r="A12" s="822" t="s">
        <v>790</v>
      </c>
      <c r="B12" s="1356"/>
      <c r="C12" s="1357"/>
      <c r="D12" s="1356"/>
      <c r="E12" s="1357"/>
      <c r="F12" s="1356"/>
      <c r="G12" s="1357"/>
      <c r="H12" s="1356"/>
      <c r="I12" s="1357"/>
      <c r="J12" s="1356"/>
      <c r="K12" s="1357"/>
      <c r="L12" s="1356"/>
      <c r="M12" s="1356"/>
      <c r="N12" s="1357"/>
      <c r="O12" s="1356"/>
      <c r="P12" s="1357">
        <v>1830000</v>
      </c>
    </row>
    <row r="13" spans="1:21">
      <c r="A13" s="760" t="s">
        <v>802</v>
      </c>
      <c r="C13" s="1352"/>
      <c r="E13" s="1348"/>
      <c r="G13" s="1348"/>
      <c r="I13" s="1348"/>
      <c r="K13" s="1348"/>
      <c r="N13" s="1348"/>
      <c r="P13" s="1348">
        <v>1101527</v>
      </c>
      <c r="R13" s="1358"/>
      <c r="S13" s="1359"/>
      <c r="T13" s="1360"/>
      <c r="U13" s="109"/>
    </row>
    <row r="14" spans="1:21">
      <c r="A14" s="41" t="s">
        <v>170</v>
      </c>
      <c r="B14" s="1345"/>
      <c r="C14" s="1352"/>
      <c r="E14" s="1348"/>
      <c r="G14" s="1348"/>
      <c r="I14" s="1348"/>
      <c r="K14" s="1348"/>
      <c r="N14" s="1348"/>
      <c r="P14" s="1348">
        <v>1374929</v>
      </c>
      <c r="S14" s="109">
        <v>34240983.545975</v>
      </c>
    </row>
    <row r="15" spans="1:21" ht="7.5" customHeight="1">
      <c r="A15" s="41"/>
      <c r="B15" s="1345"/>
      <c r="C15" s="1352"/>
      <c r="E15" s="1348"/>
      <c r="G15" s="1348"/>
      <c r="I15" s="1348"/>
      <c r="K15" s="1348"/>
      <c r="N15" s="1348"/>
      <c r="P15" s="1348"/>
    </row>
    <row r="16" spans="1:21">
      <c r="A16" s="1361" t="s">
        <v>803</v>
      </c>
      <c r="B16" s="1362"/>
      <c r="C16" s="1363">
        <v>10613079</v>
      </c>
      <c r="D16" s="1364"/>
      <c r="E16" s="1365">
        <v>0</v>
      </c>
      <c r="F16" s="1364"/>
      <c r="G16" s="1365">
        <v>6537977</v>
      </c>
      <c r="H16" s="1364"/>
      <c r="I16" s="1365">
        <v>1830000</v>
      </c>
      <c r="J16" s="1364"/>
      <c r="K16" s="1365">
        <v>1101527</v>
      </c>
      <c r="L16" s="1364"/>
      <c r="M16" s="1364"/>
      <c r="N16" s="1365">
        <v>0</v>
      </c>
      <c r="O16" s="1364"/>
      <c r="P16" s="1365">
        <v>21457512</v>
      </c>
      <c r="Q16" s="85">
        <v>21457512</v>
      </c>
      <c r="R16" s="1366">
        <v>20082583</v>
      </c>
      <c r="S16" s="1367">
        <v>55698495.545975</v>
      </c>
      <c r="T16" s="1360"/>
      <c r="U16" s="151"/>
    </row>
    <row r="17" spans="1:21">
      <c r="A17" s="28"/>
      <c r="B17" s="1348"/>
      <c r="C17" s="1352"/>
      <c r="E17" s="1348"/>
      <c r="G17" s="1348"/>
      <c r="I17" s="1348"/>
      <c r="K17" s="1348"/>
      <c r="N17" s="1348"/>
      <c r="P17" s="1348"/>
      <c r="S17" s="109">
        <v>34240983.545975</v>
      </c>
    </row>
    <row r="18" spans="1:21">
      <c r="A18" s="1350" t="s">
        <v>745</v>
      </c>
      <c r="B18" s="1368"/>
      <c r="C18" s="1352"/>
      <c r="E18" s="1348"/>
      <c r="G18" s="1348"/>
      <c r="I18" s="1348"/>
      <c r="K18" s="1348"/>
      <c r="N18" s="1348"/>
      <c r="P18" s="1348"/>
    </row>
    <row r="19" spans="1:21" ht="7.5" customHeight="1">
      <c r="A19" s="1369"/>
      <c r="B19" s="1370"/>
      <c r="C19" s="1352"/>
      <c r="E19" s="1348"/>
      <c r="G19" s="1348"/>
      <c r="I19" s="1348"/>
      <c r="K19" s="1348"/>
      <c r="N19" s="1348"/>
      <c r="P19" s="1348"/>
    </row>
    <row r="20" spans="1:21">
      <c r="A20" s="1369" t="s">
        <v>746</v>
      </c>
      <c r="B20" s="1370"/>
      <c r="C20" s="1352"/>
      <c r="E20" s="1348"/>
      <c r="G20" s="1348"/>
      <c r="I20" s="1348"/>
      <c r="K20" s="1348"/>
      <c r="N20" s="1348"/>
      <c r="P20" s="1348"/>
    </row>
    <row r="21" spans="1:21">
      <c r="A21" s="1371" t="s">
        <v>747</v>
      </c>
      <c r="B21" s="1372"/>
      <c r="C21" s="1357"/>
      <c r="D21" s="1356"/>
      <c r="E21" s="1357"/>
      <c r="F21" s="1356"/>
      <c r="G21" s="1357"/>
      <c r="H21" s="1356"/>
      <c r="I21" s="1357"/>
      <c r="J21" s="1356"/>
      <c r="K21" s="1357"/>
      <c r="L21" s="1356"/>
      <c r="M21" s="1356"/>
      <c r="N21" s="1357"/>
      <c r="O21" s="1356"/>
      <c r="P21" s="1357">
        <v>0</v>
      </c>
      <c r="Q21" s="109">
        <v>0</v>
      </c>
      <c r="R21" s="182">
        <v>0</v>
      </c>
      <c r="S21" s="1348"/>
      <c r="T21" s="1331"/>
      <c r="U21" s="1348"/>
    </row>
    <row r="22" spans="1:21">
      <c r="A22" s="822" t="s">
        <v>748</v>
      </c>
      <c r="B22" s="1357">
        <v>4656689.82</v>
      </c>
      <c r="C22" s="1357"/>
      <c r="D22" s="1356"/>
      <c r="E22" s="1357"/>
      <c r="F22" s="1356"/>
      <c r="G22" s="1357">
        <v>4656689.82</v>
      </c>
      <c r="H22" s="1356"/>
      <c r="I22" s="1357"/>
      <c r="J22" s="1356"/>
      <c r="K22" s="1357"/>
      <c r="L22" s="1356"/>
      <c r="M22" s="1356"/>
      <c r="N22" s="1357"/>
      <c r="O22" s="1356"/>
      <c r="P22" s="1357">
        <v>4656689.82</v>
      </c>
      <c r="Q22" s="109">
        <v>0</v>
      </c>
      <c r="R22" s="182">
        <v>0</v>
      </c>
    </row>
    <row r="23" spans="1:21">
      <c r="A23" s="760"/>
      <c r="B23" s="1348"/>
      <c r="C23" s="1352"/>
      <c r="E23" s="1348"/>
      <c r="G23" s="1348"/>
      <c r="I23" s="1348"/>
      <c r="K23" s="1348"/>
      <c r="N23" s="1348"/>
      <c r="P23" s="1348">
        <v>0</v>
      </c>
      <c r="Q23" s="109">
        <v>0</v>
      </c>
      <c r="R23" s="182">
        <v>0</v>
      </c>
    </row>
    <row r="24" spans="1:21">
      <c r="A24" s="1369" t="s">
        <v>749</v>
      </c>
      <c r="B24" s="1370"/>
      <c r="C24" s="1352"/>
      <c r="E24" s="1348"/>
      <c r="G24" s="1348"/>
      <c r="I24" s="1348"/>
      <c r="K24" s="1348"/>
      <c r="N24" s="1348"/>
      <c r="P24" s="1348">
        <v>0</v>
      </c>
      <c r="Q24" s="109">
        <v>0</v>
      </c>
      <c r="R24" s="182">
        <v>0</v>
      </c>
    </row>
    <row r="25" spans="1:21">
      <c r="A25" s="1371" t="s">
        <v>750</v>
      </c>
      <c r="B25" s="1372">
        <v>3016378</v>
      </c>
      <c r="C25" s="1373">
        <v>3016378</v>
      </c>
      <c r="D25" s="1356"/>
      <c r="E25" s="1357"/>
      <c r="F25" s="1356"/>
      <c r="G25" s="1357"/>
      <c r="H25" s="1356"/>
      <c r="I25" s="1357"/>
      <c r="J25" s="1356"/>
      <c r="K25" s="1357"/>
      <c r="L25" s="1356"/>
      <c r="M25" s="1356"/>
      <c r="N25" s="1357"/>
      <c r="O25" s="1356"/>
      <c r="P25" s="1357">
        <v>3016378</v>
      </c>
      <c r="Q25" s="109">
        <v>0</v>
      </c>
      <c r="R25" s="182"/>
    </row>
    <row r="26" spans="1:21">
      <c r="A26" s="1371" t="s">
        <v>751</v>
      </c>
      <c r="B26" s="1372">
        <v>326932.18</v>
      </c>
      <c r="C26" s="1373"/>
      <c r="D26" s="1356"/>
      <c r="E26" s="1357"/>
      <c r="F26" s="1356"/>
      <c r="G26" s="1357">
        <v>76932.179999999993</v>
      </c>
      <c r="H26" s="1356"/>
      <c r="I26" s="1357"/>
      <c r="J26" s="1356"/>
      <c r="K26" s="1357"/>
      <c r="L26" s="1356"/>
      <c r="M26" s="1356"/>
      <c r="N26" s="1357"/>
      <c r="O26" s="1356"/>
      <c r="P26" s="1357">
        <v>326932.18</v>
      </c>
      <c r="Q26" s="109">
        <v>0</v>
      </c>
      <c r="R26" s="182"/>
    </row>
    <row r="27" spans="1:21">
      <c r="A27" s="760" t="s">
        <v>752</v>
      </c>
      <c r="B27" s="1348">
        <v>29663009</v>
      </c>
      <c r="C27" s="1374"/>
      <c r="E27" s="1348"/>
      <c r="G27" s="1348">
        <v>6772168.4199999999</v>
      </c>
      <c r="I27" s="1348"/>
      <c r="K27" s="1348"/>
      <c r="N27" s="1348"/>
      <c r="P27" s="1348">
        <v>29663009</v>
      </c>
      <c r="Q27" s="109">
        <v>0</v>
      </c>
      <c r="R27" s="182">
        <v>0</v>
      </c>
      <c r="S27" s="109">
        <v>-7542929</v>
      </c>
    </row>
    <row r="28" spans="1:21">
      <c r="A28" s="760" t="s">
        <v>753</v>
      </c>
      <c r="B28" s="1348">
        <v>1833281</v>
      </c>
      <c r="C28" s="1374">
        <v>1833281</v>
      </c>
      <c r="E28" s="1348"/>
      <c r="G28" s="1348"/>
      <c r="I28" s="1348"/>
      <c r="K28" s="1348"/>
      <c r="N28" s="1348"/>
      <c r="P28" s="1348">
        <v>1833281</v>
      </c>
      <c r="Q28" s="109">
        <v>0</v>
      </c>
      <c r="R28" s="182"/>
      <c r="S28" s="109"/>
    </row>
    <row r="29" spans="1:21">
      <c r="A29" s="760" t="s">
        <v>107</v>
      </c>
      <c r="B29" s="1348">
        <v>1795459.6</v>
      </c>
      <c r="C29" s="1352"/>
      <c r="E29" s="1348"/>
      <c r="G29" s="1348">
        <v>1795459.6</v>
      </c>
      <c r="I29" s="1348"/>
      <c r="K29" s="1348"/>
      <c r="N29" s="1348"/>
      <c r="P29" s="1348">
        <v>1795459.6</v>
      </c>
      <c r="Q29" s="109">
        <v>0</v>
      </c>
      <c r="R29" s="182">
        <v>0</v>
      </c>
    </row>
    <row r="30" spans="1:21">
      <c r="A30" s="760" t="s">
        <v>230</v>
      </c>
      <c r="B30" s="1348">
        <v>662560</v>
      </c>
      <c r="C30" s="1374">
        <v>662560</v>
      </c>
      <c r="E30" s="1348"/>
      <c r="G30" s="1348"/>
      <c r="I30" s="1348"/>
      <c r="K30" s="1348"/>
      <c r="N30" s="1348"/>
      <c r="P30" s="1348">
        <v>662560</v>
      </c>
      <c r="Q30" s="109">
        <v>0</v>
      </c>
      <c r="R30" s="182">
        <v>0</v>
      </c>
      <c r="S30">
        <v>1659007</v>
      </c>
    </row>
    <row r="31" spans="1:21">
      <c r="A31" s="760" t="s">
        <v>229</v>
      </c>
      <c r="B31" s="1348">
        <v>1875171</v>
      </c>
      <c r="C31" s="1374">
        <v>1875171</v>
      </c>
      <c r="E31" s="1348"/>
      <c r="G31" s="1348">
        <v>0</v>
      </c>
      <c r="I31" s="1348"/>
      <c r="K31" s="1348"/>
      <c r="N31" s="1348"/>
      <c r="P31" s="1348">
        <v>1875171</v>
      </c>
      <c r="Q31" s="109">
        <v>0</v>
      </c>
      <c r="R31" s="182"/>
    </row>
    <row r="32" spans="1:21">
      <c r="A32" s="760" t="s">
        <v>754</v>
      </c>
      <c r="B32" s="1348">
        <v>1875171</v>
      </c>
      <c r="C32" s="1374">
        <v>1875171</v>
      </c>
      <c r="E32" s="1348"/>
      <c r="G32" s="1348"/>
      <c r="I32" s="1348"/>
      <c r="K32" s="1348"/>
      <c r="N32" s="1348"/>
      <c r="P32" s="1348">
        <v>1875171</v>
      </c>
      <c r="Q32" s="109">
        <v>0</v>
      </c>
      <c r="R32" s="182">
        <v>0</v>
      </c>
      <c r="S32" s="109">
        <v>1548407</v>
      </c>
    </row>
    <row r="33" spans="1:19">
      <c r="A33" s="760" t="s">
        <v>755</v>
      </c>
      <c r="B33" s="1348">
        <v>255000</v>
      </c>
      <c r="C33" s="1374">
        <v>255000</v>
      </c>
      <c r="E33" s="1348"/>
      <c r="G33" s="1348"/>
      <c r="I33" s="1348"/>
      <c r="K33" s="1348"/>
      <c r="N33" s="1348"/>
      <c r="P33" s="1348">
        <v>255000</v>
      </c>
      <c r="Q33" s="109">
        <v>0</v>
      </c>
      <c r="R33" s="182">
        <v>0</v>
      </c>
    </row>
    <row r="34" spans="1:19">
      <c r="A34" s="760" t="s">
        <v>231</v>
      </c>
      <c r="B34" s="1348">
        <v>400000</v>
      </c>
      <c r="C34" s="1374"/>
      <c r="E34" s="1348"/>
      <c r="G34" s="1348"/>
      <c r="I34" s="1348"/>
      <c r="K34" s="1348"/>
      <c r="N34" s="1348"/>
      <c r="P34" s="1348">
        <v>470000</v>
      </c>
      <c r="Q34" s="109">
        <v>-70000</v>
      </c>
      <c r="R34" s="182">
        <v>-70000</v>
      </c>
      <c r="S34" s="109">
        <v>38429651.600000001</v>
      </c>
    </row>
    <row r="35" spans="1:19" hidden="1">
      <c r="A35" s="1355" t="s">
        <v>756</v>
      </c>
      <c r="B35" s="1375"/>
      <c r="C35" s="1352"/>
      <c r="E35" s="1348"/>
      <c r="G35" s="1348"/>
      <c r="I35" s="1348"/>
      <c r="K35" s="1348"/>
      <c r="N35" s="1348"/>
      <c r="P35" s="1348">
        <v>0</v>
      </c>
      <c r="Q35" s="109">
        <v>0</v>
      </c>
      <c r="R35" s="1376">
        <v>0</v>
      </c>
    </row>
    <row r="36" spans="1:19" hidden="1">
      <c r="A36" s="1355" t="s">
        <v>757</v>
      </c>
      <c r="B36" s="1375"/>
      <c r="C36" s="1352"/>
      <c r="E36" s="1348"/>
      <c r="G36" s="1348"/>
      <c r="I36" s="1348"/>
      <c r="K36" s="1348"/>
      <c r="N36" s="1348"/>
      <c r="P36" s="1348">
        <v>0</v>
      </c>
      <c r="Q36" s="109">
        <v>0</v>
      </c>
      <c r="R36" s="1376">
        <v>0</v>
      </c>
    </row>
    <row r="37" spans="1:19" hidden="1">
      <c r="A37" s="1355" t="s">
        <v>758</v>
      </c>
      <c r="B37" s="1375"/>
      <c r="C37" s="1352"/>
      <c r="E37" s="1348"/>
      <c r="G37" s="1348"/>
      <c r="I37" s="1348"/>
      <c r="K37" s="1348"/>
      <c r="N37" s="1348"/>
      <c r="P37" s="1348">
        <v>0</v>
      </c>
      <c r="Q37" s="109">
        <v>0</v>
      </c>
      <c r="R37" s="1376">
        <v>0</v>
      </c>
    </row>
    <row r="38" spans="1:19" hidden="1">
      <c r="A38" s="1355" t="s">
        <v>441</v>
      </c>
      <c r="B38" s="1375"/>
      <c r="C38" s="1352"/>
      <c r="E38" s="1348"/>
      <c r="G38" s="1348"/>
      <c r="I38" s="1348"/>
      <c r="K38" s="1348"/>
      <c r="N38" s="1348"/>
      <c r="P38" s="1348">
        <v>0</v>
      </c>
      <c r="Q38" s="109">
        <v>0</v>
      </c>
      <c r="R38" s="1376">
        <v>0</v>
      </c>
    </row>
    <row r="39" spans="1:19" hidden="1">
      <c r="A39" s="1355" t="s">
        <v>759</v>
      </c>
      <c r="B39" s="1375"/>
      <c r="C39" s="1352"/>
      <c r="E39" s="1348"/>
      <c r="G39" s="1348"/>
      <c r="I39" s="1348"/>
      <c r="K39" s="1348"/>
      <c r="N39" s="1348"/>
      <c r="P39" s="1348">
        <v>0</v>
      </c>
      <c r="Q39" s="109">
        <v>0</v>
      </c>
      <c r="R39" s="1376">
        <v>0</v>
      </c>
    </row>
    <row r="40" spans="1:19" hidden="1">
      <c r="A40" s="1355" t="s">
        <v>760</v>
      </c>
      <c r="B40" s="1375"/>
      <c r="C40" s="1352"/>
      <c r="E40" s="1348"/>
      <c r="G40" s="1348"/>
      <c r="I40" s="1348"/>
      <c r="K40" s="1348"/>
      <c r="N40" s="1348"/>
      <c r="P40" s="1348">
        <v>0</v>
      </c>
      <c r="Q40" s="109">
        <v>0</v>
      </c>
      <c r="R40" s="1376">
        <v>0</v>
      </c>
    </row>
    <row r="41" spans="1:19" hidden="1">
      <c r="A41" s="1355" t="s">
        <v>761</v>
      </c>
      <c r="B41" s="1375"/>
      <c r="C41" s="1352"/>
      <c r="E41" s="1348"/>
      <c r="G41" s="1348"/>
      <c r="I41" s="1348"/>
      <c r="K41" s="1348"/>
      <c r="N41" s="1348"/>
      <c r="P41" s="1348">
        <v>0</v>
      </c>
      <c r="Q41" s="109">
        <v>0</v>
      </c>
      <c r="R41" s="1376">
        <v>0</v>
      </c>
    </row>
    <row r="42" spans="1:19" hidden="1">
      <c r="A42" s="1355" t="s">
        <v>762</v>
      </c>
      <c r="B42" s="1375"/>
      <c r="C42" s="1352"/>
      <c r="E42" s="1348"/>
      <c r="G42" s="1348"/>
      <c r="I42" s="1348"/>
      <c r="K42" s="1348"/>
      <c r="N42" s="1348"/>
      <c r="P42" s="1348">
        <v>0</v>
      </c>
      <c r="Q42" s="109">
        <v>0</v>
      </c>
      <c r="R42" s="1376">
        <v>0</v>
      </c>
    </row>
    <row r="43" spans="1:19" hidden="1">
      <c r="A43" s="1355" t="s">
        <v>763</v>
      </c>
      <c r="B43" s="1375"/>
      <c r="C43" s="1352"/>
      <c r="E43" s="1348"/>
      <c r="G43" s="1348"/>
      <c r="I43" s="1348"/>
      <c r="K43" s="1348"/>
      <c r="N43" s="1348"/>
      <c r="P43" s="1348">
        <v>0</v>
      </c>
      <c r="Q43" s="109">
        <v>0</v>
      </c>
      <c r="R43" s="1376">
        <v>0</v>
      </c>
    </row>
    <row r="44" spans="1:19">
      <c r="A44" s="1369"/>
      <c r="B44" s="1370"/>
      <c r="C44" s="1352"/>
      <c r="E44" s="1348"/>
      <c r="G44" s="1348"/>
      <c r="I44" s="1348"/>
      <c r="K44" s="1348"/>
      <c r="N44" s="1348"/>
      <c r="P44" s="1348">
        <v>0</v>
      </c>
      <c r="Q44" s="109">
        <v>0</v>
      </c>
      <c r="R44" s="1376">
        <v>0</v>
      </c>
      <c r="S44" s="109"/>
    </row>
    <row r="45" spans="1:19">
      <c r="A45" s="1369" t="s">
        <v>764</v>
      </c>
      <c r="B45" s="1370"/>
      <c r="C45" s="1352"/>
      <c r="E45" s="1348"/>
      <c r="G45" s="1348"/>
      <c r="I45" s="1348"/>
      <c r="K45" s="1348"/>
      <c r="N45" s="1348"/>
      <c r="P45" s="1348">
        <v>0</v>
      </c>
      <c r="Q45" s="109">
        <v>0</v>
      </c>
      <c r="R45" s="1376">
        <v>0</v>
      </c>
    </row>
    <row r="46" spans="1:19">
      <c r="A46" s="1355" t="s">
        <v>234</v>
      </c>
      <c r="B46" s="1375">
        <v>20000</v>
      </c>
      <c r="C46" s="1352"/>
      <c r="E46" s="1348"/>
      <c r="G46" s="1348"/>
      <c r="I46" s="1348"/>
      <c r="K46" s="1348">
        <v>20000</v>
      </c>
      <c r="N46" s="1348"/>
      <c r="P46" s="1348">
        <v>20000</v>
      </c>
      <c r="Q46" s="109">
        <v>0</v>
      </c>
      <c r="R46" s="1376">
        <v>0</v>
      </c>
    </row>
    <row r="47" spans="1:19">
      <c r="A47" s="1355" t="s">
        <v>235</v>
      </c>
      <c r="B47" s="1375">
        <v>20000</v>
      </c>
      <c r="C47" s="1352"/>
      <c r="E47" s="1348"/>
      <c r="G47" s="1348"/>
      <c r="I47" s="1348"/>
      <c r="K47" s="1348">
        <v>20000</v>
      </c>
      <c r="N47" s="1348"/>
      <c r="P47" s="1348">
        <v>20000</v>
      </c>
      <c r="Q47" s="109">
        <v>0</v>
      </c>
      <c r="R47" s="1376">
        <v>0</v>
      </c>
    </row>
    <row r="48" spans="1:19">
      <c r="A48" s="1355" t="s">
        <v>236</v>
      </c>
      <c r="B48" s="1375">
        <v>25000</v>
      </c>
      <c r="C48" s="1374"/>
      <c r="E48" s="1348"/>
      <c r="G48" s="1348"/>
      <c r="I48" s="1348"/>
      <c r="K48" s="1348">
        <v>8792</v>
      </c>
      <c r="N48" s="1348"/>
      <c r="P48" s="1348">
        <v>25000</v>
      </c>
      <c r="Q48" s="109">
        <v>0</v>
      </c>
      <c r="R48" s="1376"/>
    </row>
    <row r="49" spans="1:18">
      <c r="A49" s="1355" t="s">
        <v>237</v>
      </c>
      <c r="B49" s="1375">
        <v>80000</v>
      </c>
      <c r="C49" s="1374"/>
      <c r="E49" s="1348"/>
      <c r="G49" s="1348"/>
      <c r="I49" s="1348"/>
      <c r="K49" s="1348">
        <v>-5688</v>
      </c>
      <c r="N49" s="1348"/>
      <c r="P49" s="1348">
        <v>80000</v>
      </c>
      <c r="Q49" s="109">
        <v>0</v>
      </c>
      <c r="R49" s="1376"/>
    </row>
    <row r="50" spans="1:18">
      <c r="A50" s="1355" t="s">
        <v>238</v>
      </c>
      <c r="B50" s="1375">
        <v>16000</v>
      </c>
      <c r="C50" s="1352"/>
      <c r="E50" s="1348"/>
      <c r="G50" s="1348"/>
      <c r="I50" s="1348"/>
      <c r="K50" s="1348">
        <v>16000</v>
      </c>
      <c r="N50" s="1348"/>
      <c r="P50" s="1348">
        <v>16000</v>
      </c>
      <c r="Q50" s="109">
        <v>0</v>
      </c>
      <c r="R50" s="1376"/>
    </row>
    <row r="51" spans="1:18">
      <c r="A51" s="1355" t="s">
        <v>239</v>
      </c>
      <c r="B51" s="1375">
        <v>0</v>
      </c>
      <c r="C51" s="1352"/>
      <c r="E51" s="1348"/>
      <c r="G51" s="1348"/>
      <c r="I51" s="1348"/>
      <c r="K51" s="1348">
        <v>0</v>
      </c>
      <c r="N51" s="1348"/>
      <c r="P51" s="1348">
        <v>0</v>
      </c>
      <c r="Q51" s="109">
        <v>0</v>
      </c>
      <c r="R51" s="1376"/>
    </row>
    <row r="52" spans="1:18">
      <c r="A52" s="1355" t="s">
        <v>913</v>
      </c>
      <c r="B52" s="1375">
        <v>320000</v>
      </c>
      <c r="C52" s="1352"/>
      <c r="E52" s="1348"/>
      <c r="G52" s="1348"/>
      <c r="I52" s="1348"/>
      <c r="K52" s="1348">
        <v>320000</v>
      </c>
      <c r="N52" s="1348"/>
      <c r="P52" s="1348">
        <v>320000</v>
      </c>
      <c r="Q52" s="109">
        <v>0</v>
      </c>
      <c r="R52" s="1376"/>
    </row>
    <row r="53" spans="1:18">
      <c r="A53" s="1355" t="s">
        <v>914</v>
      </c>
      <c r="B53" s="1375">
        <v>256000</v>
      </c>
      <c r="C53" s="1352"/>
      <c r="E53" s="1348"/>
      <c r="G53" s="1348"/>
      <c r="I53" s="1348"/>
      <c r="K53" s="1348"/>
      <c r="N53" s="1348"/>
      <c r="P53" s="1348">
        <v>256000</v>
      </c>
      <c r="Q53" s="109">
        <v>0</v>
      </c>
      <c r="R53" s="1376"/>
    </row>
    <row r="54" spans="1:18">
      <c r="A54" s="1355" t="s">
        <v>915</v>
      </c>
      <c r="B54" s="1375">
        <v>2925000</v>
      </c>
      <c r="C54" s="1352"/>
      <c r="E54" s="1348"/>
      <c r="G54" s="1348"/>
      <c r="I54" s="1348">
        <v>1309196.33</v>
      </c>
      <c r="K54" s="1348">
        <v>1010584.67</v>
      </c>
      <c r="N54" s="1348"/>
      <c r="P54" s="1348">
        <v>2319781</v>
      </c>
      <c r="Q54" s="109">
        <v>605219</v>
      </c>
      <c r="R54" s="1376">
        <v>605219</v>
      </c>
    </row>
    <row r="55" spans="1:18">
      <c r="A55" s="1355" t="s">
        <v>916</v>
      </c>
      <c r="B55" s="1375">
        <v>47500</v>
      </c>
      <c r="C55" s="1352"/>
      <c r="E55" s="1348"/>
      <c r="G55" s="1348"/>
      <c r="I55" s="1348"/>
      <c r="K55" s="1348">
        <v>47500</v>
      </c>
      <c r="N55" s="1348"/>
      <c r="P55" s="1348">
        <v>47500</v>
      </c>
      <c r="Q55" s="109">
        <v>0</v>
      </c>
      <c r="R55" s="1376">
        <v>0</v>
      </c>
    </row>
    <row r="56" spans="1:18">
      <c r="A56" s="1355" t="s">
        <v>917</v>
      </c>
      <c r="B56" s="1375">
        <v>9855</v>
      </c>
      <c r="C56" s="1352"/>
      <c r="E56" s="1348"/>
      <c r="G56" s="1348"/>
      <c r="I56" s="1348"/>
      <c r="K56" s="1348">
        <v>9855</v>
      </c>
      <c r="N56" s="1348"/>
      <c r="P56" s="1348">
        <v>9855</v>
      </c>
      <c r="Q56" s="109">
        <v>0</v>
      </c>
      <c r="R56" s="1376">
        <v>0</v>
      </c>
    </row>
    <row r="57" spans="1:18">
      <c r="A57" s="1355" t="s">
        <v>918</v>
      </c>
      <c r="B57" s="1375">
        <v>50000</v>
      </c>
      <c r="C57" s="1352"/>
      <c r="E57" s="1348"/>
      <c r="G57" s="1348"/>
      <c r="I57" s="1348"/>
      <c r="K57" s="1348">
        <v>-68183.360000000001</v>
      </c>
      <c r="N57" s="1348"/>
      <c r="P57" s="1348">
        <v>25000</v>
      </c>
      <c r="Q57" s="109">
        <v>25000</v>
      </c>
      <c r="R57" s="1376">
        <v>25000</v>
      </c>
    </row>
    <row r="58" spans="1:18">
      <c r="A58" s="1355" t="s">
        <v>919</v>
      </c>
      <c r="B58" s="1375">
        <v>175000</v>
      </c>
      <c r="C58" s="1352"/>
      <c r="E58" s="1348"/>
      <c r="G58" s="1348"/>
      <c r="I58" s="1348"/>
      <c r="K58" s="1348">
        <v>175000</v>
      </c>
      <c r="N58" s="1348"/>
      <c r="P58" s="1348">
        <v>175000</v>
      </c>
      <c r="Q58" s="109">
        <v>0</v>
      </c>
      <c r="R58" s="1376">
        <v>0</v>
      </c>
    </row>
    <row r="59" spans="1:18">
      <c r="A59" s="1355" t="s">
        <v>920</v>
      </c>
      <c r="B59" s="1375">
        <v>737600</v>
      </c>
      <c r="C59" s="1374">
        <v>737600</v>
      </c>
      <c r="E59" s="1348"/>
      <c r="G59" s="1348"/>
      <c r="I59" s="1348"/>
      <c r="K59" s="1348"/>
      <c r="N59" s="1348"/>
      <c r="P59" s="1348">
        <v>737600</v>
      </c>
      <c r="Q59" s="109">
        <v>0</v>
      </c>
      <c r="R59" s="1376">
        <v>0</v>
      </c>
    </row>
    <row r="60" spans="1:18">
      <c r="A60" s="1355" t="s">
        <v>250</v>
      </c>
      <c r="B60" s="1375">
        <v>20000</v>
      </c>
      <c r="C60" s="1374">
        <v>20000</v>
      </c>
      <c r="E60" s="1348"/>
      <c r="G60" s="1348"/>
      <c r="I60" s="1348"/>
      <c r="K60" s="1348"/>
      <c r="N60" s="1348"/>
      <c r="P60" s="1348">
        <v>20000</v>
      </c>
      <c r="Q60" s="109">
        <v>-2.91038304567337E-11</v>
      </c>
      <c r="R60" s="1376">
        <v>-2.91038304567337E-11</v>
      </c>
    </row>
    <row r="61" spans="1:18">
      <c r="A61" s="1355" t="s">
        <v>251</v>
      </c>
      <c r="B61" s="1375">
        <v>275000</v>
      </c>
      <c r="C61" s="1374"/>
      <c r="E61" s="1348"/>
      <c r="G61" s="1348"/>
      <c r="I61" s="1348"/>
      <c r="K61" s="1348"/>
      <c r="N61" s="1348"/>
      <c r="P61" s="1348">
        <v>275000</v>
      </c>
      <c r="Q61" s="109">
        <v>0</v>
      </c>
      <c r="R61" s="1376">
        <v>0</v>
      </c>
    </row>
    <row r="62" spans="1:18">
      <c r="A62" s="1355" t="s">
        <v>921</v>
      </c>
      <c r="B62" s="1375">
        <v>40000</v>
      </c>
      <c r="C62" s="1352"/>
      <c r="E62" s="1348"/>
      <c r="G62" s="1348"/>
      <c r="I62" s="1348"/>
      <c r="K62" s="1348"/>
      <c r="N62" s="1348"/>
      <c r="P62" s="1348">
        <v>30000</v>
      </c>
      <c r="Q62" s="109">
        <v>10000</v>
      </c>
      <c r="R62" s="1376">
        <v>10000</v>
      </c>
    </row>
    <row r="63" spans="1:18">
      <c r="A63" s="1355" t="s">
        <v>922</v>
      </c>
      <c r="B63" s="1375">
        <v>150000</v>
      </c>
      <c r="C63" s="1352"/>
      <c r="E63" s="1348"/>
      <c r="G63" s="1348"/>
      <c r="I63" s="1348"/>
      <c r="K63" s="1348"/>
      <c r="N63" s="1348"/>
      <c r="P63" s="1348">
        <v>140000</v>
      </c>
      <c r="Q63" s="109">
        <v>10000</v>
      </c>
      <c r="R63" s="1376">
        <v>10000</v>
      </c>
    </row>
    <row r="64" spans="1:18">
      <c r="A64" s="1355" t="s">
        <v>923</v>
      </c>
      <c r="B64" s="1375">
        <v>150000</v>
      </c>
      <c r="C64" s="1352"/>
      <c r="E64" s="1348"/>
      <c r="G64" s="1348"/>
      <c r="I64" s="1348"/>
      <c r="K64" s="1348"/>
      <c r="N64" s="1348"/>
      <c r="P64" s="1348">
        <v>106200.03</v>
      </c>
      <c r="Q64" s="109">
        <v>43799.97</v>
      </c>
      <c r="R64" s="1376">
        <v>43799.97</v>
      </c>
    </row>
    <row r="65" spans="1:18">
      <c r="A65" s="1355" t="s">
        <v>252</v>
      </c>
      <c r="B65" s="1375">
        <v>200000</v>
      </c>
      <c r="C65" s="1352"/>
      <c r="E65" s="1348"/>
      <c r="G65" s="1348"/>
      <c r="I65" s="1348"/>
      <c r="K65" s="1348">
        <v>142500</v>
      </c>
      <c r="N65" s="1348"/>
      <c r="P65" s="1348">
        <v>142500</v>
      </c>
      <c r="Q65" s="109">
        <v>57500</v>
      </c>
      <c r="R65" s="1376">
        <v>57500</v>
      </c>
    </row>
    <row r="66" spans="1:18">
      <c r="A66" s="1355" t="s">
        <v>253</v>
      </c>
      <c r="B66" s="1375">
        <v>50000</v>
      </c>
      <c r="C66" s="1374"/>
      <c r="E66" s="1348"/>
      <c r="G66" s="1348"/>
      <c r="I66" s="1348">
        <v>12000</v>
      </c>
      <c r="K66" s="1348"/>
      <c r="N66" s="1348"/>
      <c r="P66" s="1348">
        <v>35000</v>
      </c>
      <c r="Q66" s="109">
        <v>15000</v>
      </c>
      <c r="R66" s="1376">
        <v>15000</v>
      </c>
    </row>
    <row r="67" spans="1:18">
      <c r="A67" s="1355" t="s">
        <v>254</v>
      </c>
      <c r="B67" s="1375">
        <v>47600</v>
      </c>
      <c r="C67" s="1352"/>
      <c r="E67" s="1348"/>
      <c r="G67" s="1348">
        <v>47600</v>
      </c>
      <c r="I67" s="1348"/>
      <c r="K67" s="1348"/>
      <c r="N67" s="1348"/>
      <c r="P67" s="1348">
        <v>47600</v>
      </c>
      <c r="Q67" s="109">
        <v>0</v>
      </c>
      <c r="R67" s="1376">
        <v>0</v>
      </c>
    </row>
    <row r="68" spans="1:18">
      <c r="A68" s="1355" t="s">
        <v>255</v>
      </c>
      <c r="B68" s="1375">
        <v>50000</v>
      </c>
      <c r="C68" s="1374"/>
      <c r="E68" s="1348"/>
      <c r="G68" s="1348">
        <v>43800</v>
      </c>
      <c r="I68" s="1348"/>
      <c r="K68" s="1348"/>
      <c r="N68" s="1348"/>
      <c r="P68" s="1348">
        <v>50000</v>
      </c>
      <c r="Q68" s="109">
        <v>0</v>
      </c>
      <c r="R68" s="1376">
        <v>0</v>
      </c>
    </row>
    <row r="69" spans="1:18">
      <c r="A69" s="1355" t="s">
        <v>256</v>
      </c>
      <c r="B69" s="1375">
        <v>0</v>
      </c>
      <c r="C69" s="1352"/>
      <c r="E69" s="1348"/>
      <c r="G69" s="1348">
        <v>0</v>
      </c>
      <c r="I69" s="1348"/>
      <c r="K69" s="1348"/>
      <c r="N69" s="1348"/>
      <c r="P69" s="1348">
        <v>0</v>
      </c>
      <c r="Q69" s="109">
        <v>0</v>
      </c>
      <c r="R69" s="1376">
        <v>0</v>
      </c>
    </row>
    <row r="70" spans="1:18">
      <c r="A70" s="1355" t="s">
        <v>257</v>
      </c>
      <c r="B70" s="1375">
        <v>57400</v>
      </c>
      <c r="C70" s="1374"/>
      <c r="E70" s="1348"/>
      <c r="G70" s="1348"/>
      <c r="I70" s="1348"/>
      <c r="K70" s="1348"/>
      <c r="N70" s="1348"/>
      <c r="P70" s="1348">
        <v>57400</v>
      </c>
      <c r="Q70" s="109">
        <v>0</v>
      </c>
      <c r="R70" s="1376">
        <v>0</v>
      </c>
    </row>
    <row r="71" spans="1:18">
      <c r="A71" s="1355" t="s">
        <v>258</v>
      </c>
      <c r="B71" s="1375">
        <v>152000</v>
      </c>
      <c r="C71" s="1352"/>
      <c r="E71" s="1348"/>
      <c r="G71" s="1348"/>
      <c r="I71" s="1348"/>
      <c r="K71" s="1348">
        <v>152000</v>
      </c>
      <c r="N71" s="1348"/>
      <c r="P71" s="1348">
        <v>152000</v>
      </c>
      <c r="Q71" s="109">
        <v>0</v>
      </c>
      <c r="R71" s="1376">
        <v>0</v>
      </c>
    </row>
    <row r="72" spans="1:18">
      <c r="A72" s="1355" t="s">
        <v>924</v>
      </c>
      <c r="B72" s="1375">
        <v>15250</v>
      </c>
      <c r="C72" s="1352"/>
      <c r="E72" s="1348"/>
      <c r="G72" s="1348"/>
      <c r="I72" s="1348"/>
      <c r="K72" s="1348">
        <v>15250</v>
      </c>
      <c r="N72" s="1348"/>
      <c r="P72" s="1348">
        <v>15250</v>
      </c>
      <c r="Q72" s="109">
        <v>0</v>
      </c>
      <c r="R72" s="1376">
        <v>0</v>
      </c>
    </row>
    <row r="73" spans="1:18">
      <c r="A73" s="1355" t="s">
        <v>925</v>
      </c>
      <c r="B73" s="1375">
        <v>50000</v>
      </c>
      <c r="C73" s="1352"/>
      <c r="E73" s="1348"/>
      <c r="G73" s="1348"/>
      <c r="I73" s="1348"/>
      <c r="K73" s="1348"/>
      <c r="N73" s="1348"/>
      <c r="P73" s="1348">
        <v>50000</v>
      </c>
      <c r="Q73" s="109">
        <v>0</v>
      </c>
      <c r="R73" s="1376">
        <v>0</v>
      </c>
    </row>
    <row r="74" spans="1:18">
      <c r="A74" s="1355" t="s">
        <v>261</v>
      </c>
      <c r="B74" s="1375">
        <v>128700</v>
      </c>
      <c r="C74" s="1352"/>
      <c r="E74" s="1348"/>
      <c r="G74" s="1348"/>
      <c r="I74" s="1348"/>
      <c r="K74" s="1348"/>
      <c r="N74" s="1348"/>
      <c r="P74" s="1348">
        <v>112000</v>
      </c>
      <c r="Q74" s="109">
        <v>16700</v>
      </c>
      <c r="R74" s="1376">
        <v>16700</v>
      </c>
    </row>
    <row r="75" spans="1:18">
      <c r="A75" s="1355" t="s">
        <v>262</v>
      </c>
      <c r="B75" s="1375">
        <v>50000</v>
      </c>
      <c r="C75" s="1352"/>
      <c r="E75" s="1348"/>
      <c r="G75" s="1348"/>
      <c r="I75" s="1348"/>
      <c r="K75" s="1348"/>
      <c r="N75" s="1348"/>
      <c r="P75" s="1348">
        <v>30000</v>
      </c>
      <c r="Q75" s="109">
        <v>20000</v>
      </c>
      <c r="R75" s="1376">
        <v>20000</v>
      </c>
    </row>
    <row r="76" spans="1:18">
      <c r="A76" s="1355" t="s">
        <v>263</v>
      </c>
      <c r="B76" s="1375">
        <v>212056</v>
      </c>
      <c r="C76" s="1374"/>
      <c r="E76" s="1348"/>
      <c r="G76" s="1348"/>
      <c r="I76" s="1348"/>
      <c r="K76" s="1348"/>
      <c r="N76" s="1348"/>
      <c r="P76" s="1348">
        <v>190492.4</v>
      </c>
      <c r="Q76" s="109">
        <v>21563.599999999999</v>
      </c>
      <c r="R76" s="1377">
        <v>21563.599999999999</v>
      </c>
    </row>
    <row r="77" spans="1:18">
      <c r="A77" s="1355" t="s">
        <v>264</v>
      </c>
      <c r="B77" s="1375">
        <v>5000</v>
      </c>
      <c r="C77" s="1352"/>
      <c r="E77" s="1348"/>
      <c r="G77" s="1348"/>
      <c r="I77" s="1348"/>
      <c r="K77" s="1348"/>
      <c r="N77" s="1348"/>
      <c r="P77" s="1348">
        <v>0</v>
      </c>
      <c r="Q77" s="109">
        <v>5000</v>
      </c>
      <c r="R77" s="1377"/>
    </row>
    <row r="78" spans="1:18">
      <c r="A78" s="1355" t="s">
        <v>265</v>
      </c>
      <c r="B78" s="1375">
        <v>10000</v>
      </c>
      <c r="C78" s="1352"/>
      <c r="E78" s="1348"/>
      <c r="G78" s="1348"/>
      <c r="I78" s="1348"/>
      <c r="K78" s="1348"/>
      <c r="N78" s="1348"/>
      <c r="P78" s="1348">
        <v>10000</v>
      </c>
      <c r="Q78" s="109">
        <v>0</v>
      </c>
      <c r="R78" s="1376">
        <v>0</v>
      </c>
    </row>
    <row r="79" spans="1:18">
      <c r="A79" s="1355" t="s">
        <v>926</v>
      </c>
      <c r="B79" s="1375">
        <v>5910</v>
      </c>
      <c r="C79" s="1352"/>
      <c r="E79" s="1348"/>
      <c r="G79" s="1348"/>
      <c r="I79" s="1348"/>
      <c r="K79" s="1348">
        <v>5910</v>
      </c>
      <c r="N79" s="1348"/>
      <c r="P79" s="1348">
        <v>5910</v>
      </c>
      <c r="Q79" s="109">
        <v>0</v>
      </c>
      <c r="R79" s="1376">
        <v>0</v>
      </c>
    </row>
    <row r="80" spans="1:18">
      <c r="A80" s="1355" t="s">
        <v>927</v>
      </c>
      <c r="B80" s="1375">
        <v>77750</v>
      </c>
      <c r="C80" s="1352"/>
      <c r="E80" s="1348"/>
      <c r="G80" s="1348"/>
      <c r="I80" s="1348"/>
      <c r="K80" s="1348">
        <v>77750</v>
      </c>
      <c r="N80" s="1348"/>
      <c r="P80" s="1348">
        <v>77750</v>
      </c>
      <c r="Q80" s="109">
        <v>0</v>
      </c>
      <c r="R80" s="1376">
        <v>0</v>
      </c>
    </row>
    <row r="81" spans="1:18">
      <c r="A81" s="1355" t="s">
        <v>270</v>
      </c>
      <c r="B81" s="1375">
        <v>82974</v>
      </c>
      <c r="C81" s="1352"/>
      <c r="E81" s="1348"/>
      <c r="G81" s="1348"/>
      <c r="I81" s="1348"/>
      <c r="K81" s="1348">
        <v>82974</v>
      </c>
      <c r="N81" s="1348"/>
      <c r="P81" s="1348">
        <v>82974</v>
      </c>
      <c r="Q81" s="109">
        <v>0</v>
      </c>
      <c r="R81" s="1376">
        <v>0</v>
      </c>
    </row>
    <row r="82" spans="1:18">
      <c r="A82" s="1355" t="s">
        <v>271</v>
      </c>
      <c r="B82" s="1375">
        <v>50000</v>
      </c>
      <c r="C82" s="1352"/>
      <c r="E82" s="1348"/>
      <c r="G82" s="1348"/>
      <c r="I82" s="1348"/>
      <c r="K82" s="1348">
        <v>50000</v>
      </c>
      <c r="N82" s="1348"/>
      <c r="P82" s="1348">
        <v>50000</v>
      </c>
      <c r="Q82" s="109">
        <v>0</v>
      </c>
      <c r="R82" s="1376">
        <v>0</v>
      </c>
    </row>
    <row r="83" spans="1:18">
      <c r="A83" s="1355" t="s">
        <v>928</v>
      </c>
      <c r="B83" s="1375">
        <v>6360</v>
      </c>
      <c r="C83" s="1352"/>
      <c r="E83" s="1348"/>
      <c r="G83" s="1348"/>
      <c r="I83" s="1348"/>
      <c r="K83" s="1348"/>
      <c r="N83" s="1348"/>
      <c r="P83" s="1348">
        <v>0</v>
      </c>
      <c r="Q83" s="109">
        <v>6360</v>
      </c>
      <c r="R83" s="1376">
        <v>6360</v>
      </c>
    </row>
    <row r="84" spans="1:18">
      <c r="A84" s="1355" t="s">
        <v>274</v>
      </c>
      <c r="B84" s="1375">
        <v>0</v>
      </c>
      <c r="C84" s="1352"/>
      <c r="E84" s="1348"/>
      <c r="G84" s="1348"/>
      <c r="I84" s="1348"/>
      <c r="K84" s="1348"/>
      <c r="N84" s="1348"/>
      <c r="P84" s="1348">
        <v>0</v>
      </c>
      <c r="Q84" s="109">
        <v>0</v>
      </c>
      <c r="R84" s="1376">
        <v>0</v>
      </c>
    </row>
    <row r="85" spans="1:18">
      <c r="A85" s="1355" t="s">
        <v>275</v>
      </c>
      <c r="B85" s="1375">
        <v>0</v>
      </c>
      <c r="C85" s="1352"/>
      <c r="E85" s="1348"/>
      <c r="G85" s="1348"/>
      <c r="I85" s="1348"/>
      <c r="K85" s="1348"/>
      <c r="N85" s="1348"/>
      <c r="P85" s="1348">
        <v>0</v>
      </c>
      <c r="Q85" s="109">
        <v>0</v>
      </c>
      <c r="R85" s="1376">
        <v>0</v>
      </c>
    </row>
    <row r="86" spans="1:18">
      <c r="A86" s="1355" t="s">
        <v>276</v>
      </c>
      <c r="B86" s="1375">
        <v>0</v>
      </c>
      <c r="C86" s="1352"/>
      <c r="E86" s="1348"/>
      <c r="G86" s="1348"/>
      <c r="I86" s="1348"/>
      <c r="K86" s="1348">
        <v>0</v>
      </c>
      <c r="N86" s="1348"/>
      <c r="P86" s="1348">
        <v>0</v>
      </c>
      <c r="Q86" s="109">
        <v>0</v>
      </c>
      <c r="R86" s="1376">
        <v>0</v>
      </c>
    </row>
    <row r="87" spans="1:18">
      <c r="A87" s="1355" t="s">
        <v>277</v>
      </c>
      <c r="B87" s="1375">
        <v>55000</v>
      </c>
      <c r="C87" s="1352"/>
      <c r="E87" s="1348"/>
      <c r="G87" s="1348"/>
      <c r="I87" s="1348"/>
      <c r="K87" s="1348"/>
      <c r="N87" s="1348"/>
      <c r="P87" s="1348">
        <v>55000</v>
      </c>
      <c r="Q87" s="109">
        <v>0</v>
      </c>
      <c r="R87" s="1376">
        <v>0</v>
      </c>
    </row>
    <row r="88" spans="1:18">
      <c r="A88" s="1355" t="s">
        <v>278</v>
      </c>
      <c r="B88" s="1375">
        <v>75000</v>
      </c>
      <c r="C88" s="1352"/>
      <c r="E88" s="1348"/>
      <c r="G88" s="1348"/>
      <c r="I88" s="1348"/>
      <c r="K88" s="1348">
        <v>0</v>
      </c>
      <c r="N88" s="1348"/>
      <c r="P88" s="1348">
        <v>0</v>
      </c>
      <c r="Q88" s="109">
        <v>75000</v>
      </c>
      <c r="R88" s="1377">
        <v>75000</v>
      </c>
    </row>
    <row r="89" spans="1:18">
      <c r="A89" s="1355" t="s">
        <v>929</v>
      </c>
      <c r="B89" s="1375">
        <v>565804</v>
      </c>
      <c r="C89" s="1352"/>
      <c r="E89" s="1348"/>
      <c r="G89" s="1348"/>
      <c r="I89" s="1348"/>
      <c r="K89" s="1348"/>
      <c r="N89" s="1348"/>
      <c r="P89" s="1348">
        <v>198031</v>
      </c>
      <c r="Q89" s="109">
        <v>367773</v>
      </c>
      <c r="R89" s="1376">
        <v>367773</v>
      </c>
    </row>
    <row r="90" spans="1:18">
      <c r="A90" s="1355" t="s">
        <v>280</v>
      </c>
      <c r="B90" s="1375">
        <v>921000</v>
      </c>
      <c r="C90" s="1352"/>
      <c r="E90" s="1348"/>
      <c r="G90" s="1348"/>
      <c r="I90" s="1348"/>
      <c r="K90" s="1348">
        <v>0</v>
      </c>
      <c r="N90" s="1348"/>
      <c r="P90" s="1348">
        <v>0</v>
      </c>
      <c r="Q90" s="109">
        <v>921000</v>
      </c>
      <c r="R90" s="149">
        <v>921000</v>
      </c>
    </row>
    <row r="91" spans="1:18">
      <c r="A91" s="1355" t="s">
        <v>88</v>
      </c>
      <c r="B91" s="1375">
        <v>59100</v>
      </c>
      <c r="C91" s="1352"/>
      <c r="E91" s="1348"/>
      <c r="G91" s="1348"/>
      <c r="I91" s="1348"/>
      <c r="K91" s="1348">
        <v>55000</v>
      </c>
      <c r="N91" s="1348"/>
      <c r="P91" s="1348">
        <v>55000</v>
      </c>
      <c r="Q91" s="109">
        <v>4100</v>
      </c>
      <c r="R91" s="149">
        <v>4100</v>
      </c>
    </row>
    <row r="92" spans="1:18">
      <c r="A92" s="1355" t="s">
        <v>281</v>
      </c>
      <c r="B92" s="1375">
        <v>500000</v>
      </c>
      <c r="C92" s="1374"/>
      <c r="E92" s="1348"/>
      <c r="G92" s="1348">
        <v>492000</v>
      </c>
      <c r="I92" s="1348"/>
      <c r="K92" s="1348"/>
      <c r="N92" s="1348"/>
      <c r="P92" s="1348">
        <v>500000</v>
      </c>
      <c r="Q92" s="109">
        <v>0</v>
      </c>
      <c r="R92" s="149"/>
    </row>
    <row r="93" spans="1:18" ht="14.25" customHeight="1">
      <c r="A93" s="1355" t="s">
        <v>930</v>
      </c>
      <c r="B93" s="1375">
        <v>0</v>
      </c>
      <c r="C93" s="1352"/>
      <c r="E93" s="1348"/>
      <c r="G93" s="1348"/>
      <c r="I93" s="1348"/>
      <c r="K93" s="1348"/>
      <c r="N93" s="1348"/>
      <c r="P93" s="1348">
        <v>0</v>
      </c>
      <c r="Q93" s="109">
        <v>0</v>
      </c>
      <c r="R93" s="149">
        <v>0</v>
      </c>
    </row>
    <row r="94" spans="1:18">
      <c r="A94" s="1355" t="s">
        <v>931</v>
      </c>
      <c r="B94" s="1375">
        <v>97146</v>
      </c>
      <c r="C94" s="1352"/>
      <c r="E94" s="1348"/>
      <c r="G94" s="1348"/>
      <c r="I94" s="1348"/>
      <c r="K94" s="1348"/>
      <c r="N94" s="1348"/>
      <c r="P94" s="1348">
        <v>75000</v>
      </c>
      <c r="Q94" s="109">
        <v>22146</v>
      </c>
      <c r="R94" s="149">
        <v>22146</v>
      </c>
    </row>
    <row r="95" spans="1:18">
      <c r="A95" s="760" t="s">
        <v>765</v>
      </c>
      <c r="B95" s="1348">
        <v>1360000</v>
      </c>
      <c r="C95" s="1374"/>
      <c r="E95" s="1348"/>
      <c r="G95" s="1348">
        <v>130449.9</v>
      </c>
      <c r="I95" s="1348"/>
      <c r="K95" s="1348"/>
      <c r="N95" s="1348"/>
      <c r="P95" s="1348">
        <v>1360000</v>
      </c>
      <c r="Q95" s="109">
        <v>0</v>
      </c>
      <c r="R95" s="149">
        <v>0</v>
      </c>
    </row>
    <row r="96" spans="1:18">
      <c r="A96" s="760" t="s">
        <v>163</v>
      </c>
      <c r="B96" s="1348">
        <v>5440000</v>
      </c>
      <c r="C96" s="1352"/>
      <c r="E96" s="1348"/>
      <c r="G96" s="1348">
        <v>1366215.6</v>
      </c>
      <c r="I96" s="1348"/>
      <c r="K96" s="1348"/>
      <c r="N96" s="1348"/>
      <c r="P96" s="1348">
        <v>1366215.6</v>
      </c>
      <c r="Q96" s="109">
        <v>4073784.4</v>
      </c>
      <c r="R96" s="1378">
        <v>4073784.4</v>
      </c>
    </row>
    <row r="97" spans="1:18" ht="9" customHeight="1">
      <c r="A97" s="760"/>
      <c r="B97" s="1348"/>
      <c r="C97" s="1352"/>
      <c r="E97" s="1348"/>
      <c r="G97" s="1348"/>
      <c r="I97" s="1348"/>
      <c r="K97" s="1348"/>
      <c r="N97" s="1348"/>
      <c r="P97" s="1348"/>
      <c r="Q97" s="109">
        <v>0</v>
      </c>
    </row>
    <row r="98" spans="1:18">
      <c r="A98" s="1379" t="s">
        <v>766</v>
      </c>
      <c r="B98" s="1380">
        <v>62000656.600000001</v>
      </c>
      <c r="C98" s="1363">
        <v>31990000</v>
      </c>
      <c r="D98" s="1381"/>
      <c r="E98" s="1365">
        <v>0</v>
      </c>
      <c r="F98" s="1381"/>
      <c r="G98" s="1365">
        <v>15524498.880000001</v>
      </c>
      <c r="H98" s="1365">
        <v>0</v>
      </c>
      <c r="I98" s="1365">
        <v>5092079</v>
      </c>
      <c r="J98" s="1365"/>
      <c r="K98" s="1365">
        <v>3164132.75</v>
      </c>
      <c r="L98" s="1365">
        <v>0</v>
      </c>
      <c r="M98" s="1365">
        <v>0</v>
      </c>
      <c r="N98" s="1365">
        <v>0</v>
      </c>
      <c r="O98" s="1365">
        <v>0</v>
      </c>
      <c r="P98" s="1365">
        <v>55770710.630000003</v>
      </c>
      <c r="Q98" s="109">
        <v>6229945.9699999997</v>
      </c>
      <c r="R98" s="1382">
        <v>6224945.9699999997</v>
      </c>
    </row>
    <row r="99" spans="1:18">
      <c r="A99" s="1383"/>
      <c r="B99" s="1384">
        <v>-44083.329999998197</v>
      </c>
      <c r="C99" s="1331">
        <v>-21376921</v>
      </c>
      <c r="D99" s="1331">
        <v>0</v>
      </c>
      <c r="E99" s="1331">
        <v>0</v>
      </c>
      <c r="F99" s="1331">
        <v>0</v>
      </c>
      <c r="G99" s="1331">
        <v>-8986521.8800000008</v>
      </c>
      <c r="H99" s="1331">
        <v>0</v>
      </c>
      <c r="I99" s="1331">
        <v>-3262079</v>
      </c>
      <c r="K99" s="1331">
        <v>-2062605.75</v>
      </c>
      <c r="L99" s="1331">
        <v>0</v>
      </c>
      <c r="M99" s="1331">
        <v>0</v>
      </c>
      <c r="N99" s="1331">
        <v>0</v>
      </c>
      <c r="O99" s="1331">
        <v>0</v>
      </c>
      <c r="P99" s="1331">
        <v>-34313198.630000003</v>
      </c>
      <c r="R99" s="77"/>
    </row>
    <row r="100" spans="1:18">
      <c r="B100" s="1385"/>
      <c r="P100" s="1" t="s">
        <v>767</v>
      </c>
    </row>
    <row r="101" spans="1:18" ht="16.5" customHeight="1">
      <c r="A101" s="1386" t="s">
        <v>564</v>
      </c>
      <c r="B101" s="1387">
        <v>62000656.600000001</v>
      </c>
      <c r="C101" s="1388" t="s">
        <v>768</v>
      </c>
      <c r="D101" s="1389"/>
      <c r="E101" s="1388" t="s">
        <v>769</v>
      </c>
    </row>
    <row r="102" spans="1:18" ht="15.75" customHeight="1">
      <c r="I102" s="1390" t="s">
        <v>770</v>
      </c>
      <c r="J102" s="1391"/>
      <c r="K102" s="1392">
        <v>0.51596227772852299</v>
      </c>
    </row>
    <row r="103" spans="1:18">
      <c r="A103" t="s">
        <v>771</v>
      </c>
      <c r="C103" s="1385">
        <v>2846768</v>
      </c>
      <c r="E103" s="1393"/>
    </row>
    <row r="104" spans="1:18">
      <c r="A104" t="s">
        <v>772</v>
      </c>
      <c r="C104" s="1385">
        <v>9738021</v>
      </c>
      <c r="E104" s="1393"/>
      <c r="K104" s="1331" t="s">
        <v>773</v>
      </c>
    </row>
    <row r="105" spans="1:18">
      <c r="A105" t="s">
        <v>774</v>
      </c>
      <c r="C105" s="1385">
        <v>5711793</v>
      </c>
      <c r="E105" s="1393"/>
    </row>
    <row r="106" spans="1:18">
      <c r="A106" t="s">
        <v>775</v>
      </c>
      <c r="C106" s="1385">
        <v>276294</v>
      </c>
      <c r="E106" s="1393"/>
    </row>
    <row r="107" spans="1:18" hidden="1">
      <c r="A107" t="s">
        <v>776</v>
      </c>
      <c r="C107" s="1385"/>
      <c r="E107" s="1393"/>
    </row>
    <row r="108" spans="1:18">
      <c r="C108" s="1385"/>
      <c r="E108" s="1393"/>
    </row>
    <row r="109" spans="1:18" ht="15.75" customHeight="1">
      <c r="A109" s="1394" t="s">
        <v>304</v>
      </c>
      <c r="B109" s="1395"/>
      <c r="C109" s="1396">
        <v>18572876</v>
      </c>
    </row>
    <row r="111" spans="1:18" ht="15.75" customHeight="1">
      <c r="A111" s="1386" t="s">
        <v>777</v>
      </c>
      <c r="B111" s="1388"/>
      <c r="C111" s="1388" t="s">
        <v>768</v>
      </c>
      <c r="D111" s="1397"/>
      <c r="E111" s="1388" t="s">
        <v>769</v>
      </c>
    </row>
    <row r="113" spans="1:5">
      <c r="A113" t="s">
        <v>778</v>
      </c>
      <c r="B113" s="1398"/>
      <c r="C113" s="1385">
        <v>1381473</v>
      </c>
      <c r="E113" s="1393">
        <v>44378</v>
      </c>
    </row>
    <row r="114" spans="1:5">
      <c r="A114" t="s">
        <v>779</v>
      </c>
      <c r="B114" s="1398"/>
      <c r="C114" s="1385">
        <v>1381472</v>
      </c>
      <c r="E114" s="1393">
        <v>45261</v>
      </c>
    </row>
    <row r="115" spans="1:5">
      <c r="A115" t="s">
        <v>780</v>
      </c>
      <c r="B115" s="1398"/>
      <c r="C115" s="1385">
        <v>2486650</v>
      </c>
      <c r="E115" s="1393">
        <v>45717</v>
      </c>
    </row>
    <row r="116" spans="1:5" ht="17.25" customHeight="1">
      <c r="A116" t="s">
        <v>781</v>
      </c>
      <c r="B116" s="1398"/>
      <c r="C116" s="1399">
        <v>276294</v>
      </c>
      <c r="E116" s="1393">
        <v>45809</v>
      </c>
    </row>
    <row r="117" spans="1:5" hidden="1">
      <c r="A117" t="s">
        <v>776</v>
      </c>
      <c r="C117" s="1385"/>
      <c r="E117" s="1393"/>
    </row>
    <row r="118" spans="1:5">
      <c r="A118" s="1400" t="s">
        <v>782</v>
      </c>
      <c r="B118" s="1401"/>
      <c r="C118" s="1402">
        <v>5525889</v>
      </c>
      <c r="E118" s="1393"/>
    </row>
    <row r="119" spans="1:5" ht="5.25" customHeight="1">
      <c r="A119" s="1403"/>
      <c r="B119" s="1404"/>
      <c r="C119" s="1402"/>
    </row>
    <row r="120" spans="1:5">
      <c r="A120" t="s">
        <v>624</v>
      </c>
      <c r="C120" s="1385">
        <v>1274111</v>
      </c>
    </row>
    <row r="121" spans="1:5" ht="16.5" customHeight="1">
      <c r="A121" s="1394" t="s">
        <v>783</v>
      </c>
      <c r="B121" s="1395"/>
      <c r="C121" s="1405">
        <v>6800000</v>
      </c>
    </row>
    <row r="122" spans="1:5" ht="15.75" customHeight="1"/>
    <row r="125" spans="1:5" ht="15.75" customHeight="1">
      <c r="C125" s="1335"/>
    </row>
    <row r="126" spans="1:5" ht="15.75" customHeight="1">
      <c r="C126" s="133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20</vt:i4>
      </vt:variant>
    </vt:vector>
  </HeadingPairs>
  <TitlesOfParts>
    <vt:vector size="37" baseType="lpstr">
      <vt:lpstr>READ ME — TEMPLATE</vt:lpstr>
      <vt:lpstr>Inputs</vt:lpstr>
      <vt:lpstr>Constr Sources-Uses</vt:lpstr>
      <vt:lpstr>Perm Sources-Uses</vt:lpstr>
      <vt:lpstr>Amortization Table</vt:lpstr>
      <vt:lpstr>DDF Note</vt:lpstr>
      <vt:lpstr>Development Budget</vt:lpstr>
      <vt:lpstr>Rent Schedule</vt:lpstr>
      <vt:lpstr>Operating Expense</vt:lpstr>
      <vt:lpstr>20yr Proforma</vt:lpstr>
      <vt:lpstr>Credit Delivery &amp; Pay-Ins</vt:lpstr>
      <vt:lpstr>Flow of Funds</vt:lpstr>
      <vt:lpstr>Developer Fee Schedule</vt:lpstr>
      <vt:lpstr>25% Test</vt:lpstr>
      <vt:lpstr>Income (2)</vt:lpstr>
      <vt:lpstr>Income</vt:lpstr>
      <vt:lpstr>Construction Sources-Uses</vt:lpstr>
      <vt:lpstr>AddRevY1</vt:lpstr>
      <vt:lpstr>CommRent</vt:lpstr>
      <vt:lpstr>CommSqFt</vt:lpstr>
      <vt:lpstr>ExpInfl</vt:lpstr>
      <vt:lpstr>ExpTotalY1</vt:lpstr>
      <vt:lpstr>GrossOpEx</vt:lpstr>
      <vt:lpstr>GrossRentIncomeY1</vt:lpstr>
      <vt:lpstr>LIUnits</vt:lpstr>
      <vt:lpstr>NetIncomeY1</vt:lpstr>
      <vt:lpstr>NOI</vt:lpstr>
      <vt:lpstr>'Constr Sources-Uses'!ProjName</vt:lpstr>
      <vt:lpstr>'Perm Sources-Uses'!ProjName</vt:lpstr>
      <vt:lpstr>PropTaxes</vt:lpstr>
      <vt:lpstr>ReplRes</vt:lpstr>
      <vt:lpstr>ReplReserve</vt:lpstr>
      <vt:lpstr>RevInfl</vt:lpstr>
      <vt:lpstr>TotalUnitCount</vt:lpstr>
      <vt:lpstr>TtlUnits</vt:lpstr>
      <vt:lpstr>Vacancy</vt:lpstr>
      <vt:lpstr>VacRate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King</dc:creator>
  <dc:description/>
  <cp:lastModifiedBy>Steven Kennedy</cp:lastModifiedBy>
  <cp:revision>0</cp:revision>
  <cp:lastPrinted>2025-03-14T19:23:10Z</cp:lastPrinted>
  <dcterms:created xsi:type="dcterms:W3CDTF">2013-11-02T15:37:57Z</dcterms:created>
  <dcterms:modified xsi:type="dcterms:W3CDTF">2026-04-05T22:08:17Z</dcterms:modified>
  <dc:language>en-US</dc:language>
</cp:coreProperties>
</file>