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04"/>
  <workbookPr defaultThemeVersion="166925"/>
  <mc:AlternateContent xmlns:mc="http://schemas.openxmlformats.org/markup-compatibility/2006">
    <mc:Choice Requires="x15">
      <x15ac:absPath xmlns:x15ac="http://schemas.microsoft.com/office/spreadsheetml/2010/11/ac" url="/Users/stevenkennedy/Downloads/clearpath-ai/"/>
    </mc:Choice>
  </mc:AlternateContent>
  <xr:revisionPtr revIDLastSave="0" documentId="8_{34DA09FB-1413-E142-936C-96255163D6DD}" xr6:coauthVersionLast="47" xr6:coauthVersionMax="47" xr10:uidLastSave="{00000000-0000-0000-0000-000000000000}"/>
  <bookViews>
    <workbookView xWindow="4420" yWindow="660" windowWidth="25820" windowHeight="17520" tabRatio="769" firstSheet="6" activeTab="11" xr2:uid="{BC274860-3438-47FB-8290-0D23F5D43243}"/>
  </bookViews>
  <sheets>
    <sheet name="Summary Page" sheetId="20" r:id="rId1"/>
    <sheet name="Municipality Benefits Analysis" sheetId="16" r:id="rId2"/>
    <sheet name="Benefits Analysis" sheetId="8" r:id="rId3"/>
    <sheet name="SOURCES and USES of FUNDS" sheetId="15" r:id="rId4"/>
    <sheet name="Cash Flow + Debt" sheetId="5" r:id="rId5"/>
    <sheet name="P&amp;L" sheetId="4" r:id="rId6"/>
    <sheet name="Mixed Rent" sheetId="1" r:id="rId7"/>
    <sheet name="10 Years Mixed" sheetId="6" r:id="rId8"/>
    <sheet name="Project" sheetId="17" r:id="rId9"/>
    <sheet name="Amort Schedule " sheetId="18" r:id="rId10"/>
    <sheet name="Houston Standards " sheetId="22" r:id="rId11"/>
    <sheet name="New Orleans Standards" sheetId="19" r:id="rId12"/>
  </sheets>
  <externalReferences>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s>
  <definedNames>
    <definedName name="_1960" localSheetId="10">[1]DBAPTS!#REF!</definedName>
    <definedName name="_1960" localSheetId="11">[1]DBAPTS!#REF!</definedName>
    <definedName name="_1960">[1]DBAPTS!#REF!</definedName>
    <definedName name="_xlnm._FilterDatabase" localSheetId="10" hidden="1">[1]DBAPTS!#REF!</definedName>
    <definedName name="_xlnm._FilterDatabase" localSheetId="11" hidden="1">[1]DBAPTS!#REF!</definedName>
    <definedName name="_xlnm._FilterDatabase" hidden="1">[1]DBAPTS!#REF!</definedName>
    <definedName name="ACC_New_Contracts_and_or_Change_Orders" localSheetId="10">#REF!</definedName>
    <definedName name="ACC_New_Contracts_and_or_Change_Orders" localSheetId="11">#REF!</definedName>
    <definedName name="ACC_New_Contracts_and_or_Change_Orders">#REF!</definedName>
    <definedName name="ActualNumberOfPayments" localSheetId="9">IFERROR(IF('Amort Schedule '!LoanIsGood,IF('Amort Schedule '!PaymentsPerYear=1,1,MATCH(0.01,End_Bal,-1)+1)),"")</definedName>
    <definedName name="ActualNumberOfPayments" localSheetId="10">IFERROR(IF('Houston Standards '!LoanIsGood,IF('Houston Standards '!PaymentsPerYear=1,1,MATCH(0.01,[0]!End_Bal,-1)+1)),"")</definedName>
    <definedName name="ActualNumberOfPayments" localSheetId="11">IFERROR(IF('New Orleans Standards'!LoanIsGood,IF('New Orleans Standards'!PaymentsPerYear=1,1,MATCH(0.01,End_Bal,-1)+1)),"")</definedName>
    <definedName name="ActualNumberOfPayments" localSheetId="8">IFERROR(IF(Project!LoanIsGood,IF(Project!PaymentsPerYear=1,1,MATCH(0.01,End_Bal,-1)+1)),"")</definedName>
    <definedName name="ActualNumberOfPayments">IFERROR(IF(LoanIsGood,IF(PaymentsPerYear=1,1,MATCH(0.01,End_Bal,-1)+1)),"")</definedName>
    <definedName name="address" localSheetId="10">#REF!</definedName>
    <definedName name="address" localSheetId="11">#REF!</definedName>
    <definedName name="address">#REF!</definedName>
    <definedName name="AliasTable" localSheetId="10">#REF!</definedName>
    <definedName name="AliasTable" localSheetId="11">#REF!</definedName>
    <definedName name="AliasTable">#REF!</definedName>
    <definedName name="Alief" localSheetId="10">#REF!</definedName>
    <definedName name="Alief" localSheetId="11">#REF!</definedName>
    <definedName name="Alief">#REF!</definedName>
    <definedName name="APPLIANCES" localSheetId="9">[2]Appliances!#REF!</definedName>
    <definedName name="APPLIANCES" localSheetId="10">[3]Appliances!#REF!</definedName>
    <definedName name="APPLIANCES" localSheetId="11">[3]Appliances!#REF!</definedName>
    <definedName name="APPLIANCES">[3]Appliances!#REF!</definedName>
    <definedName name="Begin" localSheetId="10">#REF!</definedName>
    <definedName name="Begin" localSheetId="11">#REF!</definedName>
    <definedName name="Begin">#REF!</definedName>
    <definedName name="BRICK___STUCCO" localSheetId="9">'[4]Stoneridge Apartments'!#REF!</definedName>
    <definedName name="BRICK___STUCCO" localSheetId="10">'[5]Stoneridge Apartments'!#REF!</definedName>
    <definedName name="BRICK___STUCCO" localSheetId="11">'[5]Stoneridge Apartments'!#REF!</definedName>
    <definedName name="BRICK___STUCCO">'[5]Stoneridge Apartments'!#REF!</definedName>
    <definedName name="Brick___Stucco_Comparison" localSheetId="9">'[4]Stoneridge Apartments'!#REF!</definedName>
    <definedName name="Brick___Stucco_Comparison" localSheetId="10">'[5]Stoneridge Apartments'!#REF!</definedName>
    <definedName name="Brick___Stucco_Comparison" localSheetId="11">'[5]Stoneridge Apartments'!#REF!</definedName>
    <definedName name="Brick___Stucco_Comparison">'[5]Stoneridge Apartments'!#REF!</definedName>
    <definedName name="Budget" localSheetId="10">#REF!</definedName>
    <definedName name="Budget" localSheetId="11">#REF!</definedName>
    <definedName name="Budget">#REF!</definedName>
    <definedName name="BWCABINETS" localSheetId="9">'[6]Bentley Wynde'!$T$33:$AB$47</definedName>
    <definedName name="BWCABINETS">'[6]Bentley Wynde'!$T$33:$AB$47</definedName>
    <definedName name="bwFENCING" localSheetId="9">'[6]Bentley Wynde'!$AQ$64:$AQ$114</definedName>
    <definedName name="bwFENCING">'[6]Bentley Wynde'!$AQ$64:$AQ$114</definedName>
    <definedName name="BWLANDSCAPING" localSheetId="9">'[6]Bentley Wynde'!$T$59:$X$63</definedName>
    <definedName name="BWLANDSCAPING">'[6]Bentley Wynde'!$T$59:$X$63</definedName>
    <definedName name="BWTRIM" localSheetId="9">'[6]Bentley Wynde'!$AC$31:$AE$130</definedName>
    <definedName name="BWTRIM">'[6]Bentley Wynde'!$AC$31:$AE$130</definedName>
    <definedName name="CAMINO_REAL" localSheetId="9">'[6]Camino Real'!$A$1:$K$314</definedName>
    <definedName name="CAMINO_REAL">'[6]Camino Real'!$A$1:$K$314</definedName>
    <definedName name="Camino_Real_Sale_Analysis" localSheetId="9">'[7]Camino Real'!#REF!</definedName>
    <definedName name="Camino_Real_Sale_Analysis">'[7]Camino Real'!#REF!</definedName>
    <definedName name="CaseControl">#REF!</definedName>
    <definedName name="Cash_to_all_Partners" localSheetId="9">#REF!</definedName>
    <definedName name="Cash_to_all_Partners">#REF!</definedName>
    <definedName name="Cast_Fireplaces" localSheetId="9">'[8]Summary of Hard Costs'!#REF!</definedName>
    <definedName name="Cast_Fireplaces">'[8]Summary of Hard Costs'!#REF!</definedName>
    <definedName name="Code_All">#REF!</definedName>
    <definedName name="Code_Hotel">#REF!</definedName>
    <definedName name="Code_MF">#REF!</definedName>
    <definedName name="Code_MHP">#REF!</definedName>
    <definedName name="Code_Nursing">#REF!</definedName>
    <definedName name="Code_ROI">#REF!</definedName>
    <definedName name="Code_Storage">#REF!</definedName>
    <definedName name="Completion_Schedule">'[9]Whispering Creek Villas'!$V$1:$W$25</definedName>
    <definedName name="const">#REF!</definedName>
    <definedName name="Cost_Count">#REF!</definedName>
    <definedName name="CPI">#REF!</definedName>
    <definedName name="CR_Building">'[9]Camino Real'!$A$111:$J$148</definedName>
    <definedName name="_xlnm.Criteria">[1]DBAPTS!#REF!</definedName>
    <definedName name="CRROOFING" localSheetId="9">'[6]Camino Real'!$S$40:$Y$50</definedName>
    <definedName name="CRROOFING">'[6]Camino Real'!$S$40:$Y$50</definedName>
    <definedName name="CurrMonth">#REF!</definedName>
    <definedName name="CustomMacro1">#REF!</definedName>
    <definedName name="Data_WS">#REF!</definedName>
    <definedName name="DISTRIBUTIONS_BW" localSheetId="9">'[7]Bentley Wynde'!#REF!</definedName>
    <definedName name="DISTRIBUTIONS_BW">'[7]Bentley Wynde'!#REF!</definedName>
    <definedName name="Dixie_Carpet" localSheetId="9">'[8]Summary of Hard Costs'!#REF!</definedName>
    <definedName name="Dixie_Carpet">'[8]Summary of Hard Costs'!#REF!</definedName>
    <definedName name="Dixie_Magnolia">#REF!</definedName>
    <definedName name="Doors" localSheetId="9">'[6]Bentley Wynde'!$AC$31:$AE$130</definedName>
    <definedName name="Doors">'[6]Bentley Wynde'!$AC$31:$AE$130</definedName>
    <definedName name="Eff_Age">#REF!</definedName>
    <definedName name="End_Bal">[10]!PaymentSchedule[ENDING BALANCE]</definedName>
    <definedName name="EsbApplication1">#REF!</definedName>
    <definedName name="EsbDatabase1">#REF!</definedName>
    <definedName name="EsbDetail">#REF!</definedName>
    <definedName name="EsbDetail1">#REF!</definedName>
    <definedName name="EsbHeader">#REF!</definedName>
    <definedName name="EsbHeader1">#REF!</definedName>
    <definedName name="EsbRetrieve">#REF!</definedName>
    <definedName name="EsbRetrieve1">#REF!</definedName>
    <definedName name="EXHIBIT_H" function="1" xlm="1">'[11]Hard Costs'!$AO$1:$AT$33</definedName>
    <definedName name="Expenses_1996_according_HSAD">'[12]Draw Schedule'!#REF!</definedName>
    <definedName name="_xlnm.Extract">[1]DBAPTS!#REF!</definedName>
    <definedName name="ExtraPayments" localSheetId="9">'[13]Loan Worksheet'!$E$9</definedName>
    <definedName name="ExtraPayments" localSheetId="10">#REF!</definedName>
    <definedName name="ExtraPayments" localSheetId="11">#REF!</definedName>
    <definedName name="ExtraPayments" localSheetId="8">'[13]Loan Worksheet'!$E$9</definedName>
    <definedName name="ExtraPayments">#REF!</definedName>
    <definedName name="FinalizedDate" localSheetId="10">#REF!</definedName>
    <definedName name="FinalizedDate" localSheetId="11">#REF!</definedName>
    <definedName name="FinalizedDate">#REF!</definedName>
    <definedName name="Fireplaces" localSheetId="9">'[6]Camino Real'!$S$53:$W$64</definedName>
    <definedName name="Fireplaces">'[6]Camino Real'!$S$53:$W$64</definedName>
    <definedName name="Framing" localSheetId="9">'[8]Summary of Hard Costs'!#REF!</definedName>
    <definedName name="Framing">'[8]Summary of Hard Costs'!#REF!</definedName>
    <definedName name="Framing_Materials_Comparison">'[14]Magnolia Vinings (2)'!$AA$13:$AD$21</definedName>
    <definedName name="Fun_N_Sun_Pools_of_Georgia" localSheetId="10">#REF!</definedName>
    <definedName name="Fun_N_Sun_Pools_of_Georgia" localSheetId="11">#REF!</definedName>
    <definedName name="Fun_N_Sun_Pools_of_Georgia">#REF!</definedName>
    <definedName name="Herb">[1]DBAPTS!#REF!</definedName>
    <definedName name="Herbno">[1]DBAPTS!#REF!</definedName>
    <definedName name="inspa">[1]DBAPTS!#REF!</definedName>
    <definedName name="InterestRate" localSheetId="9">'[13]Loan Worksheet'!$E$4</definedName>
    <definedName name="InterestRate" localSheetId="10">#REF!</definedName>
    <definedName name="InterestRate" localSheetId="11">#REF!</definedName>
    <definedName name="InterestRate" localSheetId="8">'[13]Loan Worksheet'!$E$4</definedName>
    <definedName name="InterestRate">#REF!</definedName>
    <definedName name="iser" localSheetId="9" hidden="1">{"Rent_ChangesTotal",#N/A,FALSE,"Sheet1"}</definedName>
    <definedName name="iser" localSheetId="10" hidden="1">{"Rent_ChangesTotal",#N/A,FALSE,"Sheet1"}</definedName>
    <definedName name="iser" localSheetId="11" hidden="1">{"Rent_ChangesTotal",#N/A,FALSE,"Sheet1"}</definedName>
    <definedName name="iser" hidden="1">{"Rent_ChangesTotal",#N/A,FALSE,"Sheet1"}</definedName>
    <definedName name="iser_1" localSheetId="9" hidden="1">{"Rent_ChangesTotal",#N/A,FALSE,"Sheet1"}</definedName>
    <definedName name="iser_1" localSheetId="10" hidden="1">{"Rent_ChangesTotal",#N/A,FALSE,"Sheet1"}</definedName>
    <definedName name="iser_1" localSheetId="11" hidden="1">{"Rent_ChangesTotal",#N/A,FALSE,"Sheet1"}</definedName>
    <definedName name="iser_1" hidden="1">{"Rent_ChangesTotal",#N/A,FALSE,"Sheet1"}</definedName>
    <definedName name="Item_Count">#REF!</definedName>
    <definedName name="KV_TILE_MAGNOLIA">'[11]Hard Costs'!$T$238:$W$242</definedName>
    <definedName name="KV_TILE_RANCHSTONE" localSheetId="9">'[8]Summary of Hard Costs'!#REF!</definedName>
    <definedName name="KV_TILE_RANCHSTONE">'[8]Summary of Hard Costs'!#REF!</definedName>
    <definedName name="Land_Cost" localSheetId="9">'[15]Rockport Apartments (1)'!#REF!</definedName>
    <definedName name="Land_Cost" localSheetId="10">#REF!</definedName>
    <definedName name="Land_Cost" localSheetId="11">#REF!</definedName>
    <definedName name="Land_Cost">#REF!</definedName>
    <definedName name="LastDate" localSheetId="10">#REF!</definedName>
    <definedName name="LastDate" localSheetId="11">#REF!</definedName>
    <definedName name="LastDate">#REF!</definedName>
    <definedName name="Ledger" localSheetId="10">#REF!</definedName>
    <definedName name="Ledger" localSheetId="11">#REF!</definedName>
    <definedName name="Ledger">#REF!</definedName>
    <definedName name="Leedo">'[11]Hard Costs'!$N$298:$P$301</definedName>
    <definedName name="LOAN" localSheetId="9">'[16]loan analysis'!$B$1:$G$41</definedName>
    <definedName name="LOAN">'[16]loan analysis'!$B$1:$G$41</definedName>
    <definedName name="LoanAmount" localSheetId="9">'[13]Loan Worksheet'!$E$3</definedName>
    <definedName name="LoanAmount" localSheetId="10">#REF!</definedName>
    <definedName name="LoanAmount" localSheetId="11">#REF!</definedName>
    <definedName name="LoanAmount" localSheetId="8">'[13]Loan Worksheet'!$E$3</definedName>
    <definedName name="LoanAmount">#REF!</definedName>
    <definedName name="LoanIsGood" localSheetId="9">('[13]Loan Worksheet'!$E$3*'[13]Loan Worksheet'!$E$4*'[13]Loan Worksheet'!$E$5*'[13]Loan Worksheet'!$E$7)&gt;0</definedName>
    <definedName name="LoanIsGood" localSheetId="10">(#REF!*#REF!*#REF!*#REF!)&gt;0</definedName>
    <definedName name="LoanIsGood" localSheetId="11">(#REF!*#REF!*#REF!*#REF!)&gt;0</definedName>
    <definedName name="LoanIsGood" localSheetId="8">('[13]Loan Worksheet'!$E$3*'[13]Loan Worksheet'!$E$4*'[13]Loan Worksheet'!$E$5*'[13]Loan Worksheet'!$E$7)&gt;0</definedName>
    <definedName name="LoanIsGood">(#REF!*#REF!*#REF!*#REF!)&gt;0</definedName>
    <definedName name="LoanPeriod" localSheetId="9">'[13]Loan Worksheet'!$E$5</definedName>
    <definedName name="LoanPeriod" localSheetId="10">#REF!</definedName>
    <definedName name="LoanPeriod" localSheetId="11">#REF!</definedName>
    <definedName name="LoanPeriod" localSheetId="8">'[13]Loan Worksheet'!$E$5</definedName>
    <definedName name="LoanPeriod">#REF!</definedName>
    <definedName name="LoanStartDate" localSheetId="9">'[13]Loan Worksheet'!$E$7</definedName>
    <definedName name="LoanStartDate" localSheetId="10">#REF!</definedName>
    <definedName name="LoanStartDate" localSheetId="11">#REF!</definedName>
    <definedName name="LoanStartDate" localSheetId="8">'[13]Loan Worksheet'!$E$7</definedName>
    <definedName name="LoanStartDate">#REF!</definedName>
    <definedName name="Magnolia_loan_balance_28_Nov_95">'[11]Hard Costs'!$S$22:$T$24</definedName>
    <definedName name="Maintenance_Builders_Supply" localSheetId="9">'[4]Stoneridge Apartments'!#REF!</definedName>
    <definedName name="Maintenance_Builders_Supply">'[5]Stoneridge Apartments'!#REF!</definedName>
    <definedName name="Master_Select">#REF!</definedName>
    <definedName name="MGMTFEE">#REF!</definedName>
    <definedName name="MissingText">#REF!</definedName>
    <definedName name="MIX" localSheetId="9">'[16]unit mix'!$A$1:$H$21</definedName>
    <definedName name="MIX">'[16]unit mix'!$A$1:$H$21</definedName>
    <definedName name="Month" localSheetId="9">'[17]Hunter''s Cove'!$Z$204:$AN$281</definedName>
    <definedName name="Month">'[17]Hunter''s Cove'!$Z$204:$AN$281</definedName>
    <definedName name="MTG" localSheetId="10">#REF!</definedName>
    <definedName name="MTG" localSheetId="11">#REF!</definedName>
    <definedName name="MTG">#REF!</definedName>
    <definedName name="n">9</definedName>
    <definedName name="NOI" localSheetId="9">[16]proforma!$B$1:$K$63</definedName>
    <definedName name="NOI">[16]proforma!$B$1:$K$63</definedName>
    <definedName name="note" localSheetId="10">#REF!</definedName>
    <definedName name="note" localSheetId="11">#REF!</definedName>
    <definedName name="note">#REF!</definedName>
    <definedName name="number">[1]DBAPTS!#REF!</definedName>
    <definedName name="Occupancies" localSheetId="9">#REF!</definedName>
    <definedName name="Occupancies">#REF!</definedName>
    <definedName name="Omega_Drywall">'[11]Hard Costs'!$T$213:$Y$217</definedName>
    <definedName name="PaymentsPerYear" localSheetId="9">'[13]Loan Worksheet'!$E$6</definedName>
    <definedName name="PaymentsPerYear" localSheetId="10">#REF!</definedName>
    <definedName name="PaymentsPerYear" localSheetId="11">#REF!</definedName>
    <definedName name="PaymentsPerYear" localSheetId="8">'[13]Loan Worksheet'!$E$6</definedName>
    <definedName name="PaymentsPerYear">#REF!</definedName>
    <definedName name="Payroll" localSheetId="10">#REF!</definedName>
    <definedName name="Payroll" localSheetId="11">#REF!</definedName>
    <definedName name="Payroll">#REF!</definedName>
    <definedName name="pb.dataRef">[18]Sheet1!$A$2:$A$395</definedName>
    <definedName name="Plumbing" localSheetId="9">'[8]Summary of Hard Costs'!#REF!</definedName>
    <definedName name="Plumbing">'[8]Summary of Hard Costs'!#REF!</definedName>
    <definedName name="Pre_Development_Expenses">#REF!</definedName>
    <definedName name="PreliminaryDate">#REF!</definedName>
    <definedName name="_xlnm.Print_Area" localSheetId="9">'Amort Schedule '!$A$8:$G$67</definedName>
    <definedName name="_xlnm.Print_Area" localSheetId="8">Project!$A$1:$M$105</definedName>
    <definedName name="_xlnm.Print_Titles" localSheetId="9">'Amort Schedule '!$1:$7</definedName>
    <definedName name="Proposed_Unit_Mix" localSheetId="9">'[11]Hard Costs'!#REF!</definedName>
    <definedName name="Proposed_Unit_Mix">[3]Magnolia!#REF!</definedName>
    <definedName name="QTRLYDIST" localSheetId="9">'[19]12 MO 2004'!#REF!</definedName>
    <definedName name="QTRLYDIST">'[20]12 MO 2004'!#REF!</definedName>
    <definedName name="REAL_ESTATE_TAXES" localSheetId="10">#REF!</definedName>
    <definedName name="REAL_ESTATE_TAXES" localSheetId="11">#REF!</definedName>
    <definedName name="REAL_ESTATE_TAXES">#REF!</definedName>
    <definedName name="_xlnm.Recorder" localSheetId="10">#REF!</definedName>
    <definedName name="_xlnm.Recorder" localSheetId="11">#REF!</definedName>
    <definedName name="_xlnm.Recorder">#REF!</definedName>
    <definedName name="Rent" localSheetId="10">#REF!</definedName>
    <definedName name="Rent" localSheetId="11">#REF!</definedName>
    <definedName name="Rent">#REF!</definedName>
    <definedName name="Reserve_Note">#REF!</definedName>
    <definedName name="Reserve_Term">#REF!</definedName>
    <definedName name="REVISED_DEVELOPMENT_SCHEDULE">'[11]Hard Costs'!$A$26:$J$56</definedName>
    <definedName name="ROCKPORT_APARTMENTS" localSheetId="9">#REF!</definedName>
    <definedName name="ROCKPORT_APARTMENTS">#REF!</definedName>
    <definedName name="Roofing" localSheetId="9">'[6]Camino Real'!$S$40:$W$50</definedName>
    <definedName name="Roofing">'[6]Camino Real'!$S$40:$W$50</definedName>
    <definedName name="ROOFING_RANCHSTONE" localSheetId="9">'[8]Summary of Hard Costs'!#REF!</definedName>
    <definedName name="ROOFING_RANCHSTONE">'[8]Summary of Hard Costs'!#REF!</definedName>
    <definedName name="Sale_WCV" localSheetId="9">[7]WCV!#REF!</definedName>
    <definedName name="Sale_WCV">[7]WCV!#REF!</definedName>
    <definedName name="Scenario" localSheetId="10">#REF!</definedName>
    <definedName name="Scenario" localSheetId="11">#REF!</definedName>
    <definedName name="Scenario">#REF!</definedName>
    <definedName name="ScheduledNumberOfPayments" localSheetId="9">'[13]Loan Worksheet'!$I$4</definedName>
    <definedName name="ScheduledNumberOfPayments" localSheetId="10">#REF!</definedName>
    <definedName name="ScheduledNumberOfPayments" localSheetId="11">#REF!</definedName>
    <definedName name="ScheduledNumberOfPayments" localSheetId="8">'[13]Loan Worksheet'!$I$4</definedName>
    <definedName name="ScheduledNumberOfPayments">#REF!</definedName>
    <definedName name="ScheduledPayment" localSheetId="9">'[13]Loan Worksheet'!$I$3</definedName>
    <definedName name="ScheduledPayment" localSheetId="10">#REF!</definedName>
    <definedName name="ScheduledPayment" localSheetId="11">#REF!</definedName>
    <definedName name="ScheduledPayment" localSheetId="8">'[13]Loan Worksheet'!$I$3</definedName>
    <definedName name="ScheduledPayment">#REF!</definedName>
    <definedName name="SDA" localSheetId="10">#REF!</definedName>
    <definedName name="SDA" localSheetId="11">#REF!</definedName>
    <definedName name="SDA">#REF!</definedName>
    <definedName name="Sitework" localSheetId="9">'[8]Summary of Hard Costs'!#REF!</definedName>
    <definedName name="Sitework" localSheetId="10">'[8]Summary of Hard Costs'!#REF!</definedName>
    <definedName name="Sitework" localSheetId="11">'[8]Summary of Hard Costs'!#REF!</definedName>
    <definedName name="Sitework">'[8]Summary of Hard Costs'!#REF!</definedName>
    <definedName name="solver_adj" localSheetId="8" hidden="1">Project!$L$65</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0</definedName>
    <definedName name="solver_nwt" localSheetId="8" hidden="1">1</definedName>
    <definedName name="solver_opt" localSheetId="8" hidden="1">Project!$L$67</definedName>
    <definedName name="solver_pre" localSheetId="8" hidden="1">0.000001</definedName>
    <definedName name="solver_rbv" localSheetId="8" hidden="1">1</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0.15</definedName>
    <definedName name="solver_ver" localSheetId="8" hidden="1">3</definedName>
    <definedName name="Sources_of_Funds_Ranchstone" localSheetId="9">'[21]Summary of Hard Costs'!#REF!</definedName>
    <definedName name="Sources_of_Funds_Ranchstone" localSheetId="10">'[21]Summary of Hard Costs'!#REF!</definedName>
    <definedName name="Sources_of_Funds_Ranchstone" localSheetId="11">'[21]Summary of Hard Costs'!#REF!</definedName>
    <definedName name="Sources_of_Funds_Ranchstone">'[21]Summary of Hard Costs'!#REF!</definedName>
    <definedName name="Southwestern_Metal_Services">'[11]Hard Costs'!$AH$1:$AM$17</definedName>
    <definedName name="sqft">#REF!</definedName>
    <definedName name="Start">#REF!</definedName>
    <definedName name="SUBJECT">#REF!</definedName>
    <definedName name="Summary">#REF!</definedName>
    <definedName name="TAX" localSheetId="9">'[6]Camino Real'!$AE$4:$AH$25</definedName>
    <definedName name="TAX">'[6]Camino Real'!$AE$4:$AH$25</definedName>
    <definedName name="test" description="Macro recorded 3/18/95 by Tom Wilkinson" xlm="1">#REF!</definedName>
    <definedName name="THE_BENTWORTH_APARTMENTS___PROGRESS_REPORT">[9]Bentworth!$T$1:$W$19</definedName>
    <definedName name="Tile_Magnolia">'[11]Hard Costs'!$T$228:$Y$234</definedName>
    <definedName name="Timeline">#REF!</definedName>
    <definedName name="Title">#REF!</definedName>
    <definedName name="TOTAL_DEVELOPMENT_COSTS">#REF!</definedName>
    <definedName name="TOTAL_RETURN_ON_INVESTMENT_FULL_STABILIZED_YEAR" localSheetId="9">'[7]Magnolia Vinings'!#REF!</definedName>
    <definedName name="TOTAL_RETURN_ON_INVESTMENT_FULL_STABILIZED_YEAR">'[7]Magnolia Vinings'!#REF!</definedName>
    <definedName name="TotalEarlyPayments" localSheetId="10">SUM([10]!PaymentSchedule[EXTRA PAYMENT])</definedName>
    <definedName name="TotalEarlyPayments" localSheetId="11">SUM([10]!PaymentSchedule[EXTRA PAYMENT])</definedName>
    <definedName name="TotalEarlyPayments">SUM([10]!PaymentSchedule[EXTRA PAYMENT])</definedName>
    <definedName name="TotalInterest" localSheetId="10">SUM([10]!PaymentSchedule[INTEREST])</definedName>
    <definedName name="TotalInterest" localSheetId="11">SUM([10]!PaymentSchedule[INTEREST])</definedName>
    <definedName name="TotalInterest">SUM([10]!PaymentSchedule[INTEREST])</definedName>
    <definedName name="TotalUnits">#REF!</definedName>
    <definedName name="TRUSSWAY" localSheetId="9">'[8]Summary of Hard Costs'!#REF!</definedName>
    <definedName name="TRUSSWAY">'[8]Summary of Hard Costs'!#REF!</definedName>
    <definedName name="Unhide">#REF!</definedName>
    <definedName name="Unit_SF_Quantity">#REF!</definedName>
    <definedName name="unit91">[1]DBAPTS!#REF!</definedName>
    <definedName name="units">#REF!</definedName>
    <definedName name="UnitTypeDetail">#REF!</definedName>
    <definedName name="Utilities">#REF!</definedName>
    <definedName name="value1">[1]DBAPTS!#REF!</definedName>
    <definedName name="value10">[1]DBAPTS!#REF!</definedName>
    <definedName name="value2">[1]DBAPTS!#REF!</definedName>
    <definedName name="value3">[1]DBAPTS!#REF!</definedName>
    <definedName name="value4">[1]DBAPTS!#REF!</definedName>
    <definedName name="value5">[1]DBAPTS!#REF!</definedName>
    <definedName name="value6">[1]DBAPTS!#REF!</definedName>
    <definedName name="value7">[1]DBAPTS!#REF!</definedName>
    <definedName name="value8">[1]DBAPTS!#REF!</definedName>
    <definedName name="value9">[1]DBAPTS!#REF!</definedName>
    <definedName name="Version">#REF!</definedName>
    <definedName name="W_1" localSheetId="9">#REF!:WSEnd</definedName>
    <definedName name="W_1" localSheetId="10">#REF!:[0]!WSEnd</definedName>
    <definedName name="W_1" localSheetId="11">#REF!:WSEnd</definedName>
    <definedName name="W_1">#REF!:WSEnd</definedName>
    <definedName name="W_10" localSheetId="9">#REF!:WSEnd</definedName>
    <definedName name="W_10" localSheetId="10">#REF!:[0]!WSEnd</definedName>
    <definedName name="W_10" localSheetId="11">#REF!:WSEnd</definedName>
    <definedName name="W_10">#REF!:WSEnd</definedName>
    <definedName name="W_11" localSheetId="9">#REF!:WSEnd</definedName>
    <definedName name="W_11" localSheetId="10">#REF!:[0]!WSEnd</definedName>
    <definedName name="W_11" localSheetId="11">#REF!:WSEnd</definedName>
    <definedName name="W_11">#REF!:WSEnd</definedName>
    <definedName name="W_12" localSheetId="9">#REF!:WSEnd</definedName>
    <definedName name="W_12" localSheetId="10">#REF!:[0]!WSEnd</definedName>
    <definedName name="W_12" localSheetId="11">#REF!:WSEnd</definedName>
    <definedName name="W_12">#REF!:WSEnd</definedName>
    <definedName name="W_13" localSheetId="9">#REF!:WSEnd</definedName>
    <definedName name="W_13" localSheetId="10">#REF!:[0]!WSEnd</definedName>
    <definedName name="W_13" localSheetId="11">#REF!:WSEnd</definedName>
    <definedName name="W_13">#REF!:WSEnd</definedName>
    <definedName name="W_14" localSheetId="9">#REF!:WSEnd</definedName>
    <definedName name="W_14" localSheetId="10">#REF!:[0]!WSEnd</definedName>
    <definedName name="W_14" localSheetId="11">#REF!:WSEnd</definedName>
    <definedName name="W_14">#REF!:WSEnd</definedName>
    <definedName name="W_15" localSheetId="9">#REF!:WSEnd</definedName>
    <definedName name="W_15" localSheetId="10">#REF!:[0]!WSEnd</definedName>
    <definedName name="W_15" localSheetId="11">#REF!:WSEnd</definedName>
    <definedName name="W_15">#REF!:WSEnd</definedName>
    <definedName name="W_16" localSheetId="9">#REF!:WSEnd</definedName>
    <definedName name="W_16" localSheetId="10">#REF!:[0]!WSEnd</definedName>
    <definedName name="W_16" localSheetId="11">#REF!:WSEnd</definedName>
    <definedName name="W_16">#REF!:WSEnd</definedName>
    <definedName name="W_17" localSheetId="9">#REF!:WSEnd</definedName>
    <definedName name="W_17" localSheetId="10">#REF!:[0]!WSEnd</definedName>
    <definedName name="W_17" localSheetId="11">#REF!:WSEnd</definedName>
    <definedName name="W_17">#REF!:WSEnd</definedName>
    <definedName name="W_18" localSheetId="9">#REF!:WSEnd</definedName>
    <definedName name="W_18" localSheetId="10">#REF!:[0]!WSEnd</definedName>
    <definedName name="W_18" localSheetId="11">#REF!:WSEnd</definedName>
    <definedName name="W_18">#REF!:WSEnd</definedName>
    <definedName name="W_19" localSheetId="9">#REF!:WSEnd</definedName>
    <definedName name="W_19" localSheetId="10">#REF!:[0]!WSEnd</definedName>
    <definedName name="W_19" localSheetId="11">#REF!:WSEnd</definedName>
    <definedName name="W_19">#REF!:WSEnd</definedName>
    <definedName name="W_2" localSheetId="9">#REF!:WSEnd</definedName>
    <definedName name="W_2" localSheetId="10">#REF!:[0]!WSEnd</definedName>
    <definedName name="W_2" localSheetId="11">#REF!:WSEnd</definedName>
    <definedName name="W_2">#REF!:WSEnd</definedName>
    <definedName name="W_20" localSheetId="9">#REF!:WSEnd</definedName>
    <definedName name="W_20" localSheetId="10">#REF!:[0]!WSEnd</definedName>
    <definedName name="W_20" localSheetId="11">#REF!:WSEnd</definedName>
    <definedName name="W_20">#REF!:WSEnd</definedName>
    <definedName name="W_21" localSheetId="9">#REF!:WSEnd</definedName>
    <definedName name="W_21" localSheetId="10">#REF!:[0]!WSEnd</definedName>
    <definedName name="W_21" localSheetId="11">#REF!:WSEnd</definedName>
    <definedName name="W_21">#REF!:WSEnd</definedName>
    <definedName name="W_22" localSheetId="9">#REF!:WSEnd</definedName>
    <definedName name="W_22" localSheetId="10">#REF!:[0]!WSEnd</definedName>
    <definedName name="W_22" localSheetId="11">#REF!:WSEnd</definedName>
    <definedName name="W_22">#REF!:WSEnd</definedName>
    <definedName name="W_23" localSheetId="9">#REF!:WSEnd</definedName>
    <definedName name="W_23" localSheetId="10">#REF!:[0]!WSEnd</definedName>
    <definedName name="W_23" localSheetId="11">#REF!:WSEnd</definedName>
    <definedName name="W_23">#REF!:WSEnd</definedName>
    <definedName name="W_24" localSheetId="9">#REF!:WSEnd</definedName>
    <definedName name="W_24" localSheetId="10">#REF!:[0]!WSEnd</definedName>
    <definedName name="W_24" localSheetId="11">#REF!:WSEnd</definedName>
    <definedName name="W_24">#REF!:WSEnd</definedName>
    <definedName name="W_25" localSheetId="9">#REF!:WSEnd</definedName>
    <definedName name="W_25" localSheetId="10">#REF!:[0]!WSEnd</definedName>
    <definedName name="W_25" localSheetId="11">#REF!:WSEnd</definedName>
    <definedName name="W_25">#REF!:WSEnd</definedName>
    <definedName name="W_26" localSheetId="9">#REF!:WSEnd</definedName>
    <definedName name="W_26" localSheetId="10">#REF!:[0]!WSEnd</definedName>
    <definedName name="W_26" localSheetId="11">#REF!:WSEnd</definedName>
    <definedName name="W_26">#REF!:WSEnd</definedName>
    <definedName name="W_27" localSheetId="9">#REF!:WSEnd</definedName>
    <definedName name="W_27" localSheetId="10">#REF!:[0]!WSEnd</definedName>
    <definedName name="W_27" localSheetId="11">#REF!:WSEnd</definedName>
    <definedName name="W_27">#REF!:WSEnd</definedName>
    <definedName name="W_28" localSheetId="9">#REF!:WSEnd</definedName>
    <definedName name="W_28" localSheetId="10">#REF!:[0]!WSEnd</definedName>
    <definedName name="W_28" localSheetId="11">#REF!:WSEnd</definedName>
    <definedName name="W_28">#REF!:WSEnd</definedName>
    <definedName name="W_29" localSheetId="9">#REF!:WSEnd</definedName>
    <definedName name="W_29" localSheetId="10">#REF!:[0]!WSEnd</definedName>
    <definedName name="W_29" localSheetId="11">#REF!:WSEnd</definedName>
    <definedName name="W_29">#REF!:WSEnd</definedName>
    <definedName name="W_3" localSheetId="9">#REF!:WSEnd</definedName>
    <definedName name="W_3" localSheetId="10">#REF!:[0]!WSEnd</definedName>
    <definedName name="W_3" localSheetId="11">#REF!:WSEnd</definedName>
    <definedName name="W_3">#REF!:WSEnd</definedName>
    <definedName name="W_30" localSheetId="9">#REF!:WSEnd</definedName>
    <definedName name="W_30" localSheetId="10">#REF!:[0]!WSEnd</definedName>
    <definedName name="W_30" localSheetId="11">#REF!:WSEnd</definedName>
    <definedName name="W_30">#REF!:WSEnd</definedName>
    <definedName name="W_31" localSheetId="9">#REF!:WSEnd</definedName>
    <definedName name="W_31" localSheetId="10">#REF!:[0]!WSEnd</definedName>
    <definedName name="W_31" localSheetId="11">#REF!:WSEnd</definedName>
    <definedName name="W_31">#REF!:WSEnd</definedName>
    <definedName name="W_32" localSheetId="9">#REF!:WSEnd</definedName>
    <definedName name="W_32" localSheetId="10">#REF!:[0]!WSEnd</definedName>
    <definedName name="W_32" localSheetId="11">#REF!:WSEnd</definedName>
    <definedName name="W_32">#REF!:WSEnd</definedName>
    <definedName name="W_33" localSheetId="9">#REF!:WSEnd</definedName>
    <definedName name="W_33" localSheetId="10">#REF!:[0]!WSEnd</definedName>
    <definedName name="W_33" localSheetId="11">#REF!:WSEnd</definedName>
    <definedName name="W_33">#REF!:WSEnd</definedName>
    <definedName name="W_34" localSheetId="9">#REF!:WSEnd</definedName>
    <definedName name="W_34" localSheetId="10">#REF!:[0]!WSEnd</definedName>
    <definedName name="W_34" localSheetId="11">#REF!:WSEnd</definedName>
    <definedName name="W_34">#REF!:WSEnd</definedName>
    <definedName name="W_4" localSheetId="9">#REF!:WSEnd</definedName>
    <definedName name="W_4" localSheetId="10">#REF!:[0]!WSEnd</definedName>
    <definedName name="W_4" localSheetId="11">#REF!:WSEnd</definedName>
    <definedName name="W_4">#REF!:WSEnd</definedName>
    <definedName name="W_5" localSheetId="9">#REF!:WSEnd</definedName>
    <definedName name="W_5" localSheetId="10">#REF!:[0]!WSEnd</definedName>
    <definedName name="W_5" localSheetId="11">#REF!:WSEnd</definedName>
    <definedName name="W_5">#REF!:WSEnd</definedName>
    <definedName name="W_6" localSheetId="9">#REF!:WSEnd</definedName>
    <definedName name="W_6" localSheetId="10">#REF!:[0]!WSEnd</definedName>
    <definedName name="W_6" localSheetId="11">#REF!:WSEnd</definedName>
    <definedName name="W_6">#REF!:WSEnd</definedName>
    <definedName name="W_7" localSheetId="9">#REF!:WSEnd</definedName>
    <definedName name="W_7" localSheetId="10">#REF!:[0]!WSEnd</definedName>
    <definedName name="W_7" localSheetId="11">#REF!:WSEnd</definedName>
    <definedName name="W_7">#REF!:WSEnd</definedName>
    <definedName name="W_8" localSheetId="9">#REF!:WSEnd</definedName>
    <definedName name="W_8" localSheetId="10">#REF!:[0]!WSEnd</definedName>
    <definedName name="W_8" localSheetId="11">#REF!:WSEnd</definedName>
    <definedName name="W_8">#REF!:WSEnd</definedName>
    <definedName name="W_9" localSheetId="9">#REF!:WSEnd</definedName>
    <definedName name="W_9" localSheetId="10">#REF!:[0]!WSEnd</definedName>
    <definedName name="W_9" localSheetId="11">#REF!:WSEnd</definedName>
    <definedName name="W_9">#REF!:WSEnd</definedName>
    <definedName name="WCV_Building">'[9]Whispering Creek Villas'!$D$1:$K$17</definedName>
    <definedName name="WCV_CLOSING" localSheetId="9">[7]WCV!#REF!</definedName>
    <definedName name="WCV_CLOSING">[7]WCV!#REF!</definedName>
    <definedName name="WCV_Closing_with_Jefferson_Pilot" localSheetId="9">[7]WCV!#REF!</definedName>
    <definedName name="WCV_Closing_with_Jefferson_Pilot">[7]WCV!#REF!</definedName>
    <definedName name="WCV_Total_Parking">'[9]Whispering Creek Villas'!$Z$2:$AB$7</definedName>
    <definedName name="WCV_Values_for_Depreciation_Purposes">'[9]Whispering Creek Villas'!$O$1:$S$44</definedName>
    <definedName name="wrn.All._.Main._.Reports." localSheetId="9" hidden="1">{"Summary",#N/A,FALSE,"Sheet1";"Budget",#N/A,FALSE,"Sheet1";"Notes 2",#N/A,FALSE,"Sheet1";"Payroll Assumption Summary",#N/A,FALSE,"Sheet1";"Payroll_Assumption1",#N/A,FALSE,"Sheet1";"Rent_Assumptions",#N/A,FALSE,"Sheet1"}</definedName>
    <definedName name="wrn.All._.Main._.Reports." localSheetId="10" hidden="1">{"Summary",#N/A,FALSE,"Sheet1";"Budget",#N/A,FALSE,"Sheet1";"Notes 2",#N/A,FALSE,"Sheet1";"Payroll Assumption Summary",#N/A,FALSE,"Sheet1";"Payroll_Assumption1",#N/A,FALSE,"Sheet1";"Rent_Assumptions",#N/A,FALSE,"Sheet1"}</definedName>
    <definedName name="wrn.All._.Main._.Reports." localSheetId="11" hidden="1">{"Summary",#N/A,FALSE,"Sheet1";"Budget",#N/A,FALSE,"Sheet1";"Notes 2",#N/A,FALSE,"Sheet1";"Payroll Assumption Summary",#N/A,FALSE,"Sheet1";"Payroll_Assumption1",#N/A,FALSE,"Sheet1";"Rent_Assumptions",#N/A,FALSE,"Sheet1"}</definedName>
    <definedName name="wrn.All._.Main._.Reports." hidden="1">{"Summary",#N/A,FALSE,"Sheet1";"Budget",#N/A,FALSE,"Sheet1";"Notes 2",#N/A,FALSE,"Sheet1";"Payroll Assumption Summary",#N/A,FALSE,"Sheet1";"Payroll_Assumption1",#N/A,FALSE,"Sheet1";"Rent_Assumptions",#N/A,FALSE,"Sheet1"}</definedName>
    <definedName name="wrn.All._.Main._.Reports._1" localSheetId="9" hidden="1">{"Summary",#N/A,FALSE,"Sheet1";"Budget",#N/A,FALSE,"Sheet1";"Notes 2",#N/A,FALSE,"Sheet1";"Payroll Assumption Summary",#N/A,FALSE,"Sheet1";"Payroll_Assumption1",#N/A,FALSE,"Sheet1";"Rent_Assumptions",#N/A,FALSE,"Sheet1"}</definedName>
    <definedName name="wrn.All._.Main._.Reports._1" localSheetId="10" hidden="1">{"Summary",#N/A,FALSE,"Sheet1";"Budget",#N/A,FALSE,"Sheet1";"Notes 2",#N/A,FALSE,"Sheet1";"Payroll Assumption Summary",#N/A,FALSE,"Sheet1";"Payroll_Assumption1",#N/A,FALSE,"Sheet1";"Rent_Assumptions",#N/A,FALSE,"Sheet1"}</definedName>
    <definedName name="wrn.All._.Main._.Reports._1" localSheetId="11" hidden="1">{"Summary",#N/A,FALSE,"Sheet1";"Budget",#N/A,FALSE,"Sheet1";"Notes 2",#N/A,FALSE,"Sheet1";"Payroll Assumption Summary",#N/A,FALSE,"Sheet1";"Payroll_Assumption1",#N/A,FALSE,"Sheet1";"Rent_Assumptions",#N/A,FALSE,"Sheet1"}</definedName>
    <definedName name="wrn.All._.Main._.Reports._1" hidden="1">{"Summary",#N/A,FALSE,"Sheet1";"Budget",#N/A,FALSE,"Sheet1";"Notes 2",#N/A,FALSE,"Sheet1";"Payroll Assumption Summary",#N/A,FALSE,"Sheet1";"Payroll_Assumption1",#N/A,FALSE,"Sheet1";"Rent_Assumptions",#N/A,FALSE,"Sheet1"}</definedName>
    <definedName name="wrn.All._.Payroll._.Reports." localSheetId="9" hidden="1">{"Payroll Assumption Summary",#N/A,FALSE,"Sheet1";"Payroll_Assumption1",#N/A,FALSE,"Sheet1";"Payroll_Assumption2",#N/A,FALSE,"Sheet1"}</definedName>
    <definedName name="wrn.All._.Payroll._.Reports." localSheetId="10" hidden="1">{"Payroll Assumption Summary",#N/A,FALSE,"Sheet1";"Payroll_Assumption1",#N/A,FALSE,"Sheet1";"Payroll_Assumption2",#N/A,FALSE,"Sheet1"}</definedName>
    <definedName name="wrn.All._.Payroll._.Reports." localSheetId="11" hidden="1">{"Payroll Assumption Summary",#N/A,FALSE,"Sheet1";"Payroll_Assumption1",#N/A,FALSE,"Sheet1";"Payroll_Assumption2",#N/A,FALSE,"Sheet1"}</definedName>
    <definedName name="wrn.All._.Payroll._.Reports." hidden="1">{"Payroll Assumption Summary",#N/A,FALSE,"Sheet1";"Payroll_Assumption1",#N/A,FALSE,"Sheet1";"Payroll_Assumption2",#N/A,FALSE,"Sheet1"}</definedName>
    <definedName name="wrn.All._.Payroll._.Reports._1" localSheetId="9" hidden="1">{"Payroll Assumption Summary",#N/A,FALSE,"Sheet1";"Payroll_Assumption1",#N/A,FALSE,"Sheet1";"Payroll_Assumption2",#N/A,FALSE,"Sheet1"}</definedName>
    <definedName name="wrn.All._.Payroll._.Reports._1" localSheetId="10" hidden="1">{"Payroll Assumption Summary",#N/A,FALSE,"Sheet1";"Payroll_Assumption1",#N/A,FALSE,"Sheet1";"Payroll_Assumption2",#N/A,FALSE,"Sheet1"}</definedName>
    <definedName name="wrn.All._.Payroll._.Reports._1" localSheetId="11" hidden="1">{"Payroll Assumption Summary",#N/A,FALSE,"Sheet1";"Payroll_Assumption1",#N/A,FALSE,"Sheet1";"Payroll_Assumption2",#N/A,FALSE,"Sheet1"}</definedName>
    <definedName name="wrn.All._.Payroll._.Reports._1" hidden="1">{"Payroll Assumption Summary",#N/A,FALSE,"Sheet1";"Payroll_Assumption1",#N/A,FALSE,"Sheet1";"Payroll_Assumption2",#N/A,FALSE,"Sheet1"}</definedName>
    <definedName name="wrn.All._.Rent._.Reports." localSheetId="9" hidden="1">{"Rent_Assumptions",#N/A,FALSE,"Sheet1";"Rent_ChangesPerUnit",#N/A,FALSE,"Sheet1";"Rent_ChangesTotal",#N/A,FALSE,"Sheet1";"Rent_Totals",#N/A,FALSE,"Sheet1"}</definedName>
    <definedName name="wrn.All._.Rent._.Reports." localSheetId="10" hidden="1">{"Rent_Assumptions",#N/A,FALSE,"Sheet1";"Rent_ChangesPerUnit",#N/A,FALSE,"Sheet1";"Rent_ChangesTotal",#N/A,FALSE,"Sheet1";"Rent_Totals",#N/A,FALSE,"Sheet1"}</definedName>
    <definedName name="wrn.All._.Rent._.Reports." localSheetId="11" hidden="1">{"Rent_Assumptions",#N/A,FALSE,"Sheet1";"Rent_ChangesPerUnit",#N/A,FALSE,"Sheet1";"Rent_ChangesTotal",#N/A,FALSE,"Sheet1";"Rent_Totals",#N/A,FALSE,"Sheet1"}</definedName>
    <definedName name="wrn.All._.Rent._.Reports." hidden="1">{"Rent_Assumptions",#N/A,FALSE,"Sheet1";"Rent_ChangesPerUnit",#N/A,FALSE,"Sheet1";"Rent_ChangesTotal",#N/A,FALSE,"Sheet1";"Rent_Totals",#N/A,FALSE,"Sheet1"}</definedName>
    <definedName name="wrn.All._.Rent._.Reports._1" localSheetId="9" hidden="1">{"Rent_Assumptions",#N/A,FALSE,"Sheet1";"Rent_ChangesPerUnit",#N/A,FALSE,"Sheet1";"Rent_ChangesTotal",#N/A,FALSE,"Sheet1";"Rent_Totals",#N/A,FALSE,"Sheet1"}</definedName>
    <definedName name="wrn.All._.Rent._.Reports._1" localSheetId="10" hidden="1">{"Rent_Assumptions",#N/A,FALSE,"Sheet1";"Rent_ChangesPerUnit",#N/A,FALSE,"Sheet1";"Rent_ChangesTotal",#N/A,FALSE,"Sheet1";"Rent_Totals",#N/A,FALSE,"Sheet1"}</definedName>
    <definedName name="wrn.All._.Rent._.Reports._1" localSheetId="11" hidden="1">{"Rent_Assumptions",#N/A,FALSE,"Sheet1";"Rent_ChangesPerUnit",#N/A,FALSE,"Sheet1";"Rent_ChangesTotal",#N/A,FALSE,"Sheet1";"Rent_Totals",#N/A,FALSE,"Sheet1"}</definedName>
    <definedName name="wrn.All._.Rent._.Reports._1" hidden="1">{"Rent_Assumptions",#N/A,FALSE,"Sheet1";"Rent_ChangesPerUnit",#N/A,FALSE,"Sheet1";"Rent_ChangesTotal",#N/A,FALSE,"Sheet1";"Rent_Totals",#N/A,FALSE,"Sheet1"}</definedName>
    <definedName name="wrn.All._.Summary." localSheetId="9" hidden="1">{"Summary",#N/A,FALSE,"Sheet1"}</definedName>
    <definedName name="wrn.All._.Summary." localSheetId="10" hidden="1">{"Summary",#N/A,FALSE,"Sheet1"}</definedName>
    <definedName name="wrn.All._.Summary." localSheetId="11" hidden="1">{"Summary",#N/A,FALSE,"Sheet1"}</definedName>
    <definedName name="wrn.All._.Summary." hidden="1">{"Summary",#N/A,FALSE,"Sheet1"}</definedName>
    <definedName name="wrn.All._.Summary._1" localSheetId="9" hidden="1">{"Summary",#N/A,FALSE,"Sheet1"}</definedName>
    <definedName name="wrn.All._.Summary._1" localSheetId="10" hidden="1">{"Summary",#N/A,FALSE,"Sheet1"}</definedName>
    <definedName name="wrn.All._.Summary._1" localSheetId="11" hidden="1">{"Summary",#N/A,FALSE,"Sheet1"}</definedName>
    <definedName name="wrn.All._.Summary._1" hidden="1">{"Summary",#N/A,FALSE,"Sheet1"}</definedName>
    <definedName name="wrn.Ambassador." localSheetId="9" hidden="1">{#N/A,#N/A,TRUE,"Summary Acquisition Ambassador";#N/A,#N/A,TRUE,"Prime Crest Apartments";#N/A,#N/A,TRUE,"Royal Crest Apartments"}</definedName>
    <definedName name="wrn.Ambassador." localSheetId="10" hidden="1">{#N/A,#N/A,TRUE,"Summary Acquisition Ambassador";#N/A,#N/A,TRUE,"Prime Crest Apartments";#N/A,#N/A,TRUE,"Royal Crest Apartments"}</definedName>
    <definedName name="wrn.Ambassador." localSheetId="11" hidden="1">{#N/A,#N/A,TRUE,"Summary Acquisition Ambassador";#N/A,#N/A,TRUE,"Prime Crest Apartments";#N/A,#N/A,TRUE,"Royal Crest Apartments"}</definedName>
    <definedName name="wrn.Ambassador." hidden="1">{#N/A,#N/A,TRUE,"Summary Acquisition Ambassador";#N/A,#N/A,TRUE,"Prime Crest Apartments";#N/A,#N/A,TRUE,"Royal Crest Apartments"}</definedName>
    <definedName name="wrn.Ambassador._1" localSheetId="9" hidden="1">{#N/A,#N/A,TRUE,"Summary Acquisition Ambassador";#N/A,#N/A,TRUE,"Prime Crest Apartments";#N/A,#N/A,TRUE,"Royal Crest Apartments"}</definedName>
    <definedName name="wrn.Ambassador._1" localSheetId="10" hidden="1">{#N/A,#N/A,TRUE,"Summary Acquisition Ambassador";#N/A,#N/A,TRUE,"Prime Crest Apartments";#N/A,#N/A,TRUE,"Royal Crest Apartments"}</definedName>
    <definedName name="wrn.Ambassador._1" localSheetId="11" hidden="1">{#N/A,#N/A,TRUE,"Summary Acquisition Ambassador";#N/A,#N/A,TRUE,"Prime Crest Apartments";#N/A,#N/A,TRUE,"Royal Crest Apartments"}</definedName>
    <definedName name="wrn.Ambassador._1" hidden="1">{#N/A,#N/A,TRUE,"Summary Acquisition Ambassador";#N/A,#N/A,TRUE,"Prime Crest Apartments";#N/A,#N/A,TRUE,"Royal Crest Apartments"}</definedName>
    <definedName name="wrn.Budget." localSheetId="9" hidden="1">{"Budget",#N/A,FALSE,"Sheet1"}</definedName>
    <definedName name="wrn.Budget." localSheetId="10" hidden="1">{"Budget",#N/A,FALSE,"Sheet1"}</definedName>
    <definedName name="wrn.Budget." localSheetId="11" hidden="1">{"Budget",#N/A,FALSE,"Sheet1"}</definedName>
    <definedName name="wrn.Budget." hidden="1">{"Budget",#N/A,FALSE,"Sheet1"}</definedName>
    <definedName name="wrn.Budget._.1997._.Analysis." localSheetId="9" hidden="1">{#N/A,#N/A,TRUE,"Budget 1997 Class A";#N/A,#N/A,TRUE,"Budgets 1997 Class B &amp; C"}</definedName>
    <definedName name="wrn.Budget._.1997._.Analysis." localSheetId="10" hidden="1">{#N/A,#N/A,TRUE,"Budget 1997 Class A";#N/A,#N/A,TRUE,"Budgets 1997 Class B &amp; C"}</definedName>
    <definedName name="wrn.Budget._.1997._.Analysis." localSheetId="11" hidden="1">{#N/A,#N/A,TRUE,"Budget 1997 Class A";#N/A,#N/A,TRUE,"Budgets 1997 Class B &amp; C"}</definedName>
    <definedName name="wrn.Budget._.1997._.Analysis." hidden="1">{#N/A,#N/A,TRUE,"Budget 1997 Class A";#N/A,#N/A,TRUE,"Budgets 1997 Class B &amp; C"}</definedName>
    <definedName name="wrn.Budget._.1997._.Analysis._1" localSheetId="9" hidden="1">{#N/A,#N/A,TRUE,"Budget 1997 Class A";#N/A,#N/A,TRUE,"Budgets 1997 Class B &amp; C"}</definedName>
    <definedName name="wrn.Budget._.1997._.Analysis._1" localSheetId="10" hidden="1">{#N/A,#N/A,TRUE,"Budget 1997 Class A";#N/A,#N/A,TRUE,"Budgets 1997 Class B &amp; C"}</definedName>
    <definedName name="wrn.Budget._.1997._.Analysis._1" localSheetId="11" hidden="1">{#N/A,#N/A,TRUE,"Budget 1997 Class A";#N/A,#N/A,TRUE,"Budgets 1997 Class B &amp; C"}</definedName>
    <definedName name="wrn.Budget._.1997._.Analysis._1" hidden="1">{#N/A,#N/A,TRUE,"Budget 1997 Class A";#N/A,#N/A,TRUE,"Budgets 1997 Class B &amp; C"}</definedName>
    <definedName name="wrn.Budget._1" localSheetId="9" hidden="1">{"Budget",#N/A,FALSE,"Sheet1"}</definedName>
    <definedName name="wrn.Budget._1" localSheetId="10" hidden="1">{"Budget",#N/A,FALSE,"Sheet1"}</definedName>
    <definedName name="wrn.Budget._1" localSheetId="11" hidden="1">{"Budget",#N/A,FALSE,"Sheet1"}</definedName>
    <definedName name="wrn.Budget._1" hidden="1">{"Budget",#N/A,FALSE,"Sheet1"}</definedName>
    <definedName name="wrn.Closing._.BW." localSheetId="9" hidden="1">{#N/A,#N/A,FALSE,"Closing Bentley Wynde";#N/A,#N/A,FALSE,"Closing Bantley Wynde (1)"}</definedName>
    <definedName name="wrn.Closing._.BW." localSheetId="10" hidden="1">{#N/A,#N/A,FALSE,"Closing Bentley Wynde";#N/A,#N/A,FALSE,"Closing Bantley Wynde (1)"}</definedName>
    <definedName name="wrn.Closing._.BW." localSheetId="11" hidden="1">{#N/A,#N/A,FALSE,"Closing Bentley Wynde";#N/A,#N/A,FALSE,"Closing Bantley Wynde (1)"}</definedName>
    <definedName name="wrn.Closing._.BW." hidden="1">{#N/A,#N/A,FALSE,"Closing Bentley Wynde";#N/A,#N/A,FALSE,"Closing Bantley Wynde (1)"}</definedName>
    <definedName name="wrn.Closing._.BW._1" localSheetId="9" hidden="1">{#N/A,#N/A,FALSE,"Closing Bentley Wynde";#N/A,#N/A,FALSE,"Closing Bantley Wynde (1)"}</definedName>
    <definedName name="wrn.Closing._.BW._1" localSheetId="10" hidden="1">{#N/A,#N/A,FALSE,"Closing Bentley Wynde";#N/A,#N/A,FALSE,"Closing Bantley Wynde (1)"}</definedName>
    <definedName name="wrn.Closing._.BW._1" localSheetId="11" hidden="1">{#N/A,#N/A,FALSE,"Closing Bentley Wynde";#N/A,#N/A,FALSE,"Closing Bantley Wynde (1)"}</definedName>
    <definedName name="wrn.Closing._.BW._1" hidden="1">{#N/A,#N/A,FALSE,"Closing Bentley Wynde";#N/A,#N/A,FALSE,"Closing Bantley Wynde (1)"}</definedName>
    <definedName name="wrn.Northborough._.Station." localSheetId="9" hidden="1">{#N/A,#N/A,FALSE,"Total Acquisition and Rehab ";#N/A,#N/A,FALSE,"Summary of Hard Costs"}</definedName>
    <definedName name="wrn.Northborough._.Station." localSheetId="10" hidden="1">{#N/A,#N/A,FALSE,"Total Acquisition and Rehab ";#N/A,#N/A,FALSE,"Summary of Hard Costs"}</definedName>
    <definedName name="wrn.Northborough._.Station." localSheetId="11" hidden="1">{#N/A,#N/A,FALSE,"Total Acquisition and Rehab ";#N/A,#N/A,FALSE,"Summary of Hard Costs"}</definedName>
    <definedName name="wrn.Northborough._.Station." hidden="1">{#N/A,#N/A,FALSE,"Total Acquisition and Rehab ";#N/A,#N/A,FALSE,"Summary of Hard Costs"}</definedName>
    <definedName name="wrn.Northborough._.Station._1" localSheetId="9" hidden="1">{#N/A,#N/A,FALSE,"Total Acquisition and Rehab ";#N/A,#N/A,FALSE,"Summary of Hard Costs"}</definedName>
    <definedName name="wrn.Northborough._.Station._1" localSheetId="10" hidden="1">{#N/A,#N/A,FALSE,"Total Acquisition and Rehab ";#N/A,#N/A,FALSE,"Summary of Hard Costs"}</definedName>
    <definedName name="wrn.Northborough._.Station._1" localSheetId="11" hidden="1">{#N/A,#N/A,FALSE,"Total Acquisition and Rehab ";#N/A,#N/A,FALSE,"Summary of Hard Costs"}</definedName>
    <definedName name="wrn.Northborough._.Station._1" hidden="1">{#N/A,#N/A,FALSE,"Total Acquisition and Rehab ";#N/A,#N/A,FALSE,"Summary of Hard Costs"}</definedName>
    <definedName name="wrn.Notes._.2." localSheetId="9" hidden="1">{"Notes 2",#N/A,FALSE,"Sheet1"}</definedName>
    <definedName name="wrn.Notes._.2." localSheetId="10" hidden="1">{"Notes 2",#N/A,FALSE,"Sheet1"}</definedName>
    <definedName name="wrn.Notes._.2." localSheetId="11" hidden="1">{"Notes 2",#N/A,FALSE,"Sheet1"}</definedName>
    <definedName name="wrn.Notes._.2." hidden="1">{"Notes 2",#N/A,FALSE,"Sheet1"}</definedName>
    <definedName name="wrn.Notes._.2._1" localSheetId="9" hidden="1">{"Notes 2",#N/A,FALSE,"Sheet1"}</definedName>
    <definedName name="wrn.Notes._.2._1" localSheetId="10" hidden="1">{"Notes 2",#N/A,FALSE,"Sheet1"}</definedName>
    <definedName name="wrn.Notes._.2._1" localSheetId="11" hidden="1">{"Notes 2",#N/A,FALSE,"Sheet1"}</definedName>
    <definedName name="wrn.Notes._.2._1" hidden="1">{"Notes 2",#N/A,FALSE,"Sheet1"}</definedName>
    <definedName name="wrn.Payroll._.Assumption._.1." localSheetId="9" hidden="1">{"Payroll_Assumption1",#N/A,FALSE,"Sheet1"}</definedName>
    <definedName name="wrn.Payroll._.Assumption._.1." localSheetId="10" hidden="1">{"Payroll_Assumption1",#N/A,FALSE,"Sheet1"}</definedName>
    <definedName name="wrn.Payroll._.Assumption._.1." localSheetId="11" hidden="1">{"Payroll_Assumption1",#N/A,FALSE,"Sheet1"}</definedName>
    <definedName name="wrn.Payroll._.Assumption._.1." hidden="1">{"Payroll_Assumption1",#N/A,FALSE,"Sheet1"}</definedName>
    <definedName name="wrn.Payroll._.Assumption._.1._1" localSheetId="9" hidden="1">{"Payroll_Assumption1",#N/A,FALSE,"Sheet1"}</definedName>
    <definedName name="wrn.Payroll._.Assumption._.1._1" localSheetId="10" hidden="1">{"Payroll_Assumption1",#N/A,FALSE,"Sheet1"}</definedName>
    <definedName name="wrn.Payroll._.Assumption._.1._1" localSheetId="11" hidden="1">{"Payroll_Assumption1",#N/A,FALSE,"Sheet1"}</definedName>
    <definedName name="wrn.Payroll._.Assumption._.1._1" hidden="1">{"Payroll_Assumption1",#N/A,FALSE,"Sheet1"}</definedName>
    <definedName name="wrn.Payroll._.Assumptions." localSheetId="9" hidden="1">{"Payroll_Assuptions",#N/A,FALSE,"Sheet1"}</definedName>
    <definedName name="wrn.Payroll._.Assumptions." localSheetId="10" hidden="1">{"Payroll_Assuptions",#N/A,FALSE,"Sheet1"}</definedName>
    <definedName name="wrn.Payroll._.Assumptions." localSheetId="11" hidden="1">{"Payroll_Assuptions",#N/A,FALSE,"Sheet1"}</definedName>
    <definedName name="wrn.Payroll._.Assumptions." hidden="1">{"Payroll_Assuptions",#N/A,FALSE,"Sheet1"}</definedName>
    <definedName name="wrn.Payroll._.Assumptions._.Summary." localSheetId="9" hidden="1">{"Payroll Assumption Summary",#N/A,FALSE,"Sheet1"}</definedName>
    <definedName name="wrn.Payroll._.Assumptions._.Summary." localSheetId="10" hidden="1">{"Payroll Assumption Summary",#N/A,FALSE,"Sheet1"}</definedName>
    <definedName name="wrn.Payroll._.Assumptions._.Summary." localSheetId="11" hidden="1">{"Payroll Assumption Summary",#N/A,FALSE,"Sheet1"}</definedName>
    <definedName name="wrn.Payroll._.Assumptions._.Summary." hidden="1">{"Payroll Assumption Summary",#N/A,FALSE,"Sheet1"}</definedName>
    <definedName name="wrn.Payroll._.Assumptions._.Summary._1" localSheetId="9" hidden="1">{"Payroll Assumption Summary",#N/A,FALSE,"Sheet1"}</definedName>
    <definedName name="wrn.Payroll._.Assumptions._.Summary._1" localSheetId="10" hidden="1">{"Payroll Assumption Summary",#N/A,FALSE,"Sheet1"}</definedName>
    <definedName name="wrn.Payroll._.Assumptions._.Summary._1" localSheetId="11" hidden="1">{"Payroll Assumption Summary",#N/A,FALSE,"Sheet1"}</definedName>
    <definedName name="wrn.Payroll._.Assumptions._.Summary._1" hidden="1">{"Payroll Assumption Summary",#N/A,FALSE,"Sheet1"}</definedName>
    <definedName name="wrn.Payroll._.Assumptions._1" localSheetId="9" hidden="1">{"Payroll_Assuptions",#N/A,FALSE,"Sheet1"}</definedName>
    <definedName name="wrn.Payroll._.Assumptions._1" localSheetId="10" hidden="1">{"Payroll_Assuptions",#N/A,FALSE,"Sheet1"}</definedName>
    <definedName name="wrn.Payroll._.Assumptions._1" localSheetId="11" hidden="1">{"Payroll_Assuptions",#N/A,FALSE,"Sheet1"}</definedName>
    <definedName name="wrn.Payroll._.Assumptions._1" hidden="1">{"Payroll_Assuptions",#N/A,FALSE,"Sheet1"}</definedName>
    <definedName name="wrn.Payroll._.Assumptions2." localSheetId="9" hidden="1">{"Payroll_Assumption2",#N/A,FALSE,"Sheet1"}</definedName>
    <definedName name="wrn.Payroll._.Assumptions2." localSheetId="10" hidden="1">{"Payroll_Assumption2",#N/A,FALSE,"Sheet1"}</definedName>
    <definedName name="wrn.Payroll._.Assumptions2." localSheetId="11" hidden="1">{"Payroll_Assumption2",#N/A,FALSE,"Sheet1"}</definedName>
    <definedName name="wrn.Payroll._.Assumptions2." hidden="1">{"Payroll_Assumption2",#N/A,FALSE,"Sheet1"}</definedName>
    <definedName name="wrn.Payroll._.Assumptions2._1" localSheetId="9" hidden="1">{"Payroll_Assumption2",#N/A,FALSE,"Sheet1"}</definedName>
    <definedName name="wrn.Payroll._.Assumptions2._1" localSheetId="10" hidden="1">{"Payroll_Assumption2",#N/A,FALSE,"Sheet1"}</definedName>
    <definedName name="wrn.Payroll._.Assumptions2._1" localSheetId="11" hidden="1">{"Payroll_Assumption2",#N/A,FALSE,"Sheet1"}</definedName>
    <definedName name="wrn.Payroll._.Assumptions2._1" hidden="1">{"Payroll_Assumption2",#N/A,FALSE,"Sheet1"}</definedName>
    <definedName name="wrn.Per._.Unit." localSheetId="9" hidden="1">{#N/A,#N/A,FALSE,"Budget 1997 Class A (2)";#N/A,#N/A,FALSE,"Budgets 1997 Class B &amp; C (2)"}</definedName>
    <definedName name="wrn.Per._.Unit." localSheetId="10" hidden="1">{#N/A,#N/A,FALSE,"Budget 1997 Class A (2)";#N/A,#N/A,FALSE,"Budgets 1997 Class B &amp; C (2)"}</definedName>
    <definedName name="wrn.Per._.Unit." localSheetId="11" hidden="1">{#N/A,#N/A,FALSE,"Budget 1997 Class A (2)";#N/A,#N/A,FALSE,"Budgets 1997 Class B &amp; C (2)"}</definedName>
    <definedName name="wrn.Per._.Unit." hidden="1">{#N/A,#N/A,FALSE,"Budget 1997 Class A (2)";#N/A,#N/A,FALSE,"Budgets 1997 Class B &amp; C (2)"}</definedName>
    <definedName name="wrn.Per._.Unit._1" localSheetId="9" hidden="1">{#N/A,#N/A,FALSE,"Budget 1997 Class A (2)";#N/A,#N/A,FALSE,"Budgets 1997 Class B &amp; C (2)"}</definedName>
    <definedName name="wrn.Per._.Unit._1" localSheetId="10" hidden="1">{#N/A,#N/A,FALSE,"Budget 1997 Class A (2)";#N/A,#N/A,FALSE,"Budgets 1997 Class B &amp; C (2)"}</definedName>
    <definedName name="wrn.Per._.Unit._1" localSheetId="11" hidden="1">{#N/A,#N/A,FALSE,"Budget 1997 Class A (2)";#N/A,#N/A,FALSE,"Budgets 1997 Class B &amp; C (2)"}</definedName>
    <definedName name="wrn.Per._.Unit._1" hidden="1">{#N/A,#N/A,FALSE,"Budget 1997 Class A (2)";#N/A,#N/A,FALSE,"Budgets 1997 Class B &amp; C (2)"}</definedName>
    <definedName name="wrn.Presentation." localSheetId="9" hidden="1">{#N/A,#N/A,FALSE,"Cedar Branch Apartments";#N/A,#N/A,FALSE,"Creekbend Apartments";#N/A,#N/A,FALSE,"Heatherwood Apartments";#N/A,#N/A,FALSE,"Rockport Apartments";#N/A,#N/A,FALSE,"Rocksprings Apartments";#N/A,#N/A,FALSE,"The Bentworth Apartments"}</definedName>
    <definedName name="wrn.Presentation." localSheetId="10" hidden="1">{#N/A,#N/A,FALSE,"Cedar Branch Apartments";#N/A,#N/A,FALSE,"Creekbend Apartments";#N/A,#N/A,FALSE,"Heatherwood Apartments";#N/A,#N/A,FALSE,"Rockport Apartments";#N/A,#N/A,FALSE,"Rocksprings Apartments";#N/A,#N/A,FALSE,"The Bentworth Apartments"}</definedName>
    <definedName name="wrn.Presentation." localSheetId="11" hidden="1">{#N/A,#N/A,FALSE,"Cedar Branch Apartments";#N/A,#N/A,FALSE,"Creekbend Apartments";#N/A,#N/A,FALSE,"Heatherwood Apartments";#N/A,#N/A,FALSE,"Rockport Apartments";#N/A,#N/A,FALSE,"Rocksprings Apartments";#N/A,#N/A,FALSE,"The Bentworth Apartments"}</definedName>
    <definedName name="wrn.Presentation." hidden="1">{#N/A,#N/A,FALSE,"Cedar Branch Apartments";#N/A,#N/A,FALSE,"Creekbend Apartments";#N/A,#N/A,FALSE,"Heatherwood Apartments";#N/A,#N/A,FALSE,"Rockport Apartments";#N/A,#N/A,FALSE,"Rocksprings Apartments";#N/A,#N/A,FALSE,"The Bentworth Apartments"}</definedName>
    <definedName name="wrn.Presentation._1" localSheetId="9" hidden="1">{#N/A,#N/A,FALSE,"Cedar Branch Apartments";#N/A,#N/A,FALSE,"Creekbend Apartments";#N/A,#N/A,FALSE,"Heatherwood Apartments";#N/A,#N/A,FALSE,"Rockport Apartments";#N/A,#N/A,FALSE,"Rocksprings Apartments";#N/A,#N/A,FALSE,"The Bentworth Apartments"}</definedName>
    <definedName name="wrn.Presentation._1" localSheetId="10" hidden="1">{#N/A,#N/A,FALSE,"Cedar Branch Apartments";#N/A,#N/A,FALSE,"Creekbend Apartments";#N/A,#N/A,FALSE,"Heatherwood Apartments";#N/A,#N/A,FALSE,"Rockport Apartments";#N/A,#N/A,FALSE,"Rocksprings Apartments";#N/A,#N/A,FALSE,"The Bentworth Apartments"}</definedName>
    <definedName name="wrn.Presentation._1" localSheetId="11" hidden="1">{#N/A,#N/A,FALSE,"Cedar Branch Apartments";#N/A,#N/A,FALSE,"Creekbend Apartments";#N/A,#N/A,FALSE,"Heatherwood Apartments";#N/A,#N/A,FALSE,"Rockport Apartments";#N/A,#N/A,FALSE,"Rocksprings Apartments";#N/A,#N/A,FALSE,"The Bentworth Apartments"}</definedName>
    <definedName name="wrn.Presentation._1" hidden="1">{#N/A,#N/A,FALSE,"Cedar Branch Apartments";#N/A,#N/A,FALSE,"Creekbend Apartments";#N/A,#N/A,FALSE,"Heatherwood Apartments";#N/A,#N/A,FALSE,"Rockport Apartments";#N/A,#N/A,FALSE,"Rocksprings Apartments";#N/A,#N/A,FALSE,"The Bentworth Apartments"}</definedName>
    <definedName name="wrn.Project._.Cost._.Estimate." localSheetId="9" hidden="1">{#N/A,#N/A,FALSE,"cost";#N/A,#N/A,FALSE,"draw sched.";#N/A,#N/A,FALSE,"spread";#N/A,#N/A,FALSE,"Assumptions"}</definedName>
    <definedName name="wrn.Project._.Cost._.Estimate." localSheetId="10" hidden="1">{#N/A,#N/A,FALSE,"cost";#N/A,#N/A,FALSE,"draw sched.";#N/A,#N/A,FALSE,"spread";#N/A,#N/A,FALSE,"Assumptions"}</definedName>
    <definedName name="wrn.Project._.Cost._.Estimate." localSheetId="11" hidden="1">{#N/A,#N/A,FALSE,"cost";#N/A,#N/A,FALSE,"draw sched.";#N/A,#N/A,FALSE,"spread";#N/A,#N/A,FALSE,"Assumptions"}</definedName>
    <definedName name="wrn.Project._.Cost._.Estimate." hidden="1">{#N/A,#N/A,FALSE,"cost";#N/A,#N/A,FALSE,"draw sched.";#N/A,#N/A,FALSE,"spread";#N/A,#N/A,FALSE,"Assumptions"}</definedName>
    <definedName name="wrn.Project._.Cost._.Estimate._1" localSheetId="9" hidden="1">{#N/A,#N/A,FALSE,"cost";#N/A,#N/A,FALSE,"draw sched.";#N/A,#N/A,FALSE,"spread";#N/A,#N/A,FALSE,"Assumptions"}</definedName>
    <definedName name="wrn.Project._.Cost._.Estimate._1" localSheetId="10" hidden="1">{#N/A,#N/A,FALSE,"cost";#N/A,#N/A,FALSE,"draw sched.";#N/A,#N/A,FALSE,"spread";#N/A,#N/A,FALSE,"Assumptions"}</definedName>
    <definedName name="wrn.Project._.Cost._.Estimate._1" localSheetId="11" hidden="1">{#N/A,#N/A,FALSE,"cost";#N/A,#N/A,FALSE,"draw sched.";#N/A,#N/A,FALSE,"spread";#N/A,#N/A,FALSE,"Assumptions"}</definedName>
    <definedName name="wrn.Project._.Cost._.Estimate._1" hidden="1">{#N/A,#N/A,FALSE,"cost";#N/A,#N/A,FALSE,"draw sched.";#N/A,#N/A,FALSE,"spread";#N/A,#N/A,FALSE,"Assumptions"}</definedName>
    <definedName name="wrn.Rehab." localSheetId="9" hidden="1">{#N/A,#N/A,TRUE,"Total Acquisition and Rehab ";#N/A,#N/A,TRUE,"Summary of Hard Costs";#N/A,#N/A,TRUE,"Summary-Interior Scope of Work";#N/A,#N/A,TRUE,"Cementious Decks";#N/A,#N/A,TRUE,"Finish Trim";#N/A,#N/A,TRUE,"Balcony Waterproofing";#N/A,#N/A,TRUE,"Doors and Hardware";#N/A,#N/A,TRUE,"Drywall";#N/A,#N/A,TRUE,"Tile";#N/A,#N/A,TRUE,"Flooring";#N/A,#N/A,TRUE,"Painting";#N/A,#N/A,TRUE,"Identifying, Shelving &amp; Mirrors";#N/A,#N/A,TRUE,"Appliances";#N/A,#N/A,TRUE,"Cabinets and Countertops";#N/A,#N/A,TRUE,"Window Treatments";#N/A,#N/A,TRUE,"Plumbing";#N/A,#N/A,TRUE,"HVAC";#N/A,#N/A,TRUE,"Electrical"}</definedName>
    <definedName name="wrn.Rehab." localSheetId="10" hidden="1">{#N/A,#N/A,TRUE,"Total Acquisition and Rehab ";#N/A,#N/A,TRUE,"Summary of Hard Costs";#N/A,#N/A,TRUE,"Summary-Interior Scope of Work";#N/A,#N/A,TRUE,"Cementious Decks";#N/A,#N/A,TRUE,"Finish Trim";#N/A,#N/A,TRUE,"Balcony Waterproofing";#N/A,#N/A,TRUE,"Doors and Hardware";#N/A,#N/A,TRUE,"Drywall";#N/A,#N/A,TRUE,"Tile";#N/A,#N/A,TRUE,"Flooring";#N/A,#N/A,TRUE,"Painting";#N/A,#N/A,TRUE,"Identifying, Shelving &amp; Mirrors";#N/A,#N/A,TRUE,"Appliances";#N/A,#N/A,TRUE,"Cabinets and Countertops";#N/A,#N/A,TRUE,"Window Treatments";#N/A,#N/A,TRUE,"Plumbing";#N/A,#N/A,TRUE,"HVAC";#N/A,#N/A,TRUE,"Electrical"}</definedName>
    <definedName name="wrn.Rehab." localSheetId="11" hidden="1">{#N/A,#N/A,TRUE,"Total Acquisition and Rehab ";#N/A,#N/A,TRUE,"Summary of Hard Costs";#N/A,#N/A,TRUE,"Summary-Interior Scope of Work";#N/A,#N/A,TRUE,"Cementious Decks";#N/A,#N/A,TRUE,"Finish Trim";#N/A,#N/A,TRUE,"Balcony Waterproofing";#N/A,#N/A,TRUE,"Doors and Hardware";#N/A,#N/A,TRUE,"Drywall";#N/A,#N/A,TRUE,"Tile";#N/A,#N/A,TRUE,"Flooring";#N/A,#N/A,TRUE,"Painting";#N/A,#N/A,TRUE,"Identifying, Shelving &amp; Mirrors";#N/A,#N/A,TRUE,"Appliances";#N/A,#N/A,TRUE,"Cabinets and Countertops";#N/A,#N/A,TRUE,"Window Treatments";#N/A,#N/A,TRUE,"Plumbing";#N/A,#N/A,TRUE,"HVAC";#N/A,#N/A,TRUE,"Electrical"}</definedName>
    <definedName name="wrn.Rehab." hidden="1">{#N/A,#N/A,TRUE,"Total Acquisition and Rehab ";#N/A,#N/A,TRUE,"Summary of Hard Costs";#N/A,#N/A,TRUE,"Summary-Interior Scope of Work";#N/A,#N/A,TRUE,"Cementious Decks";#N/A,#N/A,TRUE,"Finish Trim";#N/A,#N/A,TRUE,"Balcony Waterproofing";#N/A,#N/A,TRUE,"Doors and Hardware";#N/A,#N/A,TRUE,"Drywall";#N/A,#N/A,TRUE,"Tile";#N/A,#N/A,TRUE,"Flooring";#N/A,#N/A,TRUE,"Painting";#N/A,#N/A,TRUE,"Identifying, Shelving &amp; Mirrors";#N/A,#N/A,TRUE,"Appliances";#N/A,#N/A,TRUE,"Cabinets and Countertops";#N/A,#N/A,TRUE,"Window Treatments";#N/A,#N/A,TRUE,"Plumbing";#N/A,#N/A,TRUE,"HVAC";#N/A,#N/A,TRUE,"Electrical"}</definedName>
    <definedName name="wrn.Rehab._.Projects." localSheetId="9" hidden="1">{#N/A,#N/A,FALSE,"Bankside Village Apartments";#N/A,#N/A,FALSE,"Stoneridge Apartments"}</definedName>
    <definedName name="wrn.Rehab._.Projects." localSheetId="10" hidden="1">{#N/A,#N/A,FALSE,"Bankside Village Apartments";#N/A,#N/A,FALSE,"Stoneridge Apartments"}</definedName>
    <definedName name="wrn.Rehab._.Projects." localSheetId="11" hidden="1">{#N/A,#N/A,FALSE,"Bankside Village Apartments";#N/A,#N/A,FALSE,"Stoneridge Apartments"}</definedName>
    <definedName name="wrn.Rehab._.Projects." hidden="1">{#N/A,#N/A,FALSE,"Bankside Village Apartments";#N/A,#N/A,FALSE,"Stoneridge Apartments"}</definedName>
    <definedName name="wrn.Rehab._.Projects._1" localSheetId="9" hidden="1">{#N/A,#N/A,FALSE,"Bankside Village Apartments";#N/A,#N/A,FALSE,"Stoneridge Apartments"}</definedName>
    <definedName name="wrn.Rehab._.Projects._1" localSheetId="10" hidden="1">{#N/A,#N/A,FALSE,"Bankside Village Apartments";#N/A,#N/A,FALSE,"Stoneridge Apartments"}</definedName>
    <definedName name="wrn.Rehab._.Projects._1" localSheetId="11" hidden="1">{#N/A,#N/A,FALSE,"Bankside Village Apartments";#N/A,#N/A,FALSE,"Stoneridge Apartments"}</definedName>
    <definedName name="wrn.Rehab._.Projects._1" hidden="1">{#N/A,#N/A,FALSE,"Bankside Village Apartments";#N/A,#N/A,FALSE,"Stoneridge Apartments"}</definedName>
    <definedName name="wrn.Rehab._1" localSheetId="9" hidden="1">{#N/A,#N/A,TRUE,"Total Acquisition and Rehab ";#N/A,#N/A,TRUE,"Summary of Hard Costs";#N/A,#N/A,TRUE,"Summary-Interior Scope of Work";#N/A,#N/A,TRUE,"Cementious Decks";#N/A,#N/A,TRUE,"Finish Trim";#N/A,#N/A,TRUE,"Balcony Waterproofing";#N/A,#N/A,TRUE,"Doors and Hardware";#N/A,#N/A,TRUE,"Drywall";#N/A,#N/A,TRUE,"Tile";#N/A,#N/A,TRUE,"Flooring";#N/A,#N/A,TRUE,"Painting";#N/A,#N/A,TRUE,"Identifying, Shelving &amp; Mirrors";#N/A,#N/A,TRUE,"Appliances";#N/A,#N/A,TRUE,"Cabinets and Countertops";#N/A,#N/A,TRUE,"Window Treatments";#N/A,#N/A,TRUE,"Plumbing";#N/A,#N/A,TRUE,"HVAC";#N/A,#N/A,TRUE,"Electrical"}</definedName>
    <definedName name="wrn.Rehab._1" localSheetId="10" hidden="1">{#N/A,#N/A,TRUE,"Total Acquisition and Rehab ";#N/A,#N/A,TRUE,"Summary of Hard Costs";#N/A,#N/A,TRUE,"Summary-Interior Scope of Work";#N/A,#N/A,TRUE,"Cementious Decks";#N/A,#N/A,TRUE,"Finish Trim";#N/A,#N/A,TRUE,"Balcony Waterproofing";#N/A,#N/A,TRUE,"Doors and Hardware";#N/A,#N/A,TRUE,"Drywall";#N/A,#N/A,TRUE,"Tile";#N/A,#N/A,TRUE,"Flooring";#N/A,#N/A,TRUE,"Painting";#N/A,#N/A,TRUE,"Identifying, Shelving &amp; Mirrors";#N/A,#N/A,TRUE,"Appliances";#N/A,#N/A,TRUE,"Cabinets and Countertops";#N/A,#N/A,TRUE,"Window Treatments";#N/A,#N/A,TRUE,"Plumbing";#N/A,#N/A,TRUE,"HVAC";#N/A,#N/A,TRUE,"Electrical"}</definedName>
    <definedName name="wrn.Rehab._1" localSheetId="11" hidden="1">{#N/A,#N/A,TRUE,"Total Acquisition and Rehab ";#N/A,#N/A,TRUE,"Summary of Hard Costs";#N/A,#N/A,TRUE,"Summary-Interior Scope of Work";#N/A,#N/A,TRUE,"Cementious Decks";#N/A,#N/A,TRUE,"Finish Trim";#N/A,#N/A,TRUE,"Balcony Waterproofing";#N/A,#N/A,TRUE,"Doors and Hardware";#N/A,#N/A,TRUE,"Drywall";#N/A,#N/A,TRUE,"Tile";#N/A,#N/A,TRUE,"Flooring";#N/A,#N/A,TRUE,"Painting";#N/A,#N/A,TRUE,"Identifying, Shelving &amp; Mirrors";#N/A,#N/A,TRUE,"Appliances";#N/A,#N/A,TRUE,"Cabinets and Countertops";#N/A,#N/A,TRUE,"Window Treatments";#N/A,#N/A,TRUE,"Plumbing";#N/A,#N/A,TRUE,"HVAC";#N/A,#N/A,TRUE,"Electrical"}</definedName>
    <definedName name="wrn.Rehab._1" hidden="1">{#N/A,#N/A,TRUE,"Total Acquisition and Rehab ";#N/A,#N/A,TRUE,"Summary of Hard Costs";#N/A,#N/A,TRUE,"Summary-Interior Scope of Work";#N/A,#N/A,TRUE,"Cementious Decks";#N/A,#N/A,TRUE,"Finish Trim";#N/A,#N/A,TRUE,"Balcony Waterproofing";#N/A,#N/A,TRUE,"Doors and Hardware";#N/A,#N/A,TRUE,"Drywall";#N/A,#N/A,TRUE,"Tile";#N/A,#N/A,TRUE,"Flooring";#N/A,#N/A,TRUE,"Painting";#N/A,#N/A,TRUE,"Identifying, Shelving &amp; Mirrors";#N/A,#N/A,TRUE,"Appliances";#N/A,#N/A,TRUE,"Cabinets and Countertops";#N/A,#N/A,TRUE,"Window Treatments";#N/A,#N/A,TRUE,"Plumbing";#N/A,#N/A,TRUE,"HVAC";#N/A,#N/A,TRUE,"Electrical"}</definedName>
    <definedName name="wrn.Renovation." localSheetId="9" hidden="1">{#N/A,#N/A,FALSE,"loan analysis";#N/A,#N/A,FALSE,"Draw Schedule";#N/A,#N/A,FALSE,"Cost";#N/A,#N/A,FALSE,"unit mix";#N/A,#N/A,FALSE,"proforma";#N/A,#N/A,FALSE,"Spread";#N/A,#N/A,FALSE,"Assumptions";#N/A,#N/A,FALSE,"Summary"}</definedName>
    <definedName name="wrn.Renovation." localSheetId="10" hidden="1">{#N/A,#N/A,FALSE,"loan analysis";#N/A,#N/A,FALSE,"Draw Schedule";#N/A,#N/A,FALSE,"Cost";#N/A,#N/A,FALSE,"unit mix";#N/A,#N/A,FALSE,"proforma";#N/A,#N/A,FALSE,"Spread";#N/A,#N/A,FALSE,"Assumptions";#N/A,#N/A,FALSE,"Summary"}</definedName>
    <definedName name="wrn.Renovation." localSheetId="11" hidden="1">{#N/A,#N/A,FALSE,"loan analysis";#N/A,#N/A,FALSE,"Draw Schedule";#N/A,#N/A,FALSE,"Cost";#N/A,#N/A,FALSE,"unit mix";#N/A,#N/A,FALSE,"proforma";#N/A,#N/A,FALSE,"Spread";#N/A,#N/A,FALSE,"Assumptions";#N/A,#N/A,FALSE,"Summary"}</definedName>
    <definedName name="wrn.Renovation." hidden="1">{#N/A,#N/A,FALSE,"loan analysis";#N/A,#N/A,FALSE,"Draw Schedule";#N/A,#N/A,FALSE,"Cost";#N/A,#N/A,FALSE,"unit mix";#N/A,#N/A,FALSE,"proforma";#N/A,#N/A,FALSE,"Spread";#N/A,#N/A,FALSE,"Assumptions";#N/A,#N/A,FALSE,"Summary"}</definedName>
    <definedName name="wrn.Renovation._1" localSheetId="9" hidden="1">{#N/A,#N/A,FALSE,"loan analysis";#N/A,#N/A,FALSE,"Draw Schedule";#N/A,#N/A,FALSE,"Cost";#N/A,#N/A,FALSE,"unit mix";#N/A,#N/A,FALSE,"proforma";#N/A,#N/A,FALSE,"Spread";#N/A,#N/A,FALSE,"Assumptions";#N/A,#N/A,FALSE,"Summary"}</definedName>
    <definedName name="wrn.Renovation._1" localSheetId="10" hidden="1">{#N/A,#N/A,FALSE,"loan analysis";#N/A,#N/A,FALSE,"Draw Schedule";#N/A,#N/A,FALSE,"Cost";#N/A,#N/A,FALSE,"unit mix";#N/A,#N/A,FALSE,"proforma";#N/A,#N/A,FALSE,"Spread";#N/A,#N/A,FALSE,"Assumptions";#N/A,#N/A,FALSE,"Summary"}</definedName>
    <definedName name="wrn.Renovation._1" localSheetId="11" hidden="1">{#N/A,#N/A,FALSE,"loan analysis";#N/A,#N/A,FALSE,"Draw Schedule";#N/A,#N/A,FALSE,"Cost";#N/A,#N/A,FALSE,"unit mix";#N/A,#N/A,FALSE,"proforma";#N/A,#N/A,FALSE,"Spread";#N/A,#N/A,FALSE,"Assumptions";#N/A,#N/A,FALSE,"Summary"}</definedName>
    <definedName name="wrn.Renovation._1" hidden="1">{#N/A,#N/A,FALSE,"loan analysis";#N/A,#N/A,FALSE,"Draw Schedule";#N/A,#N/A,FALSE,"Cost";#N/A,#N/A,FALSE,"unit mix";#N/A,#N/A,FALSE,"proforma";#N/A,#N/A,FALSE,"Spread";#N/A,#N/A,FALSE,"Assumptions";#N/A,#N/A,FALSE,"Summary"}</definedName>
    <definedName name="wrn.Rent._.Assumptions." localSheetId="9" hidden="1">{"Rent_Assumptions",#N/A,FALSE,"Sheet1"}</definedName>
    <definedName name="wrn.Rent._.Assumptions." localSheetId="10" hidden="1">{"Rent_Assumptions",#N/A,FALSE,"Sheet1"}</definedName>
    <definedName name="wrn.Rent._.Assumptions." localSheetId="11" hidden="1">{"Rent_Assumptions",#N/A,FALSE,"Sheet1"}</definedName>
    <definedName name="wrn.Rent._.Assumptions." hidden="1">{"Rent_Assumptions",#N/A,FALSE,"Sheet1"}</definedName>
    <definedName name="wrn.Rent._.Assumptions._1" localSheetId="9" hidden="1">{"Rent_Assumptions",#N/A,FALSE,"Sheet1"}</definedName>
    <definedName name="wrn.Rent._.Assumptions._1" localSheetId="10" hidden="1">{"Rent_Assumptions",#N/A,FALSE,"Sheet1"}</definedName>
    <definedName name="wrn.Rent._.Assumptions._1" localSheetId="11" hidden="1">{"Rent_Assumptions",#N/A,FALSE,"Sheet1"}</definedName>
    <definedName name="wrn.Rent._.Assumptions._1" hidden="1">{"Rent_Assumptions",#N/A,FALSE,"Sheet1"}</definedName>
    <definedName name="wrn.Rent._.Changes._.Per._.Unit." localSheetId="9" hidden="1">{"Rent_ChangesPerUnit",#N/A,FALSE,"Sheet1"}</definedName>
    <definedName name="wrn.Rent._.Changes._.Per._.Unit." localSheetId="10" hidden="1">{"Rent_ChangesPerUnit",#N/A,FALSE,"Sheet1"}</definedName>
    <definedName name="wrn.Rent._.Changes._.Per._.Unit." localSheetId="11" hidden="1">{"Rent_ChangesPerUnit",#N/A,FALSE,"Sheet1"}</definedName>
    <definedName name="wrn.Rent._.Changes._.Per._.Unit." hidden="1">{"Rent_ChangesPerUnit",#N/A,FALSE,"Sheet1"}</definedName>
    <definedName name="wrn.Rent._.Changes._.Per._.Unit._1" localSheetId="9" hidden="1">{"Rent_ChangesPerUnit",#N/A,FALSE,"Sheet1"}</definedName>
    <definedName name="wrn.Rent._.Changes._.Per._.Unit._1" localSheetId="10" hidden="1">{"Rent_ChangesPerUnit",#N/A,FALSE,"Sheet1"}</definedName>
    <definedName name="wrn.Rent._.Changes._.Per._.Unit._1" localSheetId="11" hidden="1">{"Rent_ChangesPerUnit",#N/A,FALSE,"Sheet1"}</definedName>
    <definedName name="wrn.Rent._.Changes._.Per._.Unit._1" hidden="1">{"Rent_ChangesPerUnit",#N/A,FALSE,"Sheet1"}</definedName>
    <definedName name="wrn.Rent._.Changes._.Total." localSheetId="9" hidden="1">{"Rent_ChangesTotal",#N/A,FALSE,"Sheet1"}</definedName>
    <definedName name="wrn.Rent._.Changes._.Total." localSheetId="10" hidden="1">{"Rent_ChangesTotal",#N/A,FALSE,"Sheet1"}</definedName>
    <definedName name="wrn.Rent._.Changes._.Total." localSheetId="11" hidden="1">{"Rent_ChangesTotal",#N/A,FALSE,"Sheet1"}</definedName>
    <definedName name="wrn.Rent._.Changes._.Total." hidden="1">{"Rent_ChangesTotal",#N/A,FALSE,"Sheet1"}</definedName>
    <definedName name="wrn.Rent._.Changes._.Total._1" localSheetId="9" hidden="1">{"Rent_ChangesTotal",#N/A,FALSE,"Sheet1"}</definedName>
    <definedName name="wrn.Rent._.Changes._.Total._1" localSheetId="10" hidden="1">{"Rent_ChangesTotal",#N/A,FALSE,"Sheet1"}</definedName>
    <definedName name="wrn.Rent._.Changes._.Total._1" localSheetId="11" hidden="1">{"Rent_ChangesTotal",#N/A,FALSE,"Sheet1"}</definedName>
    <definedName name="wrn.Rent._.Changes._.Total._1" hidden="1">{"Rent_ChangesTotal",#N/A,FALSE,"Sheet1"}</definedName>
    <definedName name="wrn.Rent._.Totals." localSheetId="9" hidden="1">{"Rent_Totals",#N/A,FALSE,"Sheet1"}</definedName>
    <definedName name="wrn.Rent._.Totals." localSheetId="10" hidden="1">{"Rent_Totals",#N/A,FALSE,"Sheet1"}</definedName>
    <definedName name="wrn.Rent._.Totals." localSheetId="11" hidden="1">{"Rent_Totals",#N/A,FALSE,"Sheet1"}</definedName>
    <definedName name="wrn.Rent._.Totals." hidden="1">{"Rent_Totals",#N/A,FALSE,"Sheet1"}</definedName>
    <definedName name="wrn.Rent._.Totals._1" localSheetId="9" hidden="1">{"Rent_Totals",#N/A,FALSE,"Sheet1"}</definedName>
    <definedName name="wrn.Rent._.Totals._1" localSheetId="10" hidden="1">{"Rent_Totals",#N/A,FALSE,"Sheet1"}</definedName>
    <definedName name="wrn.Rent._.Totals._1" localSheetId="11" hidden="1">{"Rent_Totals",#N/A,FALSE,"Sheet1"}</definedName>
    <definedName name="wrn.Rent._.Totals._1" hidden="1">{"Rent_Totals",#N/A,FALSE,"Sheet1"}</definedName>
    <definedName name="wrn.Savannah._.Place." localSheetId="9" hidden="1">{#N/A,#N/A,FALSE,"Investment Analysis ";#N/A,#N/A,FALSE,"Savannah Place"}</definedName>
    <definedName name="wrn.Savannah._.Place." localSheetId="10" hidden="1">{#N/A,#N/A,FALSE,"Investment Analysis ";#N/A,#N/A,FALSE,"Savannah Place"}</definedName>
    <definedName name="wrn.Savannah._.Place." localSheetId="11" hidden="1">{#N/A,#N/A,FALSE,"Investment Analysis ";#N/A,#N/A,FALSE,"Savannah Place"}</definedName>
    <definedName name="wrn.Savannah._.Place." hidden="1">{#N/A,#N/A,FALSE,"Investment Analysis ";#N/A,#N/A,FALSE,"Savannah Place"}</definedName>
    <definedName name="wrn.Savannah._.Place._1" localSheetId="9" hidden="1">{#N/A,#N/A,FALSE,"Investment Analysis ";#N/A,#N/A,FALSE,"Savannah Place"}</definedName>
    <definedName name="wrn.Savannah._.Place._1" localSheetId="10" hidden="1">{#N/A,#N/A,FALSE,"Investment Analysis ";#N/A,#N/A,FALSE,"Savannah Place"}</definedName>
    <definedName name="wrn.Savannah._.Place._1" localSheetId="11" hidden="1">{#N/A,#N/A,FALSE,"Investment Analysis ";#N/A,#N/A,FALSE,"Savannah Place"}</definedName>
    <definedName name="wrn.Savannah._.Place._1" hidden="1">{#N/A,#N/A,FALSE,"Investment Analysis ";#N/A,#N/A,FALSE,"Savannah Place"}</definedName>
    <definedName name="wrn.Special._.Project." localSheetId="9" hidden="1">{#N/A,#N/A,TRUE,"Cedar Branch Apartments";#N/A,#N/A,TRUE,"Creekbend Apartments";#N/A,#N/A,TRUE,"Heatherwood Apartments";#N/A,#N/A,TRUE,"Rockport Apartments";#N/A,#N/A,TRUE,"Sale on 30-Sep-96";#N/A,#N/A,TRUE,"Sale on 30-Sep-97";#N/A,#N/A,TRUE,"Sale on 30-Sep-98"}</definedName>
    <definedName name="wrn.Special._.Project." localSheetId="10" hidden="1">{#N/A,#N/A,TRUE,"Cedar Branch Apartments";#N/A,#N/A,TRUE,"Creekbend Apartments";#N/A,#N/A,TRUE,"Heatherwood Apartments";#N/A,#N/A,TRUE,"Rockport Apartments";#N/A,#N/A,TRUE,"Sale on 30-Sep-96";#N/A,#N/A,TRUE,"Sale on 30-Sep-97";#N/A,#N/A,TRUE,"Sale on 30-Sep-98"}</definedName>
    <definedName name="wrn.Special._.Project." localSheetId="11" hidden="1">{#N/A,#N/A,TRUE,"Cedar Branch Apartments";#N/A,#N/A,TRUE,"Creekbend Apartments";#N/A,#N/A,TRUE,"Heatherwood Apartments";#N/A,#N/A,TRUE,"Rockport Apartments";#N/A,#N/A,TRUE,"Sale on 30-Sep-96";#N/A,#N/A,TRUE,"Sale on 30-Sep-97";#N/A,#N/A,TRUE,"Sale on 30-Sep-98"}</definedName>
    <definedName name="wrn.Special._.Project." hidden="1">{#N/A,#N/A,TRUE,"Cedar Branch Apartments";#N/A,#N/A,TRUE,"Creekbend Apartments";#N/A,#N/A,TRUE,"Heatherwood Apartments";#N/A,#N/A,TRUE,"Rockport Apartments";#N/A,#N/A,TRUE,"Sale on 30-Sep-96";#N/A,#N/A,TRUE,"Sale on 30-Sep-97";#N/A,#N/A,TRUE,"Sale on 30-Sep-98"}</definedName>
    <definedName name="wrn.Special._.Project._1" localSheetId="9" hidden="1">{#N/A,#N/A,TRUE,"Cedar Branch Apartments";#N/A,#N/A,TRUE,"Creekbend Apartments";#N/A,#N/A,TRUE,"Heatherwood Apartments";#N/A,#N/A,TRUE,"Rockport Apartments";#N/A,#N/A,TRUE,"Sale on 30-Sep-96";#N/A,#N/A,TRUE,"Sale on 30-Sep-97";#N/A,#N/A,TRUE,"Sale on 30-Sep-98"}</definedName>
    <definedName name="wrn.Special._.Project._1" localSheetId="10" hidden="1">{#N/A,#N/A,TRUE,"Cedar Branch Apartments";#N/A,#N/A,TRUE,"Creekbend Apartments";#N/A,#N/A,TRUE,"Heatherwood Apartments";#N/A,#N/A,TRUE,"Rockport Apartments";#N/A,#N/A,TRUE,"Sale on 30-Sep-96";#N/A,#N/A,TRUE,"Sale on 30-Sep-97";#N/A,#N/A,TRUE,"Sale on 30-Sep-98"}</definedName>
    <definedName name="wrn.Special._.Project._1" localSheetId="11" hidden="1">{#N/A,#N/A,TRUE,"Cedar Branch Apartments";#N/A,#N/A,TRUE,"Creekbend Apartments";#N/A,#N/A,TRUE,"Heatherwood Apartments";#N/A,#N/A,TRUE,"Rockport Apartments";#N/A,#N/A,TRUE,"Sale on 30-Sep-96";#N/A,#N/A,TRUE,"Sale on 30-Sep-97";#N/A,#N/A,TRUE,"Sale on 30-Sep-98"}</definedName>
    <definedName name="wrn.Special._.Project._1" hidden="1">{#N/A,#N/A,TRUE,"Cedar Branch Apartments";#N/A,#N/A,TRUE,"Creekbend Apartments";#N/A,#N/A,TRUE,"Heatherwood Apartments";#N/A,#N/A,TRUE,"Rockport Apartments";#N/A,#N/A,TRUE,"Sale on 30-Sep-96";#N/A,#N/A,TRUE,"Sale on 30-Sep-97";#N/A,#N/A,TRUE,"Sale on 30-Sep-98"}</definedName>
    <definedName name="wrn.Spread._.Sheet." localSheetId="9" hidden="1">{#N/A,#N/A,FALSE,"spread"}</definedName>
    <definedName name="wrn.Spread._.Sheet." localSheetId="10" hidden="1">{#N/A,#N/A,FALSE,"spread"}</definedName>
    <definedName name="wrn.Spread._.Sheet." localSheetId="11" hidden="1">{#N/A,#N/A,FALSE,"spread"}</definedName>
    <definedName name="wrn.Spread._.Sheet." hidden="1">{#N/A,#N/A,FALSE,"spread"}</definedName>
    <definedName name="wrn.Spread._.Sheet._1" localSheetId="9" hidden="1">{#N/A,#N/A,FALSE,"spread"}</definedName>
    <definedName name="wrn.Spread._.Sheet._1" localSheetId="10" hidden="1">{#N/A,#N/A,FALSE,"spread"}</definedName>
    <definedName name="wrn.Spread._.Sheet._1" localSheetId="11" hidden="1">{#N/A,#N/A,FALSE,"spread"}</definedName>
    <definedName name="wrn.Spread._.Sheet._1" hidden="1">{#N/A,#N/A,FALSE,"spread"}</definedName>
    <definedName name="wrn.Summary." localSheetId="9" hidden="1">{"Summary",#N/A,FALSE,"Sheet1"}</definedName>
    <definedName name="wrn.Summary." localSheetId="10" hidden="1">{"Summary",#N/A,FALSE,"Sheet1"}</definedName>
    <definedName name="wrn.Summary." localSheetId="11" hidden="1">{"Summary",#N/A,FALSE,"Sheet1"}</definedName>
    <definedName name="wrn.Summary." hidden="1">{"Summary",#N/A,FALSE,"Sheet1"}</definedName>
    <definedName name="wrn.Summary._1" localSheetId="9" hidden="1">{"Summary",#N/A,FALSE,"Sheet1"}</definedName>
    <definedName name="wrn.Summary._1" localSheetId="10" hidden="1">{"Summary",#N/A,FALSE,"Sheet1"}</definedName>
    <definedName name="wrn.Summary._1" localSheetId="11" hidden="1">{"Summary",#N/A,FALSE,"Sheet1"}</definedName>
    <definedName name="wrn.Summary._1" hidden="1">{"Summary",#N/A,FALSE,"Sheet1"}</definedName>
    <definedName name="WSEnd">#REF!</definedName>
    <definedName name="WSEnd1">#REF!</definedName>
    <definedName name="WSEnd2">#REF!</definedName>
    <definedName name="WSEnd3">#REF!</definedName>
    <definedName name="Year">#REF!</definedName>
    <definedName name="YTDColumn">#REF!</definedName>
    <definedName name="ZoomPercent">#REF!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3" i="6" l="1"/>
  <c r="E9" i="15"/>
  <c r="G24" i="15" l="1"/>
  <c r="E280" i="1" l="1"/>
  <c r="L86" i="17"/>
  <c r="L85" i="17"/>
  <c r="K86" i="17"/>
  <c r="K85" i="17"/>
  <c r="J86" i="17"/>
  <c r="J85" i="17"/>
  <c r="I86" i="17"/>
  <c r="I85" i="17"/>
  <c r="H86" i="17"/>
  <c r="H85" i="17"/>
  <c r="G86" i="17"/>
  <c r="G85" i="17"/>
  <c r="F86" i="17"/>
  <c r="F85" i="17"/>
  <c r="E86" i="17"/>
  <c r="E85" i="17"/>
  <c r="D86" i="17"/>
  <c r="D85" i="17"/>
  <c r="Q66" i="6"/>
  <c r="O66" i="6"/>
  <c r="O59" i="6"/>
  <c r="O56" i="6"/>
  <c r="O55" i="6"/>
  <c r="O54" i="6"/>
  <c r="C99" i="17"/>
  <c r="J104" i="17"/>
  <c r="I104" i="17"/>
  <c r="H104" i="17"/>
  <c r="G104" i="17"/>
  <c r="K103" i="17"/>
  <c r="J96" i="17"/>
  <c r="J94" i="17"/>
  <c r="G94" i="17"/>
  <c r="L57" i="17"/>
  <c r="L50" i="17"/>
  <c r="L48" i="17"/>
  <c r="L47" i="17"/>
  <c r="L46" i="17"/>
  <c r="C86" i="17"/>
  <c r="C85" i="17"/>
  <c r="E49" i="4"/>
  <c r="E44" i="4"/>
  <c r="E43" i="4"/>
  <c r="E37" i="4"/>
  <c r="E36" i="4"/>
  <c r="E35" i="4"/>
  <c r="E34" i="4"/>
  <c r="E33" i="4"/>
  <c r="E32" i="4"/>
  <c r="E31" i="4"/>
  <c r="E29" i="4"/>
  <c r="E28" i="4"/>
  <c r="E27" i="4"/>
  <c r="E26" i="4"/>
  <c r="E25" i="4"/>
  <c r="E24" i="4"/>
  <c r="E23" i="4"/>
  <c r="D30" i="15"/>
  <c r="D22" i="15"/>
  <c r="D21" i="15"/>
  <c r="D20" i="15"/>
  <c r="D19" i="15"/>
  <c r="D18" i="15"/>
  <c r="D17" i="15"/>
  <c r="D16" i="15"/>
  <c r="D15" i="15"/>
  <c r="D14" i="15"/>
  <c r="D13" i="15"/>
  <c r="D12" i="15"/>
  <c r="D11" i="15"/>
  <c r="D10" i="15"/>
  <c r="D9" i="15"/>
  <c r="D7" i="15"/>
  <c r="D11" i="18"/>
  <c r="D9" i="18"/>
  <c r="D12" i="18"/>
  <c r="D8" i="18"/>
  <c r="D5" i="18"/>
  <c r="C6" i="8"/>
  <c r="D6" i="8" s="1"/>
  <c r="E6" i="8" s="1"/>
  <c r="F6" i="8" s="1"/>
  <c r="G6" i="8" s="1"/>
  <c r="H6" i="8" s="1"/>
  <c r="I6" i="8" s="1"/>
  <c r="J6" i="8" s="1"/>
  <c r="K6" i="8" s="1"/>
  <c r="L6" i="8" s="1"/>
  <c r="S73" i="1"/>
  <c r="T78" i="1" s="1" a="1"/>
  <c r="T78" i="1" s="1"/>
  <c r="T79" i="1" s="1"/>
  <c r="P22" i="8"/>
  <c r="J23" i="16"/>
  <c r="H12" i="16"/>
  <c r="G12" i="16"/>
  <c r="D27" i="5"/>
  <c r="D25" i="5"/>
  <c r="D21" i="5"/>
  <c r="Q78" i="1" l="1" a="1"/>
  <c r="Q78" i="1" s="1"/>
  <c r="Q79" i="1" s="1"/>
  <c r="S78" i="1" a="1"/>
  <c r="S78" i="1" s="1"/>
  <c r="S79" i="1" s="1"/>
  <c r="D24" i="15"/>
  <c r="C53" i="6"/>
  <c r="B35" i="20"/>
  <c r="B5" i="17" l="1"/>
  <c r="L51" i="17" l="1"/>
  <c r="C43" i="4" l="1"/>
  <c r="D30" i="5"/>
  <c r="B34" i="17"/>
  <c r="C12" i="16"/>
  <c r="H15" i="20" s="1"/>
  <c r="C42" i="6"/>
  <c r="K270" i="1" l="1"/>
  <c r="K271" i="1"/>
  <c r="K272" i="1"/>
  <c r="K273" i="1"/>
  <c r="K274" i="1"/>
  <c r="K275" i="1"/>
  <c r="K276" i="1"/>
  <c r="K269" i="1"/>
  <c r="K248" i="1"/>
  <c r="K249" i="1"/>
  <c r="K250" i="1"/>
  <c r="K251" i="1"/>
  <c r="K252" i="1"/>
  <c r="K253" i="1"/>
  <c r="K254" i="1"/>
  <c r="K255" i="1"/>
  <c r="S255" i="1" s="1"/>
  <c r="K256" i="1"/>
  <c r="K257" i="1"/>
  <c r="K258" i="1"/>
  <c r="K259" i="1"/>
  <c r="K260" i="1"/>
  <c r="K261" i="1"/>
  <c r="K262" i="1"/>
  <c r="K263" i="1"/>
  <c r="K264" i="1"/>
  <c r="S264" i="1" s="1"/>
  <c r="K265" i="1"/>
  <c r="K266" i="1"/>
  <c r="K247"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16" i="1"/>
  <c r="K205" i="1"/>
  <c r="K206" i="1"/>
  <c r="K207" i="1"/>
  <c r="K208" i="1"/>
  <c r="K209" i="1"/>
  <c r="K210" i="1"/>
  <c r="K211" i="1"/>
  <c r="K204" i="1"/>
  <c r="K183" i="1"/>
  <c r="K184" i="1"/>
  <c r="K185" i="1"/>
  <c r="K186" i="1"/>
  <c r="K187" i="1"/>
  <c r="K188" i="1"/>
  <c r="K189" i="1"/>
  <c r="K190" i="1"/>
  <c r="K191" i="1"/>
  <c r="K192" i="1"/>
  <c r="K193" i="1"/>
  <c r="K194" i="1"/>
  <c r="K195" i="1"/>
  <c r="K196" i="1"/>
  <c r="K197" i="1"/>
  <c r="K198" i="1"/>
  <c r="K199" i="1"/>
  <c r="K200" i="1"/>
  <c r="K201" i="1"/>
  <c r="K182"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51" i="1"/>
  <c r="C5" i="17"/>
  <c r="D5" i="17" s="1"/>
  <c r="E5" i="17" s="1"/>
  <c r="F5" i="17" s="1"/>
  <c r="G5" i="17" s="1"/>
  <c r="H5" i="17" s="1"/>
  <c r="I5" i="17" s="1"/>
  <c r="J5" i="17" s="1"/>
  <c r="K5" i="17" s="1"/>
  <c r="L5" i="17" s="1"/>
  <c r="Q248" i="1"/>
  <c r="S248" i="1" s="1"/>
  <c r="Q249" i="1"/>
  <c r="V249" i="1" s="1"/>
  <c r="Q250" i="1"/>
  <c r="Q251" i="1"/>
  <c r="Q252" i="1"/>
  <c r="Q253" i="1"/>
  <c r="Q254" i="1"/>
  <c r="Q255" i="1"/>
  <c r="Q256" i="1"/>
  <c r="Q257" i="1"/>
  <c r="V257" i="1" s="1"/>
  <c r="S257" i="1"/>
  <c r="Q258" i="1"/>
  <c r="Q259" i="1"/>
  <c r="Q260" i="1"/>
  <c r="Q261" i="1"/>
  <c r="T261" i="1" s="1"/>
  <c r="Q262" i="1"/>
  <c r="Q263" i="1"/>
  <c r="Q264" i="1"/>
  <c r="V264" i="1" s="1"/>
  <c r="Q265" i="1"/>
  <c r="T265" i="1" s="1"/>
  <c r="S265" i="1"/>
  <c r="Q266" i="1"/>
  <c r="Q183" i="1"/>
  <c r="Q184" i="1"/>
  <c r="Q185" i="1"/>
  <c r="Q186" i="1"/>
  <c r="Q187" i="1"/>
  <c r="Q188" i="1"/>
  <c r="Q189" i="1"/>
  <c r="V189" i="1" s="1"/>
  <c r="Q190" i="1"/>
  <c r="Q191" i="1"/>
  <c r="Q192" i="1"/>
  <c r="Q193" i="1"/>
  <c r="Q194" i="1"/>
  <c r="Q195" i="1"/>
  <c r="Q196" i="1"/>
  <c r="Q197" i="1"/>
  <c r="V197" i="1" s="1"/>
  <c r="Q198" i="1"/>
  <c r="V198" i="1" s="1"/>
  <c r="Q199" i="1"/>
  <c r="Q200" i="1"/>
  <c r="S200" i="1"/>
  <c r="Q201" i="1"/>
  <c r="B117" i="1"/>
  <c r="B183" i="1" s="1"/>
  <c r="B248" i="1" s="1"/>
  <c r="G117" i="1"/>
  <c r="I117" i="1" s="1"/>
  <c r="B118" i="1"/>
  <c r="B184" i="1" s="1"/>
  <c r="B249" i="1" s="1"/>
  <c r="G118" i="1"/>
  <c r="I118" i="1" s="1"/>
  <c r="B119" i="1"/>
  <c r="B185" i="1" s="1"/>
  <c r="B250" i="1" s="1"/>
  <c r="G119" i="1"/>
  <c r="I119" i="1" s="1"/>
  <c r="B120" i="1"/>
  <c r="B186" i="1" s="1"/>
  <c r="B251" i="1" s="1"/>
  <c r="G120" i="1"/>
  <c r="G251" i="1" s="1"/>
  <c r="B121" i="1"/>
  <c r="B187" i="1" s="1"/>
  <c r="B252" i="1" s="1"/>
  <c r="G121" i="1"/>
  <c r="G187" i="1" s="1"/>
  <c r="I121" i="1"/>
  <c r="B122" i="1"/>
  <c r="B188" i="1" s="1"/>
  <c r="B253" i="1" s="1"/>
  <c r="G122" i="1"/>
  <c r="I122" i="1" s="1"/>
  <c r="B123" i="1"/>
  <c r="B189" i="1" s="1"/>
  <c r="B254" i="1" s="1"/>
  <c r="G123" i="1"/>
  <c r="I123" i="1" s="1"/>
  <c r="B124" i="1"/>
  <c r="B190" i="1" s="1"/>
  <c r="B255" i="1" s="1"/>
  <c r="G124" i="1"/>
  <c r="G190" i="1" s="1"/>
  <c r="B125" i="1"/>
  <c r="B191" i="1" s="1"/>
  <c r="B256" i="1" s="1"/>
  <c r="G125" i="1"/>
  <c r="G256" i="1" s="1"/>
  <c r="B126" i="1"/>
  <c r="B192" i="1" s="1"/>
  <c r="B257" i="1" s="1"/>
  <c r="G126" i="1"/>
  <c r="I126" i="1" s="1"/>
  <c r="B127" i="1"/>
  <c r="B193" i="1" s="1"/>
  <c r="B258" i="1" s="1"/>
  <c r="G127" i="1"/>
  <c r="I127" i="1" s="1"/>
  <c r="B128" i="1"/>
  <c r="B194" i="1" s="1"/>
  <c r="B259" i="1" s="1"/>
  <c r="G128" i="1"/>
  <c r="G194" i="1" s="1"/>
  <c r="B129" i="1"/>
  <c r="B195" i="1" s="1"/>
  <c r="B260" i="1" s="1"/>
  <c r="G129" i="1"/>
  <c r="G260" i="1" s="1"/>
  <c r="B130" i="1"/>
  <c r="B196" i="1" s="1"/>
  <c r="B261" i="1" s="1"/>
  <c r="G130" i="1"/>
  <c r="I130" i="1" s="1"/>
  <c r="B131" i="1"/>
  <c r="B197" i="1" s="1"/>
  <c r="B262" i="1" s="1"/>
  <c r="G131" i="1"/>
  <c r="I131" i="1" s="1"/>
  <c r="B132" i="1"/>
  <c r="B198" i="1" s="1"/>
  <c r="B263" i="1" s="1"/>
  <c r="G132" i="1"/>
  <c r="G263" i="1" s="1"/>
  <c r="B133" i="1"/>
  <c r="B199" i="1" s="1"/>
  <c r="B264" i="1" s="1"/>
  <c r="G133" i="1"/>
  <c r="I133" i="1" s="1"/>
  <c r="B134" i="1"/>
  <c r="B200" i="1" s="1"/>
  <c r="B265" i="1" s="1"/>
  <c r="G134" i="1"/>
  <c r="I134" i="1" s="1"/>
  <c r="B135" i="1"/>
  <c r="B201" i="1" s="1"/>
  <c r="B266" i="1" s="1"/>
  <c r="G135" i="1"/>
  <c r="I135" i="1" s="1"/>
  <c r="K40" i="1"/>
  <c r="K41" i="1"/>
  <c r="K42" i="1"/>
  <c r="K43" i="1"/>
  <c r="K44" i="1"/>
  <c r="K45" i="1"/>
  <c r="K46" i="1"/>
  <c r="K47" i="1"/>
  <c r="K48" i="1"/>
  <c r="K49" i="1"/>
  <c r="K50" i="1"/>
  <c r="K51" i="1"/>
  <c r="K52" i="1"/>
  <c r="K53" i="1"/>
  <c r="K54" i="1"/>
  <c r="K55" i="1"/>
  <c r="K56" i="1"/>
  <c r="K57" i="1"/>
  <c r="K58" i="1"/>
  <c r="B8" i="18"/>
  <c r="Q217" i="1"/>
  <c r="Q218" i="1"/>
  <c r="Q152" i="1"/>
  <c r="Q153" i="1"/>
  <c r="S199" i="1" l="1"/>
  <c r="S184" i="1"/>
  <c r="S183" i="1"/>
  <c r="T192" i="1"/>
  <c r="S195" i="1"/>
  <c r="T197" i="1"/>
  <c r="V256" i="1"/>
  <c r="V184" i="1"/>
  <c r="T190" i="1"/>
  <c r="V192" i="1"/>
  <c r="S197" i="1"/>
  <c r="S187" i="1"/>
  <c r="S191" i="1"/>
  <c r="S254" i="1"/>
  <c r="S256" i="1"/>
  <c r="T249" i="1"/>
  <c r="T252" i="1"/>
  <c r="S194" i="1"/>
  <c r="T186" i="1"/>
  <c r="I260" i="1"/>
  <c r="I125" i="1"/>
  <c r="G198" i="1"/>
  <c r="O198" i="1" s="1"/>
  <c r="I120" i="1"/>
  <c r="I129" i="1"/>
  <c r="G253" i="1"/>
  <c r="O253" i="1" s="1"/>
  <c r="G200" i="1"/>
  <c r="I200" i="1" s="1"/>
  <c r="I124" i="1"/>
  <c r="G262" i="1"/>
  <c r="I262" i="1" s="1"/>
  <c r="T187" i="1"/>
  <c r="G193" i="1"/>
  <c r="O193" i="1" s="1"/>
  <c r="G191" i="1"/>
  <c r="O191" i="1" s="1"/>
  <c r="G266" i="1"/>
  <c r="O266" i="1" s="1"/>
  <c r="G259" i="1"/>
  <c r="O259" i="1" s="1"/>
  <c r="G257" i="1"/>
  <c r="I257" i="1" s="1"/>
  <c r="G255" i="1"/>
  <c r="O255" i="1" s="1"/>
  <c r="I187" i="1"/>
  <c r="I132" i="1"/>
  <c r="G188" i="1"/>
  <c r="O188" i="1" s="1"/>
  <c r="G186" i="1"/>
  <c r="I186" i="1" s="1"/>
  <c r="G184" i="1"/>
  <c r="I184" i="1" s="1"/>
  <c r="G264" i="1"/>
  <c r="O264" i="1" s="1"/>
  <c r="G250" i="1"/>
  <c r="O250" i="1" s="1"/>
  <c r="G248" i="1"/>
  <c r="O248" i="1" s="1"/>
  <c r="G201" i="1"/>
  <c r="O201" i="1" s="1"/>
  <c r="G195" i="1"/>
  <c r="I195" i="1" s="1"/>
  <c r="O190" i="1"/>
  <c r="G261" i="1"/>
  <c r="O261" i="1" s="1"/>
  <c r="I128" i="1"/>
  <c r="G199" i="1"/>
  <c r="O199" i="1" s="1"/>
  <c r="G197" i="1"/>
  <c r="O197" i="1" s="1"/>
  <c r="O263" i="1"/>
  <c r="G258" i="1"/>
  <c r="O258" i="1" s="1"/>
  <c r="G252" i="1"/>
  <c r="O252" i="1" s="1"/>
  <c r="G185" i="1"/>
  <c r="O185" i="1" s="1"/>
  <c r="G265" i="1"/>
  <c r="I265" i="1" s="1"/>
  <c r="O260" i="1"/>
  <c r="G254" i="1"/>
  <c r="I254" i="1" s="1"/>
  <c r="G192" i="1"/>
  <c r="I192" i="1" s="1"/>
  <c r="O187" i="1"/>
  <c r="G183" i="1"/>
  <c r="I183" i="1" s="1"/>
  <c r="O251" i="1"/>
  <c r="G249" i="1"/>
  <c r="O249" i="1" s="1"/>
  <c r="G196" i="1"/>
  <c r="O196" i="1" s="1"/>
  <c r="G189" i="1"/>
  <c r="O189" i="1" s="1"/>
  <c r="I263" i="1"/>
  <c r="S262" i="1"/>
  <c r="S260" i="1"/>
  <c r="T257" i="1"/>
  <c r="O256" i="1"/>
  <c r="T253" i="1"/>
  <c r="T260" i="1"/>
  <c r="S259" i="1"/>
  <c r="S252" i="1"/>
  <c r="V252" i="1"/>
  <c r="S251" i="1"/>
  <c r="T255" i="1"/>
  <c r="S198" i="1"/>
  <c r="T189" i="1"/>
  <c r="V195" i="1"/>
  <c r="S186" i="1"/>
  <c r="S188" i="1"/>
  <c r="T195" i="1"/>
  <c r="V187" i="1"/>
  <c r="S189" i="1"/>
  <c r="T200" i="1"/>
  <c r="S192" i="1"/>
  <c r="T184" i="1"/>
  <c r="V263" i="1"/>
  <c r="T263" i="1"/>
  <c r="S263" i="1"/>
  <c r="V265" i="1"/>
  <c r="S249" i="1"/>
  <c r="T262" i="1"/>
  <c r="V260" i="1"/>
  <c r="V255" i="1"/>
  <c r="T254" i="1"/>
  <c r="S190" i="1"/>
  <c r="I190" i="1"/>
  <c r="T198" i="1"/>
  <c r="V190" i="1"/>
  <c r="V200" i="1"/>
  <c r="T194" i="1"/>
  <c r="T266" i="1"/>
  <c r="V261" i="1"/>
  <c r="I256" i="1"/>
  <c r="V253" i="1"/>
  <c r="T264" i="1"/>
  <c r="S261" i="1"/>
  <c r="V259" i="1"/>
  <c r="T256" i="1"/>
  <c r="S253" i="1"/>
  <c r="V251" i="1"/>
  <c r="T248" i="1"/>
  <c r="V258" i="1"/>
  <c r="I253" i="1"/>
  <c r="V250" i="1"/>
  <c r="I264" i="1"/>
  <c r="T258" i="1"/>
  <c r="O257" i="1"/>
  <c r="T250" i="1"/>
  <c r="S266" i="1"/>
  <c r="S258" i="1"/>
  <c r="I251" i="1"/>
  <c r="S250" i="1"/>
  <c r="V248" i="1"/>
  <c r="V262" i="1"/>
  <c r="T259" i="1"/>
  <c r="V254" i="1"/>
  <c r="T251" i="1"/>
  <c r="V266" i="1"/>
  <c r="O254" i="1"/>
  <c r="V185" i="1"/>
  <c r="I191" i="1"/>
  <c r="V188" i="1"/>
  <c r="T185" i="1"/>
  <c r="O184" i="1"/>
  <c r="S201" i="1"/>
  <c r="T196" i="1"/>
  <c r="I194" i="1"/>
  <c r="S193" i="1"/>
  <c r="S185" i="1"/>
  <c r="V183" i="1"/>
  <c r="O186" i="1"/>
  <c r="I185" i="1"/>
  <c r="V193" i="1"/>
  <c r="T201" i="1"/>
  <c r="O200" i="1"/>
  <c r="V196" i="1"/>
  <c r="T193" i="1"/>
  <c r="V199" i="1"/>
  <c r="V191" i="1"/>
  <c r="T188" i="1"/>
  <c r="T199" i="1"/>
  <c r="I197" i="1"/>
  <c r="S196" i="1"/>
  <c r="V194" i="1"/>
  <c r="T191" i="1"/>
  <c r="I189" i="1"/>
  <c r="V186" i="1"/>
  <c r="T183" i="1"/>
  <c r="O194" i="1"/>
  <c r="V201" i="1"/>
  <c r="Q208" i="1"/>
  <c r="Q209" i="1"/>
  <c r="Q273" i="1"/>
  <c r="Q274" i="1"/>
  <c r="Q275" i="1"/>
  <c r="Q276" i="1"/>
  <c r="G142" i="1"/>
  <c r="G143" i="1"/>
  <c r="O36" i="17"/>
  <c r="I198" i="1" l="1"/>
  <c r="I249" i="1"/>
  <c r="I259" i="1"/>
  <c r="I199" i="1"/>
  <c r="I266" i="1"/>
  <c r="I252" i="1"/>
  <c r="I258" i="1"/>
  <c r="I248" i="1"/>
  <c r="O262" i="1"/>
  <c r="I188" i="1"/>
  <c r="O183" i="1"/>
  <c r="I193" i="1"/>
  <c r="O192" i="1"/>
  <c r="I201" i="1"/>
  <c r="I250" i="1"/>
  <c r="O195" i="1"/>
  <c r="I196" i="1"/>
  <c r="I255" i="1"/>
  <c r="O265" i="1"/>
  <c r="I261" i="1"/>
  <c r="G139" i="1"/>
  <c r="G140" i="1"/>
  <c r="G141" i="1"/>
  <c r="G144" i="1"/>
  <c r="G145" i="1"/>
  <c r="G138" i="1"/>
  <c r="G116" i="1"/>
  <c r="K68" i="1"/>
  <c r="K67" i="1"/>
  <c r="K66" i="1"/>
  <c r="K65" i="1"/>
  <c r="K64" i="1"/>
  <c r="K63" i="1"/>
  <c r="K62" i="1"/>
  <c r="K61" i="1"/>
  <c r="K39"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I116" i="1" l="1"/>
  <c r="G69" i="1"/>
  <c r="Q270" i="1" l="1"/>
  <c r="Q271" i="1"/>
  <c r="Q272" i="1"/>
  <c r="Q205" i="1"/>
  <c r="Q206" i="1"/>
  <c r="Q207" i="1"/>
  <c r="Q210" i="1"/>
  <c r="Q211" i="1"/>
  <c r="B139" i="1"/>
  <c r="B205" i="1" s="1"/>
  <c r="B270" i="1" s="1"/>
  <c r="I139" i="1"/>
  <c r="B140" i="1"/>
  <c r="B206" i="1" s="1"/>
  <c r="B271" i="1" s="1"/>
  <c r="I140" i="1"/>
  <c r="B141" i="1"/>
  <c r="B207" i="1" s="1"/>
  <c r="B272" i="1" s="1"/>
  <c r="I141" i="1"/>
  <c r="B142" i="1"/>
  <c r="B208" i="1" s="1"/>
  <c r="B273" i="1" s="1"/>
  <c r="I142" i="1"/>
  <c r="B143" i="1"/>
  <c r="B209" i="1" s="1"/>
  <c r="B274" i="1" s="1"/>
  <c r="G274" i="1"/>
  <c r="B144" i="1"/>
  <c r="B210" i="1" s="1"/>
  <c r="B275" i="1" s="1"/>
  <c r="G275" i="1"/>
  <c r="B145" i="1"/>
  <c r="B211" i="1" s="1"/>
  <c r="B276" i="1" s="1"/>
  <c r="I145" i="1"/>
  <c r="G218" i="1"/>
  <c r="G219" i="1"/>
  <c r="Q219" i="1"/>
  <c r="G220" i="1"/>
  <c r="Q220" i="1"/>
  <c r="G221" i="1"/>
  <c r="Q221" i="1"/>
  <c r="G222" i="1"/>
  <c r="Q222" i="1"/>
  <c r="G223" i="1"/>
  <c r="Q223" i="1"/>
  <c r="G224" i="1"/>
  <c r="Q224" i="1"/>
  <c r="G225" i="1"/>
  <c r="Q225" i="1"/>
  <c r="G226" i="1"/>
  <c r="Q226" i="1"/>
  <c r="G227" i="1"/>
  <c r="Q227" i="1"/>
  <c r="G228" i="1"/>
  <c r="Q228" i="1"/>
  <c r="G229" i="1"/>
  <c r="Q229" i="1"/>
  <c r="G230" i="1"/>
  <c r="Q230" i="1"/>
  <c r="G231" i="1"/>
  <c r="Q231" i="1"/>
  <c r="G232" i="1"/>
  <c r="Q232" i="1"/>
  <c r="G233" i="1"/>
  <c r="Q233" i="1"/>
  <c r="G234" i="1"/>
  <c r="Q234" i="1"/>
  <c r="G235" i="1"/>
  <c r="Q235" i="1"/>
  <c r="G236" i="1"/>
  <c r="Q236" i="1"/>
  <c r="G237" i="1"/>
  <c r="Q237" i="1"/>
  <c r="G238" i="1"/>
  <c r="Q238" i="1"/>
  <c r="G239" i="1"/>
  <c r="Q239" i="1"/>
  <c r="G240" i="1"/>
  <c r="Q240" i="1"/>
  <c r="G241" i="1"/>
  <c r="Q241" i="1"/>
  <c r="G242" i="1"/>
  <c r="Q242" i="1"/>
  <c r="G243" i="1"/>
  <c r="Q243" i="1"/>
  <c r="G244" i="1"/>
  <c r="Q244" i="1"/>
  <c r="G152" i="1"/>
  <c r="T152" i="1"/>
  <c r="G153" i="1"/>
  <c r="V153" i="1"/>
  <c r="G154" i="1"/>
  <c r="O154" i="1" s="1"/>
  <c r="T154" i="1"/>
  <c r="G155" i="1"/>
  <c r="S155" i="1"/>
  <c r="G156" i="1"/>
  <c r="O156" i="1" s="1"/>
  <c r="T156" i="1"/>
  <c r="G157" i="1"/>
  <c r="T157" i="1"/>
  <c r="G158" i="1"/>
  <c r="T158" i="1"/>
  <c r="G159" i="1"/>
  <c r="S159" i="1"/>
  <c r="G160" i="1"/>
  <c r="O160" i="1" s="1"/>
  <c r="T160" i="1"/>
  <c r="G161" i="1"/>
  <c r="T161" i="1"/>
  <c r="G162" i="1"/>
  <c r="O162" i="1" s="1"/>
  <c r="T162" i="1"/>
  <c r="G163" i="1"/>
  <c r="S163" i="1"/>
  <c r="G164" i="1"/>
  <c r="T164" i="1"/>
  <c r="G165" i="1"/>
  <c r="S165" i="1"/>
  <c r="G166" i="1"/>
  <c r="O166" i="1" s="1"/>
  <c r="T166" i="1"/>
  <c r="G167" i="1"/>
  <c r="S167" i="1"/>
  <c r="G168" i="1"/>
  <c r="O168" i="1" s="1"/>
  <c r="T168" i="1"/>
  <c r="G169" i="1"/>
  <c r="S169" i="1"/>
  <c r="G170" i="1"/>
  <c r="T170" i="1"/>
  <c r="G171" i="1"/>
  <c r="S171" i="1"/>
  <c r="G172" i="1"/>
  <c r="O172" i="1" s="1"/>
  <c r="T172" i="1"/>
  <c r="G173" i="1"/>
  <c r="T173" i="1"/>
  <c r="G174" i="1"/>
  <c r="O174" i="1" s="1"/>
  <c r="T174" i="1"/>
  <c r="G175" i="1"/>
  <c r="S175" i="1"/>
  <c r="G176" i="1"/>
  <c r="O176" i="1" s="1"/>
  <c r="T176" i="1"/>
  <c r="G177" i="1"/>
  <c r="T177" i="1"/>
  <c r="G178" i="1"/>
  <c r="O178" i="1" s="1"/>
  <c r="T178" i="1"/>
  <c r="G179" i="1"/>
  <c r="B86" i="1"/>
  <c r="B152" i="1" s="1"/>
  <c r="G86" i="1"/>
  <c r="I86" i="1" s="1"/>
  <c r="B87" i="1"/>
  <c r="B153" i="1" s="1"/>
  <c r="B218" i="1" s="1"/>
  <c r="G87" i="1"/>
  <c r="I87" i="1" s="1"/>
  <c r="B88" i="1"/>
  <c r="B154" i="1" s="1"/>
  <c r="B219" i="1" s="1"/>
  <c r="G88" i="1"/>
  <c r="I88" i="1" s="1"/>
  <c r="B89" i="1"/>
  <c r="B155" i="1" s="1"/>
  <c r="B220" i="1" s="1"/>
  <c r="G89" i="1"/>
  <c r="I89" i="1" s="1"/>
  <c r="B90" i="1"/>
  <c r="B156" i="1" s="1"/>
  <c r="B221" i="1" s="1"/>
  <c r="G90" i="1"/>
  <c r="I90" i="1" s="1"/>
  <c r="B91" i="1"/>
  <c r="B157" i="1" s="1"/>
  <c r="B222" i="1" s="1"/>
  <c r="G91" i="1"/>
  <c r="I91" i="1" s="1"/>
  <c r="B92" i="1"/>
  <c r="B158" i="1" s="1"/>
  <c r="B223" i="1" s="1"/>
  <c r="G92" i="1"/>
  <c r="I92" i="1" s="1"/>
  <c r="B93" i="1"/>
  <c r="B159" i="1" s="1"/>
  <c r="B224" i="1" s="1"/>
  <c r="G93" i="1"/>
  <c r="I93" i="1" s="1"/>
  <c r="B94" i="1"/>
  <c r="B160" i="1" s="1"/>
  <c r="B225" i="1" s="1"/>
  <c r="G94" i="1"/>
  <c r="I94" i="1" s="1"/>
  <c r="B95" i="1"/>
  <c r="B161" i="1" s="1"/>
  <c r="B226" i="1" s="1"/>
  <c r="G95" i="1"/>
  <c r="I95" i="1" s="1"/>
  <c r="B96" i="1"/>
  <c r="B162" i="1" s="1"/>
  <c r="B227" i="1" s="1"/>
  <c r="G96" i="1"/>
  <c r="I96" i="1" s="1"/>
  <c r="B97" i="1"/>
  <c r="B163" i="1" s="1"/>
  <c r="B228" i="1" s="1"/>
  <c r="G97" i="1"/>
  <c r="I97" i="1" s="1"/>
  <c r="B98" i="1"/>
  <c r="B164" i="1" s="1"/>
  <c r="B229" i="1" s="1"/>
  <c r="G98" i="1"/>
  <c r="I98" i="1" s="1"/>
  <c r="B99" i="1"/>
  <c r="B165" i="1" s="1"/>
  <c r="B230" i="1" s="1"/>
  <c r="G99" i="1"/>
  <c r="I99" i="1" s="1"/>
  <c r="B100" i="1"/>
  <c r="B166" i="1" s="1"/>
  <c r="B231" i="1" s="1"/>
  <c r="G100" i="1"/>
  <c r="I100" i="1" s="1"/>
  <c r="B101" i="1"/>
  <c r="B167" i="1" s="1"/>
  <c r="B232" i="1" s="1"/>
  <c r="G101" i="1"/>
  <c r="I101" i="1" s="1"/>
  <c r="B102" i="1"/>
  <c r="B168" i="1" s="1"/>
  <c r="B233" i="1" s="1"/>
  <c r="G102" i="1"/>
  <c r="I102" i="1" s="1"/>
  <c r="B103" i="1"/>
  <c r="B169" i="1" s="1"/>
  <c r="B234" i="1" s="1"/>
  <c r="G103" i="1"/>
  <c r="I103" i="1" s="1"/>
  <c r="B104" i="1"/>
  <c r="B170" i="1" s="1"/>
  <c r="B235" i="1" s="1"/>
  <c r="G104" i="1"/>
  <c r="I104" i="1" s="1"/>
  <c r="B105" i="1"/>
  <c r="B171" i="1" s="1"/>
  <c r="B236" i="1" s="1"/>
  <c r="G105" i="1"/>
  <c r="I105" i="1" s="1"/>
  <c r="B106" i="1"/>
  <c r="B172" i="1" s="1"/>
  <c r="B237" i="1" s="1"/>
  <c r="G106" i="1"/>
  <c r="I106" i="1" s="1"/>
  <c r="B107" i="1"/>
  <c r="B173" i="1" s="1"/>
  <c r="B238" i="1" s="1"/>
  <c r="G107" i="1"/>
  <c r="I107" i="1" s="1"/>
  <c r="B108" i="1"/>
  <c r="G108" i="1"/>
  <c r="B109" i="1"/>
  <c r="G109" i="1"/>
  <c r="B110" i="1"/>
  <c r="G110" i="1"/>
  <c r="B111" i="1"/>
  <c r="G111" i="1"/>
  <c r="B112" i="1"/>
  <c r="G112" i="1"/>
  <c r="B113" i="1"/>
  <c r="G113" i="1"/>
  <c r="G36"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G76" i="1"/>
  <c r="G77" i="1"/>
  <c r="E251" i="1" l="1"/>
  <c r="D251" i="1" s="1"/>
  <c r="E257" i="1"/>
  <c r="D257" i="1" s="1"/>
  <c r="E258" i="1"/>
  <c r="D258" i="1" s="1"/>
  <c r="E259" i="1"/>
  <c r="D259" i="1" s="1"/>
  <c r="E263" i="1"/>
  <c r="D263" i="1" s="1"/>
  <c r="E265" i="1"/>
  <c r="D265" i="1" s="1"/>
  <c r="E250" i="1"/>
  <c r="D250" i="1" s="1"/>
  <c r="E256" i="1"/>
  <c r="D256" i="1" s="1"/>
  <c r="E249" i="1"/>
  <c r="D249" i="1" s="1"/>
  <c r="E255" i="1"/>
  <c r="D255" i="1" s="1"/>
  <c r="E262" i="1"/>
  <c r="D262" i="1" s="1"/>
  <c r="E248" i="1"/>
  <c r="D248" i="1" s="1"/>
  <c r="E254" i="1"/>
  <c r="D254" i="1" s="1"/>
  <c r="E261" i="1"/>
  <c r="D261" i="1" s="1"/>
  <c r="E253" i="1"/>
  <c r="D253" i="1" s="1"/>
  <c r="E252" i="1"/>
  <c r="D252" i="1" s="1"/>
  <c r="E260" i="1"/>
  <c r="D260" i="1" s="1"/>
  <c r="E264" i="1"/>
  <c r="D264" i="1" s="1"/>
  <c r="E266" i="1"/>
  <c r="D266" i="1" s="1"/>
  <c r="E192" i="1"/>
  <c r="D192" i="1" s="1"/>
  <c r="E193" i="1"/>
  <c r="D193" i="1" s="1"/>
  <c r="E197" i="1"/>
  <c r="D197" i="1" s="1"/>
  <c r="E199" i="1"/>
  <c r="D199" i="1" s="1"/>
  <c r="E200" i="1"/>
  <c r="D200" i="1" s="1"/>
  <c r="E184" i="1"/>
  <c r="D184" i="1" s="1"/>
  <c r="E185" i="1"/>
  <c r="D185" i="1" s="1"/>
  <c r="E189" i="1"/>
  <c r="D189" i="1" s="1"/>
  <c r="E191" i="1"/>
  <c r="D191" i="1" s="1"/>
  <c r="E183" i="1"/>
  <c r="D183" i="1" s="1"/>
  <c r="E195" i="1"/>
  <c r="D195" i="1" s="1"/>
  <c r="E196" i="1"/>
  <c r="D196" i="1" s="1"/>
  <c r="E194" i="1"/>
  <c r="D194" i="1" s="1"/>
  <c r="E187" i="1"/>
  <c r="D187" i="1" s="1"/>
  <c r="E188" i="1"/>
  <c r="D188" i="1" s="1"/>
  <c r="E201" i="1"/>
  <c r="D201" i="1" s="1"/>
  <c r="E186" i="1"/>
  <c r="D186" i="1" s="1"/>
  <c r="E198" i="1"/>
  <c r="D198" i="1" s="1"/>
  <c r="E190" i="1"/>
  <c r="D190" i="1" s="1"/>
  <c r="B176" i="1"/>
  <c r="B241" i="1" s="1"/>
  <c r="B175" i="1"/>
  <c r="B240" i="1" s="1"/>
  <c r="B179" i="1"/>
  <c r="B244" i="1" s="1"/>
  <c r="B178" i="1"/>
  <c r="B243" i="1" s="1"/>
  <c r="B174" i="1"/>
  <c r="B239" i="1" s="1"/>
  <c r="B177" i="1"/>
  <c r="B242" i="1" s="1"/>
  <c r="I109" i="1"/>
  <c r="I112" i="1"/>
  <c r="I108" i="1"/>
  <c r="I113" i="1"/>
  <c r="I111" i="1"/>
  <c r="I110" i="1"/>
  <c r="V276" i="1"/>
  <c r="V211" i="1"/>
  <c r="E155" i="1"/>
  <c r="S209" i="1"/>
  <c r="S236" i="1"/>
  <c r="S220" i="1"/>
  <c r="E218" i="1"/>
  <c r="S211" i="1"/>
  <c r="I239" i="1"/>
  <c r="I223" i="1"/>
  <c r="I144" i="1"/>
  <c r="V223" i="1"/>
  <c r="S275" i="1"/>
  <c r="T210" i="1"/>
  <c r="T206" i="1"/>
  <c r="V273" i="1"/>
  <c r="S273" i="1"/>
  <c r="S276" i="1"/>
  <c r="T211" i="1"/>
  <c r="V275" i="1"/>
  <c r="T208" i="1"/>
  <c r="I164" i="1"/>
  <c r="T276" i="1"/>
  <c r="S272" i="1"/>
  <c r="T226" i="1"/>
  <c r="T273" i="1"/>
  <c r="G208" i="1"/>
  <c r="I208" i="1" s="1"/>
  <c r="O274" i="1"/>
  <c r="E272" i="1"/>
  <c r="T209" i="1"/>
  <c r="E208" i="1"/>
  <c r="T232" i="1"/>
  <c r="G210" i="1"/>
  <c r="I210" i="1" s="1"/>
  <c r="G209" i="1"/>
  <c r="I209" i="1" s="1"/>
  <c r="E206" i="1"/>
  <c r="D206" i="1" s="1"/>
  <c r="T275" i="1"/>
  <c r="S274" i="1"/>
  <c r="T175" i="1"/>
  <c r="V210" i="1"/>
  <c r="E210" i="1"/>
  <c r="E209" i="1"/>
  <c r="I275" i="1"/>
  <c r="E271" i="1"/>
  <c r="E211" i="1"/>
  <c r="D211" i="1" s="1"/>
  <c r="S210" i="1"/>
  <c r="S205" i="1"/>
  <c r="E274" i="1"/>
  <c r="E273" i="1"/>
  <c r="G207" i="1"/>
  <c r="O207" i="1" s="1"/>
  <c r="E205" i="1"/>
  <c r="G276" i="1"/>
  <c r="O276" i="1" s="1"/>
  <c r="E275" i="1"/>
  <c r="V233" i="1"/>
  <c r="G211" i="1"/>
  <c r="I211" i="1" s="1"/>
  <c r="V209" i="1"/>
  <c r="E207" i="1"/>
  <c r="E276" i="1"/>
  <c r="E270" i="1"/>
  <c r="V206" i="1"/>
  <c r="V205" i="1"/>
  <c r="S270" i="1"/>
  <c r="S208" i="1"/>
  <c r="S157" i="1"/>
  <c r="G271" i="1"/>
  <c r="O271" i="1" s="1"/>
  <c r="G206" i="1"/>
  <c r="I206" i="1" s="1"/>
  <c r="G272" i="1"/>
  <c r="I272" i="1" s="1"/>
  <c r="G270" i="1"/>
  <c r="O270" i="1" s="1"/>
  <c r="G205" i="1"/>
  <c r="O205" i="1" s="1"/>
  <c r="G273" i="1"/>
  <c r="O273" i="1" s="1"/>
  <c r="I274" i="1"/>
  <c r="V274" i="1"/>
  <c r="T271" i="1"/>
  <c r="T274" i="1"/>
  <c r="S271" i="1"/>
  <c r="O275" i="1"/>
  <c r="V272" i="1"/>
  <c r="T272" i="1"/>
  <c r="V271" i="1"/>
  <c r="V270" i="1"/>
  <c r="T270" i="1"/>
  <c r="S206" i="1"/>
  <c r="V207" i="1"/>
  <c r="T207" i="1"/>
  <c r="S207" i="1"/>
  <c r="V208" i="1"/>
  <c r="T205" i="1"/>
  <c r="I143" i="1"/>
  <c r="O225" i="1"/>
  <c r="T159" i="1"/>
  <c r="I159" i="1"/>
  <c r="V155" i="1"/>
  <c r="O227" i="1"/>
  <c r="I158" i="1"/>
  <c r="V242" i="1"/>
  <c r="I237" i="1"/>
  <c r="O232" i="1"/>
  <c r="S218" i="1"/>
  <c r="S231" i="1"/>
  <c r="I218" i="1"/>
  <c r="S177" i="1"/>
  <c r="S174" i="1"/>
  <c r="I242" i="1"/>
  <c r="T239" i="1"/>
  <c r="S229" i="1"/>
  <c r="T224" i="1"/>
  <c r="V221" i="1"/>
  <c r="O219" i="1"/>
  <c r="T244" i="1"/>
  <c r="I177" i="1"/>
  <c r="S173" i="1"/>
  <c r="S152" i="1"/>
  <c r="O238" i="1"/>
  <c r="I226" i="1"/>
  <c r="T218" i="1"/>
  <c r="I152" i="1"/>
  <c r="V240" i="1"/>
  <c r="I240" i="1"/>
  <c r="I178" i="1"/>
  <c r="T169" i="1"/>
  <c r="O164" i="1"/>
  <c r="I155" i="1"/>
  <c r="E221" i="1"/>
  <c r="E176" i="1"/>
  <c r="E172" i="1"/>
  <c r="S161" i="1"/>
  <c r="I157" i="1"/>
  <c r="O240" i="1"/>
  <c r="O237" i="1"/>
  <c r="E233" i="1"/>
  <c r="T228" i="1"/>
  <c r="S226" i="1"/>
  <c r="S222" i="1"/>
  <c r="E240" i="1"/>
  <c r="V232" i="1"/>
  <c r="V224" i="1"/>
  <c r="E178" i="1"/>
  <c r="E164" i="1"/>
  <c r="S232" i="1"/>
  <c r="I169" i="1"/>
  <c r="E167" i="1"/>
  <c r="I161" i="1"/>
  <c r="E159" i="1"/>
  <c r="I156" i="1"/>
  <c r="I154" i="1"/>
  <c r="S241" i="1"/>
  <c r="E222" i="1"/>
  <c r="I175" i="1"/>
  <c r="I173" i="1"/>
  <c r="E171" i="1"/>
  <c r="S168" i="1"/>
  <c r="T163" i="1"/>
  <c r="S158" i="1"/>
  <c r="E154" i="1"/>
  <c r="O241" i="1"/>
  <c r="S239" i="1"/>
  <c r="I234" i="1"/>
  <c r="E226" i="1"/>
  <c r="I224" i="1"/>
  <c r="E179" i="1"/>
  <c r="E175" i="1"/>
  <c r="S170" i="1"/>
  <c r="I160" i="1"/>
  <c r="E156" i="1"/>
  <c r="T153" i="1"/>
  <c r="E243" i="1"/>
  <c r="T240" i="1"/>
  <c r="V229" i="1"/>
  <c r="S221" i="1"/>
  <c r="I176" i="1"/>
  <c r="I172" i="1"/>
  <c r="I170" i="1"/>
  <c r="I168" i="1"/>
  <c r="I165" i="1"/>
  <c r="E160" i="1"/>
  <c r="S242" i="1"/>
  <c r="S240" i="1"/>
  <c r="S238" i="1"/>
  <c r="E236" i="1"/>
  <c r="E219" i="1"/>
  <c r="I179" i="1"/>
  <c r="E177" i="1"/>
  <c r="I167" i="1"/>
  <c r="E166" i="1"/>
  <c r="S164" i="1"/>
  <c r="I162" i="1"/>
  <c r="E161" i="1"/>
  <c r="E157" i="1"/>
  <c r="S154" i="1"/>
  <c r="S153" i="1"/>
  <c r="E152" i="1"/>
  <c r="O243" i="1"/>
  <c r="O235" i="1"/>
  <c r="E234" i="1"/>
  <c r="T231" i="1"/>
  <c r="E230" i="1"/>
  <c r="E229" i="1"/>
  <c r="E227" i="1"/>
  <c r="S224" i="1"/>
  <c r="T223" i="1"/>
  <c r="T220" i="1"/>
  <c r="E237" i="1"/>
  <c r="S176" i="1"/>
  <c r="I174" i="1"/>
  <c r="E173" i="1"/>
  <c r="O170" i="1"/>
  <c r="T165" i="1"/>
  <c r="I163" i="1"/>
  <c r="E162" i="1"/>
  <c r="S160" i="1"/>
  <c r="E158" i="1"/>
  <c r="S156" i="1"/>
  <c r="T155" i="1"/>
  <c r="I153" i="1"/>
  <c r="S244" i="1"/>
  <c r="T236" i="1"/>
  <c r="T234" i="1"/>
  <c r="O233" i="1"/>
  <c r="I231" i="1"/>
  <c r="S228" i="1"/>
  <c r="S225" i="1"/>
  <c r="E223" i="1"/>
  <c r="T221" i="1"/>
  <c r="V218" i="1"/>
  <c r="E242" i="1"/>
  <c r="E238" i="1"/>
  <c r="E235" i="1"/>
  <c r="T171" i="1"/>
  <c r="E168" i="1"/>
  <c r="S166" i="1"/>
  <c r="E163" i="1"/>
  <c r="E153" i="1"/>
  <c r="T242" i="1"/>
  <c r="V237" i="1"/>
  <c r="S234" i="1"/>
  <c r="S233" i="1"/>
  <c r="E231" i="1"/>
  <c r="T229" i="1"/>
  <c r="V226" i="1"/>
  <c r="E220" i="1"/>
  <c r="S178" i="1"/>
  <c r="E174" i="1"/>
  <c r="S172" i="1"/>
  <c r="E169" i="1"/>
  <c r="E244" i="1"/>
  <c r="E239" i="1"/>
  <c r="T237" i="1"/>
  <c r="V234" i="1"/>
  <c r="I232" i="1"/>
  <c r="E228" i="1"/>
  <c r="E225" i="1"/>
  <c r="O224" i="1"/>
  <c r="O222" i="1"/>
  <c r="O221" i="1"/>
  <c r="T179" i="1"/>
  <c r="T167" i="1"/>
  <c r="S162" i="1"/>
  <c r="O230" i="1"/>
  <c r="O229" i="1"/>
  <c r="E224" i="1"/>
  <c r="S237" i="1"/>
  <c r="S179" i="1"/>
  <c r="I171" i="1"/>
  <c r="E170" i="1"/>
  <c r="I166" i="1"/>
  <c r="E165" i="1"/>
  <c r="E241" i="1"/>
  <c r="E232" i="1"/>
  <c r="S230" i="1"/>
  <c r="I229" i="1"/>
  <c r="S223" i="1"/>
  <c r="O158" i="1"/>
  <c r="O152" i="1"/>
  <c r="I221" i="1"/>
  <c r="I243" i="1"/>
  <c r="O236" i="1"/>
  <c r="I235" i="1"/>
  <c r="I219" i="1"/>
  <c r="V243" i="1"/>
  <c r="O239" i="1"/>
  <c r="I238" i="1"/>
  <c r="V235" i="1"/>
  <c r="O231" i="1"/>
  <c r="I230" i="1"/>
  <c r="O223" i="1"/>
  <c r="I222" i="1"/>
  <c r="V219" i="1"/>
  <c r="T243" i="1"/>
  <c r="O242" i="1"/>
  <c r="T235" i="1"/>
  <c r="O234" i="1"/>
  <c r="I233" i="1"/>
  <c r="V230" i="1"/>
  <c r="I225" i="1"/>
  <c r="V222" i="1"/>
  <c r="T219" i="1"/>
  <c r="O218" i="1"/>
  <c r="I244" i="1"/>
  <c r="S243" i="1"/>
  <c r="V241" i="1"/>
  <c r="T238" i="1"/>
  <c r="I236" i="1"/>
  <c r="S235" i="1"/>
  <c r="T230" i="1"/>
  <c r="I228" i="1"/>
  <c r="S227" i="1"/>
  <c r="V225" i="1"/>
  <c r="T222" i="1"/>
  <c r="I220" i="1"/>
  <c r="S219" i="1"/>
  <c r="O228" i="1"/>
  <c r="V227" i="1"/>
  <c r="I241" i="1"/>
  <c r="V238" i="1"/>
  <c r="T227" i="1"/>
  <c r="O226" i="1"/>
  <c r="V244" i="1"/>
  <c r="T241" i="1"/>
  <c r="V236" i="1"/>
  <c r="T233" i="1"/>
  <c r="V228" i="1"/>
  <c r="T225" i="1"/>
  <c r="V220" i="1"/>
  <c r="O244" i="1"/>
  <c r="I227" i="1"/>
  <c r="O220" i="1"/>
  <c r="V239" i="1"/>
  <c r="V231" i="1"/>
  <c r="V179" i="1"/>
  <c r="V177" i="1"/>
  <c r="V175" i="1"/>
  <c r="V173" i="1"/>
  <c r="V171" i="1"/>
  <c r="V169" i="1"/>
  <c r="V167" i="1"/>
  <c r="V165" i="1"/>
  <c r="V163" i="1"/>
  <c r="V161" i="1"/>
  <c r="V159" i="1"/>
  <c r="V157" i="1"/>
  <c r="O179" i="1"/>
  <c r="O177" i="1"/>
  <c r="O175" i="1"/>
  <c r="O173" i="1"/>
  <c r="O171" i="1"/>
  <c r="O169" i="1"/>
  <c r="O167" i="1"/>
  <c r="O165" i="1"/>
  <c r="O163" i="1"/>
  <c r="O161" i="1"/>
  <c r="O159" i="1"/>
  <c r="O157" i="1"/>
  <c r="O155" i="1"/>
  <c r="O153" i="1"/>
  <c r="V178" i="1"/>
  <c r="V176" i="1"/>
  <c r="V174" i="1"/>
  <c r="V172" i="1"/>
  <c r="V170" i="1"/>
  <c r="V168" i="1"/>
  <c r="V166" i="1"/>
  <c r="V164" i="1"/>
  <c r="V162" i="1"/>
  <c r="V160" i="1"/>
  <c r="V158" i="1"/>
  <c r="V156" i="1"/>
  <c r="V154" i="1"/>
  <c r="V152" i="1"/>
  <c r="G75" i="1"/>
  <c r="M256" i="1" l="1"/>
  <c r="X256" i="1"/>
  <c r="M266" i="1"/>
  <c r="X266" i="1"/>
  <c r="M254" i="1"/>
  <c r="X254" i="1"/>
  <c r="M264" i="1"/>
  <c r="X264" i="1"/>
  <c r="M248" i="1"/>
  <c r="X248" i="1"/>
  <c r="M265" i="1"/>
  <c r="X265" i="1"/>
  <c r="M261" i="1"/>
  <c r="X261" i="1"/>
  <c r="M250" i="1"/>
  <c r="X250" i="1"/>
  <c r="M260" i="1"/>
  <c r="X260" i="1"/>
  <c r="M262" i="1"/>
  <c r="X262" i="1"/>
  <c r="M263" i="1"/>
  <c r="X263" i="1"/>
  <c r="M259" i="1"/>
  <c r="X259" i="1"/>
  <c r="M252" i="1"/>
  <c r="X252" i="1"/>
  <c r="M255" i="1"/>
  <c r="X255" i="1"/>
  <c r="M253" i="1"/>
  <c r="X253" i="1"/>
  <c r="M249" i="1"/>
  <c r="X249" i="1"/>
  <c r="M258" i="1"/>
  <c r="X258" i="1"/>
  <c r="M257" i="1"/>
  <c r="X257" i="1"/>
  <c r="M251" i="1"/>
  <c r="X251" i="1"/>
  <c r="M201" i="1"/>
  <c r="X201" i="1"/>
  <c r="M188" i="1"/>
  <c r="X188" i="1"/>
  <c r="M185" i="1"/>
  <c r="X185" i="1"/>
  <c r="M187" i="1"/>
  <c r="X187" i="1"/>
  <c r="M184" i="1"/>
  <c r="X184" i="1"/>
  <c r="M194" i="1"/>
  <c r="X194" i="1"/>
  <c r="M200" i="1"/>
  <c r="X200" i="1"/>
  <c r="M189" i="1"/>
  <c r="X189" i="1"/>
  <c r="M196" i="1"/>
  <c r="X196" i="1"/>
  <c r="M199" i="1"/>
  <c r="X199" i="1"/>
  <c r="M190" i="1"/>
  <c r="X190" i="1"/>
  <c r="X195" i="1"/>
  <c r="M195" i="1"/>
  <c r="M197" i="1"/>
  <c r="X197" i="1"/>
  <c r="X198" i="1"/>
  <c r="M198" i="1"/>
  <c r="M183" i="1"/>
  <c r="X183" i="1"/>
  <c r="M193" i="1"/>
  <c r="X193" i="1"/>
  <c r="M186" i="1"/>
  <c r="X186" i="1"/>
  <c r="M191" i="1"/>
  <c r="X191" i="1"/>
  <c r="M192" i="1"/>
  <c r="X192" i="1"/>
  <c r="E133" i="1"/>
  <c r="D133" i="1" s="1"/>
  <c r="M133" i="1" s="1"/>
  <c r="E118" i="1"/>
  <c r="D118" i="1" s="1"/>
  <c r="E125" i="1"/>
  <c r="D125" i="1" s="1"/>
  <c r="E122" i="1"/>
  <c r="D122" i="1" s="1"/>
  <c r="E126" i="1"/>
  <c r="D126" i="1" s="1"/>
  <c r="M126" i="1" s="1"/>
  <c r="E130" i="1"/>
  <c r="D130" i="1" s="1"/>
  <c r="M130" i="1" s="1"/>
  <c r="E134" i="1"/>
  <c r="D134" i="1" s="1"/>
  <c r="M134" i="1" s="1"/>
  <c r="E131" i="1"/>
  <c r="D131" i="1" s="1"/>
  <c r="M131" i="1" s="1"/>
  <c r="E117" i="1"/>
  <c r="D117" i="1" s="1"/>
  <c r="E129" i="1"/>
  <c r="D129" i="1" s="1"/>
  <c r="M129" i="1" s="1"/>
  <c r="E119" i="1"/>
  <c r="D119" i="1" s="1"/>
  <c r="E121" i="1"/>
  <c r="D121" i="1" s="1"/>
  <c r="E124" i="1"/>
  <c r="D124" i="1" s="1"/>
  <c r="E127" i="1"/>
  <c r="D127" i="1" s="1"/>
  <c r="M127" i="1" s="1"/>
  <c r="E120" i="1"/>
  <c r="D120" i="1" s="1"/>
  <c r="E128" i="1"/>
  <c r="D128" i="1" s="1"/>
  <c r="M128" i="1" s="1"/>
  <c r="E132" i="1"/>
  <c r="D132" i="1" s="1"/>
  <c r="M132" i="1" s="1"/>
  <c r="E123" i="1"/>
  <c r="D123" i="1" s="1"/>
  <c r="E135" i="1"/>
  <c r="D135" i="1" s="1"/>
  <c r="M135" i="1" s="1"/>
  <c r="D244" i="1"/>
  <c r="M244" i="1" s="1"/>
  <c r="D168" i="1"/>
  <c r="X168" i="1" s="1"/>
  <c r="D229" i="1"/>
  <c r="M229" i="1" s="1"/>
  <c r="D232" i="1"/>
  <c r="M232" i="1" s="1"/>
  <c r="D224" i="1"/>
  <c r="M224" i="1" s="1"/>
  <c r="D169" i="1"/>
  <c r="X169" i="1" s="1"/>
  <c r="D157" i="1"/>
  <c r="M157" i="1" s="1"/>
  <c r="D219" i="1"/>
  <c r="X219" i="1" s="1"/>
  <c r="D156" i="1"/>
  <c r="M156" i="1" s="1"/>
  <c r="D176" i="1"/>
  <c r="X176" i="1" s="1"/>
  <c r="D271" i="1"/>
  <c r="M271" i="1" s="1"/>
  <c r="D155" i="1"/>
  <c r="M155" i="1" s="1"/>
  <c r="D241" i="1"/>
  <c r="X241" i="1" s="1"/>
  <c r="D225" i="1"/>
  <c r="M225" i="1" s="1"/>
  <c r="D235" i="1"/>
  <c r="M235" i="1" s="1"/>
  <c r="D158" i="1"/>
  <c r="M158" i="1" s="1"/>
  <c r="D161" i="1"/>
  <c r="X161" i="1" s="1"/>
  <c r="D222" i="1"/>
  <c r="M222" i="1" s="1"/>
  <c r="D270" i="1"/>
  <c r="M270" i="1" s="1"/>
  <c r="D238" i="1"/>
  <c r="D237" i="1"/>
  <c r="M237" i="1" s="1"/>
  <c r="D154" i="1"/>
  <c r="X154" i="1" s="1"/>
  <c r="D164" i="1"/>
  <c r="M164" i="1" s="1"/>
  <c r="D209" i="1"/>
  <c r="M209" i="1" s="1"/>
  <c r="D162" i="1"/>
  <c r="M162" i="1" s="1"/>
  <c r="D175" i="1"/>
  <c r="M175" i="1" s="1"/>
  <c r="D178" i="1"/>
  <c r="D207" i="1"/>
  <c r="X207" i="1" s="1"/>
  <c r="D210" i="1"/>
  <c r="M210" i="1" s="1"/>
  <c r="D170" i="1"/>
  <c r="M170" i="1" s="1"/>
  <c r="D220" i="1"/>
  <c r="X220" i="1" s="1"/>
  <c r="D153" i="1"/>
  <c r="D166" i="1"/>
  <c r="M166" i="1" s="1"/>
  <c r="D179" i="1"/>
  <c r="M179" i="1" s="1"/>
  <c r="D274" i="1"/>
  <c r="M274" i="1" s="1"/>
  <c r="D208" i="1"/>
  <c r="D218" i="1"/>
  <c r="M218" i="1" s="1"/>
  <c r="D159" i="1"/>
  <c r="M159" i="1" s="1"/>
  <c r="D231" i="1"/>
  <c r="M231" i="1" s="1"/>
  <c r="D173" i="1"/>
  <c r="M173" i="1" s="1"/>
  <c r="D167" i="1"/>
  <c r="M167" i="1" s="1"/>
  <c r="D172" i="1"/>
  <c r="X172" i="1" s="1"/>
  <c r="D275" i="1"/>
  <c r="X275" i="1" s="1"/>
  <c r="D230" i="1"/>
  <c r="M230" i="1" s="1"/>
  <c r="D236" i="1"/>
  <c r="M236" i="1" s="1"/>
  <c r="D221" i="1"/>
  <c r="X221" i="1" s="1"/>
  <c r="D205" i="1"/>
  <c r="X205" i="1" s="1"/>
  <c r="D165" i="1"/>
  <c r="M165" i="1" s="1"/>
  <c r="D228" i="1"/>
  <c r="M228" i="1" s="1"/>
  <c r="D174" i="1"/>
  <c r="X174" i="1" s="1"/>
  <c r="D234" i="1"/>
  <c r="M234" i="1" s="1"/>
  <c r="D233" i="1"/>
  <c r="M233" i="1" s="1"/>
  <c r="D276" i="1"/>
  <c r="M276" i="1" s="1"/>
  <c r="D242" i="1"/>
  <c r="X242" i="1" s="1"/>
  <c r="D273" i="1"/>
  <c r="X273" i="1" s="1"/>
  <c r="D163" i="1"/>
  <c r="D152" i="1"/>
  <c r="M152" i="1" s="1"/>
  <c r="D160" i="1"/>
  <c r="M160" i="1" s="1"/>
  <c r="D239" i="1"/>
  <c r="X239" i="1" s="1"/>
  <c r="D223" i="1"/>
  <c r="D227" i="1"/>
  <c r="X227" i="1" s="1"/>
  <c r="D177" i="1"/>
  <c r="M177" i="1" s="1"/>
  <c r="D243" i="1"/>
  <c r="M243" i="1" s="1"/>
  <c r="D226" i="1"/>
  <c r="M226" i="1" s="1"/>
  <c r="D171" i="1"/>
  <c r="X171" i="1" s="1"/>
  <c r="D240" i="1"/>
  <c r="M240" i="1" s="1"/>
  <c r="D272" i="1"/>
  <c r="M272" i="1" s="1"/>
  <c r="X211" i="1"/>
  <c r="O208" i="1"/>
  <c r="I207" i="1"/>
  <c r="I205" i="1"/>
  <c r="O206" i="1"/>
  <c r="I271" i="1"/>
  <c r="M211" i="1"/>
  <c r="M206" i="1"/>
  <c r="O209" i="1"/>
  <c r="X206" i="1"/>
  <c r="I276" i="1"/>
  <c r="E139" i="1"/>
  <c r="D139" i="1" s="1"/>
  <c r="E141" i="1"/>
  <c r="D141" i="1" s="1"/>
  <c r="E143" i="1"/>
  <c r="D143" i="1" s="1"/>
  <c r="E145" i="1"/>
  <c r="D145" i="1" s="1"/>
  <c r="E140" i="1"/>
  <c r="E142" i="1"/>
  <c r="D142" i="1" s="1"/>
  <c r="E144" i="1"/>
  <c r="O210" i="1"/>
  <c r="O211" i="1"/>
  <c r="I270" i="1"/>
  <c r="O272" i="1"/>
  <c r="I273" i="1"/>
  <c r="E87" i="1"/>
  <c r="D87" i="1" s="1"/>
  <c r="E91" i="1"/>
  <c r="D91" i="1" s="1"/>
  <c r="E95" i="1"/>
  <c r="D95" i="1" s="1"/>
  <c r="E99" i="1"/>
  <c r="E101" i="1"/>
  <c r="E109" i="1"/>
  <c r="D109" i="1" s="1"/>
  <c r="E107" i="1"/>
  <c r="D107" i="1" s="1"/>
  <c r="E111" i="1"/>
  <c r="D111" i="1" s="1"/>
  <c r="E113" i="1"/>
  <c r="D113" i="1" s="1"/>
  <c r="E104" i="1"/>
  <c r="D104" i="1" s="1"/>
  <c r="E110" i="1"/>
  <c r="D110" i="1" s="1"/>
  <c r="E86" i="1"/>
  <c r="D86" i="1" s="1"/>
  <c r="E90" i="1"/>
  <c r="D90" i="1" s="1"/>
  <c r="E94" i="1"/>
  <c r="D94" i="1" s="1"/>
  <c r="E98" i="1"/>
  <c r="E105" i="1"/>
  <c r="D105" i="1" s="1"/>
  <c r="E88" i="1"/>
  <c r="D88" i="1" s="1"/>
  <c r="E92" i="1"/>
  <c r="D92" i="1" s="1"/>
  <c r="E96" i="1"/>
  <c r="D96" i="1" s="1"/>
  <c r="E100" i="1"/>
  <c r="E102" i="1"/>
  <c r="E89" i="1"/>
  <c r="D89" i="1" s="1"/>
  <c r="E97" i="1"/>
  <c r="E106" i="1"/>
  <c r="D106" i="1" s="1"/>
  <c r="E93" i="1"/>
  <c r="D93" i="1" s="1"/>
  <c r="E108" i="1"/>
  <c r="D108" i="1" s="1"/>
  <c r="E112" i="1"/>
  <c r="D112" i="1" s="1"/>
  <c r="E103" i="1"/>
  <c r="D103" i="1" s="1"/>
  <c r="X152" i="1" l="1"/>
  <c r="X158" i="1"/>
  <c r="X173" i="1"/>
  <c r="X243" i="1"/>
  <c r="X237" i="1"/>
  <c r="X274" i="1"/>
  <c r="X270" i="1"/>
  <c r="I56" i="1"/>
  <c r="X218" i="1"/>
  <c r="X165" i="1"/>
  <c r="M120" i="1"/>
  <c r="I43" i="1"/>
  <c r="M124" i="1"/>
  <c r="I47" i="1"/>
  <c r="M121" i="1"/>
  <c r="I44" i="1"/>
  <c r="I45" i="1"/>
  <c r="M122" i="1"/>
  <c r="M119" i="1"/>
  <c r="I42" i="1"/>
  <c r="M125" i="1"/>
  <c r="I48" i="1"/>
  <c r="M123" i="1"/>
  <c r="I46" i="1"/>
  <c r="M118" i="1"/>
  <c r="I41" i="1"/>
  <c r="M117" i="1"/>
  <c r="I40" i="1"/>
  <c r="X232" i="1"/>
  <c r="X222" i="1"/>
  <c r="X164" i="1"/>
  <c r="X234" i="1"/>
  <c r="X236" i="1"/>
  <c r="M207" i="1"/>
  <c r="X170" i="1"/>
  <c r="X231" i="1"/>
  <c r="X210" i="1"/>
  <c r="M275" i="1"/>
  <c r="X209" i="1"/>
  <c r="X224" i="1"/>
  <c r="M172" i="1"/>
  <c r="X157" i="1"/>
  <c r="X272" i="1"/>
  <c r="X177" i="1"/>
  <c r="M221" i="1"/>
  <c r="X225" i="1"/>
  <c r="M273" i="1"/>
  <c r="X228" i="1"/>
  <c r="X166" i="1"/>
  <c r="X240" i="1"/>
  <c r="M171" i="1"/>
  <c r="M174" i="1"/>
  <c r="X179" i="1"/>
  <c r="X229" i="1"/>
  <c r="X159" i="1"/>
  <c r="X235" i="1"/>
  <c r="M176" i="1"/>
  <c r="X238" i="1"/>
  <c r="M238" i="1"/>
  <c r="I52" i="1"/>
  <c r="I54" i="1"/>
  <c r="I49" i="1"/>
  <c r="M242" i="1"/>
  <c r="X153" i="1"/>
  <c r="M153" i="1"/>
  <c r="D97" i="1"/>
  <c r="I19" i="1" s="1"/>
  <c r="D98" i="1"/>
  <c r="M98" i="1" s="1"/>
  <c r="X163" i="1"/>
  <c r="M163" i="1"/>
  <c r="X226" i="1"/>
  <c r="X167" i="1"/>
  <c r="D144" i="1"/>
  <c r="I67" i="1" s="1"/>
  <c r="M227" i="1"/>
  <c r="X208" i="1"/>
  <c r="M208" i="1"/>
  <c r="M169" i="1"/>
  <c r="X223" i="1"/>
  <c r="M223" i="1"/>
  <c r="M205" i="1"/>
  <c r="X178" i="1"/>
  <c r="M178" i="1"/>
  <c r="X230" i="1"/>
  <c r="D102" i="1"/>
  <c r="I24" i="1" s="1"/>
  <c r="D101" i="1"/>
  <c r="I23" i="1" s="1"/>
  <c r="X156" i="1"/>
  <c r="M161" i="1"/>
  <c r="M241" i="1"/>
  <c r="M168" i="1"/>
  <c r="D100" i="1"/>
  <c r="I22" i="1" s="1"/>
  <c r="D99" i="1"/>
  <c r="M99" i="1" s="1"/>
  <c r="X175" i="1"/>
  <c r="D140" i="1"/>
  <c r="I63" i="1" s="1"/>
  <c r="X276" i="1"/>
  <c r="I53" i="1"/>
  <c r="M220" i="1"/>
  <c r="X244" i="1"/>
  <c r="X155" i="1"/>
  <c r="I50" i="1"/>
  <c r="M239" i="1"/>
  <c r="M219" i="1"/>
  <c r="X233" i="1"/>
  <c r="X162" i="1"/>
  <c r="I55" i="1"/>
  <c r="M154" i="1"/>
  <c r="X271" i="1"/>
  <c r="X160" i="1"/>
  <c r="I57" i="1"/>
  <c r="I14" i="1"/>
  <c r="M96" i="1"/>
  <c r="I16" i="1"/>
  <c r="I17" i="1"/>
  <c r="M89" i="1"/>
  <c r="I12" i="1"/>
  <c r="I13" i="1"/>
  <c r="I15" i="1"/>
  <c r="M88" i="1"/>
  <c r="I9" i="1"/>
  <c r="M142" i="1"/>
  <c r="I65" i="1"/>
  <c r="M145" i="1"/>
  <c r="I68" i="1"/>
  <c r="M143" i="1"/>
  <c r="I66" i="1"/>
  <c r="M141" i="1"/>
  <c r="I64" i="1"/>
  <c r="M139" i="1"/>
  <c r="I62" i="1"/>
  <c r="M107" i="1"/>
  <c r="I29" i="1"/>
  <c r="I31" i="1"/>
  <c r="M109" i="1"/>
  <c r="M103" i="1"/>
  <c r="I25" i="1"/>
  <c r="M112" i="1"/>
  <c r="I34" i="1"/>
  <c r="M108" i="1"/>
  <c r="I30" i="1"/>
  <c r="M110" i="1"/>
  <c r="I32" i="1"/>
  <c r="M104" i="1"/>
  <c r="I26" i="1"/>
  <c r="M111" i="1"/>
  <c r="I33" i="1"/>
  <c r="M92" i="1"/>
  <c r="M95" i="1"/>
  <c r="M106" i="1"/>
  <c r="I28" i="1"/>
  <c r="M105" i="1"/>
  <c r="I27" i="1"/>
  <c r="I35" i="1"/>
  <c r="M113" i="1"/>
  <c r="D39" i="5"/>
  <c r="R112" i="17" s="1"/>
  <c r="C31" i="4"/>
  <c r="M102" i="1" l="1"/>
  <c r="M100" i="1"/>
  <c r="I51" i="1"/>
  <c r="M97" i="1"/>
  <c r="M101" i="1"/>
  <c r="M140" i="1"/>
  <c r="M144" i="1"/>
  <c r="I20" i="1"/>
  <c r="I21" i="1"/>
  <c r="I18" i="1"/>
  <c r="M94" i="1"/>
  <c r="M90" i="1"/>
  <c r="M93" i="1"/>
  <c r="M87" i="1"/>
  <c r="M91" i="1"/>
  <c r="I10" i="1"/>
  <c r="I11" i="1"/>
  <c r="M86" i="1"/>
  <c r="D43" i="4"/>
  <c r="F30" i="5" s="1"/>
  <c r="D29" i="6" l="1"/>
  <c r="D24" i="6"/>
  <c r="D29" i="4"/>
  <c r="A4" i="16"/>
  <c r="A2" i="16"/>
  <c r="A1" i="16"/>
  <c r="D42" i="6" l="1"/>
  <c r="C22" i="8" s="1"/>
  <c r="C9" i="15"/>
  <c r="G7" i="15"/>
  <c r="D13" i="4"/>
  <c r="D12" i="6" s="1"/>
  <c r="D12" i="4"/>
  <c r="D13" i="6" s="1"/>
  <c r="C16" i="4"/>
  <c r="D11" i="16"/>
  <c r="D24" i="5"/>
  <c r="D23" i="5"/>
  <c r="D22" i="5"/>
  <c r="C66" i="6"/>
  <c r="C65" i="6"/>
  <c r="C50" i="6"/>
  <c r="R114" i="17" s="1"/>
  <c r="C49" i="6"/>
  <c r="R113" i="17" s="1"/>
  <c r="C55" i="6"/>
  <c r="C54" i="6"/>
  <c r="G59" i="1"/>
  <c r="D7" i="16"/>
  <c r="R117" i="17" l="1"/>
  <c r="B46" i="17"/>
  <c r="A4" i="8"/>
  <c r="A4" i="15"/>
  <c r="A5" i="4"/>
  <c r="A4" i="5"/>
  <c r="A4" i="6"/>
  <c r="A4" i="1"/>
  <c r="A2" i="15"/>
  <c r="A2" i="4"/>
  <c r="A2" i="5"/>
  <c r="A2" i="1"/>
  <c r="A2" i="6"/>
  <c r="A2" i="17"/>
  <c r="A2" i="8"/>
  <c r="A1" i="15"/>
  <c r="A1" i="4"/>
  <c r="A1" i="5"/>
  <c r="A1" i="1"/>
  <c r="A1" i="6"/>
  <c r="A1" i="18" s="1"/>
  <c r="A1" i="17"/>
  <c r="A1" i="8"/>
  <c r="I58" i="1"/>
  <c r="B138" i="1"/>
  <c r="B204" i="1" s="1"/>
  <c r="B269" i="1" s="1"/>
  <c r="B116" i="1"/>
  <c r="B217" i="1"/>
  <c r="B85" i="1"/>
  <c r="B151" i="1" s="1"/>
  <c r="Q73" i="1" l="1"/>
  <c r="B182" i="1"/>
  <c r="B247" i="1" s="1"/>
  <c r="B216" i="1"/>
  <c r="C13" i="16"/>
  <c r="B40" i="17"/>
  <c r="I94" i="17"/>
  <c r="B56" i="17"/>
  <c r="B39" i="17"/>
  <c r="D23" i="15"/>
  <c r="B57" i="17" l="1"/>
  <c r="Q269" i="1"/>
  <c r="E247" i="1"/>
  <c r="D247" i="1" s="1"/>
  <c r="M247" i="1" s="1"/>
  <c r="Q247" i="1"/>
  <c r="E216" i="1"/>
  <c r="D216" i="1" s="1"/>
  <c r="G216" i="1"/>
  <c r="E217" i="1"/>
  <c r="G217" i="1"/>
  <c r="Q204" i="1"/>
  <c r="E182" i="1"/>
  <c r="D182" i="1" s="1"/>
  <c r="Q182" i="1"/>
  <c r="V182" i="1" s="1"/>
  <c r="E151" i="1"/>
  <c r="D151" i="1" s="1"/>
  <c r="D180" i="1" s="1"/>
  <c r="G151" i="1"/>
  <c r="V151" i="1"/>
  <c r="G85" i="1"/>
  <c r="I85" i="1" s="1"/>
  <c r="K7" i="1"/>
  <c r="K36" i="1" s="1"/>
  <c r="D217" i="1" l="1"/>
  <c r="I8" i="1" s="1"/>
  <c r="M36" i="1"/>
  <c r="K100" i="17" s="1"/>
  <c r="V217" i="1"/>
  <c r="X182" i="1"/>
  <c r="K59" i="1"/>
  <c r="O151" i="1"/>
  <c r="O216" i="1"/>
  <c r="I216" i="1"/>
  <c r="T216" i="1"/>
  <c r="T247" i="1"/>
  <c r="I217" i="1"/>
  <c r="T217" i="1"/>
  <c r="I151" i="1"/>
  <c r="T151" i="1"/>
  <c r="T182" i="1"/>
  <c r="O217" i="1"/>
  <c r="V216" i="1"/>
  <c r="X216" i="1" s="1"/>
  <c r="V247" i="1"/>
  <c r="X247" i="1" s="1"/>
  <c r="X151" i="1"/>
  <c r="X180" i="1" s="1"/>
  <c r="S247" i="1"/>
  <c r="G247" i="1"/>
  <c r="I247" i="1" s="1"/>
  <c r="S216" i="1"/>
  <c r="M216" i="1"/>
  <c r="S217" i="1"/>
  <c r="S182" i="1"/>
  <c r="G182" i="1"/>
  <c r="O182" i="1" s="1"/>
  <c r="M182" i="1"/>
  <c r="M151" i="1"/>
  <c r="S151" i="1"/>
  <c r="C33" i="6"/>
  <c r="D3" i="18"/>
  <c r="C15" i="6"/>
  <c r="D20" i="5"/>
  <c r="E269" i="1"/>
  <c r="D269" i="1" s="1"/>
  <c r="D277" i="1" s="1"/>
  <c r="E204" i="1"/>
  <c r="D204" i="1" s="1"/>
  <c r="V204" i="1"/>
  <c r="I138" i="1"/>
  <c r="K69" i="1"/>
  <c r="G9" i="15"/>
  <c r="O32" i="17" s="1"/>
  <c r="F28" i="5" l="1"/>
  <c r="D245" i="1"/>
  <c r="E245" i="1" s="1"/>
  <c r="M217" i="1"/>
  <c r="M245" i="1" s="1"/>
  <c r="M69" i="1"/>
  <c r="K102" i="17" s="1"/>
  <c r="M59" i="1"/>
  <c r="K101" i="17" s="1"/>
  <c r="M180" i="1"/>
  <c r="K180" i="1" s="1"/>
  <c r="D212" i="1"/>
  <c r="D202" i="1"/>
  <c r="D2" i="18"/>
  <c r="B25" i="20"/>
  <c r="G17" i="15" s="1"/>
  <c r="D267" i="1"/>
  <c r="I182" i="1"/>
  <c r="O247" i="1"/>
  <c r="T204" i="1"/>
  <c r="V269" i="1"/>
  <c r="T269" i="1"/>
  <c r="X217" i="1"/>
  <c r="X245" i="1" s="1"/>
  <c r="M269" i="1"/>
  <c r="M277" i="1" s="1"/>
  <c r="G269" i="1"/>
  <c r="O269" i="1" s="1"/>
  <c r="S204" i="1"/>
  <c r="S269" i="1"/>
  <c r="G204" i="1"/>
  <c r="O204" i="1" s="1"/>
  <c r="K70" i="1"/>
  <c r="G70" i="1"/>
  <c r="H28" i="17" s="1"/>
  <c r="L37" i="6" l="1"/>
  <c r="E37" i="6"/>
  <c r="M37" i="6"/>
  <c r="G37" i="6"/>
  <c r="F37" i="6"/>
  <c r="D37" i="6"/>
  <c r="H37" i="6"/>
  <c r="J37" i="6"/>
  <c r="K37" i="6"/>
  <c r="I37" i="6"/>
  <c r="E267" i="1"/>
  <c r="D278" i="1"/>
  <c r="F33" i="20" s="1"/>
  <c r="E202" i="1"/>
  <c r="D213" i="1"/>
  <c r="F32" i="20" s="1"/>
  <c r="E70" i="1"/>
  <c r="M204" i="1"/>
  <c r="E180" i="1"/>
  <c r="E277" i="1"/>
  <c r="G102" i="17"/>
  <c r="H102" i="17"/>
  <c r="E212" i="1"/>
  <c r="X204" i="1"/>
  <c r="X212" i="1" s="1"/>
  <c r="K277" i="1"/>
  <c r="I204" i="1"/>
  <c r="I269" i="1"/>
  <c r="J28" i="17"/>
  <c r="K28" i="17"/>
  <c r="G28" i="17"/>
  <c r="C28" i="17"/>
  <c r="F28" i="17"/>
  <c r="L28" i="17"/>
  <c r="D28" i="17"/>
  <c r="E28" i="17"/>
  <c r="I28" i="17"/>
  <c r="X269" i="1"/>
  <c r="X277" i="1" s="1"/>
  <c r="D4" i="18"/>
  <c r="M212" i="1" l="1"/>
  <c r="K212" i="1" s="1"/>
  <c r="V277" i="1"/>
  <c r="V212" i="1"/>
  <c r="C23" i="6"/>
  <c r="X202" i="1" l="1"/>
  <c r="V202" i="1" s="1"/>
  <c r="B45" i="17" l="1"/>
  <c r="B47" i="17"/>
  <c r="A17" i="18"/>
  <c r="A18" i="18" s="1"/>
  <c r="A19" i="18" s="1"/>
  <c r="A20" i="18" s="1"/>
  <c r="A21" i="18" s="1"/>
  <c r="A22" i="18" s="1"/>
  <c r="A23" i="18" s="1"/>
  <c r="A24" i="18" s="1"/>
  <c r="A25" i="18" s="1"/>
  <c r="A26" i="18" s="1"/>
  <c r="A27" i="18" s="1"/>
  <c r="A28" i="18" s="1"/>
  <c r="A29" i="18" s="1"/>
  <c r="B9" i="18"/>
  <c r="B10" i="18" s="1"/>
  <c r="B11" i="18" s="1"/>
  <c r="B12" i="18" s="1"/>
  <c r="B13" i="18" s="1"/>
  <c r="B14" i="18" s="1"/>
  <c r="B15" i="18" s="1"/>
  <c r="B16" i="18" s="1"/>
  <c r="B17" i="18" s="1"/>
  <c r="B18" i="18" s="1"/>
  <c r="B19" i="18" s="1"/>
  <c r="B20" i="18" s="1"/>
  <c r="B21" i="18" s="1"/>
  <c r="B22" i="18" s="1"/>
  <c r="B23" i="18" s="1"/>
  <c r="B24" i="18" s="1"/>
  <c r="B25" i="18" s="1"/>
  <c r="B26" i="18" s="1"/>
  <c r="B27" i="18" s="1"/>
  <c r="B28" i="18" s="1"/>
  <c r="B29" i="18" s="1"/>
  <c r="B30" i="18" s="1"/>
  <c r="B31" i="18" s="1"/>
  <c r="B32" i="18" s="1"/>
  <c r="B33" i="18" s="1"/>
  <c r="B34" i="18" s="1"/>
  <c r="B35" i="18" s="1"/>
  <c r="B36" i="18" s="1"/>
  <c r="B37" i="18" s="1"/>
  <c r="B38" i="18" s="1"/>
  <c r="B39" i="18" s="1"/>
  <c r="B40" i="18" s="1"/>
  <c r="B41" i="18" s="1"/>
  <c r="B42" i="18" s="1"/>
  <c r="B43" i="18" s="1"/>
  <c r="B44" i="18" s="1"/>
  <c r="B45" i="18" s="1"/>
  <c r="B46" i="18" s="1"/>
  <c r="B47" i="18" s="1"/>
  <c r="B48" i="18" s="1"/>
  <c r="B49" i="18" s="1"/>
  <c r="B50" i="18" s="1"/>
  <c r="B51" i="18" s="1"/>
  <c r="B52" i="18" s="1"/>
  <c r="B53" i="18" s="1"/>
  <c r="B54" i="18" s="1"/>
  <c r="B55" i="18" s="1"/>
  <c r="B56" i="18" s="1"/>
  <c r="B57" i="18" s="1"/>
  <c r="B58" i="18" s="1"/>
  <c r="B59" i="18" s="1"/>
  <c r="B60" i="18" s="1"/>
  <c r="B61" i="18" s="1"/>
  <c r="B62" i="18" s="1"/>
  <c r="B63" i="18" s="1"/>
  <c r="B64" i="18" s="1"/>
  <c r="B65" i="18" s="1"/>
  <c r="B66" i="18" s="1"/>
  <c r="B67" i="18" s="1"/>
  <c r="B68" i="18" s="1"/>
  <c r="B69" i="18" s="1"/>
  <c r="B70" i="18" s="1"/>
  <c r="B71" i="18" s="1"/>
  <c r="B72" i="18" s="1"/>
  <c r="B73" i="18" s="1"/>
  <c r="B74" i="18" s="1"/>
  <c r="B75" i="18" s="1"/>
  <c r="B76" i="18" s="1"/>
  <c r="B77" i="18" s="1"/>
  <c r="B78" i="18" s="1"/>
  <c r="B79" i="18" s="1"/>
  <c r="B80" i="18" s="1"/>
  <c r="B81" i="18" s="1"/>
  <c r="B82" i="18" s="1"/>
  <c r="B83" i="18" s="1"/>
  <c r="B84" i="18" s="1"/>
  <c r="B85" i="18" s="1"/>
  <c r="B86" i="18" s="1"/>
  <c r="B87" i="18" s="1"/>
  <c r="B88" i="18" s="1"/>
  <c r="B89" i="18" s="1"/>
  <c r="B90" i="18" s="1"/>
  <c r="B91" i="18" s="1"/>
  <c r="B92" i="18" s="1"/>
  <c r="B93" i="18" s="1"/>
  <c r="B94" i="18" s="1"/>
  <c r="B95" i="18" s="1"/>
  <c r="B96" i="18" s="1"/>
  <c r="B97" i="18" s="1"/>
  <c r="B98" i="18" s="1"/>
  <c r="B99" i="18" s="1"/>
  <c r="B100" i="18" s="1"/>
  <c r="C77" i="17"/>
  <c r="C69" i="17"/>
  <c r="L54" i="17"/>
  <c r="O62" i="6" s="1"/>
  <c r="C44" i="17"/>
  <c r="D44" i="17"/>
  <c r="B69" i="17"/>
  <c r="C11" i="16"/>
  <c r="A30" i="18" l="1"/>
  <c r="D69" i="17"/>
  <c r="D59" i="17"/>
  <c r="D77" i="17"/>
  <c r="B44" i="17"/>
  <c r="B59" i="17" s="1"/>
  <c r="C59" i="17" s="1"/>
  <c r="E77" i="17" l="1"/>
  <c r="E44" i="17"/>
  <c r="E59" i="17"/>
  <c r="E69" i="17"/>
  <c r="A31" i="18"/>
  <c r="C11" i="17" l="1"/>
  <c r="E13" i="6"/>
  <c r="F13" i="6" s="1"/>
  <c r="G13" i="6" s="1"/>
  <c r="H13" i="6" s="1"/>
  <c r="I13" i="6" s="1"/>
  <c r="J13" i="6" s="1"/>
  <c r="K13" i="6" s="1"/>
  <c r="L13" i="6" s="1"/>
  <c r="M13" i="6" s="1"/>
  <c r="C10" i="17"/>
  <c r="E12" i="6"/>
  <c r="F12" i="6" s="1"/>
  <c r="G12" i="6" s="1"/>
  <c r="H12" i="6" s="1"/>
  <c r="I12" i="6" s="1"/>
  <c r="J12" i="6" s="1"/>
  <c r="K12" i="6" s="1"/>
  <c r="L12" i="6" s="1"/>
  <c r="M12" i="6" s="1"/>
  <c r="F77" i="17"/>
  <c r="F44" i="17"/>
  <c r="F69" i="17"/>
  <c r="F59" i="17"/>
  <c r="A32" i="18"/>
  <c r="A33" i="18" l="1"/>
  <c r="G69" i="17"/>
  <c r="G59" i="17"/>
  <c r="G77" i="17"/>
  <c r="G44" i="17"/>
  <c r="E138" i="1" l="1"/>
  <c r="D138" i="1" s="1"/>
  <c r="E116" i="1"/>
  <c r="E85" i="1"/>
  <c r="D10" i="17"/>
  <c r="H59" i="17"/>
  <c r="H77" i="17"/>
  <c r="H69" i="17"/>
  <c r="H44" i="17"/>
  <c r="A34" i="18"/>
  <c r="D85" i="1" l="1"/>
  <c r="D114" i="1" s="1"/>
  <c r="D116" i="1"/>
  <c r="D146" i="1"/>
  <c r="E10" i="17"/>
  <c r="A35" i="18"/>
  <c r="I59" i="17"/>
  <c r="I77" i="17"/>
  <c r="I69" i="17"/>
  <c r="I44" i="17"/>
  <c r="H101" i="17"/>
  <c r="D21" i="6"/>
  <c r="C45" i="6"/>
  <c r="B35" i="17" s="1"/>
  <c r="C16" i="6"/>
  <c r="D11" i="17"/>
  <c r="A12" i="5"/>
  <c r="I39" i="1" l="1"/>
  <c r="M138" i="1"/>
  <c r="M146" i="1" s="1"/>
  <c r="I61" i="1"/>
  <c r="I69" i="1" s="1"/>
  <c r="I7" i="1"/>
  <c r="I36" i="1" s="1"/>
  <c r="C20" i="17"/>
  <c r="E21" i="6"/>
  <c r="F21" i="6" s="1"/>
  <c r="G21" i="6" s="1"/>
  <c r="H21" i="6" s="1"/>
  <c r="I21" i="6" s="1"/>
  <c r="J21" i="6" s="1"/>
  <c r="K21" i="6" s="1"/>
  <c r="L21" i="6" s="1"/>
  <c r="M21" i="6" s="1"/>
  <c r="M116" i="1"/>
  <c r="D136" i="1"/>
  <c r="D148" i="1" s="1"/>
  <c r="M85" i="1"/>
  <c r="M114" i="1" s="1"/>
  <c r="H100" i="17"/>
  <c r="H103" i="17" s="1"/>
  <c r="G101" i="17"/>
  <c r="F10" i="17"/>
  <c r="J69" i="17"/>
  <c r="J77" i="17"/>
  <c r="J44" i="17"/>
  <c r="J59" i="17"/>
  <c r="A36" i="18"/>
  <c r="D280" i="1" l="1"/>
  <c r="F31" i="20"/>
  <c r="F34" i="20" s="1"/>
  <c r="E114" i="1"/>
  <c r="E146" i="1"/>
  <c r="I102" i="17"/>
  <c r="J102" i="17" s="1"/>
  <c r="I59" i="1"/>
  <c r="E213" i="1"/>
  <c r="E136" i="1"/>
  <c r="I101" i="17"/>
  <c r="X213" i="1"/>
  <c r="D9" i="4" s="1"/>
  <c r="I100" i="17"/>
  <c r="K245" i="1"/>
  <c r="G10" i="17"/>
  <c r="E11" i="17"/>
  <c r="A37" i="18"/>
  <c r="K69" i="17"/>
  <c r="K44" i="17"/>
  <c r="K59" i="17"/>
  <c r="K77" i="17"/>
  <c r="M136" i="1"/>
  <c r="E148" i="1" l="1"/>
  <c r="V245" i="1"/>
  <c r="J101" i="17"/>
  <c r="I103" i="17"/>
  <c r="I70" i="1"/>
  <c r="V180" i="1"/>
  <c r="G100" i="17"/>
  <c r="G103" i="17" s="1"/>
  <c r="M148" i="1"/>
  <c r="D8" i="4" s="1"/>
  <c r="H10" i="17"/>
  <c r="F11" i="17"/>
  <c r="A38" i="18"/>
  <c r="L69" i="17"/>
  <c r="L44" i="17"/>
  <c r="L59" i="17"/>
  <c r="L77" i="17"/>
  <c r="D8" i="6" l="1"/>
  <c r="E8" i="6" s="1"/>
  <c r="F8" i="6" s="1"/>
  <c r="G8" i="6" s="1"/>
  <c r="H8" i="6" s="1"/>
  <c r="I8" i="6" s="1"/>
  <c r="J8" i="6" s="1"/>
  <c r="K8" i="6" s="1"/>
  <c r="L8" i="6" s="1"/>
  <c r="M8" i="6" s="1"/>
  <c r="E278" i="1"/>
  <c r="D9" i="6"/>
  <c r="V213" i="1"/>
  <c r="K148" i="1"/>
  <c r="X267" i="1"/>
  <c r="X278" i="1" s="1"/>
  <c r="D10" i="4" s="1"/>
  <c r="J100" i="17"/>
  <c r="K104" i="17" s="1"/>
  <c r="I10" i="17"/>
  <c r="G11" i="17"/>
  <c r="A39" i="18"/>
  <c r="E9" i="6" l="1"/>
  <c r="F9" i="6" s="1"/>
  <c r="G9" i="6" s="1"/>
  <c r="H9" i="6" s="1"/>
  <c r="I9" i="6" s="1"/>
  <c r="J9" i="6" s="1"/>
  <c r="K9" i="6" s="1"/>
  <c r="L9" i="6" s="1"/>
  <c r="M9" i="6" s="1"/>
  <c r="J103" i="17"/>
  <c r="V278" i="1"/>
  <c r="V267" i="1"/>
  <c r="H11" i="17"/>
  <c r="J10" i="17"/>
  <c r="A40" i="18"/>
  <c r="C8" i="6"/>
  <c r="C9" i="6"/>
  <c r="C10" i="6"/>
  <c r="D10" i="6" l="1"/>
  <c r="D11" i="6" s="1"/>
  <c r="D15" i="6" s="1"/>
  <c r="L10" i="17"/>
  <c r="K10" i="17"/>
  <c r="I11" i="17"/>
  <c r="A41" i="18"/>
  <c r="D14" i="6" l="1"/>
  <c r="C9" i="17"/>
  <c r="E10" i="6"/>
  <c r="F10" i="6" s="1"/>
  <c r="G10" i="6" s="1"/>
  <c r="H10" i="6" s="1"/>
  <c r="I10" i="6" s="1"/>
  <c r="J10" i="6" s="1"/>
  <c r="K10" i="6" s="1"/>
  <c r="L10" i="6" s="1"/>
  <c r="M10" i="6" s="1"/>
  <c r="J11" i="17"/>
  <c r="A42" i="18"/>
  <c r="E34" i="15"/>
  <c r="D55" i="4"/>
  <c r="G23" i="15" l="1"/>
  <c r="D48" i="4"/>
  <c r="D49" i="4" s="1"/>
  <c r="I29" i="16"/>
  <c r="L11" i="17"/>
  <c r="K11" i="17"/>
  <c r="A43" i="18"/>
  <c r="D33" i="6" l="1"/>
  <c r="E33" i="6" s="1"/>
  <c r="F33" i="6" s="1"/>
  <c r="G33" i="6" s="1"/>
  <c r="H33" i="6" s="1"/>
  <c r="I33" i="6" s="1"/>
  <c r="J33" i="6" s="1"/>
  <c r="K33" i="6" s="1"/>
  <c r="L33" i="6" s="1"/>
  <c r="M33" i="6" s="1"/>
  <c r="A2" i="18"/>
  <c r="A44" i="18"/>
  <c r="E24" i="6"/>
  <c r="D44" i="4"/>
  <c r="F8" i="5" s="1"/>
  <c r="F12" i="5"/>
  <c r="F24" i="6" l="1"/>
  <c r="E42" i="6"/>
  <c r="D22" i="8" s="1"/>
  <c r="C12" i="8"/>
  <c r="A45" i="18"/>
  <c r="E29" i="6"/>
  <c r="F29" i="6" s="1"/>
  <c r="G29" i="6" s="1"/>
  <c r="H29" i="6" s="1"/>
  <c r="I29" i="6" s="1"/>
  <c r="J29" i="6" s="1"/>
  <c r="K29" i="6" s="1"/>
  <c r="L29" i="6" s="1"/>
  <c r="M29" i="6" s="1"/>
  <c r="G24" i="6" l="1"/>
  <c r="F42" i="6"/>
  <c r="E22" i="8" s="1"/>
  <c r="C89" i="17"/>
  <c r="D12" i="8"/>
  <c r="A46" i="18"/>
  <c r="E12" i="8"/>
  <c r="D20" i="17"/>
  <c r="H24" i="6" l="1"/>
  <c r="G42" i="6"/>
  <c r="F22" i="8" s="1"/>
  <c r="A47" i="18"/>
  <c r="F12" i="8"/>
  <c r="E20" i="17"/>
  <c r="I24" i="6" l="1"/>
  <c r="H42" i="6"/>
  <c r="G22" i="8" s="1"/>
  <c r="D89" i="17"/>
  <c r="A48" i="18"/>
  <c r="G12" i="8"/>
  <c r="J24" i="6" l="1"/>
  <c r="I42" i="6"/>
  <c r="H22" i="8" s="1"/>
  <c r="F20" i="17"/>
  <c r="E89" i="17"/>
  <c r="A49" i="18"/>
  <c r="H12" i="8"/>
  <c r="G20" i="17"/>
  <c r="K24" i="6" l="1"/>
  <c r="J42" i="6"/>
  <c r="I22" i="8" s="1"/>
  <c r="M202" i="1"/>
  <c r="K202" i="1" s="1"/>
  <c r="M267" i="1"/>
  <c r="F89" i="17"/>
  <c r="A50" i="18"/>
  <c r="I12" i="8"/>
  <c r="H20" i="17"/>
  <c r="L24" i="6" l="1"/>
  <c r="K42" i="6"/>
  <c r="J22" i="8" s="1"/>
  <c r="M213" i="1"/>
  <c r="M278" i="1"/>
  <c r="K278" i="1" s="1"/>
  <c r="K267" i="1"/>
  <c r="G89" i="17"/>
  <c r="A51" i="18"/>
  <c r="J12" i="8"/>
  <c r="I20" i="17"/>
  <c r="K213" i="1" l="1"/>
  <c r="M280" i="1"/>
  <c r="C8" i="8" s="1"/>
  <c r="M24" i="6"/>
  <c r="M42" i="6" s="1"/>
  <c r="L22" i="8" s="1"/>
  <c r="L42" i="6"/>
  <c r="K22" i="8" s="1"/>
  <c r="D9" i="17"/>
  <c r="H89" i="17"/>
  <c r="A52" i="18"/>
  <c r="X280" i="1"/>
  <c r="K12" i="8"/>
  <c r="J20" i="17"/>
  <c r="D8" i="8" l="1"/>
  <c r="O22" i="8"/>
  <c r="F12" i="16" s="1"/>
  <c r="L12" i="8"/>
  <c r="N12" i="8" s="1"/>
  <c r="C34" i="17"/>
  <c r="C71" i="17" s="1"/>
  <c r="D16" i="6"/>
  <c r="X282" i="1"/>
  <c r="X283" i="1" s="1"/>
  <c r="C8" i="17"/>
  <c r="I89" i="17"/>
  <c r="E9" i="17"/>
  <c r="A53" i="18"/>
  <c r="K20" i="17"/>
  <c r="E8" i="8" l="1"/>
  <c r="J15" i="20"/>
  <c r="I23" i="16"/>
  <c r="J9" i="20" s="1"/>
  <c r="F9" i="17"/>
  <c r="D8" i="17"/>
  <c r="J89" i="17"/>
  <c r="A54" i="18"/>
  <c r="L20" i="17"/>
  <c r="F8" i="8" l="1"/>
  <c r="I9" i="20"/>
  <c r="K89" i="17"/>
  <c r="E8" i="17"/>
  <c r="G9" i="17"/>
  <c r="A55" i="18"/>
  <c r="G8" i="8" l="1"/>
  <c r="L89" i="17"/>
  <c r="M89" i="17" s="1"/>
  <c r="C101" i="17" s="1"/>
  <c r="O29" i="6"/>
  <c r="F8" i="17"/>
  <c r="H9" i="17"/>
  <c r="A56" i="18"/>
  <c r="N14" i="8"/>
  <c r="H8" i="8" l="1"/>
  <c r="I8" i="8" s="1"/>
  <c r="J8" i="8" s="1"/>
  <c r="K8" i="8" s="1"/>
  <c r="G8" i="17"/>
  <c r="I9" i="17"/>
  <c r="A57" i="18"/>
  <c r="D11" i="4"/>
  <c r="K79" i="17" l="1"/>
  <c r="L8" i="8"/>
  <c r="L79" i="17" s="1"/>
  <c r="D14" i="4"/>
  <c r="D17" i="4"/>
  <c r="D16" i="4"/>
  <c r="D7" i="17"/>
  <c r="C7" i="17"/>
  <c r="J9" i="17"/>
  <c r="H8" i="17"/>
  <c r="A58" i="18"/>
  <c r="C9" i="8"/>
  <c r="C10" i="8" s="1"/>
  <c r="L81" i="17" l="1"/>
  <c r="L80" i="17"/>
  <c r="K81" i="17"/>
  <c r="K80" i="17"/>
  <c r="D18" i="4"/>
  <c r="E7" i="17"/>
  <c r="E84" i="17" s="1"/>
  <c r="E79" i="17" s="1"/>
  <c r="E11" i="6"/>
  <c r="L9" i="17"/>
  <c r="K9" i="17"/>
  <c r="C84" i="17"/>
  <c r="C79" i="17" s="1"/>
  <c r="I8" i="17"/>
  <c r="D84" i="17"/>
  <c r="D79" i="17" s="1"/>
  <c r="A59" i="18"/>
  <c r="C80" i="17" l="1"/>
  <c r="C81" i="17"/>
  <c r="E81" i="17"/>
  <c r="E80" i="17"/>
  <c r="D81" i="17"/>
  <c r="D80" i="17"/>
  <c r="D34" i="17"/>
  <c r="D71" i="17" s="1"/>
  <c r="D31" i="4"/>
  <c r="D22" i="6" s="1"/>
  <c r="E22" i="6" s="1"/>
  <c r="F22" i="6" s="1"/>
  <c r="G22" i="6" s="1"/>
  <c r="H22" i="6" s="1"/>
  <c r="I22" i="6" s="1"/>
  <c r="J22" i="6" s="1"/>
  <c r="K22" i="6" s="1"/>
  <c r="L22" i="6" s="1"/>
  <c r="M22" i="6" s="1"/>
  <c r="D35" i="4"/>
  <c r="D9" i="8"/>
  <c r="D10" i="8" s="1"/>
  <c r="E16" i="6"/>
  <c r="E15" i="6"/>
  <c r="E14" i="6"/>
  <c r="F11" i="6"/>
  <c r="E34" i="17" s="1"/>
  <c r="E71" i="17" s="1"/>
  <c r="F7" i="17"/>
  <c r="F84" i="17" s="1"/>
  <c r="F79" i="17" s="1"/>
  <c r="E88" i="17"/>
  <c r="E90" i="17" s="1"/>
  <c r="J8" i="17"/>
  <c r="D88" i="17"/>
  <c r="D90" i="17" s="1"/>
  <c r="C88" i="17"/>
  <c r="A60" i="18"/>
  <c r="F81" i="17" l="1"/>
  <c r="F80" i="17"/>
  <c r="D38" i="4"/>
  <c r="C16" i="8"/>
  <c r="D14" i="8"/>
  <c r="D16" i="8"/>
  <c r="J26" i="20" s="1"/>
  <c r="E9" i="8"/>
  <c r="E10" i="8" s="1"/>
  <c r="F16" i="6"/>
  <c r="F15" i="6"/>
  <c r="C16" i="17"/>
  <c r="C18" i="17" s="1"/>
  <c r="C25" i="17" s="1"/>
  <c r="D17" i="6"/>
  <c r="C21" i="17"/>
  <c r="F14" i="6"/>
  <c r="G11" i="6"/>
  <c r="G7" i="17"/>
  <c r="G84" i="17" s="1"/>
  <c r="G79" i="17" s="1"/>
  <c r="L8" i="17"/>
  <c r="K8" i="17"/>
  <c r="B102" i="17"/>
  <c r="C90" i="17"/>
  <c r="F88" i="17"/>
  <c r="F90" i="17" s="1"/>
  <c r="A61" i="18"/>
  <c r="C14" i="8"/>
  <c r="G80" i="17" l="1"/>
  <c r="G81" i="17"/>
  <c r="D39" i="4"/>
  <c r="E39" i="4" s="1"/>
  <c r="E38" i="4"/>
  <c r="F34" i="17"/>
  <c r="F71" i="17" s="1"/>
  <c r="E14" i="8"/>
  <c r="E16" i="8"/>
  <c r="J27" i="20" s="1"/>
  <c r="F9" i="8"/>
  <c r="F10" i="8" s="1"/>
  <c r="G16" i="6"/>
  <c r="G15" i="6"/>
  <c r="D23" i="6"/>
  <c r="D25" i="6" s="1"/>
  <c r="D27" i="6" s="1"/>
  <c r="D30" i="6" s="1"/>
  <c r="D35" i="6" s="1"/>
  <c r="C29" i="17"/>
  <c r="C31" i="17" s="1"/>
  <c r="D16" i="17"/>
  <c r="D18" i="17" s="1"/>
  <c r="D25" i="17" s="1"/>
  <c r="E17" i="6"/>
  <c r="E43" i="6" s="1"/>
  <c r="H7" i="17"/>
  <c r="H84" i="17" s="1"/>
  <c r="H79" i="17" s="1"/>
  <c r="D41" i="4"/>
  <c r="D21" i="17"/>
  <c r="G14" i="6"/>
  <c r="H11" i="6"/>
  <c r="G34" i="17" s="1"/>
  <c r="G71" i="17" s="1"/>
  <c r="G88" i="17"/>
  <c r="A62" i="18"/>
  <c r="H80" i="17" l="1"/>
  <c r="H81" i="17"/>
  <c r="D45" i="4"/>
  <c r="F6" i="5"/>
  <c r="F9" i="5" s="1"/>
  <c r="E41" i="4"/>
  <c r="F14" i="8"/>
  <c r="F16" i="8"/>
  <c r="J28" i="20" s="1"/>
  <c r="G9" i="8"/>
  <c r="G10" i="8" s="1"/>
  <c r="H16" i="6"/>
  <c r="H15" i="6"/>
  <c r="C33" i="17"/>
  <c r="C72" i="17" s="1"/>
  <c r="E23" i="6"/>
  <c r="E25" i="6" s="1"/>
  <c r="E27" i="6" s="1"/>
  <c r="E30" i="6" s="1"/>
  <c r="E35" i="6" s="1"/>
  <c r="D29" i="17"/>
  <c r="D31" i="17" s="1"/>
  <c r="F17" i="6"/>
  <c r="F43" i="6" s="1"/>
  <c r="E16" i="17"/>
  <c r="E18" i="17" s="1"/>
  <c r="E25" i="17" s="1"/>
  <c r="I11" i="6"/>
  <c r="H34" i="17" s="1"/>
  <c r="H71" i="17" s="1"/>
  <c r="I7" i="17"/>
  <c r="I84" i="17" s="1"/>
  <c r="I79" i="17" s="1"/>
  <c r="E21" i="17"/>
  <c r="D51" i="4"/>
  <c r="E51" i="4" s="1"/>
  <c r="E45" i="4"/>
  <c r="H14" i="6"/>
  <c r="H88" i="17"/>
  <c r="H90" i="17" s="1"/>
  <c r="G90" i="17"/>
  <c r="A63" i="18"/>
  <c r="I81" i="17" l="1"/>
  <c r="I80" i="17"/>
  <c r="F14" i="5"/>
  <c r="F31" i="5" s="1"/>
  <c r="G14" i="8"/>
  <c r="G16" i="8"/>
  <c r="H9" i="8"/>
  <c r="I16" i="6"/>
  <c r="I15" i="6"/>
  <c r="F23" i="6"/>
  <c r="F25" i="6" s="1"/>
  <c r="F27" i="6" s="1"/>
  <c r="F30" i="6" s="1"/>
  <c r="F35" i="6" s="1"/>
  <c r="D33" i="17"/>
  <c r="D72" i="17" s="1"/>
  <c r="F16" i="17"/>
  <c r="F18" i="17" s="1"/>
  <c r="F25" i="17" s="1"/>
  <c r="G17" i="6"/>
  <c r="G43" i="6" s="1"/>
  <c r="E29" i="17"/>
  <c r="E31" i="17" s="1"/>
  <c r="J7" i="17"/>
  <c r="J84" i="17" s="1"/>
  <c r="J79" i="17" s="1"/>
  <c r="J11" i="6"/>
  <c r="I34" i="17" s="1"/>
  <c r="I71" i="17" s="1"/>
  <c r="I14" i="6"/>
  <c r="C17" i="16"/>
  <c r="F21" i="17"/>
  <c r="I88" i="17"/>
  <c r="I90" i="17" s="1"/>
  <c r="A64" i="18"/>
  <c r="J81" i="17" l="1"/>
  <c r="J80" i="17"/>
  <c r="H10" i="8"/>
  <c r="H14" i="8" s="1"/>
  <c r="I9" i="8"/>
  <c r="I10" i="8" s="1"/>
  <c r="J16" i="6"/>
  <c r="J15" i="6"/>
  <c r="G23" i="6"/>
  <c r="G25" i="6" s="1"/>
  <c r="G27" i="6" s="1"/>
  <c r="G30" i="6" s="1"/>
  <c r="G35" i="6" s="1"/>
  <c r="E33" i="17"/>
  <c r="E72" i="17" s="1"/>
  <c r="G16" i="17"/>
  <c r="G18" i="17" s="1"/>
  <c r="G25" i="17" s="1"/>
  <c r="F29" i="17"/>
  <c r="F31" i="17" s="1"/>
  <c r="H17" i="6"/>
  <c r="H43" i="6" s="1"/>
  <c r="K7" i="17"/>
  <c r="K84" i="17" s="1"/>
  <c r="K11" i="6"/>
  <c r="J14" i="6"/>
  <c r="G21" i="17"/>
  <c r="J88" i="17"/>
  <c r="A65" i="18"/>
  <c r="J34" i="17" l="1"/>
  <c r="J71" i="17" s="1"/>
  <c r="J9" i="8"/>
  <c r="J10" i="8" s="1"/>
  <c r="J14" i="8" s="1"/>
  <c r="H16" i="8"/>
  <c r="I14" i="8"/>
  <c r="I16" i="8"/>
  <c r="K15" i="6"/>
  <c r="K16" i="6"/>
  <c r="F33" i="17"/>
  <c r="F72" i="17" s="1"/>
  <c r="H23" i="6"/>
  <c r="H25" i="6" s="1"/>
  <c r="H27" i="6" s="1"/>
  <c r="H30" i="6" s="1"/>
  <c r="H35" i="6" s="1"/>
  <c r="H16" i="17"/>
  <c r="H18" i="17" s="1"/>
  <c r="H25" i="17" s="1"/>
  <c r="I17" i="6"/>
  <c r="I43" i="6" s="1"/>
  <c r="K14" i="6"/>
  <c r="L11" i="6"/>
  <c r="K34" i="17" s="1"/>
  <c r="K71" i="17" s="1"/>
  <c r="M11" i="6"/>
  <c r="G29" i="17"/>
  <c r="G31" i="17" s="1"/>
  <c r="H21" i="17"/>
  <c r="K88" i="17"/>
  <c r="K90" i="17" s="1"/>
  <c r="J90" i="17"/>
  <c r="A66" i="18"/>
  <c r="L34" i="17" l="1"/>
  <c r="Q42" i="6"/>
  <c r="J16" i="8"/>
  <c r="L9" i="8"/>
  <c r="M16" i="6"/>
  <c r="M15" i="6"/>
  <c r="K9" i="8"/>
  <c r="K10" i="8" s="1"/>
  <c r="K14" i="8" s="1"/>
  <c r="L15" i="6"/>
  <c r="L16" i="6"/>
  <c r="I23" i="6"/>
  <c r="I25" i="6" s="1"/>
  <c r="I27" i="6" s="1"/>
  <c r="I30" i="6" s="1"/>
  <c r="I35" i="6" s="1"/>
  <c r="G33" i="17"/>
  <c r="G72" i="17" s="1"/>
  <c r="I16" i="17"/>
  <c r="I18" i="17" s="1"/>
  <c r="I25" i="17" s="1"/>
  <c r="J17" i="6"/>
  <c r="J43" i="6" s="1"/>
  <c r="L14" i="6"/>
  <c r="L7" i="17"/>
  <c r="L84" i="17" s="1"/>
  <c r="H29" i="17"/>
  <c r="H31" i="17" s="1"/>
  <c r="I21" i="17"/>
  <c r="M14" i="6"/>
  <c r="A67" i="18"/>
  <c r="L10" i="8" l="1"/>
  <c r="L14" i="8" s="1"/>
  <c r="O34" i="17"/>
  <c r="L71" i="17"/>
  <c r="C97" i="17" s="1"/>
  <c r="H33" i="17"/>
  <c r="H72" i="17" s="1"/>
  <c r="K16" i="8"/>
  <c r="J23" i="6"/>
  <c r="J25" i="6" s="1"/>
  <c r="J27" i="6" s="1"/>
  <c r="J30" i="6" s="1"/>
  <c r="J35" i="6" s="1"/>
  <c r="I29" i="17"/>
  <c r="I31" i="17" s="1"/>
  <c r="K17" i="6"/>
  <c r="K43" i="6" s="1"/>
  <c r="J16" i="17"/>
  <c r="J18" i="17" s="1"/>
  <c r="J25" i="17" s="1"/>
  <c r="J21" i="17"/>
  <c r="L88" i="17"/>
  <c r="A68" i="18"/>
  <c r="L16" i="8" l="1"/>
  <c r="O10" i="8"/>
  <c r="P10" i="8" s="1"/>
  <c r="I15" i="20"/>
  <c r="I33" i="17"/>
  <c r="I72" i="17" s="1"/>
  <c r="K23" i="6"/>
  <c r="K25" i="6" s="1"/>
  <c r="K27" i="6" s="1"/>
  <c r="K30" i="6" s="1"/>
  <c r="K35" i="6" s="1"/>
  <c r="L16" i="17"/>
  <c r="L18" i="17" s="1"/>
  <c r="K16" i="17"/>
  <c r="K18" i="17" s="1"/>
  <c r="K25" i="17" s="1"/>
  <c r="J29" i="17"/>
  <c r="J31" i="17" s="1"/>
  <c r="L17" i="6"/>
  <c r="L43" i="6" s="1"/>
  <c r="M17" i="6"/>
  <c r="K21" i="17"/>
  <c r="B103" i="17"/>
  <c r="L90" i="17"/>
  <c r="M90" i="17" s="1"/>
  <c r="M88" i="17"/>
  <c r="C103" i="17" s="1"/>
  <c r="A69" i="18"/>
  <c r="O14" i="8" l="1"/>
  <c r="P14" i="8" s="1"/>
  <c r="I7" i="16"/>
  <c r="M43" i="6"/>
  <c r="M23" i="6"/>
  <c r="L23" i="6"/>
  <c r="L25" i="6" s="1"/>
  <c r="L27" i="6" s="1"/>
  <c r="L30" i="6" s="1"/>
  <c r="L35" i="6" s="1"/>
  <c r="J33" i="17"/>
  <c r="J72" i="17" s="1"/>
  <c r="L21" i="17"/>
  <c r="L25" i="17"/>
  <c r="A70" i="18"/>
  <c r="Q43" i="6" l="1"/>
  <c r="J11" i="20"/>
  <c r="J7" i="16"/>
  <c r="I11" i="20" s="1"/>
  <c r="K7" i="16"/>
  <c r="H11" i="20" s="1"/>
  <c r="K29" i="17"/>
  <c r="K31" i="17" s="1"/>
  <c r="M25" i="6"/>
  <c r="M27" i="6" s="1"/>
  <c r="M30" i="6" s="1"/>
  <c r="M35" i="6" s="1"/>
  <c r="L33" i="17"/>
  <c r="L72" i="17" s="1"/>
  <c r="K33" i="17"/>
  <c r="K72" i="17" s="1"/>
  <c r="L29" i="17"/>
  <c r="L31" i="17" s="1"/>
  <c r="A71" i="18"/>
  <c r="C96" i="17" l="1"/>
  <c r="O21" i="8"/>
  <c r="A72" i="18"/>
  <c r="P21" i="8" l="1"/>
  <c r="F17" i="16"/>
  <c r="A73" i="18"/>
  <c r="G17" i="16" l="1"/>
  <c r="I17" i="20" s="1"/>
  <c r="H17" i="16"/>
  <c r="H17" i="20" s="1"/>
  <c r="J17" i="20"/>
  <c r="A74" i="18"/>
  <c r="A75" i="18" l="1"/>
  <c r="A76" i="18" l="1"/>
  <c r="A77" i="18" l="1"/>
  <c r="A78" i="18" l="1"/>
  <c r="A79" i="18" l="1"/>
  <c r="A80" i="18" l="1"/>
  <c r="A81" i="18" l="1"/>
  <c r="A82" i="18" l="1"/>
  <c r="A83" i="18" l="1"/>
  <c r="A84" i="18" l="1"/>
  <c r="A85" i="18" l="1"/>
  <c r="A86" i="18" l="1"/>
  <c r="A87" i="18" l="1"/>
  <c r="A88" i="18" l="1"/>
  <c r="A89" i="18" l="1"/>
  <c r="A90" i="18" l="1"/>
  <c r="A91" i="18" l="1"/>
  <c r="A92" i="18" l="1"/>
  <c r="A93" i="18" l="1"/>
  <c r="A94" i="18" l="1"/>
  <c r="A95" i="18" l="1"/>
  <c r="A96" i="18" l="1"/>
  <c r="A97" i="18" l="1"/>
  <c r="A98" i="18" l="1"/>
  <c r="A99" i="18" l="1"/>
  <c r="A100" i="18" l="1"/>
  <c r="A101" i="18" l="1"/>
  <c r="A102" i="18" l="1"/>
  <c r="A103" i="18" l="1"/>
  <c r="A104" i="18" l="1"/>
  <c r="A105" i="18" l="1"/>
  <c r="A106" i="18" l="1"/>
  <c r="A107" i="18" l="1"/>
  <c r="A108" i="18" l="1"/>
  <c r="A109" i="18" l="1"/>
  <c r="A110" i="18" l="1"/>
  <c r="A111" i="18" l="1"/>
  <c r="A112" i="18" l="1"/>
  <c r="A113" i="18" l="1"/>
  <c r="A114" i="18" l="1"/>
  <c r="A115" i="18" l="1"/>
  <c r="A116" i="18" l="1"/>
  <c r="A117" i="18" l="1"/>
  <c r="A118" i="18" l="1"/>
  <c r="A119" i="18" l="1"/>
  <c r="A120" i="18" l="1"/>
  <c r="A121" i="18" l="1"/>
  <c r="A122" i="18" l="1"/>
  <c r="A123" i="18" l="1"/>
  <c r="A124" i="18" l="1"/>
  <c r="A125" i="18" l="1"/>
  <c r="A126" i="18" l="1"/>
  <c r="A127" i="18" l="1"/>
  <c r="A128" i="18" l="1"/>
  <c r="A129" i="18" l="1"/>
  <c r="A130" i="18" l="1"/>
  <c r="A131" i="18" l="1"/>
  <c r="A132" i="18" l="1"/>
  <c r="A133" i="18" l="1"/>
  <c r="A134" i="18" l="1"/>
  <c r="A135" i="18" l="1"/>
  <c r="A136" i="18" l="1"/>
  <c r="A137" i="18" l="1"/>
  <c r="A138" i="18" l="1"/>
  <c r="A139" i="18" l="1"/>
  <c r="A140" i="18" l="1"/>
  <c r="A141" i="18" l="1"/>
  <c r="A142" i="18" l="1"/>
  <c r="A143" i="18" l="1"/>
  <c r="A144" i="18" l="1"/>
  <c r="A145" i="18" l="1"/>
  <c r="A146" i="18" l="1"/>
  <c r="A147" i="18" l="1"/>
  <c r="A148" i="18" l="1"/>
  <c r="A149" i="18" l="1"/>
  <c r="A150" i="18" l="1"/>
  <c r="A151" i="18" l="1"/>
  <c r="A152" i="18" l="1"/>
  <c r="A153" i="18" l="1"/>
  <c r="A154" i="18" l="1"/>
  <c r="A155" i="18" l="1"/>
  <c r="A156" i="18" l="1"/>
  <c r="A157" i="18" l="1"/>
  <c r="A158" i="18" l="1"/>
  <c r="A159" i="18" l="1"/>
  <c r="A160" i="18" l="1"/>
  <c r="A161" i="18" l="1"/>
  <c r="A162" i="18" l="1"/>
  <c r="A163" i="18" l="1"/>
  <c r="A164" i="18" l="1"/>
  <c r="A165" i="18" l="1"/>
  <c r="A166" i="18" l="1"/>
  <c r="A167" i="18" l="1"/>
  <c r="A168" i="18" l="1"/>
  <c r="A169" i="18" l="1"/>
  <c r="A170" i="18" l="1"/>
  <c r="A171" i="18" l="1"/>
  <c r="A172" i="18" l="1"/>
  <c r="A173" i="18" l="1"/>
  <c r="A174" i="18" l="1"/>
  <c r="A175" i="18" l="1"/>
  <c r="A176" i="18" l="1"/>
  <c r="A177" i="18" l="1"/>
  <c r="A178" i="18" l="1"/>
  <c r="A179" i="18" l="1"/>
  <c r="A180" i="18" l="1"/>
  <c r="A181" i="18" l="1"/>
  <c r="A182" i="18" l="1"/>
  <c r="A183" i="18" l="1"/>
  <c r="A184" i="18" l="1"/>
  <c r="A185" i="18" l="1"/>
  <c r="A186" i="18" l="1"/>
  <c r="A187" i="18" l="1"/>
  <c r="A188" i="18" l="1"/>
  <c r="A189" i="18" l="1"/>
  <c r="A190" i="18" l="1"/>
  <c r="A191" i="18" l="1"/>
  <c r="A192" i="18" l="1"/>
  <c r="A193" i="18" l="1"/>
  <c r="A194" i="18" l="1"/>
  <c r="A195" i="18" l="1"/>
  <c r="A196" i="18" l="1"/>
  <c r="A197" i="18" l="1"/>
  <c r="A198" i="18" l="1"/>
  <c r="A199" i="18" l="1"/>
  <c r="A200" i="18" l="1"/>
  <c r="A201" i="18" l="1"/>
  <c r="A202" i="18" l="1"/>
  <c r="A203" i="18" l="1"/>
  <c r="A204" i="18" l="1"/>
  <c r="A205" i="18" l="1"/>
  <c r="A206" i="18" l="1"/>
  <c r="A207" i="18" l="1"/>
  <c r="A208" i="18" l="1"/>
  <c r="A209" i="18" l="1"/>
  <c r="A210" i="18" l="1"/>
  <c r="A211" i="18" l="1"/>
  <c r="A212" i="18" l="1"/>
  <c r="A213" i="18" l="1"/>
  <c r="A214" i="18" l="1"/>
  <c r="A215" i="18" l="1"/>
  <c r="A216" i="18" l="1"/>
  <c r="A217" i="18" l="1"/>
  <c r="A218" i="18" l="1"/>
  <c r="A219" i="18" l="1"/>
  <c r="A220" i="18" l="1"/>
  <c r="A221" i="18" l="1"/>
  <c r="A222" i="18" l="1"/>
  <c r="A223" i="18" l="1"/>
  <c r="A224" i="18" l="1"/>
  <c r="A225" i="18" l="1"/>
  <c r="A226" i="18" l="1"/>
  <c r="A227" i="18" l="1"/>
  <c r="A228" i="18" l="1"/>
  <c r="A229" i="18" l="1"/>
  <c r="A230" i="18" l="1"/>
  <c r="A231" i="18" l="1"/>
  <c r="A232" i="18" l="1"/>
  <c r="A233" i="18" l="1"/>
  <c r="A234" i="18" l="1"/>
  <c r="A235" i="18" l="1"/>
  <c r="A236" i="18" l="1"/>
  <c r="A237" i="18" l="1"/>
  <c r="A238" i="18" l="1"/>
  <c r="A239" i="18" l="1"/>
  <c r="A240" i="18" l="1"/>
  <c r="A241" i="18" l="1"/>
  <c r="A242" i="18" l="1"/>
  <c r="A243" i="18" l="1"/>
  <c r="A244" i="18" l="1"/>
  <c r="A245" i="18" l="1"/>
  <c r="A246" i="18" l="1"/>
  <c r="A247" i="18" l="1"/>
  <c r="A248" i="18" l="1"/>
  <c r="A249" i="18" l="1"/>
  <c r="A250" i="18" l="1"/>
  <c r="A251" i="18" l="1"/>
  <c r="A252" i="18" l="1"/>
  <c r="A253" i="18" l="1"/>
  <c r="A254" i="18" l="1"/>
  <c r="A255" i="18" l="1"/>
  <c r="A256" i="18" l="1"/>
  <c r="A257" i="18" l="1"/>
  <c r="A258" i="18" l="1"/>
  <c r="A259" i="18" l="1"/>
  <c r="A260" i="18" l="1"/>
  <c r="A261" i="18" l="1"/>
  <c r="A262" i="18" l="1"/>
  <c r="A263" i="18" l="1"/>
  <c r="A264" i="18" l="1"/>
  <c r="A265" i="18" l="1"/>
  <c r="A266" i="18" l="1"/>
  <c r="A267" i="18" l="1"/>
  <c r="A268" i="18" l="1"/>
  <c r="A269" i="18" l="1"/>
  <c r="A270" i="18" l="1"/>
  <c r="A271" i="18" l="1"/>
  <c r="A272" i="18" l="1"/>
  <c r="A273" i="18" l="1"/>
  <c r="A274" i="18" l="1"/>
  <c r="A275" i="18" l="1"/>
  <c r="A276" i="18" l="1"/>
  <c r="A277" i="18" l="1"/>
  <c r="A278" i="18" l="1"/>
  <c r="A279" i="18" l="1"/>
  <c r="A280" i="18" l="1"/>
  <c r="A281" i="18" l="1"/>
  <c r="A282" i="18" l="1"/>
  <c r="A283" i="18" l="1"/>
  <c r="A284" i="18" l="1"/>
  <c r="A285" i="18" l="1"/>
  <c r="A286" i="18" l="1"/>
  <c r="A287" i="18" l="1"/>
  <c r="A288" i="18" l="1"/>
  <c r="A289" i="18" l="1"/>
  <c r="A290" i="18" l="1"/>
  <c r="A291" i="18" l="1"/>
  <c r="A292" i="18" l="1"/>
  <c r="A293" i="18" l="1"/>
  <c r="A294" i="18" l="1"/>
  <c r="A295" i="18" l="1"/>
  <c r="A296" i="18" l="1"/>
  <c r="A297" i="18" l="1"/>
  <c r="A298" i="18" l="1"/>
  <c r="A299" i="18" l="1"/>
  <c r="A300" i="18" l="1"/>
  <c r="A301" i="18" l="1"/>
  <c r="A302" i="18" l="1"/>
  <c r="A303" i="18" l="1"/>
  <c r="A304" i="18" l="1"/>
  <c r="A305" i="18" l="1"/>
  <c r="A306" i="18" l="1"/>
  <c r="A307" i="18" l="1"/>
  <c r="A308" i="18" l="1"/>
  <c r="A309" i="18" l="1"/>
  <c r="A310" i="18" l="1"/>
  <c r="A311" i="18" l="1"/>
  <c r="A312" i="18" l="1"/>
  <c r="A313" i="18" l="1"/>
  <c r="A314" i="18" l="1"/>
  <c r="A315" i="18" l="1"/>
  <c r="A316" i="18" l="1"/>
  <c r="A317" i="18" l="1"/>
  <c r="A318" i="18" l="1"/>
  <c r="A319" i="18" l="1"/>
  <c r="A320" i="18" l="1"/>
  <c r="A321" i="18" l="1"/>
  <c r="A322" i="18" l="1"/>
  <c r="A323" i="18" l="1"/>
  <c r="A324" i="18" l="1"/>
  <c r="A325" i="18" l="1"/>
  <c r="A326" i="18" l="1"/>
  <c r="A327" i="18" l="1"/>
  <c r="A328" i="18" l="1"/>
  <c r="A329" i="18" l="1"/>
  <c r="A330" i="18" l="1"/>
  <c r="A331" i="18" l="1"/>
  <c r="A332" i="18" l="1"/>
  <c r="A333" i="18" l="1"/>
  <c r="A334" i="18" l="1"/>
  <c r="A335" i="18" l="1"/>
  <c r="A336" i="18" l="1"/>
  <c r="A337" i="18" l="1"/>
  <c r="A338" i="18" l="1"/>
  <c r="A339" i="18" l="1"/>
  <c r="A340" i="18" l="1"/>
  <c r="A341" i="18" l="1"/>
  <c r="A342" i="18" l="1"/>
  <c r="A343" i="18" l="1"/>
  <c r="A344" i="18" l="1"/>
  <c r="A345" i="18" l="1"/>
  <c r="A346" i="18" l="1"/>
  <c r="A347" i="18" l="1"/>
  <c r="A348" i="18" l="1"/>
  <c r="A349" i="18" l="1"/>
  <c r="A350" i="18" l="1"/>
  <c r="A351" i="18" l="1"/>
  <c r="A352" i="18" l="1"/>
  <c r="A353" i="18" l="1"/>
  <c r="A354" i="18" l="1"/>
  <c r="A355" i="18" l="1"/>
  <c r="A356" i="18" l="1"/>
  <c r="A357" i="18" l="1"/>
  <c r="A358" i="18" l="1"/>
  <c r="A359" i="18" l="1"/>
  <c r="A360" i="18" l="1"/>
  <c r="A361" i="18" l="1"/>
  <c r="A362" i="18" l="1"/>
  <c r="A363" i="18" l="1"/>
  <c r="A364" i="18" l="1"/>
  <c r="A365" i="18" l="1"/>
  <c r="A366" i="18" l="1"/>
  <c r="A367" i="18" l="1"/>
  <c r="D91" i="18" l="1"/>
  <c r="D277" i="18"/>
  <c r="C278" i="18" s="1"/>
  <c r="E278" i="18" s="1"/>
  <c r="D365" i="18"/>
  <c r="C366" i="18" s="1"/>
  <c r="E366" i="18" s="1"/>
  <c r="D292" i="18"/>
  <c r="C293" i="18" s="1"/>
  <c r="E293" i="18" s="1"/>
  <c r="D324" i="18"/>
  <c r="C325" i="18" s="1"/>
  <c r="E325" i="18" s="1"/>
  <c r="D342" i="18"/>
  <c r="C343" i="18" s="1"/>
  <c r="E343" i="18" s="1"/>
  <c r="D340" i="18"/>
  <c r="C341" i="18" s="1"/>
  <c r="E341" i="18" s="1"/>
  <c r="D311" i="18"/>
  <c r="C312" i="18" s="1"/>
  <c r="E312" i="18" s="1"/>
  <c r="D348" i="18"/>
  <c r="C349" i="18" s="1"/>
  <c r="E349" i="18" s="1"/>
  <c r="D343" i="18"/>
  <c r="C344" i="18" s="1"/>
  <c r="E344" i="18" s="1"/>
  <c r="D319" i="18"/>
  <c r="C320" i="18" s="1"/>
  <c r="E320" i="18" s="1"/>
  <c r="D251" i="18"/>
  <c r="C252" i="18" s="1"/>
  <c r="E252" i="18" s="1"/>
  <c r="D357" i="18"/>
  <c r="C358" i="18" s="1"/>
  <c r="E358" i="18" s="1"/>
  <c r="D335" i="18"/>
  <c r="C336" i="18" s="1"/>
  <c r="E336" i="18" s="1"/>
  <c r="D356" i="18"/>
  <c r="C357" i="18" s="1"/>
  <c r="E357" i="18" s="1"/>
  <c r="D367" i="18"/>
  <c r="D351" i="18"/>
  <c r="C352" i="18" s="1"/>
  <c r="E352" i="18" s="1"/>
  <c r="D332" i="18"/>
  <c r="C333" i="18" s="1"/>
  <c r="E333" i="18" s="1"/>
  <c r="D308" i="18"/>
  <c r="C309" i="18" s="1"/>
  <c r="E309" i="18" s="1"/>
  <c r="D326" i="18"/>
  <c r="C327" i="18" s="1"/>
  <c r="E327" i="18" s="1"/>
  <c r="D364" i="18"/>
  <c r="C365" i="18" s="1"/>
  <c r="E365" i="18" s="1"/>
  <c r="D359" i="18"/>
  <c r="C360" i="18" s="1"/>
  <c r="E360" i="18" s="1"/>
  <c r="D269" i="18"/>
  <c r="C270" i="18" s="1"/>
  <c r="E270" i="18" s="1"/>
  <c r="D358" i="18"/>
  <c r="C359" i="18" s="1"/>
  <c r="E359" i="18" s="1"/>
  <c r="D318" i="18"/>
  <c r="C319" i="18" s="1"/>
  <c r="E319" i="18" s="1"/>
  <c r="D316" i="18"/>
  <c r="C317" i="18" s="1"/>
  <c r="E317" i="18" s="1"/>
  <c r="D334" i="18"/>
  <c r="C335" i="18" s="1"/>
  <c r="E335" i="18" s="1"/>
  <c r="D366" i="18"/>
  <c r="C367" i="18" s="1"/>
  <c r="E367" i="18" s="1"/>
  <c r="D350" i="18"/>
  <c r="C351" i="18" s="1"/>
  <c r="E351" i="18" s="1"/>
  <c r="D327" i="18"/>
  <c r="C328" i="18" s="1"/>
  <c r="E328" i="18" s="1"/>
  <c r="D299" i="18"/>
  <c r="C300" i="18" s="1"/>
  <c r="E300" i="18" s="1"/>
  <c r="D310" i="18"/>
  <c r="C311" i="18" s="1"/>
  <c r="E311" i="18" s="1"/>
  <c r="D298" i="18"/>
  <c r="C299" i="18" s="1"/>
  <c r="E299" i="18" s="1"/>
  <c r="D275" i="18"/>
  <c r="C276" i="18" s="1"/>
  <c r="E276" i="18" s="1"/>
  <c r="D226" i="18"/>
  <c r="C227" i="18" s="1"/>
  <c r="E227" i="18" s="1"/>
  <c r="D349" i="18"/>
  <c r="C350" i="18" s="1"/>
  <c r="E350" i="18" s="1"/>
  <c r="D341" i="18"/>
  <c r="C342" i="18" s="1"/>
  <c r="E342" i="18" s="1"/>
  <c r="D333" i="18"/>
  <c r="C334" i="18" s="1"/>
  <c r="E334" i="18" s="1"/>
  <c r="D325" i="18"/>
  <c r="C326" i="18" s="1"/>
  <c r="E326" i="18" s="1"/>
  <c r="D317" i="18"/>
  <c r="C318" i="18" s="1"/>
  <c r="E318" i="18" s="1"/>
  <c r="D309" i="18"/>
  <c r="C310" i="18" s="1"/>
  <c r="E310" i="18" s="1"/>
  <c r="D297" i="18"/>
  <c r="C298" i="18" s="1"/>
  <c r="E298" i="18" s="1"/>
  <c r="D270" i="18"/>
  <c r="C271" i="18" s="1"/>
  <c r="E271" i="18" s="1"/>
  <c r="D193" i="18"/>
  <c r="C194" i="18" s="1"/>
  <c r="E194" i="18" s="1"/>
  <c r="D363" i="18"/>
  <c r="C364" i="18" s="1"/>
  <c r="E364" i="18" s="1"/>
  <c r="D355" i="18"/>
  <c r="C356" i="18" s="1"/>
  <c r="E356" i="18" s="1"/>
  <c r="D347" i="18"/>
  <c r="C348" i="18" s="1"/>
  <c r="E348" i="18" s="1"/>
  <c r="D339" i="18"/>
  <c r="C340" i="18" s="1"/>
  <c r="E340" i="18" s="1"/>
  <c r="D331" i="18"/>
  <c r="C332" i="18" s="1"/>
  <c r="E332" i="18" s="1"/>
  <c r="D323" i="18"/>
  <c r="C324" i="18" s="1"/>
  <c r="E324" i="18" s="1"/>
  <c r="D315" i="18"/>
  <c r="C316" i="18" s="1"/>
  <c r="E316" i="18" s="1"/>
  <c r="D307" i="18"/>
  <c r="C308" i="18" s="1"/>
  <c r="E308" i="18" s="1"/>
  <c r="D290" i="18"/>
  <c r="C291" i="18" s="1"/>
  <c r="E291" i="18" s="1"/>
  <c r="D267" i="18"/>
  <c r="C268" i="18" s="1"/>
  <c r="E268" i="18" s="1"/>
  <c r="D362" i="18"/>
  <c r="C363" i="18" s="1"/>
  <c r="E363" i="18" s="1"/>
  <c r="D354" i="18"/>
  <c r="C355" i="18" s="1"/>
  <c r="E355" i="18" s="1"/>
  <c r="D346" i="18"/>
  <c r="C347" i="18" s="1"/>
  <c r="E347" i="18" s="1"/>
  <c r="D338" i="18"/>
  <c r="C339" i="18" s="1"/>
  <c r="E339" i="18" s="1"/>
  <c r="D330" i="18"/>
  <c r="C331" i="18" s="1"/>
  <c r="E331" i="18" s="1"/>
  <c r="D322" i="18"/>
  <c r="C323" i="18" s="1"/>
  <c r="E323" i="18" s="1"/>
  <c r="D314" i="18"/>
  <c r="C315" i="18" s="1"/>
  <c r="E315" i="18" s="1"/>
  <c r="D306" i="18"/>
  <c r="C307" i="18" s="1"/>
  <c r="E307" i="18" s="1"/>
  <c r="D285" i="18"/>
  <c r="C286" i="18" s="1"/>
  <c r="E286" i="18" s="1"/>
  <c r="D261" i="18"/>
  <c r="C262" i="18" s="1"/>
  <c r="E262" i="18" s="1"/>
  <c r="D361" i="18"/>
  <c r="C362" i="18" s="1"/>
  <c r="E362" i="18" s="1"/>
  <c r="D353" i="18"/>
  <c r="C354" i="18" s="1"/>
  <c r="E354" i="18" s="1"/>
  <c r="D345" i="18"/>
  <c r="C346" i="18" s="1"/>
  <c r="E346" i="18" s="1"/>
  <c r="D337" i="18"/>
  <c r="C338" i="18" s="1"/>
  <c r="E338" i="18" s="1"/>
  <c r="D329" i="18"/>
  <c r="C330" i="18" s="1"/>
  <c r="E330" i="18" s="1"/>
  <c r="D321" i="18"/>
  <c r="C322" i="18" s="1"/>
  <c r="E322" i="18" s="1"/>
  <c r="D313" i="18"/>
  <c r="C314" i="18" s="1"/>
  <c r="E314" i="18" s="1"/>
  <c r="D305" i="18"/>
  <c r="C306" i="18" s="1"/>
  <c r="E306" i="18" s="1"/>
  <c r="D283" i="18"/>
  <c r="C284" i="18" s="1"/>
  <c r="E284" i="18" s="1"/>
  <c r="D259" i="18"/>
  <c r="C260" i="18" s="1"/>
  <c r="E260" i="18" s="1"/>
  <c r="D360" i="18"/>
  <c r="C361" i="18" s="1"/>
  <c r="E361" i="18" s="1"/>
  <c r="D352" i="18"/>
  <c r="C353" i="18" s="1"/>
  <c r="E353" i="18" s="1"/>
  <c r="D344" i="18"/>
  <c r="C345" i="18" s="1"/>
  <c r="E345" i="18" s="1"/>
  <c r="D336" i="18"/>
  <c r="C337" i="18" s="1"/>
  <c r="E337" i="18" s="1"/>
  <c r="D328" i="18"/>
  <c r="C329" i="18" s="1"/>
  <c r="E329" i="18" s="1"/>
  <c r="D320" i="18"/>
  <c r="C321" i="18" s="1"/>
  <c r="E321" i="18" s="1"/>
  <c r="D312" i="18"/>
  <c r="C313" i="18" s="1"/>
  <c r="E313" i="18" s="1"/>
  <c r="D300" i="18"/>
  <c r="C301" i="18" s="1"/>
  <c r="E301" i="18" s="1"/>
  <c r="D278" i="18"/>
  <c r="C279" i="18" s="1"/>
  <c r="E279" i="18" s="1"/>
  <c r="D253" i="18"/>
  <c r="C254" i="18" s="1"/>
  <c r="E254" i="18" s="1"/>
  <c r="D262" i="18"/>
  <c r="C263" i="18" s="1"/>
  <c r="E263" i="18" s="1"/>
  <c r="D254" i="18"/>
  <c r="C255" i="18" s="1"/>
  <c r="E255" i="18" s="1"/>
  <c r="D237" i="18"/>
  <c r="C238" i="18" s="1"/>
  <c r="E238" i="18" s="1"/>
  <c r="D207" i="18"/>
  <c r="C208" i="18" s="1"/>
  <c r="E208" i="18" s="1"/>
  <c r="D133" i="18"/>
  <c r="C134" i="18" s="1"/>
  <c r="E134" i="18" s="1"/>
  <c r="D234" i="18"/>
  <c r="C235" i="18" s="1"/>
  <c r="E235" i="18" s="1"/>
  <c r="D204" i="18"/>
  <c r="C205" i="18" s="1"/>
  <c r="E205" i="18" s="1"/>
  <c r="D119" i="18"/>
  <c r="C120" i="18" s="1"/>
  <c r="E120" i="18" s="1"/>
  <c r="D291" i="18"/>
  <c r="C292" i="18" s="1"/>
  <c r="E292" i="18" s="1"/>
  <c r="D284" i="18"/>
  <c r="C285" i="18" s="1"/>
  <c r="E285" i="18" s="1"/>
  <c r="D276" i="18"/>
  <c r="C277" i="18" s="1"/>
  <c r="E277" i="18" s="1"/>
  <c r="D268" i="18"/>
  <c r="C269" i="18" s="1"/>
  <c r="E269" i="18" s="1"/>
  <c r="D260" i="18"/>
  <c r="C261" i="18" s="1"/>
  <c r="E261" i="18" s="1"/>
  <c r="D252" i="18"/>
  <c r="C253" i="18" s="1"/>
  <c r="E253" i="18" s="1"/>
  <c r="D229" i="18"/>
  <c r="C230" i="18" s="1"/>
  <c r="E230" i="18" s="1"/>
  <c r="D199" i="18"/>
  <c r="C200" i="18" s="1"/>
  <c r="E200" i="18" s="1"/>
  <c r="D80" i="18"/>
  <c r="C81" i="18" s="1"/>
  <c r="E81" i="18" s="1"/>
  <c r="D304" i="18"/>
  <c r="C305" i="18" s="1"/>
  <c r="E305" i="18" s="1"/>
  <c r="D296" i="18"/>
  <c r="C297" i="18" s="1"/>
  <c r="E297" i="18" s="1"/>
  <c r="D289" i="18"/>
  <c r="C290" i="18" s="1"/>
  <c r="E290" i="18" s="1"/>
  <c r="D282" i="18"/>
  <c r="C283" i="18" s="1"/>
  <c r="E283" i="18" s="1"/>
  <c r="D274" i="18"/>
  <c r="C275" i="18" s="1"/>
  <c r="E275" i="18" s="1"/>
  <c r="D266" i="18"/>
  <c r="C267" i="18" s="1"/>
  <c r="E267" i="18" s="1"/>
  <c r="D258" i="18"/>
  <c r="C259" i="18" s="1"/>
  <c r="E259" i="18" s="1"/>
  <c r="D250" i="18"/>
  <c r="C251" i="18" s="1"/>
  <c r="E251" i="18" s="1"/>
  <c r="D221" i="18"/>
  <c r="C222" i="18" s="1"/>
  <c r="E222" i="18" s="1"/>
  <c r="D180" i="18"/>
  <c r="C181" i="18" s="1"/>
  <c r="E181" i="18" s="1"/>
  <c r="D303" i="18"/>
  <c r="C304" i="18" s="1"/>
  <c r="E304" i="18" s="1"/>
  <c r="D295" i="18"/>
  <c r="C296" i="18" s="1"/>
  <c r="E296" i="18" s="1"/>
  <c r="D288" i="18"/>
  <c r="C289" i="18" s="1"/>
  <c r="E289" i="18" s="1"/>
  <c r="D281" i="18"/>
  <c r="C282" i="18" s="1"/>
  <c r="E282" i="18" s="1"/>
  <c r="D273" i="18"/>
  <c r="C274" i="18" s="1"/>
  <c r="E274" i="18" s="1"/>
  <c r="D265" i="18"/>
  <c r="C266" i="18" s="1"/>
  <c r="E266" i="18" s="1"/>
  <c r="D257" i="18"/>
  <c r="C258" i="18" s="1"/>
  <c r="E258" i="18" s="1"/>
  <c r="D249" i="18"/>
  <c r="C250" i="18" s="1"/>
  <c r="E250" i="18" s="1"/>
  <c r="D219" i="18"/>
  <c r="C220" i="18" s="1"/>
  <c r="E220" i="18" s="1"/>
  <c r="D173" i="18"/>
  <c r="C174" i="18" s="1"/>
  <c r="E174" i="18" s="1"/>
  <c r="D302" i="18"/>
  <c r="C303" i="18" s="1"/>
  <c r="E303" i="18" s="1"/>
  <c r="D294" i="18"/>
  <c r="C295" i="18" s="1"/>
  <c r="E295" i="18" s="1"/>
  <c r="D287" i="18"/>
  <c r="C288" i="18" s="1"/>
  <c r="E288" i="18" s="1"/>
  <c r="D280" i="18"/>
  <c r="C281" i="18" s="1"/>
  <c r="E281" i="18" s="1"/>
  <c r="D272" i="18"/>
  <c r="C273" i="18" s="1"/>
  <c r="E273" i="18" s="1"/>
  <c r="D264" i="18"/>
  <c r="C265" i="18" s="1"/>
  <c r="E265" i="18" s="1"/>
  <c r="D256" i="18"/>
  <c r="C257" i="18" s="1"/>
  <c r="E257" i="18" s="1"/>
  <c r="D248" i="18"/>
  <c r="C249" i="18" s="1"/>
  <c r="E249" i="18" s="1"/>
  <c r="D215" i="18"/>
  <c r="C216" i="18" s="1"/>
  <c r="E216" i="18" s="1"/>
  <c r="D162" i="18"/>
  <c r="C163" i="18" s="1"/>
  <c r="E163" i="18" s="1"/>
  <c r="D301" i="18"/>
  <c r="C302" i="18" s="1"/>
  <c r="E302" i="18" s="1"/>
  <c r="D293" i="18"/>
  <c r="C294" i="18" s="1"/>
  <c r="E294" i="18" s="1"/>
  <c r="D286" i="18"/>
  <c r="C287" i="18" s="1"/>
  <c r="E287" i="18" s="1"/>
  <c r="D279" i="18"/>
  <c r="C280" i="18" s="1"/>
  <c r="E280" i="18" s="1"/>
  <c r="D271" i="18"/>
  <c r="C272" i="18" s="1"/>
  <c r="E272" i="18" s="1"/>
  <c r="D263" i="18"/>
  <c r="C264" i="18" s="1"/>
  <c r="E264" i="18" s="1"/>
  <c r="D255" i="18"/>
  <c r="C256" i="18" s="1"/>
  <c r="E256" i="18" s="1"/>
  <c r="D242" i="18"/>
  <c r="C243" i="18" s="1"/>
  <c r="E243" i="18" s="1"/>
  <c r="D212" i="18"/>
  <c r="C213" i="18" s="1"/>
  <c r="E213" i="18" s="1"/>
  <c r="D151" i="18"/>
  <c r="C152" i="18" s="1"/>
  <c r="E152" i="18" s="1"/>
  <c r="D244" i="18"/>
  <c r="C245" i="18" s="1"/>
  <c r="E245" i="18" s="1"/>
  <c r="D236" i="18"/>
  <c r="C237" i="18" s="1"/>
  <c r="E237" i="18" s="1"/>
  <c r="D228" i="18"/>
  <c r="C229" i="18" s="1"/>
  <c r="E229" i="18" s="1"/>
  <c r="D214" i="18"/>
  <c r="C215" i="18" s="1"/>
  <c r="E215" i="18" s="1"/>
  <c r="D206" i="18"/>
  <c r="C207" i="18" s="1"/>
  <c r="E207" i="18" s="1"/>
  <c r="D198" i="18"/>
  <c r="C199" i="18" s="1"/>
  <c r="E199" i="18" s="1"/>
  <c r="D179" i="18"/>
  <c r="C180" i="18" s="1"/>
  <c r="E180" i="18" s="1"/>
  <c r="D159" i="18"/>
  <c r="C160" i="18" s="1"/>
  <c r="E160" i="18" s="1"/>
  <c r="D127" i="18"/>
  <c r="D75" i="18"/>
  <c r="C76" i="18" s="1"/>
  <c r="E76" i="18" s="1"/>
  <c r="D243" i="18"/>
  <c r="C244" i="18" s="1"/>
  <c r="E244" i="18" s="1"/>
  <c r="D235" i="18"/>
  <c r="C236" i="18" s="1"/>
  <c r="E236" i="18" s="1"/>
  <c r="D227" i="18"/>
  <c r="C228" i="18" s="1"/>
  <c r="E228" i="18" s="1"/>
  <c r="D220" i="18"/>
  <c r="C221" i="18" s="1"/>
  <c r="E221" i="18" s="1"/>
  <c r="D213" i="18"/>
  <c r="C214" i="18" s="1"/>
  <c r="E214" i="18" s="1"/>
  <c r="D205" i="18"/>
  <c r="C206" i="18" s="1"/>
  <c r="E206" i="18" s="1"/>
  <c r="D194" i="18"/>
  <c r="C195" i="18" s="1"/>
  <c r="E195" i="18" s="1"/>
  <c r="D178" i="18"/>
  <c r="C179" i="18" s="1"/>
  <c r="E179" i="18" s="1"/>
  <c r="D154" i="18"/>
  <c r="C155" i="18" s="1"/>
  <c r="E155" i="18" s="1"/>
  <c r="D122" i="18"/>
  <c r="C123" i="18" s="1"/>
  <c r="E123" i="18" s="1"/>
  <c r="D48" i="18"/>
  <c r="C49" i="18" s="1"/>
  <c r="E49" i="18" s="1"/>
  <c r="D247" i="18"/>
  <c r="C248" i="18" s="1"/>
  <c r="E248" i="18" s="1"/>
  <c r="D241" i="18"/>
  <c r="C242" i="18" s="1"/>
  <c r="E242" i="18" s="1"/>
  <c r="D233" i="18"/>
  <c r="C234" i="18" s="1"/>
  <c r="E234" i="18" s="1"/>
  <c r="D225" i="18"/>
  <c r="C226" i="18" s="1"/>
  <c r="E226" i="18" s="1"/>
  <c r="D218" i="18"/>
  <c r="C219" i="18" s="1"/>
  <c r="E219" i="18" s="1"/>
  <c r="D211" i="18"/>
  <c r="C212" i="18" s="1"/>
  <c r="E212" i="18" s="1"/>
  <c r="D203" i="18"/>
  <c r="C204" i="18" s="1"/>
  <c r="E204" i="18" s="1"/>
  <c r="D192" i="18"/>
  <c r="C193" i="18" s="1"/>
  <c r="E193" i="18" s="1"/>
  <c r="D172" i="18"/>
  <c r="C173" i="18" s="1"/>
  <c r="E173" i="18" s="1"/>
  <c r="D146" i="18"/>
  <c r="C147" i="18" s="1"/>
  <c r="E147" i="18" s="1"/>
  <c r="D114" i="18"/>
  <c r="C115" i="18" s="1"/>
  <c r="E115" i="18" s="1"/>
  <c r="D246" i="18"/>
  <c r="C247" i="18" s="1"/>
  <c r="E247" i="18" s="1"/>
  <c r="D240" i="18"/>
  <c r="C241" i="18" s="1"/>
  <c r="E241" i="18" s="1"/>
  <c r="D232" i="18"/>
  <c r="C233" i="18" s="1"/>
  <c r="E233" i="18" s="1"/>
  <c r="D224" i="18"/>
  <c r="C225" i="18" s="1"/>
  <c r="E225" i="18" s="1"/>
  <c r="D217" i="18"/>
  <c r="C218" i="18" s="1"/>
  <c r="E218" i="18" s="1"/>
  <c r="D210" i="18"/>
  <c r="C211" i="18" s="1"/>
  <c r="E211" i="18" s="1"/>
  <c r="D202" i="18"/>
  <c r="C203" i="18" s="1"/>
  <c r="E203" i="18" s="1"/>
  <c r="D187" i="18"/>
  <c r="C188" i="18" s="1"/>
  <c r="E188" i="18" s="1"/>
  <c r="D171" i="18"/>
  <c r="C172" i="18" s="1"/>
  <c r="E172" i="18" s="1"/>
  <c r="D143" i="18"/>
  <c r="C144" i="18" s="1"/>
  <c r="E144" i="18" s="1"/>
  <c r="D110" i="18"/>
  <c r="C111" i="18" s="1"/>
  <c r="E111" i="18" s="1"/>
  <c r="D239" i="18"/>
  <c r="C240" i="18" s="1"/>
  <c r="E240" i="18" s="1"/>
  <c r="D231" i="18"/>
  <c r="C232" i="18" s="1"/>
  <c r="E232" i="18" s="1"/>
  <c r="D223" i="18"/>
  <c r="C224" i="18" s="1"/>
  <c r="E224" i="18" s="1"/>
  <c r="D209" i="18"/>
  <c r="C210" i="18" s="1"/>
  <c r="E210" i="18" s="1"/>
  <c r="D201" i="18"/>
  <c r="C202" i="18" s="1"/>
  <c r="E202" i="18" s="1"/>
  <c r="D186" i="18"/>
  <c r="C187" i="18" s="1"/>
  <c r="E187" i="18" s="1"/>
  <c r="D168" i="18"/>
  <c r="C169" i="18" s="1"/>
  <c r="E169" i="18" s="1"/>
  <c r="D140" i="18"/>
  <c r="C141" i="18" s="1"/>
  <c r="E141" i="18" s="1"/>
  <c r="D100" i="18"/>
  <c r="C101" i="18" s="1"/>
  <c r="E101" i="18" s="1"/>
  <c r="D245" i="18"/>
  <c r="C246" i="18" s="1"/>
  <c r="E246" i="18" s="1"/>
  <c r="D238" i="18"/>
  <c r="C239" i="18" s="1"/>
  <c r="E239" i="18" s="1"/>
  <c r="D230" i="18"/>
  <c r="C231" i="18" s="1"/>
  <c r="E231" i="18" s="1"/>
  <c r="D222" i="18"/>
  <c r="C223" i="18" s="1"/>
  <c r="E223" i="18" s="1"/>
  <c r="D216" i="18"/>
  <c r="C217" i="18" s="1"/>
  <c r="E217" i="18" s="1"/>
  <c r="D208" i="18"/>
  <c r="C209" i="18" s="1"/>
  <c r="E209" i="18" s="1"/>
  <c r="D200" i="18"/>
  <c r="C201" i="18" s="1"/>
  <c r="E201" i="18" s="1"/>
  <c r="D185" i="18"/>
  <c r="C186" i="18" s="1"/>
  <c r="E186" i="18" s="1"/>
  <c r="D167" i="18"/>
  <c r="C168" i="18" s="1"/>
  <c r="E168" i="18" s="1"/>
  <c r="D137" i="18"/>
  <c r="C138" i="18" s="1"/>
  <c r="E138" i="18" s="1"/>
  <c r="D93" i="18"/>
  <c r="C94" i="18" s="1"/>
  <c r="E94" i="18" s="1"/>
  <c r="D161" i="18"/>
  <c r="C162" i="18" s="1"/>
  <c r="E162" i="18" s="1"/>
  <c r="D153" i="18"/>
  <c r="C154" i="18" s="1"/>
  <c r="E154" i="18" s="1"/>
  <c r="D145" i="18"/>
  <c r="C146" i="18" s="1"/>
  <c r="E146" i="18" s="1"/>
  <c r="D139" i="18"/>
  <c r="C140" i="18" s="1"/>
  <c r="E140" i="18" s="1"/>
  <c r="D126" i="18"/>
  <c r="C127" i="18" s="1"/>
  <c r="E127" i="18" s="1"/>
  <c r="D121" i="18"/>
  <c r="C122" i="18" s="1"/>
  <c r="E122" i="18" s="1"/>
  <c r="D113" i="18"/>
  <c r="C114" i="18" s="1"/>
  <c r="E114" i="18" s="1"/>
  <c r="D98" i="18"/>
  <c r="C99" i="18" s="1"/>
  <c r="E99" i="18" s="1"/>
  <c r="D79" i="18"/>
  <c r="C80" i="18" s="1"/>
  <c r="E80" i="18" s="1"/>
  <c r="D39" i="18"/>
  <c r="C40" i="18" s="1"/>
  <c r="E40" i="18" s="1"/>
  <c r="D166" i="18"/>
  <c r="C167" i="18" s="1"/>
  <c r="E167" i="18" s="1"/>
  <c r="D160" i="18"/>
  <c r="C161" i="18" s="1"/>
  <c r="E161" i="18" s="1"/>
  <c r="D152" i="18"/>
  <c r="C153" i="18" s="1"/>
  <c r="E153" i="18" s="1"/>
  <c r="D144" i="18"/>
  <c r="C145" i="18" s="1"/>
  <c r="E145" i="18" s="1"/>
  <c r="D138" i="18"/>
  <c r="C139" i="18" s="1"/>
  <c r="E139" i="18" s="1"/>
  <c r="D132" i="18"/>
  <c r="C133" i="18" s="1"/>
  <c r="E133" i="18" s="1"/>
  <c r="D125" i="18"/>
  <c r="C126" i="18" s="1"/>
  <c r="E126" i="18" s="1"/>
  <c r="D120" i="18"/>
  <c r="C121" i="18" s="1"/>
  <c r="E121" i="18" s="1"/>
  <c r="D111" i="18"/>
  <c r="C112" i="18" s="1"/>
  <c r="E112" i="18" s="1"/>
  <c r="D96" i="18"/>
  <c r="C97" i="18" s="1"/>
  <c r="E97" i="18" s="1"/>
  <c r="D76" i="18"/>
  <c r="C77" i="18" s="1"/>
  <c r="E77" i="18" s="1"/>
  <c r="D36" i="18"/>
  <c r="C37" i="18" s="1"/>
  <c r="E37" i="18" s="1"/>
  <c r="D191" i="18"/>
  <c r="C192" i="18" s="1"/>
  <c r="E192" i="18" s="1"/>
  <c r="D184" i="18"/>
  <c r="C185" i="18" s="1"/>
  <c r="E185" i="18" s="1"/>
  <c r="D177" i="18"/>
  <c r="C178" i="18" s="1"/>
  <c r="E178" i="18" s="1"/>
  <c r="D170" i="18"/>
  <c r="C171" i="18" s="1"/>
  <c r="E171" i="18" s="1"/>
  <c r="D165" i="18"/>
  <c r="C166" i="18" s="1"/>
  <c r="E166" i="18" s="1"/>
  <c r="D158" i="18"/>
  <c r="C159" i="18" s="1"/>
  <c r="E159" i="18" s="1"/>
  <c r="D150" i="18"/>
  <c r="C151" i="18" s="1"/>
  <c r="E151" i="18" s="1"/>
  <c r="D142" i="18"/>
  <c r="C143" i="18" s="1"/>
  <c r="E143" i="18" s="1"/>
  <c r="D136" i="18"/>
  <c r="C137" i="18" s="1"/>
  <c r="E137" i="18" s="1"/>
  <c r="D131" i="18"/>
  <c r="C132" i="18" s="1"/>
  <c r="E132" i="18" s="1"/>
  <c r="D124" i="18"/>
  <c r="C125" i="18" s="1"/>
  <c r="E125" i="18" s="1"/>
  <c r="D118" i="18"/>
  <c r="C119" i="18" s="1"/>
  <c r="E119" i="18" s="1"/>
  <c r="D109" i="18"/>
  <c r="C110" i="18" s="1"/>
  <c r="E110" i="18" s="1"/>
  <c r="D92" i="18"/>
  <c r="C93" i="18" s="1"/>
  <c r="E93" i="18" s="1"/>
  <c r="D71" i="18"/>
  <c r="C72" i="18" s="1"/>
  <c r="E72" i="18" s="1"/>
  <c r="D197" i="18"/>
  <c r="C198" i="18" s="1"/>
  <c r="E198" i="18" s="1"/>
  <c r="D190" i="18"/>
  <c r="C191" i="18" s="1"/>
  <c r="E191" i="18" s="1"/>
  <c r="D183" i="18"/>
  <c r="C184" i="18" s="1"/>
  <c r="E184" i="18" s="1"/>
  <c r="D176" i="18"/>
  <c r="C177" i="18" s="1"/>
  <c r="E177" i="18" s="1"/>
  <c r="D164" i="18"/>
  <c r="C165" i="18" s="1"/>
  <c r="E165" i="18" s="1"/>
  <c r="D157" i="18"/>
  <c r="C158" i="18" s="1"/>
  <c r="E158" i="18" s="1"/>
  <c r="D149" i="18"/>
  <c r="C150" i="18" s="1"/>
  <c r="E150" i="18" s="1"/>
  <c r="D141" i="18"/>
  <c r="C142" i="18" s="1"/>
  <c r="E142" i="18" s="1"/>
  <c r="D135" i="18"/>
  <c r="C136" i="18" s="1"/>
  <c r="E136" i="18" s="1"/>
  <c r="D130" i="18"/>
  <c r="C131" i="18" s="1"/>
  <c r="E131" i="18" s="1"/>
  <c r="D117" i="18"/>
  <c r="C118" i="18" s="1"/>
  <c r="E118" i="18" s="1"/>
  <c r="D105" i="18"/>
  <c r="C106" i="18" s="1"/>
  <c r="E106" i="18" s="1"/>
  <c r="D89" i="18"/>
  <c r="C90" i="18" s="1"/>
  <c r="E90" i="18" s="1"/>
  <c r="D67" i="18"/>
  <c r="D196" i="18"/>
  <c r="C197" i="18" s="1"/>
  <c r="E197" i="18" s="1"/>
  <c r="D189" i="18"/>
  <c r="C190" i="18" s="1"/>
  <c r="E190" i="18" s="1"/>
  <c r="D182" i="18"/>
  <c r="C183" i="18" s="1"/>
  <c r="E183" i="18" s="1"/>
  <c r="D175" i="18"/>
  <c r="C176" i="18" s="1"/>
  <c r="E176" i="18" s="1"/>
  <c r="D169" i="18"/>
  <c r="C170" i="18" s="1"/>
  <c r="E170" i="18" s="1"/>
  <c r="D163" i="18"/>
  <c r="C164" i="18" s="1"/>
  <c r="E164" i="18" s="1"/>
  <c r="D156" i="18"/>
  <c r="C157" i="18" s="1"/>
  <c r="E157" i="18" s="1"/>
  <c r="D148" i="18"/>
  <c r="C149" i="18" s="1"/>
  <c r="E149" i="18" s="1"/>
  <c r="D134" i="18"/>
  <c r="C135" i="18" s="1"/>
  <c r="E135" i="18" s="1"/>
  <c r="D129" i="18"/>
  <c r="C130" i="18" s="1"/>
  <c r="E130" i="18" s="1"/>
  <c r="D123" i="18"/>
  <c r="C124" i="18" s="1"/>
  <c r="E124" i="18" s="1"/>
  <c r="D116" i="18"/>
  <c r="C117" i="18" s="1"/>
  <c r="E117" i="18" s="1"/>
  <c r="D104" i="18"/>
  <c r="C105" i="18" s="1"/>
  <c r="E105" i="18" s="1"/>
  <c r="D87" i="18"/>
  <c r="C88" i="18" s="1"/>
  <c r="E88" i="18" s="1"/>
  <c r="D58" i="18"/>
  <c r="C59" i="18" s="1"/>
  <c r="E59" i="18" s="1"/>
  <c r="D195" i="18"/>
  <c r="C196" i="18" s="1"/>
  <c r="E196" i="18" s="1"/>
  <c r="D188" i="18"/>
  <c r="C189" i="18" s="1"/>
  <c r="E189" i="18" s="1"/>
  <c r="D181" i="18"/>
  <c r="C182" i="18" s="1"/>
  <c r="E182" i="18" s="1"/>
  <c r="D174" i="18"/>
  <c r="C175" i="18" s="1"/>
  <c r="E175" i="18" s="1"/>
  <c r="D155" i="18"/>
  <c r="C156" i="18" s="1"/>
  <c r="E156" i="18" s="1"/>
  <c r="D147" i="18"/>
  <c r="C148" i="18" s="1"/>
  <c r="E148" i="18" s="1"/>
  <c r="D128" i="18"/>
  <c r="C129" i="18" s="1"/>
  <c r="E129" i="18" s="1"/>
  <c r="D115" i="18"/>
  <c r="C116" i="18" s="1"/>
  <c r="E116" i="18" s="1"/>
  <c r="D101" i="18"/>
  <c r="C102" i="18" s="1"/>
  <c r="E102" i="18" s="1"/>
  <c r="D85" i="18"/>
  <c r="C86" i="18" s="1"/>
  <c r="E86" i="18" s="1"/>
  <c r="D52" i="18"/>
  <c r="C53" i="18" s="1"/>
  <c r="E53" i="18" s="1"/>
  <c r="D69" i="18"/>
  <c r="C70" i="18" s="1"/>
  <c r="E70" i="18" s="1"/>
  <c r="D42" i="18"/>
  <c r="C43" i="18" s="1"/>
  <c r="E43" i="18" s="1"/>
  <c r="D37" i="18"/>
  <c r="C38" i="18" s="1"/>
  <c r="E38" i="18" s="1"/>
  <c r="D33" i="18"/>
  <c r="C34" i="18" s="1"/>
  <c r="E34" i="18" s="1"/>
  <c r="D30" i="18"/>
  <c r="C31" i="18" s="1"/>
  <c r="E31" i="18" s="1"/>
  <c r="D24" i="18"/>
  <c r="C25" i="18" s="1"/>
  <c r="E25" i="18" s="1"/>
  <c r="D60" i="18"/>
  <c r="C61" i="18" s="1"/>
  <c r="E61" i="18" s="1"/>
  <c r="D54" i="18"/>
  <c r="C55" i="18" s="1"/>
  <c r="E55" i="18" s="1"/>
  <c r="D49" i="18"/>
  <c r="C50" i="18" s="1"/>
  <c r="E50" i="18" s="1"/>
  <c r="D41" i="18"/>
  <c r="C42" i="18" s="1"/>
  <c r="E42" i="18" s="1"/>
  <c r="D32" i="18"/>
  <c r="C33" i="18" s="1"/>
  <c r="E33" i="18" s="1"/>
  <c r="D19" i="18"/>
  <c r="C20" i="18" s="1"/>
  <c r="E20" i="18" s="1"/>
  <c r="D97" i="18"/>
  <c r="C98" i="18" s="1"/>
  <c r="E98" i="18" s="1"/>
  <c r="D88" i="18"/>
  <c r="C89" i="18" s="1"/>
  <c r="E89" i="18" s="1"/>
  <c r="D84" i="18"/>
  <c r="C85" i="18" s="1"/>
  <c r="E85" i="18" s="1"/>
  <c r="D78" i="18"/>
  <c r="C79" i="18" s="1"/>
  <c r="E79" i="18" s="1"/>
  <c r="D68" i="18"/>
  <c r="C69" i="18" s="1"/>
  <c r="E69" i="18" s="1"/>
  <c r="D63" i="18"/>
  <c r="C64" i="18" s="1"/>
  <c r="E64" i="18" s="1"/>
  <c r="D59" i="18"/>
  <c r="C60" i="18" s="1"/>
  <c r="E60" i="18" s="1"/>
  <c r="D53" i="18"/>
  <c r="C54" i="18" s="1"/>
  <c r="E54" i="18" s="1"/>
  <c r="D45" i="18"/>
  <c r="C46" i="18" s="1"/>
  <c r="E46" i="18" s="1"/>
  <c r="D40" i="18"/>
  <c r="C41" i="18" s="1"/>
  <c r="E41" i="18" s="1"/>
  <c r="D29" i="18"/>
  <c r="C30" i="18" s="1"/>
  <c r="E30" i="18" s="1"/>
  <c r="D16" i="18"/>
  <c r="C17" i="18" s="1"/>
  <c r="E17" i="18" s="1"/>
  <c r="D108" i="18"/>
  <c r="C109" i="18" s="1"/>
  <c r="E109" i="18" s="1"/>
  <c r="D103" i="18"/>
  <c r="C104" i="18" s="1"/>
  <c r="E104" i="18" s="1"/>
  <c r="D95" i="18"/>
  <c r="C96" i="18" s="1"/>
  <c r="E96" i="18" s="1"/>
  <c r="D86" i="18"/>
  <c r="C87" i="18" s="1"/>
  <c r="E87" i="18" s="1"/>
  <c r="D83" i="18"/>
  <c r="C84" i="18" s="1"/>
  <c r="E84" i="18" s="1"/>
  <c r="D66" i="18"/>
  <c r="C67" i="18" s="1"/>
  <c r="E67" i="18" s="1"/>
  <c r="D57" i="18"/>
  <c r="C58" i="18" s="1"/>
  <c r="E58" i="18" s="1"/>
  <c r="D51" i="18"/>
  <c r="C52" i="18" s="1"/>
  <c r="E52" i="18" s="1"/>
  <c r="D44" i="18"/>
  <c r="C45" i="18" s="1"/>
  <c r="E45" i="18" s="1"/>
  <c r="D38" i="18"/>
  <c r="C39" i="18" s="1"/>
  <c r="E39" i="18" s="1"/>
  <c r="D31" i="18"/>
  <c r="C32" i="18" s="1"/>
  <c r="E32" i="18" s="1"/>
  <c r="D28" i="18"/>
  <c r="C29" i="18" s="1"/>
  <c r="E29" i="18" s="1"/>
  <c r="D107" i="18"/>
  <c r="C108" i="18" s="1"/>
  <c r="E108" i="18" s="1"/>
  <c r="D99" i="18"/>
  <c r="C100" i="18" s="1"/>
  <c r="D94" i="18"/>
  <c r="C95" i="18" s="1"/>
  <c r="E95" i="18" s="1"/>
  <c r="D74" i="18"/>
  <c r="C75" i="18" s="1"/>
  <c r="E75" i="18" s="1"/>
  <c r="D65" i="18"/>
  <c r="C66" i="18" s="1"/>
  <c r="E66" i="18" s="1"/>
  <c r="D62" i="18"/>
  <c r="C63" i="18" s="1"/>
  <c r="E63" i="18" s="1"/>
  <c r="D50" i="18"/>
  <c r="C51" i="18" s="1"/>
  <c r="E51" i="18" s="1"/>
  <c r="D47" i="18"/>
  <c r="C48" i="18" s="1"/>
  <c r="E48" i="18" s="1"/>
  <c r="D35" i="18"/>
  <c r="C36" i="18" s="1"/>
  <c r="E36" i="18" s="1"/>
  <c r="D27" i="18"/>
  <c r="C28" i="18" s="1"/>
  <c r="E28" i="18" s="1"/>
  <c r="D82" i="18"/>
  <c r="C83" i="18" s="1"/>
  <c r="E83" i="18" s="1"/>
  <c r="D77" i="18"/>
  <c r="C78" i="18" s="1"/>
  <c r="E78" i="18" s="1"/>
  <c r="D73" i="18"/>
  <c r="C74" i="18" s="1"/>
  <c r="E74" i="18" s="1"/>
  <c r="D70" i="18"/>
  <c r="C71" i="18" s="1"/>
  <c r="E71" i="18" s="1"/>
  <c r="D64" i="18"/>
  <c r="C65" i="18" s="1"/>
  <c r="E65" i="18" s="1"/>
  <c r="D56" i="18"/>
  <c r="C57" i="18" s="1"/>
  <c r="E57" i="18" s="1"/>
  <c r="D46" i="18"/>
  <c r="C47" i="18" s="1"/>
  <c r="E47" i="18" s="1"/>
  <c r="D43" i="18"/>
  <c r="D26" i="18"/>
  <c r="C27" i="18" s="1"/>
  <c r="E27" i="18" s="1"/>
  <c r="D112" i="18"/>
  <c r="C113" i="18" s="1"/>
  <c r="E113" i="18" s="1"/>
  <c r="D106" i="18"/>
  <c r="C107" i="18" s="1"/>
  <c r="E107" i="18" s="1"/>
  <c r="D102" i="18"/>
  <c r="C103" i="18" s="1"/>
  <c r="E103" i="18" s="1"/>
  <c r="D90" i="18"/>
  <c r="C91" i="18" s="1"/>
  <c r="E91" i="18" s="1"/>
  <c r="D81" i="18"/>
  <c r="C82" i="18" s="1"/>
  <c r="E82" i="18" s="1"/>
  <c r="D72" i="18"/>
  <c r="C73" i="18" s="1"/>
  <c r="E73" i="18" s="1"/>
  <c r="D61" i="18"/>
  <c r="C62" i="18" s="1"/>
  <c r="E62" i="18" s="1"/>
  <c r="D55" i="18"/>
  <c r="C56" i="18" s="1"/>
  <c r="E56" i="18" s="1"/>
  <c r="D34" i="18"/>
  <c r="C35" i="18" s="1"/>
  <c r="E35" i="18" s="1"/>
  <c r="D25" i="18"/>
  <c r="C26" i="18" s="1"/>
  <c r="E26" i="18" s="1"/>
  <c r="C12" i="18"/>
  <c r="E12" i="18" s="1"/>
  <c r="D22" i="18"/>
  <c r="C23" i="18" s="1"/>
  <c r="E23" i="18" s="1"/>
  <c r="D14" i="18"/>
  <c r="C15" i="18" s="1"/>
  <c r="E15" i="18" s="1"/>
  <c r="D17" i="18"/>
  <c r="C18" i="18" s="1"/>
  <c r="E18" i="18" s="1"/>
  <c r="D20" i="18"/>
  <c r="C21" i="18" s="1"/>
  <c r="E21" i="18" s="1"/>
  <c r="C13" i="18"/>
  <c r="E13" i="18" s="1"/>
  <c r="D23" i="18"/>
  <c r="C24" i="18" s="1"/>
  <c r="E24" i="18" s="1"/>
  <c r="D15" i="18"/>
  <c r="C16" i="18" s="1"/>
  <c r="E16" i="18" s="1"/>
  <c r="C10" i="18"/>
  <c r="E10" i="18" s="1"/>
  <c r="C8" i="18"/>
  <c r="D18" i="18"/>
  <c r="C19" i="18" s="1"/>
  <c r="E19" i="18" s="1"/>
  <c r="C11" i="18"/>
  <c r="E11" i="18" s="1"/>
  <c r="D21" i="18"/>
  <c r="C22" i="18" s="1"/>
  <c r="E22" i="18" s="1"/>
  <c r="D13" i="18"/>
  <c r="C14" i="18" s="1"/>
  <c r="E14" i="18" s="1"/>
  <c r="F171" i="18" l="1"/>
  <c r="G171" i="18" s="1"/>
  <c r="F32" i="18"/>
  <c r="G32" i="18" s="1"/>
  <c r="F275" i="18"/>
  <c r="G275" i="18" s="1"/>
  <c r="F277" i="18"/>
  <c r="G277" i="18" s="1"/>
  <c r="C9" i="18"/>
  <c r="E9" i="18" s="1"/>
  <c r="F9" i="18" s="1"/>
  <c r="G9" i="18" s="1"/>
  <c r="O58" i="6"/>
  <c r="L49" i="17" s="1"/>
  <c r="F80" i="18"/>
  <c r="G80" i="18" s="1"/>
  <c r="F177" i="18"/>
  <c r="G177" i="18" s="1"/>
  <c r="F191" i="18"/>
  <c r="G191" i="18" s="1"/>
  <c r="F69" i="18"/>
  <c r="G69" i="18" s="1"/>
  <c r="F184" i="18"/>
  <c r="G184" i="18" s="1"/>
  <c r="F297" i="18"/>
  <c r="G297" i="18" s="1"/>
  <c r="F251" i="18"/>
  <c r="G251" i="18" s="1"/>
  <c r="F292" i="18"/>
  <c r="G292" i="18" s="1"/>
  <c r="F253" i="18"/>
  <c r="G253" i="18" s="1"/>
  <c r="F366" i="18"/>
  <c r="G366" i="18" s="1"/>
  <c r="F226" i="18"/>
  <c r="G226" i="18" s="1"/>
  <c r="F334" i="18"/>
  <c r="G334" i="18" s="1"/>
  <c r="F162" i="18"/>
  <c r="G162" i="18" s="1"/>
  <c r="F294" i="18"/>
  <c r="G294" i="18" s="1"/>
  <c r="F266" i="18"/>
  <c r="G266" i="18" s="1"/>
  <c r="F345" i="18"/>
  <c r="G345" i="18" s="1"/>
  <c r="F365" i="18"/>
  <c r="G365" i="18" s="1"/>
  <c r="F308" i="18"/>
  <c r="G308" i="18" s="1"/>
  <c r="F330" i="18"/>
  <c r="G330" i="18" s="1"/>
  <c r="F301" i="18"/>
  <c r="G301" i="18" s="1"/>
  <c r="F204" i="18"/>
  <c r="G204" i="18" s="1"/>
  <c r="F315" i="18"/>
  <c r="G315" i="18" s="1"/>
  <c r="F307" i="18"/>
  <c r="G307" i="18" s="1"/>
  <c r="F255" i="18"/>
  <c r="G255" i="18" s="1"/>
  <c r="F343" i="18"/>
  <c r="G343" i="18" s="1"/>
  <c r="F336" i="18"/>
  <c r="G336" i="18" s="1"/>
  <c r="F267" i="18"/>
  <c r="G267" i="18" s="1"/>
  <c r="F335" i="18"/>
  <c r="G335" i="18" s="1"/>
  <c r="F342" i="18"/>
  <c r="G342" i="18" s="1"/>
  <c r="F254" i="18"/>
  <c r="G254" i="18" s="1"/>
  <c r="F364" i="18"/>
  <c r="G364" i="18" s="1"/>
  <c r="F333" i="18"/>
  <c r="G333" i="18" s="1"/>
  <c r="F278" i="18"/>
  <c r="G278" i="18" s="1"/>
  <c r="F316" i="18"/>
  <c r="G316" i="18" s="1"/>
  <c r="F48" i="18"/>
  <c r="G48" i="18" s="1"/>
  <c r="F206" i="18"/>
  <c r="G206" i="18" s="1"/>
  <c r="F259" i="18"/>
  <c r="G259" i="18" s="1"/>
  <c r="F353" i="18"/>
  <c r="G353" i="18" s="1"/>
  <c r="F338" i="18"/>
  <c r="G338" i="18" s="1"/>
  <c r="F323" i="18"/>
  <c r="G323" i="18" s="1"/>
  <c r="F332" i="18"/>
  <c r="G332" i="18" s="1"/>
  <c r="C44" i="18"/>
  <c r="E44" i="18" s="1"/>
  <c r="F44" i="18" s="1"/>
  <c r="G44" i="18" s="1"/>
  <c r="F281" i="18"/>
  <c r="G281" i="18" s="1"/>
  <c r="F113" i="18"/>
  <c r="G113" i="18" s="1"/>
  <c r="F212" i="18"/>
  <c r="G212" i="18" s="1"/>
  <c r="F327" i="18"/>
  <c r="G327" i="18" s="1"/>
  <c r="F252" i="18"/>
  <c r="G252" i="18" s="1"/>
  <c r="F326" i="18"/>
  <c r="G326" i="18" s="1"/>
  <c r="F199" i="18"/>
  <c r="G199" i="18" s="1"/>
  <c r="F337" i="18"/>
  <c r="G337" i="18" s="1"/>
  <c r="F193" i="18"/>
  <c r="G193" i="18" s="1"/>
  <c r="F269" i="18"/>
  <c r="G269" i="18" s="1"/>
  <c r="F340" i="18"/>
  <c r="G340" i="18" s="1"/>
  <c r="F291" i="18"/>
  <c r="G291" i="18" s="1"/>
  <c r="F205" i="18"/>
  <c r="G205" i="18" s="1"/>
  <c r="F151" i="18"/>
  <c r="G151" i="18" s="1"/>
  <c r="F159" i="18"/>
  <c r="G159" i="18" s="1"/>
  <c r="F161" i="18"/>
  <c r="G161" i="18" s="1"/>
  <c r="F290" i="18"/>
  <c r="G290" i="18" s="1"/>
  <c r="F357" i="18"/>
  <c r="G357" i="18" s="1"/>
  <c r="F280" i="18"/>
  <c r="G280" i="18" s="1"/>
  <c r="F329" i="18"/>
  <c r="G329" i="18" s="1"/>
  <c r="F314" i="18"/>
  <c r="G314" i="18" s="1"/>
  <c r="F293" i="18"/>
  <c r="G293" i="18" s="1"/>
  <c r="F324" i="18"/>
  <c r="G324" i="18" s="1"/>
  <c r="F350" i="18"/>
  <c r="G350" i="18" s="1"/>
  <c r="F187" i="18"/>
  <c r="G187" i="18" s="1"/>
  <c r="F79" i="18"/>
  <c r="G79" i="18" s="1"/>
  <c r="F321" i="18"/>
  <c r="G321" i="18" s="1"/>
  <c r="C128" i="18"/>
  <c r="E128" i="18" s="1"/>
  <c r="F128" i="18" s="1"/>
  <c r="G128" i="18" s="1"/>
  <c r="F283" i="18"/>
  <c r="G283" i="18" s="1"/>
  <c r="F270" i="18"/>
  <c r="G270" i="18" s="1"/>
  <c r="F178" i="18"/>
  <c r="G178" i="18" s="1"/>
  <c r="F116" i="18"/>
  <c r="G116" i="18" s="1"/>
  <c r="F175" i="18"/>
  <c r="G175" i="18" s="1"/>
  <c r="F225" i="18"/>
  <c r="G225" i="18" s="1"/>
  <c r="F311" i="18"/>
  <c r="G311" i="18" s="1"/>
  <c r="F72" i="18"/>
  <c r="G72" i="18" s="1"/>
  <c r="F300" i="18"/>
  <c r="G300" i="18" s="1"/>
  <c r="F288" i="18"/>
  <c r="G288" i="18" s="1"/>
  <c r="F325" i="18"/>
  <c r="G325" i="18" s="1"/>
  <c r="F356" i="18"/>
  <c r="G356" i="18" s="1"/>
  <c r="F302" i="18"/>
  <c r="G302" i="18" s="1"/>
  <c r="F234" i="18"/>
  <c r="G234" i="18" s="1"/>
  <c r="F274" i="18"/>
  <c r="G274" i="18" s="1"/>
  <c r="F124" i="18"/>
  <c r="G124" i="18" s="1"/>
  <c r="F110" i="18"/>
  <c r="G110" i="18" s="1"/>
  <c r="F363" i="18"/>
  <c r="G363" i="18" s="1"/>
  <c r="F118" i="18"/>
  <c r="G118" i="18" s="1"/>
  <c r="F59" i="18"/>
  <c r="G59" i="18" s="1"/>
  <c r="F141" i="18"/>
  <c r="G141" i="18" s="1"/>
  <c r="F111" i="18"/>
  <c r="G111" i="18" s="1"/>
  <c r="F164" i="18"/>
  <c r="G164" i="18" s="1"/>
  <c r="F154" i="18"/>
  <c r="G154" i="18" s="1"/>
  <c r="F207" i="18"/>
  <c r="G207" i="18" s="1"/>
  <c r="F200" i="18"/>
  <c r="G200" i="18" s="1"/>
  <c r="F95" i="18"/>
  <c r="G95" i="18" s="1"/>
  <c r="F232" i="18"/>
  <c r="G232" i="18" s="1"/>
  <c r="F265" i="18"/>
  <c r="G265" i="18" s="1"/>
  <c r="F261" i="18"/>
  <c r="G261" i="18" s="1"/>
  <c r="F250" i="18"/>
  <c r="G250" i="18" s="1"/>
  <c r="F75" i="18"/>
  <c r="G75" i="18" s="1"/>
  <c r="F198" i="18"/>
  <c r="G198" i="18" s="1"/>
  <c r="F163" i="18"/>
  <c r="G163" i="18" s="1"/>
  <c r="F60" i="18"/>
  <c r="G60" i="18" s="1"/>
  <c r="F27" i="18"/>
  <c r="G27" i="18" s="1"/>
  <c r="F215" i="18"/>
  <c r="G215" i="18" s="1"/>
  <c r="F236" i="18"/>
  <c r="G236" i="18" s="1"/>
  <c r="F299" i="18"/>
  <c r="G299" i="18" s="1"/>
  <c r="F287" i="18"/>
  <c r="G287" i="18" s="1"/>
  <c r="F273" i="18"/>
  <c r="G273" i="18" s="1"/>
  <c r="F258" i="18"/>
  <c r="G258" i="18" s="1"/>
  <c r="F284" i="18"/>
  <c r="G284" i="18" s="1"/>
  <c r="F306" i="18"/>
  <c r="G306" i="18" s="1"/>
  <c r="F355" i="18"/>
  <c r="G355" i="18" s="1"/>
  <c r="F349" i="18"/>
  <c r="G349" i="18" s="1"/>
  <c r="F165" i="18"/>
  <c r="G165" i="18" s="1"/>
  <c r="F96" i="18"/>
  <c r="G96" i="18" s="1"/>
  <c r="F262" i="18"/>
  <c r="G262" i="18" s="1"/>
  <c r="F224" i="18"/>
  <c r="G224" i="18" s="1"/>
  <c r="F109" i="18"/>
  <c r="G109" i="18" s="1"/>
  <c r="F295" i="18"/>
  <c r="G295" i="18" s="1"/>
  <c r="F157" i="18"/>
  <c r="G157" i="18" s="1"/>
  <c r="F67" i="18"/>
  <c r="G67" i="18" s="1"/>
  <c r="F282" i="18"/>
  <c r="G282" i="18" s="1"/>
  <c r="F160" i="18"/>
  <c r="G160" i="18" s="1"/>
  <c r="F220" i="18"/>
  <c r="G220" i="18" s="1"/>
  <c r="F359" i="18"/>
  <c r="G359" i="18" s="1"/>
  <c r="F367" i="18"/>
  <c r="G367" i="18" s="1"/>
  <c r="F223" i="18"/>
  <c r="G223" i="18" s="1"/>
  <c r="F242" i="18"/>
  <c r="G242" i="18" s="1"/>
  <c r="F144" i="18"/>
  <c r="G144" i="18" s="1"/>
  <c r="F122" i="18"/>
  <c r="G122" i="18" s="1"/>
  <c r="F58" i="18"/>
  <c r="G58" i="18" s="1"/>
  <c r="F170" i="18"/>
  <c r="G170" i="18" s="1"/>
  <c r="F139" i="18"/>
  <c r="G139" i="18" s="1"/>
  <c r="F203" i="18"/>
  <c r="G203" i="18" s="1"/>
  <c r="F89" i="18"/>
  <c r="G89" i="18" s="1"/>
  <c r="F174" i="18"/>
  <c r="G174" i="18" s="1"/>
  <c r="F105" i="18"/>
  <c r="G105" i="18" s="1"/>
  <c r="F82" i="18"/>
  <c r="G82" i="18" s="1"/>
  <c r="F214" i="18"/>
  <c r="G214" i="18" s="1"/>
  <c r="F103" i="18"/>
  <c r="G103" i="18" s="1"/>
  <c r="F235" i="18"/>
  <c r="G235" i="18" s="1"/>
  <c r="F61" i="18"/>
  <c r="G61" i="18" s="1"/>
  <c r="F83" i="18"/>
  <c r="G83" i="18" s="1"/>
  <c r="F131" i="18"/>
  <c r="G131" i="18" s="1"/>
  <c r="F133" i="18"/>
  <c r="G133" i="18" s="1"/>
  <c r="F81" i="18"/>
  <c r="G81" i="18" s="1"/>
  <c r="F143" i="18"/>
  <c r="G143" i="18" s="1"/>
  <c r="F361" i="18"/>
  <c r="G361" i="18" s="1"/>
  <c r="F97" i="18"/>
  <c r="G97" i="18" s="1"/>
  <c r="F117" i="18"/>
  <c r="G117" i="18" s="1"/>
  <c r="F346" i="18"/>
  <c r="G346" i="18" s="1"/>
  <c r="F183" i="18"/>
  <c r="G183" i="18" s="1"/>
  <c r="F70" i="18"/>
  <c r="G70" i="18" s="1"/>
  <c r="F263" i="18"/>
  <c r="G263" i="18" s="1"/>
  <c r="F331" i="18"/>
  <c r="G331" i="18" s="1"/>
  <c r="F173" i="18"/>
  <c r="G173" i="18" s="1"/>
  <c r="C92" i="18"/>
  <c r="E92" i="18" s="1"/>
  <c r="F92" i="18" s="1"/>
  <c r="G92" i="18" s="1"/>
  <c r="F341" i="18"/>
  <c r="G341" i="18" s="1"/>
  <c r="F248" i="18"/>
  <c r="G248" i="18" s="1"/>
  <c r="F245" i="18"/>
  <c r="G245" i="18" s="1"/>
  <c r="F35" i="18"/>
  <c r="G35" i="18" s="1"/>
  <c r="F54" i="18"/>
  <c r="G54" i="18" s="1"/>
  <c r="F78" i="18"/>
  <c r="G78" i="18" s="1"/>
  <c r="F218" i="18"/>
  <c r="G218" i="18" s="1"/>
  <c r="F46" i="18"/>
  <c r="G46" i="18" s="1"/>
  <c r="F240" i="18"/>
  <c r="G240" i="18" s="1"/>
  <c r="F156" i="18"/>
  <c r="G156" i="18" s="1"/>
  <c r="F93" i="18"/>
  <c r="G93" i="18" s="1"/>
  <c r="F115" i="18"/>
  <c r="G115" i="18" s="1"/>
  <c r="F312" i="18"/>
  <c r="G312" i="18" s="1"/>
  <c r="F130" i="18"/>
  <c r="G130" i="18" s="1"/>
  <c r="F66" i="18"/>
  <c r="G66" i="18" s="1"/>
  <c r="F149" i="18"/>
  <c r="G149" i="18" s="1"/>
  <c r="F33" i="18"/>
  <c r="G33" i="18" s="1"/>
  <c r="F249" i="18"/>
  <c r="G249" i="18" s="1"/>
  <c r="F114" i="18"/>
  <c r="G114" i="18" s="1"/>
  <c r="F112" i="18"/>
  <c r="G112" i="18" s="1"/>
  <c r="F279" i="18"/>
  <c r="G279" i="18" s="1"/>
  <c r="F264" i="18"/>
  <c r="G264" i="18" s="1"/>
  <c r="F201" i="18"/>
  <c r="G201" i="18" s="1"/>
  <c r="F28" i="18"/>
  <c r="G28" i="18" s="1"/>
  <c r="F233" i="18"/>
  <c r="G233" i="18" s="1"/>
  <c r="F222" i="18"/>
  <c r="G222" i="18" s="1"/>
  <c r="F358" i="18"/>
  <c r="G358" i="18" s="1"/>
  <c r="F138" i="18"/>
  <c r="G138" i="18" s="1"/>
  <c r="F208" i="18"/>
  <c r="G208" i="18" s="1"/>
  <c r="F94" i="18"/>
  <c r="G94" i="18" s="1"/>
  <c r="F180" i="18"/>
  <c r="G180" i="18" s="1"/>
  <c r="F186" i="18"/>
  <c r="G186" i="18" s="1"/>
  <c r="F91" i="18"/>
  <c r="G91" i="18" s="1"/>
  <c r="F271" i="18"/>
  <c r="G271" i="18" s="1"/>
  <c r="F339" i="18"/>
  <c r="G339" i="18" s="1"/>
  <c r="F152" i="18"/>
  <c r="G152" i="18" s="1"/>
  <c r="F320" i="18"/>
  <c r="G320" i="18" s="1"/>
  <c r="F354" i="18"/>
  <c r="G354" i="18" s="1"/>
  <c r="F238" i="18"/>
  <c r="G238" i="18" s="1"/>
  <c r="F286" i="18"/>
  <c r="G286" i="18" s="1"/>
  <c r="F348" i="18"/>
  <c r="G348" i="18" s="1"/>
  <c r="F318" i="18"/>
  <c r="G318" i="18" s="1"/>
  <c r="F351" i="18"/>
  <c r="G351" i="18" s="1"/>
  <c r="F305" i="18"/>
  <c r="G305" i="18" s="1"/>
  <c r="F76" i="18"/>
  <c r="G76" i="18" s="1"/>
  <c r="F121" i="18"/>
  <c r="G121" i="18" s="1"/>
  <c r="F146" i="18"/>
  <c r="G146" i="18" s="1"/>
  <c r="F84" i="18"/>
  <c r="G84" i="18" s="1"/>
  <c r="F194" i="18"/>
  <c r="G194" i="18" s="1"/>
  <c r="F230" i="18"/>
  <c r="G230" i="18" s="1"/>
  <c r="F158" i="18"/>
  <c r="G158" i="18" s="1"/>
  <c r="F298" i="18"/>
  <c r="G298" i="18" s="1"/>
  <c r="F137" i="18"/>
  <c r="G137" i="18" s="1"/>
  <c r="F303" i="18"/>
  <c r="G303" i="18" s="1"/>
  <c r="F202" i="18"/>
  <c r="G202" i="18" s="1"/>
  <c r="F241" i="18"/>
  <c r="G241" i="18" s="1"/>
  <c r="F268" i="18"/>
  <c r="G268" i="18" s="1"/>
  <c r="F57" i="18"/>
  <c r="G57" i="18" s="1"/>
  <c r="F309" i="18"/>
  <c r="G309" i="18" s="1"/>
  <c r="F257" i="18"/>
  <c r="G257" i="18" s="1"/>
  <c r="F217" i="18"/>
  <c r="G217" i="18" s="1"/>
  <c r="F272" i="18"/>
  <c r="G272" i="18" s="1"/>
  <c r="F328" i="18"/>
  <c r="G328" i="18" s="1"/>
  <c r="F313" i="18"/>
  <c r="G313" i="18" s="1"/>
  <c r="F319" i="18"/>
  <c r="G319" i="18" s="1"/>
  <c r="F276" i="18"/>
  <c r="G276" i="18" s="1"/>
  <c r="F285" i="18"/>
  <c r="G285" i="18" s="1"/>
  <c r="F129" i="18"/>
  <c r="G129" i="18" s="1"/>
  <c r="F221" i="18"/>
  <c r="G221" i="18" s="1"/>
  <c r="F362" i="18"/>
  <c r="G362" i="18" s="1"/>
  <c r="F185" i="18"/>
  <c r="G185" i="18" s="1"/>
  <c r="F310" i="18"/>
  <c r="G310" i="18" s="1"/>
  <c r="F195" i="18"/>
  <c r="G195" i="18" s="1"/>
  <c r="F237" i="18"/>
  <c r="G237" i="18" s="1"/>
  <c r="F179" i="18"/>
  <c r="G179" i="18" s="1"/>
  <c r="F304" i="18"/>
  <c r="G304" i="18" s="1"/>
  <c r="F317" i="18"/>
  <c r="G317" i="18" s="1"/>
  <c r="F213" i="18"/>
  <c r="G213" i="18" s="1"/>
  <c r="F347" i="18"/>
  <c r="G347" i="18" s="1"/>
  <c r="F192" i="18"/>
  <c r="G192" i="18" s="1"/>
  <c r="F41" i="18"/>
  <c r="G41" i="18" s="1"/>
  <c r="E8" i="18"/>
  <c r="F8" i="18" s="1"/>
  <c r="G8" i="18" s="1"/>
  <c r="F38" i="18"/>
  <c r="G38" i="18" s="1"/>
  <c r="F189" i="18"/>
  <c r="G189" i="18" s="1"/>
  <c r="F168" i="18"/>
  <c r="G168" i="18" s="1"/>
  <c r="F211" i="18"/>
  <c r="G211" i="18" s="1"/>
  <c r="F73" i="18"/>
  <c r="G73" i="18" s="1"/>
  <c r="F90" i="18"/>
  <c r="G90" i="18" s="1"/>
  <c r="F182" i="18"/>
  <c r="G182" i="18" s="1"/>
  <c r="F188" i="18"/>
  <c r="G188" i="18" s="1"/>
  <c r="F56" i="18"/>
  <c r="G56" i="18" s="1"/>
  <c r="F322" i="18"/>
  <c r="G322" i="18" s="1"/>
  <c r="F108" i="18"/>
  <c r="G108" i="18" s="1"/>
  <c r="F87" i="18"/>
  <c r="G87" i="18" s="1"/>
  <c r="F197" i="18"/>
  <c r="G197" i="18" s="1"/>
  <c r="F190" i="18"/>
  <c r="G190" i="18" s="1"/>
  <c r="F256" i="18"/>
  <c r="G256" i="18" s="1"/>
  <c r="F219" i="18"/>
  <c r="G219" i="18" s="1"/>
  <c r="F344" i="18"/>
  <c r="G344" i="18" s="1"/>
  <c r="F119" i="18"/>
  <c r="G119" i="18" s="1"/>
  <c r="F352" i="18"/>
  <c r="G352" i="18" s="1"/>
  <c r="F34" i="18"/>
  <c r="G34" i="18" s="1"/>
  <c r="F65" i="18"/>
  <c r="G65" i="18" s="1"/>
  <c r="F127" i="18"/>
  <c r="G127" i="18" s="1"/>
  <c r="F244" i="18"/>
  <c r="G244" i="18" s="1"/>
  <c r="F229" i="18"/>
  <c r="G229" i="18" s="1"/>
  <c r="F289" i="18"/>
  <c r="G289" i="18" s="1"/>
  <c r="F360" i="18"/>
  <c r="G360" i="18" s="1"/>
  <c r="F20" i="18"/>
  <c r="G20" i="18" s="1"/>
  <c r="F155" i="18"/>
  <c r="G155" i="18" s="1"/>
  <c r="F62" i="18"/>
  <c r="G62" i="18" s="1"/>
  <c r="F126" i="18"/>
  <c r="G126" i="18" s="1"/>
  <c r="F246" i="18"/>
  <c r="G246" i="18" s="1"/>
  <c r="F40" i="18"/>
  <c r="G40" i="18" s="1"/>
  <c r="F120" i="18"/>
  <c r="G120" i="18" s="1"/>
  <c r="F296" i="18"/>
  <c r="G296" i="18" s="1"/>
  <c r="F260" i="18"/>
  <c r="G260" i="18" s="1"/>
  <c r="F166" i="18"/>
  <c r="G166" i="18" s="1"/>
  <c r="F145" i="18"/>
  <c r="G145" i="18" s="1"/>
  <c r="F209" i="18"/>
  <c r="G209" i="18" s="1"/>
  <c r="F227" i="18"/>
  <c r="G227" i="18" s="1"/>
  <c r="F135" i="18"/>
  <c r="G135" i="18" s="1"/>
  <c r="F153" i="18"/>
  <c r="G153" i="18" s="1"/>
  <c r="F196" i="18"/>
  <c r="G196" i="18" s="1"/>
  <c r="F247" i="18"/>
  <c r="G247" i="18" s="1"/>
  <c r="F99" i="18"/>
  <c r="G99" i="18" s="1"/>
  <c r="F74" i="18"/>
  <c r="G74" i="18" s="1"/>
  <c r="F134" i="18"/>
  <c r="G134" i="18" s="1"/>
  <c r="F167" i="18"/>
  <c r="G167" i="18" s="1"/>
  <c r="F88" i="18"/>
  <c r="G88" i="18" s="1"/>
  <c r="F39" i="18"/>
  <c r="G39" i="18" s="1"/>
  <c r="F29" i="18"/>
  <c r="G29" i="18" s="1"/>
  <c r="F55" i="18"/>
  <c r="G55" i="18" s="1"/>
  <c r="F43" i="18"/>
  <c r="G43" i="18" s="1"/>
  <c r="F53" i="18"/>
  <c r="G53" i="18" s="1"/>
  <c r="F51" i="18"/>
  <c r="G51" i="18" s="1"/>
  <c r="F231" i="18"/>
  <c r="G231" i="18" s="1"/>
  <c r="F243" i="18"/>
  <c r="G243" i="18" s="1"/>
  <c r="F26" i="18"/>
  <c r="G26" i="18" s="1"/>
  <c r="F107" i="18"/>
  <c r="G107" i="18" s="1"/>
  <c r="F140" i="18"/>
  <c r="G140" i="18" s="1"/>
  <c r="F210" i="18"/>
  <c r="G210" i="18" s="1"/>
  <c r="F172" i="18"/>
  <c r="G172" i="18" s="1"/>
  <c r="F150" i="18"/>
  <c r="G150" i="18" s="1"/>
  <c r="F228" i="18"/>
  <c r="G228" i="18" s="1"/>
  <c r="F239" i="18"/>
  <c r="G239" i="18" s="1"/>
  <c r="F216" i="18"/>
  <c r="G216" i="18" s="1"/>
  <c r="F147" i="18"/>
  <c r="G147" i="18" s="1"/>
  <c r="F36" i="18"/>
  <c r="G36" i="18" s="1"/>
  <c r="F102" i="18"/>
  <c r="G102" i="18" s="1"/>
  <c r="F52" i="18"/>
  <c r="G52" i="18" s="1"/>
  <c r="F142" i="18"/>
  <c r="G142" i="18" s="1"/>
  <c r="F148" i="18"/>
  <c r="G148" i="18" s="1"/>
  <c r="C68" i="18"/>
  <c r="E68" i="18" s="1"/>
  <c r="F68" i="18" s="1"/>
  <c r="G68" i="18" s="1"/>
  <c r="F64" i="18"/>
  <c r="G64" i="18" s="1"/>
  <c r="F42" i="18"/>
  <c r="G42" i="18" s="1"/>
  <c r="F47" i="18"/>
  <c r="G47" i="18" s="1"/>
  <c r="F86" i="18"/>
  <c r="G86" i="18" s="1"/>
  <c r="F104" i="18"/>
  <c r="G104" i="18" s="1"/>
  <c r="F169" i="18"/>
  <c r="G169" i="18" s="1"/>
  <c r="F176" i="18"/>
  <c r="G176" i="18" s="1"/>
  <c r="F50" i="18"/>
  <c r="G50" i="18" s="1"/>
  <c r="F25" i="18"/>
  <c r="G25" i="18" s="1"/>
  <c r="F125" i="18"/>
  <c r="G125" i="18" s="1"/>
  <c r="F181" i="18"/>
  <c r="G181" i="18" s="1"/>
  <c r="F132" i="18"/>
  <c r="G132" i="18" s="1"/>
  <c r="F98" i="18"/>
  <c r="G98" i="18" s="1"/>
  <c r="F101" i="18"/>
  <c r="G101" i="18" s="1"/>
  <c r="F136" i="18"/>
  <c r="G136" i="18" s="1"/>
  <c r="F123" i="18"/>
  <c r="G123" i="18" s="1"/>
  <c r="B101" i="18"/>
  <c r="B102" i="18" s="1"/>
  <c r="B103" i="18" s="1"/>
  <c r="B104" i="18" s="1"/>
  <c r="B105" i="18" s="1"/>
  <c r="B106" i="18" s="1"/>
  <c r="B107" i="18" s="1"/>
  <c r="B108" i="18" s="1"/>
  <c r="B109" i="18" s="1"/>
  <c r="B110" i="18" s="1"/>
  <c r="B111" i="18" s="1"/>
  <c r="B112" i="18" s="1"/>
  <c r="B113" i="18" s="1"/>
  <c r="B114" i="18" s="1"/>
  <c r="B115" i="18" s="1"/>
  <c r="B116" i="18" s="1"/>
  <c r="B117" i="18" s="1"/>
  <c r="B118" i="18" s="1"/>
  <c r="B119" i="18" s="1"/>
  <c r="B120" i="18" s="1"/>
  <c r="B121" i="18" s="1"/>
  <c r="B122" i="18" s="1"/>
  <c r="B123" i="18" s="1"/>
  <c r="B124" i="18" s="1"/>
  <c r="B125" i="18" s="1"/>
  <c r="B126" i="18" s="1"/>
  <c r="B127" i="18" s="1"/>
  <c r="B128" i="18" s="1"/>
  <c r="B129" i="18" s="1"/>
  <c r="B130" i="18" s="1"/>
  <c r="B131" i="18" s="1"/>
  <c r="B132" i="18" s="1"/>
  <c r="B133" i="18" s="1"/>
  <c r="B134" i="18" s="1"/>
  <c r="B135" i="18" s="1"/>
  <c r="B136" i="18" s="1"/>
  <c r="B137" i="18" s="1"/>
  <c r="B138" i="18" s="1"/>
  <c r="B139" i="18" s="1"/>
  <c r="B140" i="18" s="1"/>
  <c r="B141" i="18" s="1"/>
  <c r="B142" i="18" s="1"/>
  <c r="B143" i="18" s="1"/>
  <c r="B144" i="18" s="1"/>
  <c r="B145" i="18" s="1"/>
  <c r="B146" i="18" s="1"/>
  <c r="B147" i="18" s="1"/>
  <c r="B148" i="18" s="1"/>
  <c r="B149" i="18" s="1"/>
  <c r="B150" i="18" s="1"/>
  <c r="B151" i="18" s="1"/>
  <c r="B152" i="18" s="1"/>
  <c r="B153" i="18" s="1"/>
  <c r="B154" i="18" s="1"/>
  <c r="B155" i="18" s="1"/>
  <c r="B156" i="18" s="1"/>
  <c r="B157" i="18" s="1"/>
  <c r="B158" i="18" s="1"/>
  <c r="B159" i="18" s="1"/>
  <c r="B160" i="18" s="1"/>
  <c r="B161" i="18" s="1"/>
  <c r="B162" i="18" s="1"/>
  <c r="B163" i="18" s="1"/>
  <c r="B164" i="18" s="1"/>
  <c r="B165" i="18" s="1"/>
  <c r="B166" i="18" s="1"/>
  <c r="B167" i="18" s="1"/>
  <c r="B168" i="18" s="1"/>
  <c r="B169" i="18" s="1"/>
  <c r="B170" i="18" s="1"/>
  <c r="B171" i="18" s="1"/>
  <c r="B172" i="18" s="1"/>
  <c r="B173" i="18" s="1"/>
  <c r="B174" i="18" s="1"/>
  <c r="B175" i="18" s="1"/>
  <c r="B176" i="18" s="1"/>
  <c r="B177" i="18" s="1"/>
  <c r="B178" i="18" s="1"/>
  <c r="B179" i="18" s="1"/>
  <c r="B180" i="18" s="1"/>
  <c r="B181" i="18" s="1"/>
  <c r="B182" i="18" s="1"/>
  <c r="B183" i="18" s="1"/>
  <c r="B184" i="18" s="1"/>
  <c r="B185" i="18" s="1"/>
  <c r="B186" i="18" s="1"/>
  <c r="B187" i="18" s="1"/>
  <c r="B188" i="18" s="1"/>
  <c r="B189" i="18" s="1"/>
  <c r="B190" i="18" s="1"/>
  <c r="B191" i="18" s="1"/>
  <c r="B192" i="18" s="1"/>
  <c r="B193" i="18" s="1"/>
  <c r="B194" i="18" s="1"/>
  <c r="B195" i="18" s="1"/>
  <c r="B196" i="18" s="1"/>
  <c r="B197" i="18" s="1"/>
  <c r="B198" i="18" s="1"/>
  <c r="B199" i="18" s="1"/>
  <c r="B200" i="18" s="1"/>
  <c r="B201" i="18" s="1"/>
  <c r="B202" i="18" s="1"/>
  <c r="B203" i="18" s="1"/>
  <c r="B204" i="18" s="1"/>
  <c r="B205" i="18" s="1"/>
  <c r="B206" i="18" s="1"/>
  <c r="B207" i="18" s="1"/>
  <c r="B208" i="18" s="1"/>
  <c r="B209" i="18" s="1"/>
  <c r="B210" i="18" s="1"/>
  <c r="B211" i="18" s="1"/>
  <c r="B212" i="18" s="1"/>
  <c r="B213" i="18" s="1"/>
  <c r="B214" i="18" s="1"/>
  <c r="B215" i="18" s="1"/>
  <c r="B216" i="18" s="1"/>
  <c r="B217" i="18" s="1"/>
  <c r="B218" i="18" s="1"/>
  <c r="B219" i="18" s="1"/>
  <c r="B220" i="18" s="1"/>
  <c r="B221" i="18" s="1"/>
  <c r="B222" i="18" s="1"/>
  <c r="B223" i="18" s="1"/>
  <c r="B224" i="18" s="1"/>
  <c r="B225" i="18" s="1"/>
  <c r="B226" i="18" s="1"/>
  <c r="B227" i="18" s="1"/>
  <c r="B228" i="18" s="1"/>
  <c r="B229" i="18" s="1"/>
  <c r="B230" i="18" s="1"/>
  <c r="B231" i="18" s="1"/>
  <c r="B232" i="18" s="1"/>
  <c r="B233" i="18" s="1"/>
  <c r="B234" i="18" s="1"/>
  <c r="B235" i="18" s="1"/>
  <c r="B236" i="18" s="1"/>
  <c r="B237" i="18" s="1"/>
  <c r="B238" i="18" s="1"/>
  <c r="B239" i="18" s="1"/>
  <c r="B240" i="18" s="1"/>
  <c r="B241" i="18" s="1"/>
  <c r="B242" i="18" s="1"/>
  <c r="B243" i="18" s="1"/>
  <c r="B244" i="18" s="1"/>
  <c r="B245" i="18" s="1"/>
  <c r="B246" i="18" s="1"/>
  <c r="B247" i="18" s="1"/>
  <c r="B248" i="18" s="1"/>
  <c r="B249" i="18" s="1"/>
  <c r="B250" i="18" s="1"/>
  <c r="B251" i="18" s="1"/>
  <c r="B252" i="18" s="1"/>
  <c r="B253" i="18" s="1"/>
  <c r="B254" i="18" s="1"/>
  <c r="B255" i="18" s="1"/>
  <c r="B256" i="18" s="1"/>
  <c r="B257" i="18" s="1"/>
  <c r="B258" i="18" s="1"/>
  <c r="B259" i="18" s="1"/>
  <c r="B260" i="18" s="1"/>
  <c r="B261" i="18" s="1"/>
  <c r="B262" i="18" s="1"/>
  <c r="B263" i="18" s="1"/>
  <c r="B264" i="18" s="1"/>
  <c r="B265" i="18" s="1"/>
  <c r="B266" i="18" s="1"/>
  <c r="B267" i="18" s="1"/>
  <c r="B268" i="18" s="1"/>
  <c r="B269" i="18" s="1"/>
  <c r="B270" i="18" s="1"/>
  <c r="B271" i="18" s="1"/>
  <c r="B272" i="18" s="1"/>
  <c r="B273" i="18" s="1"/>
  <c r="B274" i="18" s="1"/>
  <c r="B275" i="18" s="1"/>
  <c r="B276" i="18" s="1"/>
  <c r="B277" i="18" s="1"/>
  <c r="B278" i="18" s="1"/>
  <c r="B279" i="18" s="1"/>
  <c r="B280" i="18" s="1"/>
  <c r="B281" i="18" s="1"/>
  <c r="B282" i="18" s="1"/>
  <c r="B283" i="18" s="1"/>
  <c r="B284" i="18" s="1"/>
  <c r="B285" i="18" s="1"/>
  <c r="B286" i="18" s="1"/>
  <c r="B287" i="18" s="1"/>
  <c r="B288" i="18" s="1"/>
  <c r="B289" i="18" s="1"/>
  <c r="B290" i="18" s="1"/>
  <c r="B291" i="18" s="1"/>
  <c r="B292" i="18" s="1"/>
  <c r="B293" i="18" s="1"/>
  <c r="B294" i="18" s="1"/>
  <c r="B295" i="18" s="1"/>
  <c r="B296" i="18" s="1"/>
  <c r="B297" i="18" s="1"/>
  <c r="B298" i="18" s="1"/>
  <c r="B299" i="18" s="1"/>
  <c r="B300" i="18" s="1"/>
  <c r="B301" i="18" s="1"/>
  <c r="B302" i="18" s="1"/>
  <c r="B303" i="18" s="1"/>
  <c r="B304" i="18" s="1"/>
  <c r="B305" i="18" s="1"/>
  <c r="B306" i="18" s="1"/>
  <c r="B307" i="18" s="1"/>
  <c r="B308" i="18" s="1"/>
  <c r="B309" i="18" s="1"/>
  <c r="B310" i="18" s="1"/>
  <c r="B311" i="18" s="1"/>
  <c r="B312" i="18" s="1"/>
  <c r="B313" i="18" s="1"/>
  <c r="B314" i="18" s="1"/>
  <c r="B315" i="18" s="1"/>
  <c r="B316" i="18" s="1"/>
  <c r="B317" i="18" s="1"/>
  <c r="B318" i="18" s="1"/>
  <c r="B319" i="18" s="1"/>
  <c r="B320" i="18" s="1"/>
  <c r="B321" i="18" s="1"/>
  <c r="B322" i="18" s="1"/>
  <c r="B323" i="18" s="1"/>
  <c r="B324" i="18" s="1"/>
  <c r="B325" i="18" s="1"/>
  <c r="B326" i="18" s="1"/>
  <c r="B327" i="18" s="1"/>
  <c r="B328" i="18" s="1"/>
  <c r="B329" i="18" s="1"/>
  <c r="B330" i="18" s="1"/>
  <c r="B331" i="18" s="1"/>
  <c r="B332" i="18" s="1"/>
  <c r="B333" i="18" s="1"/>
  <c r="B334" i="18" s="1"/>
  <c r="B335" i="18" s="1"/>
  <c r="B336" i="18" s="1"/>
  <c r="B337" i="18" s="1"/>
  <c r="B338" i="18" s="1"/>
  <c r="B339" i="18" s="1"/>
  <c r="B340" i="18" s="1"/>
  <c r="B341" i="18" s="1"/>
  <c r="B342" i="18" s="1"/>
  <c r="B343" i="18" s="1"/>
  <c r="B344" i="18" s="1"/>
  <c r="B345" i="18" s="1"/>
  <c r="B346" i="18" s="1"/>
  <c r="B347" i="18" s="1"/>
  <c r="B348" i="18" s="1"/>
  <c r="B349" i="18" s="1"/>
  <c r="B350" i="18" s="1"/>
  <c r="B351" i="18" s="1"/>
  <c r="B352" i="18" s="1"/>
  <c r="B353" i="18" s="1"/>
  <c r="B354" i="18" s="1"/>
  <c r="B355" i="18" s="1"/>
  <c r="B356" i="18" s="1"/>
  <c r="B357" i="18" s="1"/>
  <c r="B358" i="18" s="1"/>
  <c r="B359" i="18" s="1"/>
  <c r="B360" i="18" s="1"/>
  <c r="B361" i="18" s="1"/>
  <c r="B362" i="18" s="1"/>
  <c r="B363" i="18" s="1"/>
  <c r="B364" i="18" s="1"/>
  <c r="B365" i="18" s="1"/>
  <c r="B366" i="18" s="1"/>
  <c r="B367" i="18" s="1"/>
  <c r="E100" i="18"/>
  <c r="F37" i="18"/>
  <c r="G37" i="18" s="1"/>
  <c r="F71" i="18"/>
  <c r="G71" i="18" s="1"/>
  <c r="F63" i="18"/>
  <c r="G63" i="18" s="1"/>
  <c r="F106" i="18"/>
  <c r="G106" i="18" s="1"/>
  <c r="F77" i="18"/>
  <c r="G77" i="18" s="1"/>
  <c r="F45" i="18"/>
  <c r="G45" i="18" s="1"/>
  <c r="F49" i="18"/>
  <c r="G49" i="18" s="1"/>
  <c r="F30" i="18"/>
  <c r="G30" i="18" s="1"/>
  <c r="F85" i="18"/>
  <c r="G85" i="18" s="1"/>
  <c r="F31" i="18"/>
  <c r="G31" i="18" s="1"/>
  <c r="F18" i="18"/>
  <c r="G18" i="18" s="1"/>
  <c r="F17" i="18"/>
  <c r="G17" i="18" s="1"/>
  <c r="F23" i="18"/>
  <c r="G23" i="18" s="1"/>
  <c r="F15" i="18"/>
  <c r="G15" i="18" s="1"/>
  <c r="F24" i="18"/>
  <c r="G24" i="18" s="1"/>
  <c r="F10" i="18"/>
  <c r="G10" i="18" s="1"/>
  <c r="F14" i="18"/>
  <c r="G14" i="18" s="1"/>
  <c r="F22" i="18"/>
  <c r="G22" i="18" s="1"/>
  <c r="F19" i="18"/>
  <c r="G19" i="18" s="1"/>
  <c r="F16" i="18"/>
  <c r="G16" i="18" s="1"/>
  <c r="F12" i="18"/>
  <c r="G12" i="18" s="1"/>
  <c r="F13" i="18"/>
  <c r="G13" i="18" s="1"/>
  <c r="F11" i="18"/>
  <c r="G11" i="18" s="1"/>
  <c r="F21" i="18"/>
  <c r="G21" i="18" s="1"/>
  <c r="F100" i="18" l="1"/>
  <c r="G100" i="18" s="1"/>
  <c r="G30" i="15" l="1"/>
  <c r="H35" i="5" l="1"/>
  <c r="D26" i="5"/>
  <c r="G16" i="15"/>
  <c r="F94" i="17"/>
  <c r="G26" i="15" l="1"/>
  <c r="D41" i="6"/>
  <c r="D44" i="6" s="1"/>
  <c r="C36" i="17"/>
  <c r="G27" i="15" l="1"/>
  <c r="D26" i="15"/>
  <c r="F9" i="16"/>
  <c r="O20" i="8"/>
  <c r="P20" i="8" s="1"/>
  <c r="E41" i="6"/>
  <c r="E44" i="6" s="1"/>
  <c r="D36" i="17"/>
  <c r="G9" i="16" l="1"/>
  <c r="H9" i="16"/>
  <c r="G31" i="15"/>
  <c r="D31" i="15" s="1"/>
  <c r="D17" i="5"/>
  <c r="D27" i="15"/>
  <c r="E20" i="15"/>
  <c r="I95" i="17"/>
  <c r="C20" i="8"/>
  <c r="Q68" i="6"/>
  <c r="F41" i="6"/>
  <c r="F44" i="6" s="1"/>
  <c r="E36" i="17"/>
  <c r="D18" i="5" l="1"/>
  <c r="D19" i="5"/>
  <c r="I97" i="17"/>
  <c r="J95" i="17"/>
  <c r="J97" i="17" s="1"/>
  <c r="E17" i="15"/>
  <c r="E7" i="15"/>
  <c r="E14" i="15"/>
  <c r="E19" i="15"/>
  <c r="E15" i="15"/>
  <c r="E22" i="15"/>
  <c r="E16" i="15"/>
  <c r="E12" i="15"/>
  <c r="E11" i="15"/>
  <c r="E26" i="15"/>
  <c r="C68" i="6" s="1"/>
  <c r="E10" i="15"/>
  <c r="E23" i="15"/>
  <c r="E21" i="15"/>
  <c r="E13" i="15"/>
  <c r="E18" i="15"/>
  <c r="B60" i="17"/>
  <c r="L64" i="17" s="1"/>
  <c r="H39" i="5"/>
  <c r="H42" i="5" s="1"/>
  <c r="E28" i="20" s="1"/>
  <c r="B70" i="17"/>
  <c r="J13" i="20"/>
  <c r="I13" i="20"/>
  <c r="H13" i="20"/>
  <c r="C9" i="16"/>
  <c r="G41" i="6"/>
  <c r="G44" i="6" s="1"/>
  <c r="F36" i="17"/>
  <c r="G32" i="15" l="1"/>
  <c r="D32" i="15" s="1"/>
  <c r="F95" i="17"/>
  <c r="E24" i="15"/>
  <c r="E27" i="15" s="1"/>
  <c r="F45" i="6"/>
  <c r="F46" i="6" s="1"/>
  <c r="F49" i="6" s="1"/>
  <c r="E24" i="8" s="1"/>
  <c r="E31" i="15"/>
  <c r="D45" i="6"/>
  <c r="D46" i="6" s="1"/>
  <c r="D50" i="6" s="1"/>
  <c r="I45" i="6"/>
  <c r="H23" i="8" s="1"/>
  <c r="K45" i="6"/>
  <c r="J35" i="17" s="1"/>
  <c r="G45" i="6"/>
  <c r="F23" i="8" s="1"/>
  <c r="M45" i="6"/>
  <c r="L35" i="17" s="1"/>
  <c r="B66" i="17"/>
  <c r="L45" i="6"/>
  <c r="K35" i="17" s="1"/>
  <c r="J45" i="6"/>
  <c r="I35" i="17" s="1"/>
  <c r="E45" i="6"/>
  <c r="E46" i="6" s="1"/>
  <c r="H45" i="6"/>
  <c r="G23" i="8" s="1"/>
  <c r="B75" i="17"/>
  <c r="C95" i="17"/>
  <c r="H36" i="17"/>
  <c r="I41" i="6"/>
  <c r="I44" i="6" s="1"/>
  <c r="H41" i="6"/>
  <c r="H44" i="6" s="1"/>
  <c r="G36" i="17"/>
  <c r="F97" i="17" l="1"/>
  <c r="G95" i="17"/>
  <c r="G97" i="17" s="1"/>
  <c r="E30" i="15"/>
  <c r="E32" i="15" s="1"/>
  <c r="G47" i="6"/>
  <c r="H35" i="17"/>
  <c r="C35" i="17"/>
  <c r="C38" i="17" s="1"/>
  <c r="C61" i="17" s="1"/>
  <c r="E23" i="8"/>
  <c r="F47" i="6"/>
  <c r="F50" i="6"/>
  <c r="E25" i="8" s="1"/>
  <c r="F35" i="17"/>
  <c r="F38" i="17" s="1"/>
  <c r="F61" i="17" s="1"/>
  <c r="G46" i="6"/>
  <c r="G49" i="6" s="1"/>
  <c r="F24" i="8" s="1"/>
  <c r="L23" i="8"/>
  <c r="E35" i="17"/>
  <c r="E38" i="17" s="1"/>
  <c r="E61" i="17" s="1"/>
  <c r="J23" i="8"/>
  <c r="C23" i="8"/>
  <c r="G35" i="17"/>
  <c r="D47" i="6"/>
  <c r="I23" i="8"/>
  <c r="D23" i="8"/>
  <c r="K23" i="8"/>
  <c r="E47" i="6"/>
  <c r="D35" i="17"/>
  <c r="D38" i="17" s="1"/>
  <c r="D61" i="17" s="1"/>
  <c r="E50" i="6"/>
  <c r="D25" i="8" s="1"/>
  <c r="E49" i="6"/>
  <c r="D24" i="8" s="1"/>
  <c r="C25" i="8"/>
  <c r="D49" i="6"/>
  <c r="C24" i="8" s="1"/>
  <c r="H38" i="17"/>
  <c r="H61" i="17" s="1"/>
  <c r="I46" i="6"/>
  <c r="I47" i="6"/>
  <c r="J41" i="6"/>
  <c r="J44" i="6" s="1"/>
  <c r="I36" i="17"/>
  <c r="I38" i="17" s="1"/>
  <c r="I61" i="17" s="1"/>
  <c r="H47" i="6"/>
  <c r="H46" i="6"/>
  <c r="G50" i="6" l="1"/>
  <c r="F25" i="8" s="1"/>
  <c r="G38" i="17"/>
  <c r="G61" i="17" s="1"/>
  <c r="N23" i="8"/>
  <c r="H39" i="17"/>
  <c r="H62" i="17" s="1"/>
  <c r="H66" i="17" s="1"/>
  <c r="H40" i="17"/>
  <c r="H73" i="17" s="1"/>
  <c r="H75" i="17" s="1"/>
  <c r="H91" i="17" s="1"/>
  <c r="C40" i="17"/>
  <c r="C73" i="17" s="1"/>
  <c r="C39" i="17"/>
  <c r="I39" i="17"/>
  <c r="I62" i="17" s="1"/>
  <c r="I66" i="17" s="1"/>
  <c r="I40" i="17"/>
  <c r="I73" i="17" s="1"/>
  <c r="I75" i="17" s="1"/>
  <c r="I91" i="17" s="1"/>
  <c r="D40" i="17"/>
  <c r="D73" i="17" s="1"/>
  <c r="D75" i="17" s="1"/>
  <c r="D91" i="17" s="1"/>
  <c r="D39" i="17"/>
  <c r="F39" i="17"/>
  <c r="F40" i="17"/>
  <c r="F73" i="17" s="1"/>
  <c r="F75" i="17" s="1"/>
  <c r="F91" i="17" s="1"/>
  <c r="E39" i="17"/>
  <c r="E40" i="17"/>
  <c r="E73" i="17" s="1"/>
  <c r="E75" i="17" s="1"/>
  <c r="E91" i="17" s="1"/>
  <c r="I49" i="6"/>
  <c r="H24" i="8" s="1"/>
  <c r="I50" i="6"/>
  <c r="H25" i="8" s="1"/>
  <c r="H49" i="6"/>
  <c r="G24" i="8" s="1"/>
  <c r="H50" i="6"/>
  <c r="G25" i="8" s="1"/>
  <c r="J46" i="6"/>
  <c r="J47" i="6"/>
  <c r="K41" i="6"/>
  <c r="K44" i="6" s="1"/>
  <c r="J36" i="17"/>
  <c r="J38" i="17" s="1"/>
  <c r="J61" i="17" s="1"/>
  <c r="G39" i="17" l="1"/>
  <c r="G62" i="17" s="1"/>
  <c r="G66" i="17" s="1"/>
  <c r="G40" i="17"/>
  <c r="G73" i="17" s="1"/>
  <c r="G75" i="17" s="1"/>
  <c r="G91" i="17" s="1"/>
  <c r="C42" i="17"/>
  <c r="C75" i="17"/>
  <c r="C91" i="17" s="1"/>
  <c r="J39" i="17"/>
  <c r="J62" i="17" s="1"/>
  <c r="J66" i="17" s="1"/>
  <c r="J40" i="17"/>
  <c r="J73" i="17" s="1"/>
  <c r="J49" i="6"/>
  <c r="I24" i="8" s="1"/>
  <c r="J50" i="6"/>
  <c r="I25" i="8" s="1"/>
  <c r="H42" i="17"/>
  <c r="E62" i="17"/>
  <c r="E66" i="17" s="1"/>
  <c r="E42" i="17"/>
  <c r="C62" i="17"/>
  <c r="D62" i="17"/>
  <c r="D66" i="17" s="1"/>
  <c r="D42" i="17"/>
  <c r="F62" i="17"/>
  <c r="F66" i="17" s="1"/>
  <c r="F42" i="17"/>
  <c r="I42" i="17"/>
  <c r="K46" i="6"/>
  <c r="K47" i="6"/>
  <c r="L41" i="6"/>
  <c r="L44" i="6" s="1"/>
  <c r="K36" i="17"/>
  <c r="K38" i="17" s="1"/>
  <c r="K61" i="17" s="1"/>
  <c r="G42" i="17" l="1"/>
  <c r="C66" i="17"/>
  <c r="K40" i="17"/>
  <c r="K73" i="17" s="1"/>
  <c r="K75" i="17" s="1"/>
  <c r="K91" i="17" s="1"/>
  <c r="K39" i="17"/>
  <c r="K62" i="17" s="1"/>
  <c r="K66" i="17" s="1"/>
  <c r="K49" i="6"/>
  <c r="J24" i="8" s="1"/>
  <c r="K50" i="6"/>
  <c r="J42" i="17"/>
  <c r="L36" i="17"/>
  <c r="L38" i="17" s="1"/>
  <c r="L61" i="17" s="1"/>
  <c r="O35" i="17" s="1"/>
  <c r="M41" i="6"/>
  <c r="M44" i="6" s="1"/>
  <c r="L47" i="6"/>
  <c r="L46" i="6"/>
  <c r="J75" i="17"/>
  <c r="J91" i="17" s="1"/>
  <c r="L40" i="17" l="1"/>
  <c r="L73" i="17" s="1"/>
  <c r="L39" i="17"/>
  <c r="L62" i="17" s="1"/>
  <c r="O33" i="17" s="1"/>
  <c r="L49" i="6"/>
  <c r="K24" i="8" s="1"/>
  <c r="L50" i="6"/>
  <c r="K25" i="8" s="1"/>
  <c r="K42" i="17"/>
  <c r="M47" i="6"/>
  <c r="O61" i="6" s="1"/>
  <c r="O63" i="6" s="1"/>
  <c r="O65" i="6" s="1"/>
  <c r="N27" i="8" s="1"/>
  <c r="M46" i="6"/>
  <c r="J25" i="8"/>
  <c r="M50" i="6" l="1"/>
  <c r="M49" i="6"/>
  <c r="L24" i="8" s="1"/>
  <c r="L52" i="17"/>
  <c r="L55" i="17" s="1"/>
  <c r="L56" i="17" s="1"/>
  <c r="L42" i="17"/>
  <c r="C98" i="17"/>
  <c r="N73" i="17"/>
  <c r="N24" i="8" l="1"/>
  <c r="N26" i="8" s="1"/>
  <c r="L63" i="17"/>
  <c r="L66" i="17" s="1"/>
  <c r="R116" i="17" s="1"/>
  <c r="L25" i="8"/>
  <c r="O25" i="8" s="1"/>
  <c r="P25" i="8" s="1"/>
  <c r="Q50" i="6"/>
  <c r="Q70" i="6" s="1"/>
  <c r="O50" i="6"/>
  <c r="B54" i="17" l="1"/>
  <c r="B38" i="20"/>
  <c r="D13" i="16"/>
  <c r="O37" i="17"/>
  <c r="O38" i="17" s="1"/>
  <c r="L74" i="17"/>
  <c r="P26" i="8"/>
  <c r="F11" i="16"/>
  <c r="O26" i="8"/>
  <c r="H11" i="16" l="1"/>
  <c r="H14" i="20" s="1"/>
  <c r="G11" i="16"/>
  <c r="I14" i="20" s="1"/>
  <c r="J14" i="20"/>
  <c r="C100" i="17"/>
  <c r="L75" i="17"/>
  <c r="L91" i="17" s="1"/>
  <c r="M91" i="17" s="1"/>
  <c r="N29" i="8"/>
  <c r="N30" i="8" s="1"/>
  <c r="L28" i="8"/>
  <c r="O28" i="8" s="1"/>
  <c r="C104" i="17" l="1"/>
  <c r="B104" i="17" s="1"/>
  <c r="F13" i="16"/>
  <c r="P28" i="8"/>
  <c r="O29" i="8"/>
  <c r="O30" i="8" s="1"/>
  <c r="O31" i="8" s="1"/>
  <c r="P30" i="8"/>
  <c r="N31" i="8" l="1"/>
  <c r="I19" i="16"/>
  <c r="H13" i="16"/>
  <c r="H16" i="20" s="1"/>
  <c r="H19" i="20" s="1"/>
  <c r="G13" i="16"/>
  <c r="I16" i="20"/>
  <c r="J16" i="20"/>
  <c r="J19" i="20" s="1"/>
  <c r="I21" i="16" l="1"/>
  <c r="I26" i="16" s="1"/>
  <c r="J21" i="20" s="1"/>
  <c r="K19" i="16"/>
  <c r="J19" i="16"/>
  <c r="K21" i="16" l="1"/>
  <c r="J23" i="20" s="1"/>
  <c r="I23" i="20" s="1"/>
  <c r="J21" i="16"/>
  <c r="I19" i="20" s="1"/>
  <c r="I27"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Cukierman</author>
  </authors>
  <commentList>
    <comment ref="B47" authorId="0" shapeId="0" xr:uid="{856A4029-D90F-400A-919E-F5FF2E527315}">
      <text>
        <r>
          <rPr>
            <b/>
            <sz val="9"/>
            <color indexed="81"/>
            <rFont val="Tahoma"/>
            <family val="2"/>
          </rPr>
          <t>David Cukierman:</t>
        </r>
        <r>
          <rPr>
            <sz val="9"/>
            <color indexed="81"/>
            <rFont val="Tahoma"/>
            <family val="2"/>
          </rPr>
          <t xml:space="preserve">
incl Title &amp; Closing + Brokerage
</t>
        </r>
      </text>
    </comment>
    <comment ref="C79" authorId="0" shapeId="0" xr:uid="{2CDD4028-34F5-43FC-A7E6-D7EEAA94CC27}">
      <text>
        <r>
          <rPr>
            <b/>
            <sz val="9"/>
            <color indexed="81"/>
            <rFont val="Tahoma"/>
            <family val="2"/>
          </rPr>
          <t>David Cukierman:</t>
        </r>
        <r>
          <rPr>
            <sz val="9"/>
            <color indexed="81"/>
            <rFont val="Tahoma"/>
            <family val="2"/>
          </rPr>
          <t xml:space="preserve">
From Cell M61  'Mixed Rent' Tab</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<sst xmlns="http://schemas.openxmlformats.org/spreadsheetml/2006/main" count="951" uniqueCount="372">
  <si>
    <t>80% AMI</t>
  </si>
  <si>
    <t>60% AMI</t>
  </si>
  <si>
    <t>Sq.Ft.</t>
  </si>
  <si>
    <t>Unit</t>
  </si>
  <si>
    <t>Subtotal</t>
  </si>
  <si>
    <t>Total</t>
  </si>
  <si>
    <t>Annual Rent</t>
  </si>
  <si>
    <t>#</t>
  </si>
  <si>
    <t>Units</t>
  </si>
  <si>
    <t>%age</t>
  </si>
  <si>
    <t>Size</t>
  </si>
  <si>
    <t>Monthly Rent</t>
  </si>
  <si>
    <t>PSF</t>
  </si>
  <si>
    <t>Market Rate</t>
  </si>
  <si>
    <t>Difference</t>
  </si>
  <si>
    <t>vs Market</t>
  </si>
  <si>
    <t>Lesser of</t>
  </si>
  <si>
    <t>Type</t>
  </si>
  <si>
    <t># of Units</t>
  </si>
  <si>
    <t>1-Bedroom</t>
  </si>
  <si>
    <t>2-Bedroom</t>
  </si>
  <si>
    <t>Less</t>
  </si>
  <si>
    <t>Vacancy Factor</t>
  </si>
  <si>
    <t>Adj Gross Rents</t>
  </si>
  <si>
    <t>Rental Income</t>
  </si>
  <si>
    <t>Other Income</t>
  </si>
  <si>
    <t>Total Income</t>
  </si>
  <si>
    <t>Real Estate Taxes</t>
  </si>
  <si>
    <t>Operating Expenses</t>
  </si>
  <si>
    <t>Total Expenses</t>
  </si>
  <si>
    <t>Net Income</t>
  </si>
  <si>
    <t>Non-Operating Expenses</t>
  </si>
  <si>
    <t>Adj Net Income</t>
  </si>
  <si>
    <t>Add</t>
  </si>
  <si>
    <t>Loan Amount</t>
  </si>
  <si>
    <t>Interest Rate</t>
  </si>
  <si>
    <t>Amortization Period</t>
  </si>
  <si>
    <t>Payment</t>
  </si>
  <si>
    <t>Per Unit</t>
  </si>
  <si>
    <t>Overall Rate of Return</t>
  </si>
  <si>
    <t>Cash Flow</t>
  </si>
  <si>
    <t>Origination Fee</t>
  </si>
  <si>
    <t>HHA</t>
  </si>
  <si>
    <t>Sponsor</t>
  </si>
  <si>
    <t>Constant</t>
  </si>
  <si>
    <t>Adj Net Income2</t>
  </si>
  <si>
    <t>Asset Management Fee</t>
  </si>
  <si>
    <t>Adj Cash Flow</t>
  </si>
  <si>
    <t>Preferential Distribution</t>
  </si>
  <si>
    <t>Balance (or Accrued Deficit)</t>
  </si>
  <si>
    <t>Market Rents</t>
  </si>
  <si>
    <t>Affordable Rents</t>
  </si>
  <si>
    <t>80% AMI Rents</t>
  </si>
  <si>
    <t>60% AMI Rents</t>
  </si>
  <si>
    <t>Total Rental Income</t>
  </si>
  <si>
    <t>Year 1</t>
  </si>
  <si>
    <t>Year 2</t>
  </si>
  <si>
    <t>Year 3</t>
  </si>
  <si>
    <t>Year 4</t>
  </si>
  <si>
    <t>Year 5</t>
  </si>
  <si>
    <t>Year 6</t>
  </si>
  <si>
    <t>Year 7</t>
  </si>
  <si>
    <t>Year 8</t>
  </si>
  <si>
    <t>Year 9</t>
  </si>
  <si>
    <t>Year 10</t>
  </si>
  <si>
    <t>Debt Service</t>
  </si>
  <si>
    <t>Other Distributions</t>
  </si>
  <si>
    <t>Total Accrual</t>
  </si>
  <si>
    <t>Dipsosition</t>
  </si>
  <si>
    <t>Sales Price</t>
  </si>
  <si>
    <t>Capitalization Rate</t>
  </si>
  <si>
    <t>Closing Costs</t>
  </si>
  <si>
    <t>Adj Sales Price</t>
  </si>
  <si>
    <t>Sales Proceeds</t>
  </si>
  <si>
    <t>Loan Balance</t>
  </si>
  <si>
    <t>Net Sales Proceeds</t>
  </si>
  <si>
    <t>Capital Account</t>
  </si>
  <si>
    <t>Adj Net Sales Proceeds</t>
  </si>
  <si>
    <t>excl Non-Operating Expenses</t>
  </si>
  <si>
    <t>incl Title &amp; Closing + Brokerage</t>
  </si>
  <si>
    <t>Total Benefit</t>
  </si>
  <si>
    <t>Market Rent</t>
  </si>
  <si>
    <t>Mixed Income</t>
  </si>
  <si>
    <t>Net Savings</t>
  </si>
  <si>
    <t>Other Benefits</t>
  </si>
  <si>
    <t>in Order of Distribution</t>
  </si>
  <si>
    <t>%age Real Estate Taxes</t>
  </si>
  <si>
    <t>Total Benefits</t>
  </si>
  <si>
    <t>SOURCES and USES of FUNDS</t>
  </si>
  <si>
    <t>CASH FLOW and LOAN ANALYSIS</t>
  </si>
  <si>
    <t>Imputed Equity</t>
  </si>
  <si>
    <t>Rate of Return</t>
  </si>
  <si>
    <t>10 Year PRO FORMA</t>
  </si>
  <si>
    <t>PRO FORMA PROFIT &amp; LOSS STATEMENT</t>
  </si>
  <si>
    <t>BENEFITS ANALYSIS</t>
  </si>
  <si>
    <t>Distribution, Sales Proceeds</t>
  </si>
  <si>
    <t>Loan</t>
  </si>
  <si>
    <t>Total Sources</t>
  </si>
  <si>
    <t>Total Sq.Ft.</t>
  </si>
  <si>
    <t>Novogradac Rents</t>
  </si>
  <si>
    <t>Novogradac</t>
  </si>
  <si>
    <t>Market</t>
  </si>
  <si>
    <t>Pro Forma Rate</t>
  </si>
  <si>
    <t>Total - Average Size (SF)</t>
  </si>
  <si>
    <t>HCV Payment Standard</t>
  </si>
  <si>
    <t>Difference from 60% AMI</t>
  </si>
  <si>
    <t>Net Reduction</t>
  </si>
  <si>
    <t>Difference vs Market</t>
  </si>
  <si>
    <t>Number of Units</t>
  </si>
  <si>
    <t>Total Controllable Expenses</t>
  </si>
  <si>
    <t>Total Non-Controllable Operating Expenses</t>
  </si>
  <si>
    <t>Net Operating Income</t>
  </si>
  <si>
    <t>Adj Net Operating Income</t>
  </si>
  <si>
    <t>Total Net Income</t>
  </si>
  <si>
    <t>Debt Service Coverage (P+I)</t>
  </si>
  <si>
    <t>per Unit</t>
  </si>
  <si>
    <t>MARKET versus AFFORDABLE RENT ANALYSIS</t>
  </si>
  <si>
    <t>Gross Potential Income</t>
  </si>
  <si>
    <t>Equity</t>
  </si>
  <si>
    <t>Controllable Expenses</t>
  </si>
  <si>
    <t xml:space="preserve">  Insurance</t>
  </si>
  <si>
    <t xml:space="preserve">  Real Estate Taxes</t>
  </si>
  <si>
    <t>Vacancy</t>
  </si>
  <si>
    <t>excl Real Estate Taxes</t>
  </si>
  <si>
    <t>Fixed</t>
  </si>
  <si>
    <t>Uses</t>
  </si>
  <si>
    <t>Total 1 Bedroom</t>
  </si>
  <si>
    <t>Total 2 Bedrooms</t>
  </si>
  <si>
    <t>Total Other Non-Controllable Expenses</t>
  </si>
  <si>
    <t>3-Bedroom</t>
  </si>
  <si>
    <t>Utilities Income</t>
  </si>
  <si>
    <t>Other &amp; Utilities Income</t>
  </si>
  <si>
    <t xml:space="preserve">  Other</t>
  </si>
  <si>
    <t>ADJ for Post-Closing Lease Payment</t>
  </si>
  <si>
    <t>Non-Controllable Expenses</t>
  </si>
  <si>
    <t>Est</t>
  </si>
  <si>
    <t>Marketing</t>
  </si>
  <si>
    <t>Total Project Cost</t>
  </si>
  <si>
    <t>Capital Reserves</t>
  </si>
  <si>
    <t>Adj Rent, incl Affordability</t>
  </si>
  <si>
    <t>Capital Events (Back End)</t>
  </si>
  <si>
    <t>of Total Income</t>
  </si>
  <si>
    <t>Total Direct Benefits</t>
  </si>
  <si>
    <t>Total Public Benefit</t>
  </si>
  <si>
    <t>Total Est Property Tax Savings</t>
  </si>
  <si>
    <t>Public versus Private Benefit</t>
  </si>
  <si>
    <t>Percentage</t>
  </si>
  <si>
    <t xml:space="preserve"> / Unit</t>
  </si>
  <si>
    <t>Project Proforma</t>
  </si>
  <si>
    <t xml:space="preserve"> Income Analysis</t>
  </si>
  <si>
    <t>Non-Revenue Units:</t>
  </si>
  <si>
    <t>Concessions:</t>
  </si>
  <si>
    <t>Employee:</t>
  </si>
  <si>
    <t>Bad Debt Write Offs:</t>
  </si>
  <si>
    <t>Less: Vacancy</t>
  </si>
  <si>
    <t>Effective Gross Income</t>
  </si>
  <si>
    <t>Utilities</t>
  </si>
  <si>
    <t>Repairs &amp; Maintenance</t>
  </si>
  <si>
    <t>Property Taxes &amp; Franchise Tax</t>
  </si>
  <si>
    <t>Insurance</t>
  </si>
  <si>
    <t>Management Fee</t>
  </si>
  <si>
    <t>Reserves</t>
  </si>
  <si>
    <t>Underwritten NOI</t>
  </si>
  <si>
    <t>Cash Flow for Distribution</t>
  </si>
  <si>
    <t>Developer</t>
  </si>
  <si>
    <t>Net Cash Flow</t>
  </si>
  <si>
    <t>Sale Proceeds</t>
  </si>
  <si>
    <t>Cash to  Developer to reach IRR</t>
  </si>
  <si>
    <t>Balance for Distribution</t>
  </si>
  <si>
    <t>IRR Calculation for Developer</t>
  </si>
  <si>
    <t>Cash Investment</t>
  </si>
  <si>
    <t>Return of Equity</t>
  </si>
  <si>
    <t>Preferrential Return to achive IRR goal</t>
  </si>
  <si>
    <t>Total Cash Flows</t>
  </si>
  <si>
    <t>IRR Target</t>
  </si>
  <si>
    <t>Cash Flow from Operations</t>
  </si>
  <si>
    <t>HHA Cash Flow</t>
  </si>
  <si>
    <t>Exit Cash Flow</t>
  </si>
  <si>
    <t>Totals</t>
  </si>
  <si>
    <t>Scheduled Rent</t>
  </si>
  <si>
    <t>Effective Rent per Unit</t>
  </si>
  <si>
    <t>Effective Rent PSF</t>
  </si>
  <si>
    <t>PFC</t>
  </si>
  <si>
    <t>Rent Concession Delta</t>
  </si>
  <si>
    <t>Developer's Net Savings</t>
  </si>
  <si>
    <t>HHA gets:</t>
  </si>
  <si>
    <t>Source</t>
  </si>
  <si>
    <t>Use</t>
  </si>
  <si>
    <t>Developer Fee/Origination Fee</t>
  </si>
  <si>
    <t>Total Source</t>
  </si>
  <si>
    <t>Total Use</t>
  </si>
  <si>
    <t xml:space="preserve">Cash Flow </t>
  </si>
  <si>
    <t>Back-end Cash</t>
  </si>
  <si>
    <t>Total Property Tax Savings</t>
  </si>
  <si>
    <t>Rent Concession Delta varies from</t>
  </si>
  <si>
    <t>to</t>
  </si>
  <si>
    <t>Total Public Benefits</t>
  </si>
  <si>
    <t>Developer Fee/Origination Fee on total acquisition costs</t>
  </si>
  <si>
    <t>None</t>
  </si>
  <si>
    <t>0.75% of the Purchase Price,</t>
  </si>
  <si>
    <t xml:space="preserve">Cash Flow Waterfall: </t>
  </si>
  <si>
    <t>Capital Proceeds Waterfall:</t>
  </si>
  <si>
    <t xml:space="preserve">Asset Management Fee: </t>
  </si>
  <si>
    <t>Term:</t>
  </si>
  <si>
    <t>months</t>
  </si>
  <si>
    <t>Monthly payment</t>
  </si>
  <si>
    <t>Month</t>
  </si>
  <si>
    <t>Date</t>
  </si>
  <si>
    <t>Beginning Bal.</t>
  </si>
  <si>
    <t>Ending Bal.</t>
  </si>
  <si>
    <t>Interest</t>
  </si>
  <si>
    <t>Principal</t>
  </si>
  <si>
    <t>Total Development Cost</t>
  </si>
  <si>
    <t xml:space="preserve">  Management Fee incl Asset Management Fee</t>
  </si>
  <si>
    <t>Franchise Tax</t>
  </si>
  <si>
    <t xml:space="preserve">  Franchise Tax</t>
  </si>
  <si>
    <t>Accrued Preferential Distribution</t>
  </si>
  <si>
    <t>See Note</t>
  </si>
  <si>
    <t>DEBT SERVICE | PERMANENT LOAN</t>
  </si>
  <si>
    <t>Initial Sources</t>
  </si>
  <si>
    <t>Add:</t>
  </si>
  <si>
    <t>Advisory Fee</t>
  </si>
  <si>
    <t>Legal Fees, Lender</t>
  </si>
  <si>
    <t>Title &amp; Closing Costs</t>
  </si>
  <si>
    <t>Loan Origination Fee</t>
  </si>
  <si>
    <t>Lender Processing Fee</t>
  </si>
  <si>
    <t>Third Party Reports</t>
  </si>
  <si>
    <t>Working Capital</t>
  </si>
  <si>
    <t>Year 1 Insurance / Interest</t>
  </si>
  <si>
    <t>Capex Reserve</t>
  </si>
  <si>
    <t>Loan to Purchase Price</t>
  </si>
  <si>
    <t>Collection Loss/Employee/Model</t>
  </si>
  <si>
    <t>Accrued Pref Distribution</t>
  </si>
  <si>
    <t>Tier B</t>
  </si>
  <si>
    <t>Utility Income</t>
  </si>
  <si>
    <t>Acquisition Fee</t>
  </si>
  <si>
    <t>Sponsor Legal</t>
  </si>
  <si>
    <t>Sponsor Third Party Legal</t>
  </si>
  <si>
    <t>Contributed Value</t>
  </si>
  <si>
    <t>Transaction Costs</t>
  </si>
  <si>
    <t>Other</t>
  </si>
  <si>
    <t>Other Adj to Rent</t>
  </si>
  <si>
    <t>Other &amp; Misc Fee Income</t>
  </si>
  <si>
    <t xml:space="preserve">  Salaries &amp; Benefits</t>
  </si>
  <si>
    <t xml:space="preserve">  Marketing &amp; Leasing</t>
  </si>
  <si>
    <t xml:space="preserve">  Property G&amp;A</t>
  </si>
  <si>
    <t xml:space="preserve">  Repairs &amp; Maintenance</t>
  </si>
  <si>
    <t xml:space="preserve">  Utilities</t>
  </si>
  <si>
    <t>Tier A-1</t>
  </si>
  <si>
    <t>Bedroom Size</t>
  </si>
  <si>
    <t>Tier A-2</t>
  </si>
  <si>
    <t>Tier C</t>
  </si>
  <si>
    <t>Tier D</t>
  </si>
  <si>
    <t>Efficiency</t>
  </si>
  <si>
    <t>4-Bedroom</t>
  </si>
  <si>
    <t>Total 3 Bedrooms</t>
  </si>
  <si>
    <t>Contingency/Rehab Costs</t>
  </si>
  <si>
    <t>Public Benefit Ratio</t>
  </si>
  <si>
    <t>Sponsor Acquisition Fee</t>
  </si>
  <si>
    <t>Contigency/Rehab Costs</t>
  </si>
  <si>
    <t>P&amp;L</t>
  </si>
  <si>
    <t>Salaries &amp; Benefits</t>
  </si>
  <si>
    <t>Marketing &amp; Leasing</t>
  </si>
  <si>
    <t>Property G&amp;A</t>
  </si>
  <si>
    <t>Other Controllable Expenses</t>
  </si>
  <si>
    <t>Growth Curves</t>
  </si>
  <si>
    <t>Market Rents Yr 2</t>
  </si>
  <si>
    <t>Market Rents Yr 1</t>
  </si>
  <si>
    <t>Market Rents Yr 3</t>
  </si>
  <si>
    <t>Market Rents Yr 4</t>
  </si>
  <si>
    <t>Market Rents Yr 5</t>
  </si>
  <si>
    <t>Market Rents Yr 6</t>
  </si>
  <si>
    <t>Market Rents Yr 7</t>
  </si>
  <si>
    <t>Market Rents Yr 8</t>
  </si>
  <si>
    <t>Market Rents Yr 9</t>
  </si>
  <si>
    <t>Market Rents Yr 10</t>
  </si>
  <si>
    <t>Amort Period</t>
  </si>
  <si>
    <t>Capital Structure</t>
  </si>
  <si>
    <t>Rate of Return on Imputed Equity</t>
  </si>
  <si>
    <t>Residual Distribution Split</t>
  </si>
  <si>
    <t>Cash Flow after Pref</t>
  </si>
  <si>
    <t>Distribution on Capital Event</t>
  </si>
  <si>
    <t>Sales Cap Rate</t>
  </si>
  <si>
    <t>Sales adj for Post Closing Lease Payment</t>
  </si>
  <si>
    <t>Sale Closing Costs</t>
  </si>
  <si>
    <t>Balance or (Accrued Deficit)</t>
  </si>
  <si>
    <t>$ per Unit</t>
  </si>
  <si>
    <t>Total $ over 10 yrs</t>
  </si>
  <si>
    <t>Adj Rent (including affordability)</t>
  </si>
  <si>
    <t>Tax Savings to Sponsor</t>
  </si>
  <si>
    <t xml:space="preserve">  Other Controllable Expenses</t>
  </si>
  <si>
    <t>Other Non-contollable Expenses</t>
  </si>
  <si>
    <t>Rent Mix</t>
  </si>
  <si>
    <t>80% of AMI</t>
  </si>
  <si>
    <t>60% of AMI</t>
  </si>
  <si>
    <t>The greater of 0.5% of Total Income or $25,000 per annum increased at</t>
  </si>
  <si>
    <t>3% per year</t>
  </si>
  <si>
    <t>3 Bedrooms</t>
  </si>
  <si>
    <t>Developer Fee</t>
  </si>
  <si>
    <t>Pref Return</t>
  </si>
  <si>
    <t>IRR</t>
  </si>
  <si>
    <t>Profit</t>
  </si>
  <si>
    <t>Total Cash Benefits</t>
  </si>
  <si>
    <t>Avg. sq. ft.</t>
  </si>
  <si>
    <t>Interest Only, Years 1-5</t>
  </si>
  <si>
    <t>Lender Application Fee (Rate Cap)</t>
  </si>
  <si>
    <t>Electric</t>
  </si>
  <si>
    <t>Natural Gas</t>
  </si>
  <si>
    <t>Water</t>
  </si>
  <si>
    <t>Sewer</t>
  </si>
  <si>
    <t>Preferred return</t>
  </si>
  <si>
    <t>1 Bedroom</t>
  </si>
  <si>
    <t>2 Bedrooms</t>
  </si>
  <si>
    <t>Percentages</t>
  </si>
  <si>
    <t>Market Subtotal</t>
  </si>
  <si>
    <t>80% AMI Subtotal</t>
  </si>
  <si>
    <t>60% AMI Subtotal</t>
  </si>
  <si>
    <t>1 Bedroom Market Subtotal</t>
  </si>
  <si>
    <t>2 Bedroom Market Subtotal</t>
  </si>
  <si>
    <t>3 Bedroom Market Subtotal</t>
  </si>
  <si>
    <t>1 Bedroom 80% AMI Subtotal</t>
  </si>
  <si>
    <t>2 Bedroom 80% AMI Subtotal</t>
  </si>
  <si>
    <t>3 Bedroom 80% AMI Subtotal</t>
  </si>
  <si>
    <t>1 Bedroom 60% AMI Subtotal</t>
  </si>
  <si>
    <t>2 Bedroom 60% AMI Subtotal</t>
  </si>
  <si>
    <t>3 Bedroom 60% AMI Subtotal</t>
  </si>
  <si>
    <t>% of Tax Savings Returned in Reduced Rents</t>
  </si>
  <si>
    <t>Rent Discounts compared to Tax Exemption (60% Test)</t>
  </si>
  <si>
    <t>Asset &amp; Complaince Fee</t>
  </si>
  <si>
    <t>Asset &amp; Complaince Fees</t>
  </si>
  <si>
    <t>Annual Asset &amp; Compliance Fees</t>
  </si>
  <si>
    <t>PILOT</t>
  </si>
  <si>
    <t>.</t>
  </si>
  <si>
    <t>Year of LURA Expiration</t>
  </si>
  <si>
    <t>Partner</t>
  </si>
  <si>
    <t>Issuer Origination Fee</t>
  </si>
  <si>
    <t>Cash Flow Share</t>
  </si>
  <si>
    <t>Capital Event Share</t>
  </si>
  <si>
    <t>Asset &amp; Compliance Fees</t>
  </si>
  <si>
    <t>Municipality</t>
  </si>
  <si>
    <t>Agency</t>
  </si>
  <si>
    <t>Legal Fees, Agency</t>
  </si>
  <si>
    <t>Public  Housing Authority</t>
  </si>
  <si>
    <t xml:space="preserve"> Compliance Fee</t>
  </si>
  <si>
    <t>10 Year Cash Flow Model</t>
  </si>
  <si>
    <t xml:space="preserve">Origination Fee </t>
  </si>
  <si>
    <t>Cash to Agency</t>
  </si>
  <si>
    <t>Total Cash Flow to Agency</t>
  </si>
  <si>
    <t>Market vs Affordable</t>
  </si>
  <si>
    <t>Cash Flow to Agency</t>
  </si>
  <si>
    <t>Total Agency Cash Benefit</t>
  </si>
  <si>
    <t>Agency Capital Contribution:</t>
  </si>
  <si>
    <t>Agency Origination Fee:</t>
  </si>
  <si>
    <t>FY 2023 Agency Payment Standard by Tier</t>
  </si>
  <si>
    <t>Agency 2023 Utility Allownances</t>
  </si>
  <si>
    <t xml:space="preserve">  Taxes</t>
  </si>
  <si>
    <t xml:space="preserve">Agency PILOT </t>
  </si>
  <si>
    <t>Housing Authority of New Orleans (HANO) HCVP</t>
  </si>
  <si>
    <t>Payment Standards and Exception Payment Standards</t>
  </si>
  <si>
    <t>110% of Fiscal Year 2026 Small Area Fair Market Rents (SAFMR) for Zip Codes 70115, 70116, 70118, 70119, 70122, 70124, 70125, 70128, and 70130</t>
  </si>
  <si>
    <t>110% of Fiscal Year 2026 Fair Market Rents (FMRs) for all Other Zip Codes</t>
  </si>
  <si>
    <t>Zip Code</t>
  </si>
  <si>
    <t>Studio</t>
  </si>
  <si>
    <t>2 Bedroom</t>
  </si>
  <si>
    <t>3 Bedroom</t>
  </si>
  <si>
    <t>4 Bedroom</t>
  </si>
  <si>
    <t>5 Bedroom</t>
  </si>
  <si>
    <t>6 Bedroom</t>
  </si>
  <si>
    <t>7 Bedroom</t>
  </si>
  <si>
    <t>All Other Zips</t>
  </si>
  <si>
    <t>Effective January 1, 2026</t>
  </si>
  <si>
    <t>Please note that the actual amount of rent paid will be based upon unassisted rents in the New Orleans Metropolitan area as well as the tenant's income. The Payment Standards reflect the maximum payments that HANO can make on behalf of participant, including both the contract rent and the tenant's utility allowance. These amounts are not a guaranteed rental rate.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</si>
</sst>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5">
    <numFmt numFmtId="5" formatCode="&quot;$&quot;#,##0_);\(&quot;$&quot;#,##0\)"/>
    <numFmt numFmtId="6" formatCode="&quot;$&quot;#,##0_);[Red]\(&quot;$&quot;#,##0\)"/>
    <numFmt numFmtId="8" formatCode="&quot;$&quot;#,##0.00_);[Red]\(&quot;$&quot;#,##0.00\)"/>
    <numFmt numFmtId="44" formatCode="_(&quot;$&quot;* #,##0.00_);_(&quot;$&quot;* \(#,##0.00\);_(&quot;$&quot;* &quot;-&quot;??_);_(@_)"/>
    <numFmt numFmtId="43" formatCode="_(* #,##0.00_);_(* \(#,##0.00\);_(* &quot;-&quot;??_);_(@_)"/>
    <numFmt numFmtId="164" formatCode="_(* #,##0_);_(* \(#,##0\);_(* &quot;-&quot;??_);_(@_)"/>
    <numFmt numFmtId="165" formatCode="_(&quot;$&quot;* #,##0_);_(&quot;$&quot;* \(#,##0\);_(&quot;$&quot;* &quot;-&quot;??_);_(@_)"/>
    <numFmt numFmtId="166" formatCode="[$-409]mmmm\ d\,\ yyyy;@"/>
    <numFmt numFmtId="167" formatCode="&quot;$&quot;#,##0.00"/>
    <numFmt numFmtId="168" formatCode="[$-409]d/mmm/yy;@"/>
    <numFmt numFmtId="169" formatCode="&quot;$&quot;#,##0"/>
    <numFmt numFmtId="170" formatCode="#,##0\ ;\(#,##0\)"/>
    <numFmt numFmtId="171" formatCode="dd\-mmm\-yy"/>
    <numFmt numFmtId="172" formatCode="0.000%"/>
    <numFmt numFmtId="173" formatCode="0.0%"/>
  </numFmts>
  <fonts count="33">
    <font>
      <sz val="11"/>
      <color theme="1"/>
      <name val="Calibri"/>
      <family val="2"/>
      <scheme val="minor"/>
    </font>
    <font>
      <sz val="11"/>
      <color theme="1"/>
      <name val="Calibri"/>
      <family val="2"/>
      <scheme val="minor"/>
    </font>
    <font>
      <b/>
      <sz val="11"/>
      <color theme="0"/>
      <name val="Calibri"/>
      <family val="2"/>
      <scheme val="minor"/>
    </font>
    <font>
      <sz val="10"/>
      <color indexed="8"/>
      <name val="匠牥晩††††††††††"/>
    </font>
    <font>
      <sz val="11"/>
      <color theme="1" tint="0.24994659260841701"/>
      <name val="Calibri"/>
      <family val="2"/>
      <scheme val="minor"/>
    </font>
    <font>
      <b/>
      <sz val="10"/>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0"/>
      <name val="Calibri"/>
      <family val="2"/>
      <scheme val="minor"/>
    </font>
    <font>
      <b/>
      <sz val="10"/>
      <name val="Calibri"/>
      <family val="2"/>
      <scheme val="minor"/>
    </font>
    <font>
      <sz val="10"/>
      <color rgb="FFFF0000"/>
      <name val="Calibri"/>
      <family val="2"/>
      <scheme val="minor"/>
    </font>
    <font>
      <b/>
      <sz val="10"/>
      <color rgb="FFFF0000"/>
      <name val="Calibri"/>
      <family val="2"/>
      <scheme val="minor"/>
    </font>
    <font>
      <b/>
      <sz val="10"/>
      <color rgb="FF00B050"/>
      <name val="Calibri"/>
      <family val="2"/>
      <scheme val="minor"/>
    </font>
    <font>
      <b/>
      <sz val="11"/>
      <color theme="1"/>
      <name val="Calibri"/>
      <family val="2"/>
      <scheme val="minor"/>
    </font>
    <font>
      <sz val="11"/>
      <color theme="0"/>
      <name val="Calibri"/>
      <family val="2"/>
      <scheme val="minor"/>
    </font>
    <font>
      <sz val="13"/>
      <color theme="1"/>
      <name val="Calibri"/>
      <family val="2"/>
      <scheme val="minor"/>
    </font>
    <font>
      <b/>
      <sz val="18"/>
      <color theme="0"/>
      <name val="Calibri"/>
      <family val="2"/>
      <scheme val="minor"/>
    </font>
    <font>
      <sz val="11"/>
      <name val="Calibri"/>
      <family val="2"/>
      <scheme val="minor"/>
    </font>
    <font>
      <b/>
      <sz val="11"/>
      <name val="Calibri"/>
      <family val="2"/>
      <scheme val="minor"/>
    </font>
    <font>
      <sz val="10"/>
      <color rgb="FF000000"/>
      <name val="Times New Roman"/>
      <family val="1"/>
    </font>
    <font>
      <sz val="11"/>
      <color theme="1"/>
      <name val="Symbol"/>
      <family val="1"/>
      <charset val="2"/>
    </font>
    <font>
      <b/>
      <sz val="9"/>
      <color indexed="81"/>
      <name val="Tahoma"/>
      <family val="2"/>
    </font>
    <font>
      <sz val="9"/>
      <color indexed="81"/>
      <name val="Tahoma"/>
      <family val="2"/>
    </font>
    <font>
      <sz val="10"/>
      <name val="Arial"/>
      <family val="2"/>
    </font>
    <font>
      <b/>
      <sz val="16"/>
      <color theme="1"/>
      <name val="Calibri"/>
      <family val="2"/>
      <scheme val="minor"/>
    </font>
    <font>
      <sz val="8"/>
      <name val="Calibri"/>
      <family val="2"/>
      <scheme val="minor"/>
    </font>
    <font>
      <i/>
      <sz val="11"/>
      <color theme="1"/>
      <name val="Calibri"/>
      <family val="2"/>
      <scheme val="minor"/>
    </font>
    <font>
      <b/>
      <sz val="11"/>
      <color rgb="FFFF0000"/>
      <name val="Calibri"/>
      <family val="2"/>
      <scheme val="minor"/>
    </font>
    <font>
      <b/>
      <sz val="12"/>
      <color theme="1"/>
      <name val="Calibri"/>
      <family val="2"/>
      <scheme val="minor"/>
    </font>
    <font>
      <b/>
      <sz val="14"/>
      <color theme="1"/>
      <name val="Calibri"/>
      <family val="2"/>
      <scheme val="minor"/>
    </font>
    <font>
      <b/>
      <sz val="11"/>
      <color rgb="FFFFFFFF"/>
      <name val="Calibri"/>
      <family val="2"/>
      <scheme val="minor"/>
    </font>
    <font>
      <i/>
      <sz val="10"/>
      <color theme="1"/>
      <name val="Calibri"/>
      <family val="2"/>
      <scheme val="minor"/>
    </font>
  </fonts>
  <fills count="9">
    <fill>
      <patternFill patternType="none"/>
    </fill>
    <fill>
      <patternFill patternType="gray125"/>
    </fill>
    <fill>
      <patternFill patternType="solid">
        <fgColor theme="4" tint="0.79998168889431442"/>
        <bgColor indexed="65"/>
      </patternFill>
    </fill>
    <fill>
      <patternFill patternType="solid">
        <fgColor theme="0" tint="-0.14996795556505021"/>
        <bgColor indexed="64"/>
      </patternFill>
    </fill>
    <fill>
      <patternFill patternType="solid">
        <fgColor theme="4" tint="-0.499984740745262"/>
        <bgColor indexed="64"/>
      </patternFill>
    </fill>
    <fill>
      <patternFill patternType="solid">
        <fgColor theme="0"/>
        <bgColor indexed="64"/>
      </patternFill>
    </fill>
    <fill>
      <patternFill patternType="solid">
        <fgColor theme="8" tint="0.79998168889431442"/>
        <bgColor indexed="64"/>
      </patternFill>
    </fill>
    <fill>
      <patternFill patternType="solid">
        <fgColor rgb="FF4472C4"/>
        <bgColor indexed="64"/>
      </patternFill>
    </fill>
    <fill>
      <patternFill patternType="solid">
        <fgColor rgb="FFD9E2F3"/>
        <bgColor indexed="64"/>
      </patternFill>
    </fill>
  </fills>
  <borders count="18">
    <border>
      <left/>
      <right/>
      <top/>
      <bottom/>
      <diagonal/>
    </border>
    <border>
      <left/>
      <right/>
      <top/>
      <bottom style="thin">
        <color indexed="64"/>
      </bottom>
      <diagonal/>
    </border>
    <border>
      <left/>
      <right/>
      <top/>
      <bottom style="double">
        <color indexed="64"/>
      </bottom>
      <diagonal/>
    </border>
    <border>
      <left/>
      <right/>
      <top style="thin">
        <color indexed="64"/>
      </top>
      <bottom style="thin">
        <color indexed="64"/>
      </bottom>
      <diagonal/>
    </border>
    <border>
      <left/>
      <right/>
      <top style="thin">
        <color indexed="64"/>
      </top>
      <bottom style="double">
        <color indexed="64"/>
      </bottom>
      <diagonal/>
    </border>
    <border>
      <left/>
      <right/>
      <top style="double">
        <color indexed="64"/>
      </top>
      <bottom/>
      <diagonal/>
    </border>
    <border>
      <left/>
      <right/>
      <top style="double">
        <color indexed="64"/>
      </top>
      <bottom style="double">
        <color indexed="64"/>
      </bottom>
      <diagonal/>
    </border>
    <border>
      <left/>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8DB4E2"/>
      </left>
      <right style="thin">
        <color rgb="FF8DB4E2"/>
      </right>
      <top style="thin">
        <color rgb="FF8DB4E2"/>
      </top>
      <bottom style="thin">
        <color rgb="FF8DB4E2"/>
      </bottom>
      <diagonal/>
    </border>
  </borders>
  <cellStyleXfs count="14">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3" fillId="0" borderId="0"/>
    <xf numFmtId="167" fontId="4" fillId="3" borderId="0" applyFont="0" applyFill="0" applyBorder="0" applyAlignment="0" applyProtection="0"/>
    <xf numFmtId="0" fontId="4" fillId="2" borderId="0" applyNumberFormat="0" applyFont="0" applyAlignment="0">
      <alignment horizontal="center" vertical="center" wrapText="1"/>
    </xf>
    <xf numFmtId="1" fontId="4" fillId="2" borderId="0" applyFont="0" applyFill="0" applyBorder="0" applyAlignment="0"/>
    <xf numFmtId="14" fontId="4" fillId="0" borderId="0" applyFont="0" applyFill="0" applyBorder="0" applyAlignment="0"/>
    <xf numFmtId="0" fontId="2" fillId="4" borderId="0" applyBorder="0" applyProtection="0">
      <alignment horizontal="right" vertical="center" wrapText="1" indent="2"/>
    </xf>
    <xf numFmtId="167" fontId="4" fillId="3" borderId="0" applyFont="0" applyFill="0" applyBorder="0" applyProtection="0">
      <alignment horizontal="right" indent="2"/>
    </xf>
    <xf numFmtId="0" fontId="20" fillId="0" borderId="0"/>
    <xf numFmtId="0" fontId="24" fillId="0" borderId="0"/>
  </cellStyleXfs>
  <cellXfs count="363">
    <xf numFmtId="0" fontId="0" fillId="0" borderId="0" xfId="0"/>
    <xf numFmtId="0" fontId="7" fillId="0" borderId="0" xfId="0" applyFont="1"/>
    <xf numFmtId="0" fontId="5" fillId="0" borderId="0" xfId="0" applyFont="1"/>
    <xf numFmtId="165" fontId="7" fillId="0" borderId="0" xfId="0" applyNumberFormat="1" applyFont="1"/>
    <xf numFmtId="0" fontId="7" fillId="0" borderId="0" xfId="0" applyFont="1" applyAlignment="1">
      <alignment horizontal="center"/>
    </xf>
    <xf numFmtId="10" fontId="7" fillId="0" borderId="0" xfId="0" applyNumberFormat="1" applyFont="1"/>
    <xf numFmtId="164" fontId="7" fillId="0" borderId="0" xfId="1" applyNumberFormat="1" applyFont="1" applyBorder="1"/>
    <xf numFmtId="0" fontId="5" fillId="0" borderId="1" xfId="0" applyFont="1" applyBorder="1" applyAlignment="1">
      <alignment horizontal="center"/>
    </xf>
    <xf numFmtId="8" fontId="7" fillId="0" borderId="0" xfId="0" applyNumberFormat="1" applyFont="1"/>
    <xf numFmtId="3" fontId="7" fillId="0" borderId="0" xfId="0" applyNumberFormat="1" applyFont="1"/>
    <xf numFmtId="165" fontId="7" fillId="0" borderId="0" xfId="2" applyNumberFormat="1" applyFont="1"/>
    <xf numFmtId="10" fontId="7" fillId="0" borderId="0" xfId="3" applyNumberFormat="1" applyFont="1" applyAlignment="1">
      <alignment horizontal="center"/>
    </xf>
    <xf numFmtId="165" fontId="7" fillId="0" borderId="1" xfId="2" applyNumberFormat="1" applyFont="1" applyBorder="1"/>
    <xf numFmtId="164" fontId="7" fillId="0" borderId="0" xfId="0" applyNumberFormat="1" applyFont="1"/>
    <xf numFmtId="10" fontId="7" fillId="0" borderId="1" xfId="3" applyNumberFormat="1" applyFont="1" applyBorder="1" applyAlignment="1">
      <alignment horizontal="center"/>
    </xf>
    <xf numFmtId="0" fontId="7" fillId="0" borderId="1" xfId="0" applyFont="1" applyBorder="1"/>
    <xf numFmtId="165" fontId="7" fillId="0" borderId="4" xfId="2" applyNumberFormat="1" applyFont="1" applyBorder="1"/>
    <xf numFmtId="10" fontId="7" fillId="0" borderId="4" xfId="0" applyNumberFormat="1" applyFont="1" applyBorder="1" applyAlignment="1">
      <alignment horizontal="center"/>
    </xf>
    <xf numFmtId="10" fontId="7" fillId="0" borderId="6" xfId="3" applyNumberFormat="1" applyFont="1" applyBorder="1"/>
    <xf numFmtId="0" fontId="8" fillId="0" borderId="0" xfId="0" applyFont="1"/>
    <xf numFmtId="0" fontId="6" fillId="0" borderId="1" xfId="0" applyFont="1" applyBorder="1" applyAlignment="1">
      <alignment horizontal="center"/>
    </xf>
    <xf numFmtId="0" fontId="8" fillId="0" borderId="1" xfId="0" applyFont="1" applyBorder="1"/>
    <xf numFmtId="0" fontId="6" fillId="0" borderId="0" xfId="0" applyFont="1"/>
    <xf numFmtId="0" fontId="8" fillId="0" borderId="0" xfId="0" applyFont="1" applyAlignment="1">
      <alignment horizontal="center"/>
    </xf>
    <xf numFmtId="3" fontId="9" fillId="0" borderId="0" xfId="0" applyNumberFormat="1" applyFont="1" applyAlignment="1">
      <alignment horizontal="right" vertical="top"/>
    </xf>
    <xf numFmtId="0" fontId="6" fillId="0" borderId="0" xfId="0" applyFont="1" applyAlignment="1">
      <alignment horizontal="left"/>
    </xf>
    <xf numFmtId="164" fontId="6" fillId="0" borderId="4" xfId="1" applyNumberFormat="1" applyFont="1" applyBorder="1"/>
    <xf numFmtId="0" fontId="6" fillId="0" borderId="0" xfId="0" applyFont="1" applyAlignment="1">
      <alignment horizontal="center"/>
    </xf>
    <xf numFmtId="0" fontId="6" fillId="0" borderId="3" xfId="0" applyFont="1" applyBorder="1" applyAlignment="1">
      <alignment horizontal="center"/>
    </xf>
    <xf numFmtId="44" fontId="8" fillId="0" borderId="0" xfId="2" applyFont="1"/>
    <xf numFmtId="49" fontId="10" fillId="0" borderId="1" xfId="0" applyNumberFormat="1" applyFont="1" applyBorder="1" applyAlignment="1">
      <alignment horizontal="center" vertical="top"/>
    </xf>
    <xf numFmtId="49" fontId="9" fillId="0" borderId="0" xfId="0" applyNumberFormat="1" applyFont="1" applyAlignment="1">
      <alignment vertical="top"/>
    </xf>
    <xf numFmtId="164" fontId="8" fillId="0" borderId="0" xfId="1" applyNumberFormat="1" applyFont="1" applyAlignment="1">
      <alignment horizontal="center"/>
    </xf>
    <xf numFmtId="43" fontId="9" fillId="0" borderId="0" xfId="1" applyFont="1" applyAlignment="1">
      <alignment horizontal="right" vertical="top"/>
    </xf>
    <xf numFmtId="4" fontId="9" fillId="0" borderId="0" xfId="0" applyNumberFormat="1" applyFont="1" applyAlignment="1">
      <alignment horizontal="right" vertical="top"/>
    </xf>
    <xf numFmtId="44" fontId="9" fillId="0" borderId="0" xfId="2" applyFont="1" applyAlignment="1">
      <alignment horizontal="right" vertical="top"/>
    </xf>
    <xf numFmtId="164" fontId="8" fillId="0" borderId="0" xfId="1" applyNumberFormat="1" applyFont="1"/>
    <xf numFmtId="44" fontId="8" fillId="0" borderId="0" xfId="0" applyNumberFormat="1" applyFont="1"/>
    <xf numFmtId="0" fontId="8" fillId="0" borderId="2" xfId="0" applyFont="1" applyBorder="1"/>
    <xf numFmtId="164" fontId="8" fillId="0" borderId="2" xfId="1" applyNumberFormat="1" applyFont="1" applyBorder="1" applyAlignment="1">
      <alignment horizontal="center"/>
    </xf>
    <xf numFmtId="3" fontId="9" fillId="0" borderId="2" xfId="0" applyNumberFormat="1" applyFont="1" applyBorder="1" applyAlignment="1">
      <alignment horizontal="right" vertical="top"/>
    </xf>
    <xf numFmtId="4" fontId="9" fillId="0" borderId="2" xfId="0" applyNumberFormat="1" applyFont="1" applyBorder="1" applyAlignment="1">
      <alignment horizontal="right" vertical="top"/>
    </xf>
    <xf numFmtId="165" fontId="8" fillId="0" borderId="2" xfId="2" applyNumberFormat="1" applyFont="1" applyBorder="1"/>
    <xf numFmtId="10" fontId="7" fillId="0" borderId="0" xfId="0" applyNumberFormat="1" applyFont="1" applyAlignment="1">
      <alignment horizontal="center"/>
    </xf>
    <xf numFmtId="165" fontId="7" fillId="0" borderId="0" xfId="2" applyNumberFormat="1" applyFont="1" applyAlignment="1">
      <alignment horizontal="right"/>
    </xf>
    <xf numFmtId="165" fontId="7" fillId="0" borderId="3" xfId="2" applyNumberFormat="1" applyFont="1" applyBorder="1"/>
    <xf numFmtId="0" fontId="5" fillId="0" borderId="2" xfId="0" applyFont="1" applyBorder="1"/>
    <xf numFmtId="10" fontId="7" fillId="0" borderId="0" xfId="3" applyNumberFormat="1" applyFont="1"/>
    <xf numFmtId="10" fontId="11" fillId="0" borderId="0" xfId="0" applyNumberFormat="1" applyFont="1"/>
    <xf numFmtId="9" fontId="7" fillId="0" borderId="0" xfId="0" applyNumberFormat="1" applyFont="1"/>
    <xf numFmtId="44" fontId="7" fillId="0" borderId="0" xfId="0" applyNumberFormat="1" applyFont="1"/>
    <xf numFmtId="165" fontId="7" fillId="0" borderId="1" xfId="1" applyNumberFormat="1" applyFont="1" applyBorder="1"/>
    <xf numFmtId="165" fontId="7" fillId="0" borderId="0" xfId="1" applyNumberFormat="1" applyFont="1" applyBorder="1"/>
    <xf numFmtId="165" fontId="7" fillId="0" borderId="4" xfId="0" applyNumberFormat="1" applyFont="1" applyBorder="1"/>
    <xf numFmtId="0" fontId="5" fillId="0" borderId="0" xfId="0" applyFont="1" applyAlignment="1">
      <alignment horizontal="center"/>
    </xf>
    <xf numFmtId="9" fontId="7" fillId="0" borderId="0" xfId="0" applyNumberFormat="1" applyFont="1" applyAlignment="1">
      <alignment horizontal="center"/>
    </xf>
    <xf numFmtId="44" fontId="9" fillId="0" borderId="3" xfId="2" applyFont="1" applyBorder="1" applyAlignment="1">
      <alignment horizontal="right" vertical="top"/>
    </xf>
    <xf numFmtId="164" fontId="8" fillId="0" borderId="0" xfId="1" applyNumberFormat="1" applyFont="1" applyBorder="1" applyAlignment="1">
      <alignment horizontal="center"/>
    </xf>
    <xf numFmtId="43" fontId="9" fillId="0" borderId="0" xfId="1" applyFont="1" applyBorder="1" applyAlignment="1">
      <alignment horizontal="right" vertical="top"/>
    </xf>
    <xf numFmtId="0" fontId="11" fillId="0" borderId="0" xfId="0" applyFont="1" applyAlignment="1">
      <alignment horizontal="center"/>
    </xf>
    <xf numFmtId="0" fontId="11" fillId="0" borderId="0" xfId="0" applyFont="1"/>
    <xf numFmtId="9" fontId="11" fillId="0" borderId="0" xfId="0" applyNumberFormat="1" applyFont="1" applyAlignment="1">
      <alignment horizontal="center"/>
    </xf>
    <xf numFmtId="164" fontId="8" fillId="0" borderId="3" xfId="1" applyNumberFormat="1" applyFont="1" applyBorder="1"/>
    <xf numFmtId="165" fontId="8" fillId="0" borderId="0" xfId="0" applyNumberFormat="1" applyFont="1"/>
    <xf numFmtId="165" fontId="8" fillId="0" borderId="2" xfId="0" applyNumberFormat="1" applyFont="1" applyBorder="1"/>
    <xf numFmtId="1" fontId="13" fillId="0" borderId="0" xfId="0" applyNumberFormat="1" applyFont="1"/>
    <xf numFmtId="165" fontId="6" fillId="0" borderId="2" xfId="2" applyNumberFormat="1" applyFont="1" applyBorder="1"/>
    <xf numFmtId="0" fontId="8" fillId="0" borderId="0" xfId="0" applyFont="1" applyAlignment="1">
      <alignment horizontal="left"/>
    </xf>
    <xf numFmtId="165" fontId="8" fillId="0" borderId="0" xfId="2" applyNumberFormat="1" applyFont="1" applyBorder="1"/>
    <xf numFmtId="10" fontId="9" fillId="0" borderId="0" xfId="0" applyNumberFormat="1" applyFont="1" applyAlignment="1">
      <alignment horizontal="center"/>
    </xf>
    <xf numFmtId="44" fontId="7" fillId="0" borderId="0" xfId="2" applyFont="1"/>
    <xf numFmtId="10" fontId="9" fillId="0" borderId="0" xfId="0" applyNumberFormat="1" applyFont="1"/>
    <xf numFmtId="10" fontId="7" fillId="0" borderId="1" xfId="3" applyNumberFormat="1" applyFont="1" applyBorder="1"/>
    <xf numFmtId="0" fontId="9" fillId="0" borderId="0" xfId="0" applyFont="1"/>
    <xf numFmtId="9" fontId="12" fillId="0" borderId="1" xfId="0" applyNumberFormat="1" applyFont="1" applyBorder="1" applyAlignment="1">
      <alignment horizontal="center"/>
    </xf>
    <xf numFmtId="0" fontId="9" fillId="0" borderId="1" xfId="0" applyFont="1" applyBorder="1"/>
    <xf numFmtId="10" fontId="9" fillId="0" borderId="1" xfId="0" applyNumberFormat="1" applyFont="1" applyBorder="1"/>
    <xf numFmtId="10" fontId="9" fillId="0" borderId="0" xfId="3" applyNumberFormat="1" applyFont="1"/>
    <xf numFmtId="165" fontId="7" fillId="0" borderId="2" xfId="2" applyNumberFormat="1" applyFont="1" applyBorder="1"/>
    <xf numFmtId="164" fontId="8" fillId="0" borderId="0" xfId="1" applyNumberFormat="1" applyFont="1" applyBorder="1" applyAlignment="1"/>
    <xf numFmtId="43" fontId="9" fillId="0" borderId="0" xfId="1" applyFont="1"/>
    <xf numFmtId="10" fontId="9" fillId="0" borderId="0" xfId="3" applyNumberFormat="1" applyFont="1" applyBorder="1" applyAlignment="1">
      <alignment horizontal="right" vertical="top"/>
    </xf>
    <xf numFmtId="0" fontId="7" fillId="0" borderId="0" xfId="0" applyFont="1" applyAlignment="1">
      <alignment horizontal="right"/>
    </xf>
    <xf numFmtId="0" fontId="0" fillId="5" borderId="0" xfId="0" applyFill="1"/>
    <xf numFmtId="0" fontId="0" fillId="5" borderId="0" xfId="0" applyFill="1" applyAlignment="1">
      <alignment vertical="center"/>
    </xf>
    <xf numFmtId="0" fontId="0" fillId="5" borderId="12" xfId="0" applyFill="1" applyBorder="1"/>
    <xf numFmtId="0" fontId="0" fillId="5" borderId="9" xfId="0" applyFill="1" applyBorder="1"/>
    <xf numFmtId="0" fontId="0" fillId="5" borderId="1" xfId="0" applyFill="1" applyBorder="1"/>
    <xf numFmtId="164" fontId="7" fillId="0" borderId="0" xfId="1" applyNumberFormat="1" applyFont="1" applyFill="1" applyBorder="1"/>
    <xf numFmtId="0" fontId="0" fillId="5" borderId="10" xfId="0" applyFill="1" applyBorder="1"/>
    <xf numFmtId="0" fontId="0" fillId="5" borderId="14" xfId="0" applyFill="1" applyBorder="1"/>
    <xf numFmtId="0" fontId="7" fillId="6" borderId="0" xfId="0" applyFont="1" applyFill="1"/>
    <xf numFmtId="0" fontId="9" fillId="0" borderId="0" xfId="0" applyFont="1" applyAlignment="1">
      <alignment horizontal="right"/>
    </xf>
    <xf numFmtId="165" fontId="9" fillId="0" borderId="0" xfId="0" applyNumberFormat="1" applyFont="1"/>
    <xf numFmtId="43" fontId="7" fillId="0" borderId="0" xfId="0" applyNumberFormat="1" applyFont="1"/>
    <xf numFmtId="165" fontId="9" fillId="0" borderId="0" xfId="2" applyNumberFormat="1" applyFont="1"/>
    <xf numFmtId="165" fontId="7" fillId="0" borderId="0" xfId="2" applyNumberFormat="1" applyFont="1" applyAlignment="1">
      <alignment horizontal="center"/>
    </xf>
    <xf numFmtId="49" fontId="10" fillId="0" borderId="0" xfId="0" applyNumberFormat="1" applyFont="1" applyAlignment="1">
      <alignment horizontal="center" vertical="top"/>
    </xf>
    <xf numFmtId="164" fontId="8" fillId="0" borderId="9" xfId="1" applyNumberFormat="1" applyFont="1" applyBorder="1"/>
    <xf numFmtId="0" fontId="10" fillId="0" borderId="1" xfId="0" applyFont="1" applyBorder="1" applyAlignment="1">
      <alignment horizontal="center"/>
    </xf>
    <xf numFmtId="0" fontId="14" fillId="0" borderId="0" xfId="0" applyFont="1" applyAlignment="1">
      <alignment horizontal="center"/>
    </xf>
    <xf numFmtId="165" fontId="0" fillId="0" borderId="0" xfId="2" applyNumberFormat="1" applyFont="1"/>
    <xf numFmtId="44" fontId="9" fillId="0" borderId="0" xfId="2" applyFont="1"/>
    <xf numFmtId="0" fontId="9" fillId="0" borderId="0" xfId="0" applyFont="1" applyAlignment="1">
      <alignment horizontal="center"/>
    </xf>
    <xf numFmtId="16" fontId="9" fillId="0" borderId="0" xfId="0" applyNumberFormat="1" applyFont="1" applyAlignment="1">
      <alignment horizontal="center"/>
    </xf>
    <xf numFmtId="165" fontId="10" fillId="0" borderId="2" xfId="2" applyNumberFormat="1" applyFont="1" applyBorder="1"/>
    <xf numFmtId="10" fontId="10" fillId="0" borderId="6" xfId="3" applyNumberFormat="1" applyFont="1" applyBorder="1"/>
    <xf numFmtId="172" fontId="7" fillId="0" borderId="0" xfId="3" applyNumberFormat="1" applyFont="1"/>
    <xf numFmtId="172" fontId="7" fillId="0" borderId="0" xfId="0" applyNumberFormat="1" applyFont="1"/>
    <xf numFmtId="0" fontId="9" fillId="0" borderId="0" xfId="0" applyFont="1" applyAlignment="1">
      <alignment horizontal="center" vertical="top"/>
    </xf>
    <xf numFmtId="164" fontId="9" fillId="0" borderId="0" xfId="1" applyNumberFormat="1" applyFont="1" applyBorder="1"/>
    <xf numFmtId="3" fontId="9" fillId="0" borderId="9" xfId="0" applyNumberFormat="1" applyFont="1" applyBorder="1" applyAlignment="1">
      <alignment horizontal="right" vertical="top"/>
    </xf>
    <xf numFmtId="10" fontId="7" fillId="0" borderId="0" xfId="0" applyNumberFormat="1" applyFont="1" applyAlignment="1">
      <alignment horizontal="right"/>
    </xf>
    <xf numFmtId="44" fontId="7" fillId="0" borderId="0" xfId="2" applyFont="1" applyBorder="1" applyAlignment="1">
      <alignment horizontal="right" vertical="top"/>
    </xf>
    <xf numFmtId="44" fontId="9" fillId="0" borderId="0" xfId="2" applyFont="1" applyBorder="1" applyAlignment="1">
      <alignment horizontal="right" vertical="top"/>
    </xf>
    <xf numFmtId="44" fontId="8" fillId="0" borderId="0" xfId="2" applyFont="1" applyBorder="1"/>
    <xf numFmtId="44" fontId="9" fillId="0" borderId="0" xfId="2" applyFont="1" applyBorder="1"/>
    <xf numFmtId="44" fontId="8" fillId="0" borderId="3" xfId="2" applyFont="1" applyBorder="1"/>
    <xf numFmtId="0" fontId="14" fillId="0" borderId="0" xfId="0" applyFont="1"/>
    <xf numFmtId="10" fontId="0" fillId="0" borderId="0" xfId="3" applyNumberFormat="1" applyFont="1"/>
    <xf numFmtId="165" fontId="9" fillId="0" borderId="1" xfId="1" applyNumberFormat="1" applyFont="1" applyBorder="1"/>
    <xf numFmtId="9" fontId="0" fillId="0" borderId="0" xfId="3" applyFont="1"/>
    <xf numFmtId="0" fontId="0" fillId="0" borderId="1" xfId="0" applyBorder="1"/>
    <xf numFmtId="165" fontId="7" fillId="0" borderId="0" xfId="2" applyNumberFormat="1" applyFont="1" applyBorder="1"/>
    <xf numFmtId="165" fontId="7" fillId="0" borderId="1" xfId="2" applyNumberFormat="1" applyFont="1" applyBorder="1" applyAlignment="1">
      <alignment horizontal="center"/>
    </xf>
    <xf numFmtId="165" fontId="9" fillId="0" borderId="7" xfId="2" applyNumberFormat="1" applyFont="1" applyBorder="1"/>
    <xf numFmtId="43" fontId="0" fillId="0" borderId="0" xfId="1" applyFont="1"/>
    <xf numFmtId="0" fontId="0" fillId="0" borderId="8" xfId="0" applyBorder="1"/>
    <xf numFmtId="10" fontId="0" fillId="0" borderId="9" xfId="0" applyNumberFormat="1" applyBorder="1"/>
    <xf numFmtId="165" fontId="0" fillId="0" borderId="9" xfId="2" applyNumberFormat="1" applyFont="1" applyBorder="1"/>
    <xf numFmtId="165" fontId="0" fillId="0" borderId="10" xfId="2" applyNumberFormat="1" applyFont="1" applyBorder="1"/>
    <xf numFmtId="0" fontId="0" fillId="0" borderId="11" xfId="0" applyBorder="1"/>
    <xf numFmtId="165" fontId="0" fillId="0" borderId="0" xfId="2" applyNumberFormat="1" applyFont="1" applyBorder="1"/>
    <xf numFmtId="165" fontId="0" fillId="0" borderId="12" xfId="2" applyNumberFormat="1" applyFont="1" applyBorder="1"/>
    <xf numFmtId="10" fontId="0" fillId="0" borderId="0" xfId="0" applyNumberFormat="1"/>
    <xf numFmtId="0" fontId="0" fillId="0" borderId="13" xfId="0" applyBorder="1"/>
    <xf numFmtId="165" fontId="0" fillId="0" borderId="1" xfId="2" applyNumberFormat="1" applyFont="1" applyBorder="1"/>
    <xf numFmtId="165" fontId="0" fillId="0" borderId="14" xfId="2" applyNumberFormat="1" applyFont="1" applyBorder="1"/>
    <xf numFmtId="10" fontId="0" fillId="0" borderId="1" xfId="0" applyNumberFormat="1" applyBorder="1"/>
    <xf numFmtId="0" fontId="14" fillId="0" borderId="15" xfId="0" applyFont="1" applyBorder="1"/>
    <xf numFmtId="0" fontId="14" fillId="0" borderId="3" xfId="0" applyFont="1" applyBorder="1"/>
    <xf numFmtId="10" fontId="14" fillId="0" borderId="16" xfId="0" applyNumberFormat="1" applyFont="1" applyBorder="1"/>
    <xf numFmtId="0" fontId="14" fillId="0" borderId="1" xfId="0" applyFont="1" applyBorder="1"/>
    <xf numFmtId="0" fontId="14" fillId="0" borderId="1" xfId="0" applyFont="1" applyBorder="1" applyAlignment="1">
      <alignment horizontal="center"/>
    </xf>
    <xf numFmtId="165" fontId="14" fillId="0" borderId="1" xfId="2" applyNumberFormat="1" applyFont="1" applyBorder="1" applyAlignment="1">
      <alignment horizontal="center"/>
    </xf>
    <xf numFmtId="0" fontId="27" fillId="0" borderId="0" xfId="0" applyFont="1"/>
    <xf numFmtId="165" fontId="27" fillId="0" borderId="0" xfId="2" applyNumberFormat="1" applyFont="1"/>
    <xf numFmtId="166" fontId="14" fillId="0" borderId="0" xfId="0" applyNumberFormat="1" applyFont="1" applyAlignment="1">
      <alignment horizontal="left"/>
    </xf>
    <xf numFmtId="10" fontId="9" fillId="0" borderId="0" xfId="3" applyNumberFormat="1" applyFont="1" applyAlignment="1">
      <alignment horizontal="center"/>
    </xf>
    <xf numFmtId="0" fontId="8" fillId="0" borderId="9" xfId="0" applyFont="1" applyBorder="1"/>
    <xf numFmtId="44" fontId="8" fillId="0" borderId="9" xfId="2" applyFont="1" applyBorder="1"/>
    <xf numFmtId="49" fontId="9" fillId="0" borderId="9" xfId="0" applyNumberFormat="1" applyFont="1" applyBorder="1" applyAlignment="1">
      <alignment vertical="top"/>
    </xf>
    <xf numFmtId="164" fontId="8" fillId="0" borderId="9" xfId="1" applyNumberFormat="1" applyFont="1" applyBorder="1" applyAlignment="1">
      <alignment horizontal="center"/>
    </xf>
    <xf numFmtId="43" fontId="9" fillId="0" borderId="9" xfId="1" applyFont="1" applyBorder="1" applyAlignment="1">
      <alignment horizontal="right" vertical="top"/>
    </xf>
    <xf numFmtId="4" fontId="9" fillId="0" borderId="9" xfId="0" applyNumberFormat="1" applyFont="1" applyBorder="1" applyAlignment="1">
      <alignment horizontal="right" vertical="top"/>
    </xf>
    <xf numFmtId="173" fontId="8" fillId="0" borderId="0" xfId="0" applyNumberFormat="1" applyFont="1" applyAlignment="1">
      <alignment horizontal="center"/>
    </xf>
    <xf numFmtId="173" fontId="0" fillId="0" borderId="0" xfId="3" applyNumberFormat="1" applyFont="1"/>
    <xf numFmtId="44" fontId="7" fillId="0" borderId="1" xfId="2" applyFont="1" applyBorder="1"/>
    <xf numFmtId="165" fontId="7" fillId="0" borderId="0" xfId="2" quotePrefix="1" applyNumberFormat="1" applyFont="1"/>
    <xf numFmtId="10" fontId="10" fillId="0" borderId="2" xfId="3" applyNumberFormat="1" applyFont="1" applyBorder="1" applyAlignment="1">
      <alignment horizontal="center"/>
    </xf>
    <xf numFmtId="165" fontId="9" fillId="0" borderId="1" xfId="2" applyNumberFormat="1" applyFont="1" applyBorder="1"/>
    <xf numFmtId="165" fontId="9" fillId="0" borderId="0" xfId="2" applyNumberFormat="1" applyFont="1" applyBorder="1"/>
    <xf numFmtId="8" fontId="9" fillId="0" borderId="0" xfId="0" applyNumberFormat="1" applyFont="1"/>
    <xf numFmtId="10" fontId="9" fillId="0" borderId="1" xfId="3" applyNumberFormat="1" applyFont="1" applyBorder="1"/>
    <xf numFmtId="165" fontId="9" fillId="0" borderId="2" xfId="2" applyNumberFormat="1" applyFont="1" applyBorder="1"/>
    <xf numFmtId="10" fontId="9" fillId="0" borderId="2" xfId="0" applyNumberFormat="1" applyFont="1" applyBorder="1"/>
    <xf numFmtId="165" fontId="9" fillId="0" borderId="9" xfId="2" applyNumberFormat="1" applyFont="1" applyBorder="1"/>
    <xf numFmtId="165" fontId="7" fillId="0" borderId="9" xfId="2" applyNumberFormat="1" applyFont="1" applyBorder="1"/>
    <xf numFmtId="164" fontId="9" fillId="0" borderId="0" xfId="0" applyNumberFormat="1" applyFont="1"/>
    <xf numFmtId="10" fontId="10" fillId="0" borderId="0" xfId="0" applyNumberFormat="1" applyFont="1"/>
    <xf numFmtId="43" fontId="8" fillId="0" borderId="9" xfId="1" applyFont="1" applyBorder="1"/>
    <xf numFmtId="44" fontId="9" fillId="0" borderId="9" xfId="2" applyFont="1" applyBorder="1" applyAlignment="1">
      <alignment horizontal="right" vertical="top"/>
    </xf>
    <xf numFmtId="9" fontId="9" fillId="0" borderId="0" xfId="0" applyNumberFormat="1" applyFont="1" applyAlignment="1">
      <alignment horizontal="center"/>
    </xf>
    <xf numFmtId="165" fontId="28" fillId="0" borderId="3" xfId="2" applyNumberFormat="1" applyFont="1" applyBorder="1"/>
    <xf numFmtId="0" fontId="8" fillId="0" borderId="0" xfId="0" applyFont="1" applyAlignment="1">
      <alignment horizontal="right"/>
    </xf>
    <xf numFmtId="1" fontId="6" fillId="0" borderId="0" xfId="0" applyNumberFormat="1" applyFont="1" applyAlignment="1">
      <alignment horizontal="right"/>
    </xf>
    <xf numFmtId="0" fontId="6" fillId="0" borderId="0" xfId="0" applyFont="1" applyAlignment="1">
      <alignment horizontal="right"/>
    </xf>
    <xf numFmtId="10" fontId="8" fillId="0" borderId="0" xfId="0" applyNumberFormat="1" applyFont="1" applyAlignment="1">
      <alignment horizontal="right"/>
    </xf>
    <xf numFmtId="10" fontId="8" fillId="0" borderId="9" xfId="0" applyNumberFormat="1" applyFont="1" applyBorder="1" applyAlignment="1">
      <alignment horizontal="right"/>
    </xf>
    <xf numFmtId="10" fontId="8" fillId="0" borderId="3" xfId="0" applyNumberFormat="1" applyFont="1" applyBorder="1" applyAlignment="1">
      <alignment horizontal="right"/>
    </xf>
    <xf numFmtId="10" fontId="13" fillId="0" borderId="0" xfId="0" applyNumberFormat="1" applyFont="1" applyAlignment="1">
      <alignment horizontal="right"/>
    </xf>
    <xf numFmtId="10" fontId="9" fillId="0" borderId="1" xfId="0" applyNumberFormat="1" applyFont="1" applyBorder="1" applyAlignment="1">
      <alignment horizontal="right"/>
    </xf>
    <xf numFmtId="10" fontId="10" fillId="0" borderId="2" xfId="3" applyNumberFormat="1" applyFont="1" applyBorder="1" applyAlignment="1">
      <alignment horizontal="right"/>
    </xf>
    <xf numFmtId="10" fontId="13" fillId="0" borderId="0" xfId="3" applyNumberFormat="1" applyFont="1" applyAlignment="1">
      <alignment horizontal="right"/>
    </xf>
    <xf numFmtId="164" fontId="9" fillId="0" borderId="0" xfId="1" applyNumberFormat="1" applyFont="1" applyAlignment="1">
      <alignment horizontal="right" vertical="top"/>
    </xf>
    <xf numFmtId="164" fontId="9" fillId="0" borderId="0" xfId="1" applyNumberFormat="1" applyFont="1" applyBorder="1" applyAlignment="1">
      <alignment horizontal="right" vertical="top"/>
    </xf>
    <xf numFmtId="164" fontId="9" fillId="0" borderId="0" xfId="1" applyNumberFormat="1" applyFont="1" applyAlignment="1">
      <alignment horizontal="right"/>
    </xf>
    <xf numFmtId="165" fontId="18" fillId="0" borderId="0" xfId="2" applyNumberFormat="1" applyFont="1"/>
    <xf numFmtId="164" fontId="9" fillId="0" borderId="0" xfId="1" applyNumberFormat="1" applyFont="1"/>
    <xf numFmtId="164" fontId="9" fillId="0" borderId="9" xfId="1" applyNumberFormat="1" applyFont="1" applyBorder="1"/>
    <xf numFmtId="164" fontId="9" fillId="0" borderId="9" xfId="1" applyNumberFormat="1" applyFont="1" applyBorder="1" applyAlignment="1">
      <alignment horizontal="right" vertical="top"/>
    </xf>
    <xf numFmtId="164" fontId="11" fillId="0" borderId="0" xfId="1" applyNumberFormat="1" applyFont="1"/>
    <xf numFmtId="164" fontId="8" fillId="0" borderId="0" xfId="1" applyNumberFormat="1" applyFont="1" applyAlignment="1">
      <alignment horizontal="right"/>
    </xf>
    <xf numFmtId="164" fontId="9" fillId="0" borderId="1" xfId="1" applyNumberFormat="1" applyFont="1" applyBorder="1" applyAlignment="1">
      <alignment horizontal="right" vertical="top"/>
    </xf>
    <xf numFmtId="164" fontId="9" fillId="0" borderId="1" xfId="1" applyNumberFormat="1" applyFont="1" applyBorder="1" applyAlignment="1">
      <alignment horizontal="right"/>
    </xf>
    <xf numFmtId="164" fontId="11" fillId="0" borderId="0" xfId="1" applyNumberFormat="1" applyFont="1" applyAlignment="1">
      <alignment horizontal="right" vertical="top"/>
    </xf>
    <xf numFmtId="164" fontId="9" fillId="0" borderId="3" xfId="1" applyNumberFormat="1" applyFont="1" applyBorder="1"/>
    <xf numFmtId="164" fontId="9" fillId="0" borderId="3" xfId="1" applyNumberFormat="1" applyFont="1" applyBorder="1" applyAlignment="1">
      <alignment horizontal="right" vertical="top"/>
    </xf>
    <xf numFmtId="164" fontId="6" fillId="0" borderId="2" xfId="1" applyNumberFormat="1" applyFont="1" applyBorder="1" applyAlignment="1">
      <alignment horizontal="right"/>
    </xf>
    <xf numFmtId="164" fontId="6" fillId="0" borderId="0" xfId="1" applyNumberFormat="1" applyFont="1"/>
    <xf numFmtId="164" fontId="6" fillId="0" borderId="2" xfId="1" applyNumberFormat="1" applyFont="1" applyBorder="1"/>
    <xf numFmtId="164" fontId="10" fillId="0" borderId="0" xfId="1" applyNumberFormat="1" applyFont="1"/>
    <xf numFmtId="164" fontId="9" fillId="0" borderId="1" xfId="1" applyNumberFormat="1" applyFont="1" applyBorder="1"/>
    <xf numFmtId="164" fontId="13" fillId="0" borderId="0" xfId="1" applyNumberFormat="1" applyFont="1"/>
    <xf numFmtId="164" fontId="10" fillId="0" borderId="2" xfId="1" applyNumberFormat="1" applyFont="1" applyBorder="1"/>
    <xf numFmtId="44" fontId="9" fillId="0" borderId="3" xfId="2" applyFont="1" applyBorder="1"/>
    <xf numFmtId="44" fontId="9" fillId="0" borderId="0" xfId="2" applyFont="1" applyAlignment="1">
      <alignment vertical="top"/>
    </xf>
    <xf numFmtId="44" fontId="9" fillId="0" borderId="9" xfId="2" applyFont="1" applyBorder="1" applyAlignment="1">
      <alignment vertical="top"/>
    </xf>
    <xf numFmtId="44" fontId="0" fillId="0" borderId="0" xfId="2" applyFont="1"/>
    <xf numFmtId="170" fontId="24" fillId="0" borderId="0" xfId="13" quotePrefix="1" applyNumberFormat="1" applyAlignment="1">
      <alignment horizontal="left"/>
    </xf>
    <xf numFmtId="170" fontId="24" fillId="0" borderId="0" xfId="13" applyNumberFormat="1"/>
    <xf numFmtId="0" fontId="24" fillId="0" borderId="0" xfId="13"/>
    <xf numFmtId="6" fontId="24" fillId="0" borderId="0" xfId="13" applyNumberFormat="1"/>
    <xf numFmtId="10" fontId="24" fillId="0" borderId="0" xfId="13" applyNumberFormat="1"/>
    <xf numFmtId="170" fontId="24" fillId="0" borderId="1" xfId="13" applyNumberFormat="1" applyBorder="1" applyAlignment="1">
      <alignment horizontal="left"/>
    </xf>
    <xf numFmtId="6" fontId="24" fillId="0" borderId="1" xfId="13" applyNumberFormat="1" applyBorder="1" applyAlignment="1">
      <alignment horizontal="center"/>
    </xf>
    <xf numFmtId="170" fontId="24" fillId="0" borderId="0" xfId="13" applyNumberFormat="1" applyAlignment="1">
      <alignment horizontal="left"/>
    </xf>
    <xf numFmtId="171" fontId="24" fillId="0" borderId="0" xfId="13" applyNumberFormat="1" applyAlignment="1">
      <alignment horizontal="left"/>
    </xf>
    <xf numFmtId="10" fontId="24" fillId="0" borderId="0" xfId="3" applyNumberFormat="1" applyFont="1" applyFill="1" applyAlignment="1">
      <alignment horizontal="center"/>
    </xf>
    <xf numFmtId="170" fontId="24" fillId="0" borderId="7" xfId="13" applyNumberFormat="1" applyBorder="1" applyAlignment="1">
      <alignment horizontal="left"/>
    </xf>
    <xf numFmtId="171" fontId="24" fillId="0" borderId="7" xfId="13" applyNumberFormat="1" applyBorder="1" applyAlignment="1">
      <alignment horizontal="left"/>
    </xf>
    <xf numFmtId="6" fontId="24" fillId="0" borderId="7" xfId="13" applyNumberFormat="1" applyBorder="1"/>
    <xf numFmtId="171" fontId="24" fillId="0" borderId="0" xfId="13" applyNumberFormat="1"/>
    <xf numFmtId="9" fontId="0" fillId="0" borderId="0" xfId="0" applyNumberFormat="1" applyAlignment="1">
      <alignment horizontal="center"/>
    </xf>
    <xf numFmtId="9" fontId="9" fillId="0" borderId="0" xfId="0" applyNumberFormat="1" applyFont="1"/>
    <xf numFmtId="9" fontId="7" fillId="0" borderId="0" xfId="3" applyFont="1" applyAlignment="1">
      <alignment horizontal="center"/>
    </xf>
    <xf numFmtId="14" fontId="0" fillId="0" borderId="0" xfId="2" applyNumberFormat="1" applyFont="1"/>
    <xf numFmtId="14" fontId="7" fillId="0" borderId="0" xfId="0" applyNumberFormat="1" applyFont="1" applyAlignment="1">
      <alignment horizontal="center"/>
    </xf>
    <xf numFmtId="165" fontId="0" fillId="5" borderId="0" xfId="2" applyNumberFormat="1" applyFont="1" applyFill="1"/>
    <xf numFmtId="165" fontId="18" fillId="5" borderId="0" xfId="2" applyNumberFormat="1" applyFont="1" applyFill="1"/>
    <xf numFmtId="165" fontId="7" fillId="0" borderId="0" xfId="2" applyNumberFormat="1" applyFont="1" applyFill="1" applyAlignment="1">
      <alignment horizontal="left"/>
    </xf>
    <xf numFmtId="165" fontId="7" fillId="0" borderId="0" xfId="2" applyNumberFormat="1" applyFont="1" applyFill="1"/>
    <xf numFmtId="165" fontId="7" fillId="0" borderId="1" xfId="2" applyNumberFormat="1" applyFont="1" applyFill="1" applyBorder="1"/>
    <xf numFmtId="165" fontId="7" fillId="0" borderId="0" xfId="2" applyNumberFormat="1" applyFont="1" applyFill="1" applyBorder="1"/>
    <xf numFmtId="165" fontId="9" fillId="0" borderId="0" xfId="2" applyNumberFormat="1" applyFont="1" applyFill="1" applyBorder="1"/>
    <xf numFmtId="0" fontId="0" fillId="0" borderId="12" xfId="0" applyBorder="1"/>
    <xf numFmtId="0" fontId="2" fillId="0" borderId="11" xfId="0" applyFont="1" applyBorder="1"/>
    <xf numFmtId="168" fontId="2" fillId="0" borderId="0" xfId="0" applyNumberFormat="1" applyFont="1"/>
    <xf numFmtId="168" fontId="2" fillId="0" borderId="0" xfId="0" applyNumberFormat="1" applyFont="1" applyAlignment="1">
      <alignment horizontal="center"/>
    </xf>
    <xf numFmtId="168" fontId="2" fillId="0" borderId="12" xfId="0" applyNumberFormat="1" applyFont="1" applyBorder="1" applyAlignment="1">
      <alignment horizontal="center"/>
    </xf>
    <xf numFmtId="168" fontId="0" fillId="0" borderId="0" xfId="0" applyNumberFormat="1"/>
    <xf numFmtId="6" fontId="0" fillId="0" borderId="0" xfId="0" applyNumberFormat="1"/>
    <xf numFmtId="10" fontId="0" fillId="0" borderId="0" xfId="3" applyNumberFormat="1" applyFont="1" applyFill="1"/>
    <xf numFmtId="6" fontId="0" fillId="0" borderId="12" xfId="0" applyNumberFormat="1" applyBorder="1"/>
    <xf numFmtId="0" fontId="2" fillId="0" borderId="13" xfId="0" applyFont="1" applyBorder="1"/>
    <xf numFmtId="6" fontId="2" fillId="0" borderId="1" xfId="0" applyNumberFormat="1" applyFont="1" applyBorder="1"/>
    <xf numFmtId="6" fontId="2" fillId="0" borderId="14" xfId="0" applyNumberFormat="1" applyFont="1" applyBorder="1"/>
    <xf numFmtId="0" fontId="0" fillId="0" borderId="9" xfId="0" applyBorder="1"/>
    <xf numFmtId="6" fontId="0" fillId="0" borderId="9" xfId="0" applyNumberFormat="1" applyBorder="1"/>
    <xf numFmtId="6" fontId="0" fillId="0" borderId="10" xfId="0" applyNumberFormat="1" applyBorder="1"/>
    <xf numFmtId="6" fontId="0" fillId="0" borderId="1" xfId="0" applyNumberFormat="1" applyBorder="1"/>
    <xf numFmtId="6" fontId="0" fillId="0" borderId="14" xfId="0" applyNumberFormat="1" applyBorder="1"/>
    <xf numFmtId="0" fontId="15" fillId="0" borderId="15" xfId="0" applyFont="1" applyBorder="1"/>
    <xf numFmtId="0" fontId="0" fillId="0" borderId="3" xfId="0" applyBorder="1"/>
    <xf numFmtId="5" fontId="15" fillId="0" borderId="3" xfId="0" applyNumberFormat="1" applyFont="1" applyBorder="1"/>
    <xf numFmtId="5" fontId="15" fillId="0" borderId="16" xfId="0" applyNumberFormat="1" applyFont="1" applyBorder="1"/>
    <xf numFmtId="0" fontId="2" fillId="0" borderId="8" xfId="0" applyFont="1" applyBorder="1"/>
    <xf numFmtId="0" fontId="2" fillId="0" borderId="9" xfId="0" applyFont="1" applyBorder="1"/>
    <xf numFmtId="5" fontId="2" fillId="0" borderId="9" xfId="0" applyNumberFormat="1" applyFont="1" applyBorder="1"/>
    <xf numFmtId="5" fontId="2" fillId="0" borderId="10" xfId="0" applyNumberFormat="1" applyFont="1" applyBorder="1"/>
    <xf numFmtId="165" fontId="0" fillId="0" borderId="0" xfId="2" applyNumberFormat="1" applyFont="1" applyFill="1"/>
    <xf numFmtId="10" fontId="0" fillId="0" borderId="0" xfId="0" applyNumberFormat="1" applyAlignment="1">
      <alignment horizontal="center"/>
    </xf>
    <xf numFmtId="0" fontId="0" fillId="0" borderId="15" xfId="0" applyBorder="1"/>
    <xf numFmtId="6" fontId="0" fillId="0" borderId="3" xfId="0" applyNumberFormat="1" applyBorder="1"/>
    <xf numFmtId="6" fontId="0" fillId="0" borderId="16" xfId="0" applyNumberFormat="1" applyBorder="1"/>
    <xf numFmtId="0" fontId="7" fillId="0" borderId="11" xfId="0" applyFont="1" applyBorder="1" applyAlignment="1">
      <alignment horizontal="left"/>
    </xf>
    <xf numFmtId="0" fontId="2" fillId="0" borderId="15" xfId="0" applyFont="1" applyBorder="1"/>
    <xf numFmtId="0" fontId="2" fillId="0" borderId="3" xfId="0" applyFont="1" applyBorder="1"/>
    <xf numFmtId="6" fontId="2" fillId="0" borderId="3" xfId="0" applyNumberFormat="1" applyFont="1" applyBorder="1"/>
    <xf numFmtId="5" fontId="2" fillId="0" borderId="3" xfId="0" applyNumberFormat="1" applyFont="1" applyBorder="1"/>
    <xf numFmtId="5" fontId="2" fillId="0" borderId="16" xfId="0" applyNumberFormat="1" applyFont="1" applyBorder="1"/>
    <xf numFmtId="6" fontId="2" fillId="0" borderId="9" xfId="0" applyNumberFormat="1" applyFont="1" applyBorder="1"/>
    <xf numFmtId="168" fontId="2" fillId="0" borderId="3" xfId="0" applyNumberFormat="1" applyFont="1" applyBorder="1"/>
    <xf numFmtId="168" fontId="2" fillId="0" borderId="9" xfId="0" applyNumberFormat="1" applyFont="1" applyBorder="1"/>
    <xf numFmtId="168" fontId="2" fillId="0" borderId="10" xfId="0" applyNumberFormat="1" applyFont="1" applyBorder="1"/>
    <xf numFmtId="9" fontId="0" fillId="0" borderId="1" xfId="0" applyNumberFormat="1" applyBorder="1"/>
    <xf numFmtId="9" fontId="0" fillId="0" borderId="9" xfId="0" applyNumberFormat="1" applyBorder="1"/>
    <xf numFmtId="168" fontId="2" fillId="0" borderId="9" xfId="0" applyNumberFormat="1" applyFont="1" applyBorder="1" applyAlignment="1">
      <alignment horizontal="center"/>
    </xf>
    <xf numFmtId="168" fontId="15" fillId="0" borderId="9" xfId="0" applyNumberFormat="1" applyFont="1" applyBorder="1"/>
    <xf numFmtId="168" fontId="15" fillId="0" borderId="10" xfId="0" applyNumberFormat="1" applyFont="1" applyBorder="1"/>
    <xf numFmtId="5" fontId="2" fillId="0" borderId="0" xfId="0" applyNumberFormat="1" applyFont="1"/>
    <xf numFmtId="6" fontId="2" fillId="0" borderId="0" xfId="0" applyNumberFormat="1" applyFont="1"/>
    <xf numFmtId="6" fontId="2" fillId="0" borderId="12" xfId="0" applyNumberFormat="1" applyFont="1" applyBorder="1"/>
    <xf numFmtId="10" fontId="0" fillId="0" borderId="14" xfId="3" applyNumberFormat="1" applyFont="1" applyFill="1" applyBorder="1"/>
    <xf numFmtId="10" fontId="0" fillId="0" borderId="0" xfId="3" applyNumberFormat="1" applyFont="1" applyFill="1" applyBorder="1"/>
    <xf numFmtId="0" fontId="15" fillId="0" borderId="8" xfId="0" applyFont="1" applyBorder="1"/>
    <xf numFmtId="5" fontId="0" fillId="0" borderId="0" xfId="0" applyNumberFormat="1"/>
    <xf numFmtId="4" fontId="0" fillId="0" borderId="0" xfId="0" applyNumberFormat="1"/>
    <xf numFmtId="0" fontId="2" fillId="0" borderId="9" xfId="0" applyFont="1" applyBorder="1" applyAlignment="1">
      <alignment horizontal="center"/>
    </xf>
    <xf numFmtId="168" fontId="2" fillId="0" borderId="10" xfId="0" applyNumberFormat="1" applyFont="1" applyBorder="1" applyAlignment="1">
      <alignment horizontal="center"/>
    </xf>
    <xf numFmtId="0" fontId="0" fillId="0" borderId="16" xfId="0" applyBorder="1"/>
    <xf numFmtId="0" fontId="18" fillId="0" borderId="11" xfId="0" applyFont="1" applyBorder="1"/>
    <xf numFmtId="8" fontId="0" fillId="0" borderId="0" xfId="0" applyNumberFormat="1"/>
    <xf numFmtId="8" fontId="0" fillId="0" borderId="12" xfId="0" applyNumberFormat="1" applyBorder="1"/>
    <xf numFmtId="0" fontId="19" fillId="0" borderId="15" xfId="0" applyFont="1" applyBorder="1"/>
    <xf numFmtId="0" fontId="18" fillId="0" borderId="13" xfId="0" applyFont="1" applyBorder="1"/>
    <xf numFmtId="0" fontId="0" fillId="0" borderId="10" xfId="0" applyBorder="1"/>
    <xf numFmtId="0" fontId="15" fillId="0" borderId="9" xfId="0" applyFont="1" applyBorder="1" applyAlignment="1">
      <alignment horizontal="center"/>
    </xf>
    <xf numFmtId="0" fontId="15" fillId="0" borderId="10" xfId="0" applyFont="1" applyBorder="1" applyAlignment="1">
      <alignment horizontal="center"/>
    </xf>
    <xf numFmtId="0" fontId="18" fillId="0" borderId="8" xfId="0" applyFont="1" applyBorder="1"/>
    <xf numFmtId="9" fontId="0" fillId="0" borderId="9" xfId="0" applyNumberFormat="1" applyBorder="1" applyAlignment="1">
      <alignment horizontal="center"/>
    </xf>
    <xf numFmtId="169" fontId="0" fillId="0" borderId="10" xfId="0" applyNumberFormat="1" applyBorder="1"/>
    <xf numFmtId="169" fontId="0" fillId="0" borderId="0" xfId="0" applyNumberFormat="1"/>
    <xf numFmtId="169" fontId="0" fillId="0" borderId="12" xfId="0" applyNumberFormat="1" applyBorder="1"/>
    <xf numFmtId="165" fontId="0" fillId="0" borderId="12" xfId="0" applyNumberFormat="1" applyBorder="1"/>
    <xf numFmtId="6" fontId="15" fillId="0" borderId="1" xfId="0" applyNumberFormat="1" applyFont="1" applyBorder="1"/>
    <xf numFmtId="6" fontId="15" fillId="0" borderId="14" xfId="0" applyNumberFormat="1" applyFont="1" applyBorder="1"/>
    <xf numFmtId="0" fontId="0" fillId="0" borderId="0" xfId="0" applyAlignment="1">
      <alignment horizontal="center"/>
    </xf>
    <xf numFmtId="0" fontId="15" fillId="0" borderId="8" xfId="0" applyFont="1" applyBorder="1" applyAlignment="1">
      <alignment horizontal="center"/>
    </xf>
    <xf numFmtId="164" fontId="15" fillId="0" borderId="10" xfId="1" applyNumberFormat="1" applyFont="1" applyFill="1" applyBorder="1" applyAlignment="1">
      <alignment horizontal="center"/>
    </xf>
    <xf numFmtId="0" fontId="18" fillId="0" borderId="15" xfId="0" applyFont="1" applyBorder="1"/>
    <xf numFmtId="0" fontId="0" fillId="0" borderId="12" xfId="0" applyBorder="1" applyAlignment="1">
      <alignment horizontal="center"/>
    </xf>
    <xf numFmtId="164" fontId="0" fillId="0" borderId="12" xfId="1" applyNumberFormat="1" applyFont="1" applyFill="1" applyBorder="1" applyAlignment="1">
      <alignment horizontal="center"/>
    </xf>
    <xf numFmtId="6" fontId="0" fillId="0" borderId="0" xfId="0" applyNumberFormat="1" applyAlignment="1">
      <alignment horizontal="left"/>
    </xf>
    <xf numFmtId="0" fontId="18" fillId="0" borderId="11" xfId="0" applyFont="1" applyBorder="1" applyAlignment="1">
      <alignment horizontal="right"/>
    </xf>
    <xf numFmtId="0" fontId="15" fillId="0" borderId="11" xfId="0" applyFont="1" applyBorder="1"/>
    <xf numFmtId="0" fontId="15" fillId="0" borderId="0" xfId="0" applyFont="1"/>
    <xf numFmtId="0" fontId="15" fillId="0" borderId="0" xfId="0" applyFont="1" applyAlignment="1">
      <alignment horizontal="center"/>
    </xf>
    <xf numFmtId="0" fontId="15" fillId="0" borderId="12" xfId="0" applyFont="1" applyBorder="1" applyAlignment="1">
      <alignment horizontal="center"/>
    </xf>
    <xf numFmtId="164" fontId="15" fillId="0" borderId="12" xfId="1" applyNumberFormat="1" applyFont="1" applyFill="1" applyBorder="1" applyAlignment="1">
      <alignment horizontal="center"/>
    </xf>
    <xf numFmtId="10" fontId="0" fillId="0" borderId="1" xfId="3" applyNumberFormat="1" applyFont="1" applyFill="1" applyBorder="1" applyAlignment="1">
      <alignment horizontal="center"/>
    </xf>
    <xf numFmtId="0" fontId="15" fillId="0" borderId="13" xfId="0" applyFont="1" applyBorder="1"/>
    <xf numFmtId="0" fontId="15" fillId="0" borderId="1" xfId="0" applyFont="1" applyBorder="1"/>
    <xf numFmtId="10" fontId="15" fillId="0" borderId="1" xfId="3" applyNumberFormat="1" applyFont="1" applyFill="1" applyBorder="1" applyAlignment="1">
      <alignment horizontal="center"/>
    </xf>
    <xf numFmtId="10" fontId="15" fillId="0" borderId="14" xfId="3" applyNumberFormat="1" applyFont="1" applyFill="1" applyBorder="1" applyAlignment="1">
      <alignment horizontal="center"/>
    </xf>
    <xf numFmtId="164" fontId="15" fillId="0" borderId="14" xfId="1" applyNumberFormat="1" applyFont="1" applyFill="1" applyBorder="1" applyAlignment="1">
      <alignment horizontal="center"/>
    </xf>
    <xf numFmtId="0" fontId="7" fillId="0" borderId="15" xfId="0" applyFont="1" applyBorder="1"/>
    <xf numFmtId="0" fontId="0" fillId="0" borderId="14" xfId="0" applyBorder="1"/>
    <xf numFmtId="0" fontId="0" fillId="0" borderId="0" xfId="0" applyAlignment="1">
      <alignment vertical="center"/>
    </xf>
    <xf numFmtId="0" fontId="21" fillId="0" borderId="0" xfId="0" applyFont="1" applyAlignment="1">
      <alignment horizontal="left" vertical="center" indent="4"/>
    </xf>
    <xf numFmtId="0" fontId="21" fillId="0" borderId="0" xfId="0" applyFont="1" applyAlignment="1">
      <alignment vertical="center"/>
    </xf>
    <xf numFmtId="0" fontId="6" fillId="0" borderId="0" xfId="0" applyFont="1" applyAlignment="1">
      <alignment horizontal="center"/>
    </xf>
    <xf numFmtId="0" fontId="5" fillId="0" borderId="0" xfId="0" applyFont="1" applyAlignment="1">
      <alignment horizontal="center"/>
    </xf>
    <xf numFmtId="166" fontId="5" fillId="0" borderId="1" xfId="0" applyNumberFormat="1" applyFont="1" applyBorder="1" applyAlignment="1">
      <alignment horizontal="center"/>
    </xf>
    <xf numFmtId="0" fontId="5" fillId="0" borderId="5" xfId="0" applyFont="1" applyBorder="1" applyAlignment="1">
      <alignment horizontal="center"/>
    </xf>
    <xf numFmtId="0" fontId="5" fillId="0" borderId="0" xfId="0" applyFont="1" applyAlignment="1">
      <alignment horizontal="center" vertical="center" wrapText="1"/>
    </xf>
    <xf numFmtId="0" fontId="5" fillId="0" borderId="1" xfId="0" applyFont="1" applyBorder="1" applyAlignment="1">
      <alignment horizontal="center" vertical="center" wrapText="1"/>
    </xf>
    <xf numFmtId="166" fontId="6" fillId="0" borderId="2" xfId="0" applyNumberFormat="1" applyFont="1" applyBorder="1" applyAlignment="1">
      <alignment horizontal="center"/>
    </xf>
    <xf numFmtId="0" fontId="6" fillId="0" borderId="1" xfId="0" applyFont="1" applyBorder="1" applyAlignment="1">
      <alignment horizontal="center"/>
    </xf>
    <xf numFmtId="49" fontId="10" fillId="0" borderId="0" xfId="0" applyNumberFormat="1" applyFont="1" applyAlignment="1">
      <alignment horizontal="left" vertical="top"/>
    </xf>
    <xf numFmtId="0" fontId="10" fillId="0" borderId="2" xfId="0" applyFont="1" applyBorder="1" applyAlignment="1">
      <alignment horizontal="left"/>
    </xf>
    <xf numFmtId="0" fontId="6" fillId="0" borderId="0" xfId="0" applyFont="1" applyAlignment="1">
      <alignment horizontal="left"/>
    </xf>
    <xf numFmtId="0" fontId="10" fillId="0" borderId="1" xfId="0" applyFont="1" applyBorder="1" applyAlignment="1">
      <alignment horizontal="left"/>
    </xf>
    <xf numFmtId="0" fontId="6" fillId="0" borderId="1" xfId="0" applyFont="1" applyBorder="1" applyAlignment="1">
      <alignment horizontal="left"/>
    </xf>
    <xf numFmtId="9" fontId="10" fillId="0" borderId="1" xfId="0" applyNumberFormat="1" applyFont="1" applyBorder="1" applyAlignment="1">
      <alignment horizontal="center"/>
    </xf>
    <xf numFmtId="165" fontId="7" fillId="0" borderId="0" xfId="2" applyNumberFormat="1" applyFont="1" applyFill="1" applyAlignment="1">
      <alignment horizontal="left"/>
    </xf>
    <xf numFmtId="0" fontId="17" fillId="0" borderId="8" xfId="0" applyFont="1" applyBorder="1" applyAlignment="1">
      <alignment horizontal="center"/>
    </xf>
    <xf numFmtId="0" fontId="17" fillId="0" borderId="9" xfId="0" applyFont="1" applyBorder="1" applyAlignment="1">
      <alignment horizontal="center"/>
    </xf>
    <xf numFmtId="0" fontId="17" fillId="0" borderId="10" xfId="0" applyFont="1" applyBorder="1" applyAlignment="1">
      <alignment horizontal="center"/>
    </xf>
    <xf numFmtId="0" fontId="25" fillId="0" borderId="0" xfId="0" applyFont="1" applyAlignment="1">
      <alignment horizontal="center"/>
    </xf>
    <xf numFmtId="0" fontId="16" fillId="5" borderId="1" xfId="0" applyFont="1" applyFill="1" applyBorder="1" applyAlignment="1">
      <alignment horizontal="center"/>
    </xf>
    <xf numFmtId="0" fontId="31" fillId="7" borderId="17" xfId="0" applyFont="1" applyFill="1" applyBorder="1" applyAlignment="1">
      <alignment horizontal="center"/>
    </xf>
    <xf numFmtId="0" fontId="14" fillId="0" borderId="17" xfId="0" applyFont="1" applyBorder="1" applyAlignment="1">
      <alignment horizontal="center"/>
    </xf>
    <xf numFmtId="0" fontId="14" fillId="8" borderId="17" xfId="0" applyFont="1" applyFill="1" applyBorder="1" applyAlignment="1">
      <alignment horizontal="center"/>
    </xf>
    <xf numFmtId="0" fontId="30" fillId="0" borderId="0" xfId="0" applyFont="1"/>
    <xf numFmtId="0" fontId="29" fillId="0" borderId="0" xfId="0" applyFont="1"/>
    <xf numFmtId="0" fontId="7" fillId="0" borderId="0" xfId="0" applyFont="1"/>
    <xf numFmtId="0" fontId="14" fillId="0" borderId="0" xfId="0" applyFont="1"/>
    <xf numFmtId="0" fontId="32" fillId="0" borderId="0" xfId="0" applyFont="1"/>
    <xf numFmtId="0" fontId="32" fillId="0" borderId="0" xfId="0" applyFont="1" applyAlignment="1">
      <alignment wrapText="1"/>
    </xf>
    <xf numFmtId="0" fontId="7" fillId="0" borderId="0" xfId="0" applyFont="1" applyAlignment="1">
      <alignment wrapText="1"/>
    </xf>
    <xf numFmtId="165" fontId="0" fillId="0" borderId="17" xfId="2" applyNumberFormat="1" applyFont="1" applyBorder="1" applyAlignment="1">
      <alignment horizontal="center"/>
    </xf>
    <xf numFmtId="165" fontId="0" fillId="8" borderId="17" xfId="2" applyNumberFormat="1" applyFont="1" applyFill="1" applyBorder="1" applyAlignment="1">
      <alignment horizontal="center"/>
    </xf>
  </cellXfs>
  <cellStyles count="14">
    <cellStyle name="Amount" xfId="6" xr:uid="{6BC2CBBC-F4EC-4C3B-BFC6-B77715ACDBB1}"/>
    <cellStyle name="Comma" xfId="1" builtinId="3"/>
    <cellStyle name="Currency" xfId="2" builtinId="4"/>
    <cellStyle name="Date" xfId="9" xr:uid="{F0C4772F-0B84-4091-B1B2-3254F30811B5}"/>
    <cellStyle name="Heading 4 Right aligned" xfId="10" xr:uid="{CAF497A2-F125-440E-AC0C-E379B639778E}"/>
    <cellStyle name="Loan Summary" xfId="7" xr:uid="{9BDB66F5-D888-4BE7-AEF2-3B4215545116}"/>
    <cellStyle name="Normal" xfId="0" builtinId="0"/>
    <cellStyle name="Normal 2" xfId="5" xr:uid="{8CA04B77-2107-4988-A2D3-0173D3372F97}"/>
    <cellStyle name="Normal 2 2" xfId="13" xr:uid="{858BAD8A-C898-4514-84F3-AC57E5FC1EB0}"/>
    <cellStyle name="Normal 3 3" xfId="12" xr:uid="{A58218C4-BA09-443F-A452-3E5D41F071BB}"/>
    <cellStyle name="Normal 5" xfId="4" xr:uid="{0F94E364-231A-41F5-A161-A8B04312E3F8}"/>
    <cellStyle name="Number" xfId="8" xr:uid="{7F6EEBB5-394D-470F-A16D-4A1815C2F920}"/>
    <cellStyle name="Percent" xfId="3" builtinId="5"/>
    <cellStyle name="Table Amount" xfId="11" xr:uid="{37B2D1B6-376C-4D05-9467-3225711FF636}"/>
  </cellStyles>
  <dxfs count="7">
    <dxf>
      <font>
        <color theme="1" tint="0.24994659260841701"/>
      </font>
      <fill>
        <patternFill patternType="solid">
          <fgColor theme="4" tint="0.79998168889431442"/>
          <bgColor theme="4" tint="0.79998168889431442"/>
        </patternFill>
      </fill>
    </dxf>
    <dxf>
      <font>
        <color theme="1" tint="0.24994659260841701"/>
      </font>
      <fill>
        <patternFill patternType="solid">
          <fgColor theme="4" tint="0.79998168889431442"/>
          <bgColor theme="4" tint="0.79998168889431442"/>
        </patternFill>
      </fill>
    </dxf>
    <dxf>
      <font>
        <color theme="1" tint="0.24994659260841701"/>
      </font>
    </dxf>
    <dxf>
      <font>
        <color theme="1" tint="0.24994659260841701"/>
      </font>
    </dxf>
    <dxf>
      <font>
        <color theme="1" tint="0.24994659260841701"/>
      </font>
      <border>
        <top style="double">
          <color theme="4"/>
        </top>
      </border>
    </dxf>
    <dxf>
      <font>
        <b/>
        <i val="0"/>
        <color theme="0"/>
      </font>
      <fill>
        <patternFill patternType="solid">
          <fgColor theme="4"/>
          <bgColor theme="4" tint="-0.499984740745262"/>
        </patternFill>
      </fill>
    </dxf>
    <dxf>
      <font>
        <color theme="1" tint="0.24994659260841701"/>
      </font>
      <border>
        <left style="thin">
          <color theme="4" tint="0.39997558519241921"/>
        </left>
        <right style="thin">
          <color theme="4" tint="0.39997558519241921"/>
        </right>
        <top style="thin">
          <color theme="4" tint="0.39997558519241921"/>
        </top>
        <bottom style="thin">
          <color theme="4" tint="0.39997558519241921"/>
        </bottom>
        <horizontal style="thin">
          <color theme="4" tint="0.39997558519241921"/>
        </horizontal>
      </border>
    </dxf>
  </dxfs>
  <tableStyles count="2" defaultTableStyle="TableStyleMedium2" defaultPivotStyle="PivotStyleLight16">
    <tableStyle name="Invisible" pivot="0" table="0" count="0" xr9:uid="{82C1712C-F645-4A25-8943-9F2613206607}"/>
    <tableStyle name="Loan Amortization Schedule" pivot="0" count="7" xr9:uid="{5F631328-91B2-475E-B7F0-420F10ABFDDA}">
      <tableStyleElement type="wholeTable" dxfId="6"/>
      <tableStyleElement type="headerRow" dxfId="5"/>
      <tableStyleElement type="totalRow" dxfId="4"/>
      <tableStyleElement type="firstColumn" dxfId="3"/>
      <tableStyleElement type="lastColumn" dxfId="2"/>
      <tableStyleElement type="firstRowStripe" dxfId="1"/>
      <tableStyleElement type="firstColumnStripe"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externalLink" Target="externalLinks/externalLink1.xml"/><Relationship Id="rId18" Type="http://schemas.openxmlformats.org/officeDocument/2006/relationships/externalLink" Target="externalLinks/externalLink6.xml"/><Relationship Id="rId26" Type="http://schemas.openxmlformats.org/officeDocument/2006/relationships/externalLink" Target="externalLinks/externalLink14.xml"/><Relationship Id="rId21" Type="http://schemas.openxmlformats.org/officeDocument/2006/relationships/externalLink" Target="externalLinks/externalLink9.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5.xml"/><Relationship Id="rId25" Type="http://schemas.openxmlformats.org/officeDocument/2006/relationships/externalLink" Target="externalLinks/externalLink13.xml"/><Relationship Id="rId33" Type="http://schemas.openxmlformats.org/officeDocument/2006/relationships/externalLink" Target="externalLinks/externalLink21.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externalLink" Target="externalLinks/externalLink4.xml"/><Relationship Id="rId20" Type="http://schemas.openxmlformats.org/officeDocument/2006/relationships/externalLink" Target="externalLinks/externalLink8.xml"/><Relationship Id="rId29" Type="http://schemas.openxmlformats.org/officeDocument/2006/relationships/externalLink" Target="externalLinks/externalLink1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2.xml"/><Relationship Id="rId32" Type="http://schemas.openxmlformats.org/officeDocument/2006/relationships/externalLink" Target="externalLinks/externalLink20.xml"/><Relationship Id="rId37"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externalLink" Target="externalLinks/externalLink3.xml"/><Relationship Id="rId23" Type="http://schemas.openxmlformats.org/officeDocument/2006/relationships/externalLink" Target="externalLinks/externalLink11.xml"/><Relationship Id="rId28" Type="http://schemas.openxmlformats.org/officeDocument/2006/relationships/externalLink" Target="externalLinks/externalLink16.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7.xml"/><Relationship Id="rId31" Type="http://schemas.openxmlformats.org/officeDocument/2006/relationships/externalLink" Target="externalLinks/externalLink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externalLink" Target="externalLinks/externalLink10.xml"/><Relationship Id="rId27" Type="http://schemas.openxmlformats.org/officeDocument/2006/relationships/externalLink" Target="externalLinks/externalLink15.xml"/><Relationship Id="rId30" Type="http://schemas.openxmlformats.org/officeDocument/2006/relationships/externalLink" Target="externalLinks/externalLink18.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externalLinks/_rels/externalLink1.xml.rels><?xml version="1.0" encoding="UTF-8" standalone="yes"?>
<Relationships xmlns="http://schemas.openxmlformats.org/package/2006/relationships"><Relationship Id="rId1" Type="http://schemas.microsoft.com/office/2006/relationships/xlExternalLinkPath/xlPathMissing" Target="DBAPTS.XLW"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LAGSHIP/SYS/ACQUISIT/ANALYSIS/2PROJECT.XLS" TargetMode="External"/><Relationship Id="rId1" Type="http://schemas.openxmlformats.org/officeDocument/2006/relationships/externalLinkPath" Target="/FLAGSHIP/SYS/ACQUISIT/ANALYSIS/2PROJECT.XLS"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LAGSHIP/SYS/ARCHIVES/2PROJECT.XLS" TargetMode="External"/><Relationship Id="rId1" Type="http://schemas.openxmlformats.org/officeDocument/2006/relationships/externalLinkPath" Target="/FLAGSHIP/SYS/ARCHIVES/2PROJECT.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LAGSHIP/SYS/DAVIDC/REHABS.XLS" TargetMode="External"/><Relationship Id="rId1" Type="http://schemas.openxmlformats.org/officeDocument/2006/relationships/externalLinkPath" Target="/FLAGSHIP/SYS/DAVIDC/REHABS.XLS"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LAGSHIP/SYS/ARCHIVES/REHABS.XLS" TargetMode="External"/><Relationship Id="rId1" Type="http://schemas.openxmlformats.org/officeDocument/2006/relationships/externalLinkPath" Target="/FLAGSHIP/SYS/ARCHIVES/REHABS.XLS" TargetMode="External"/></Relationships>
</file>

<file path=xl/externalLinks/_rels/externalLink6.xml.rels><?xml version="1.0" encoding="UTF-8" standalone="yes"?>
<Relationships xmlns="http://schemas.openxmlformats.org/package/2006/relationships"><Relationship Id="rId1" Type="http://schemas.microsoft.com/office/2006/relationships/xlExternalLinkPath/xlPathMissing" Target="1PROJECT.XLS" TargetMode="External"/></Relationships>
</file>

<file path=xl/externalLinks/_rels/externalLink7.xml.rels><?xml version="1.0" encoding="UTF-8" standalone="yes"?>
<Relationships xmlns="http://schemas.openxmlformats.org/package/2006/relationships"><Relationship Id="rId1" Type="http://schemas.microsoft.com/office/2006/relationships/xlExternalLinkPath/xlPathMissing" Target="PROFORMA.XLS" TargetMode="External"/></Relationships>
</file>

<file path=xl/externalLinks/_rels/externalLink8.xml.rels><?xml version="1.0" encoding="UTF-8" standalone="yes"?>
<Relationships xmlns="http://schemas.openxmlformats.org/package/2006/relationships"><Relationship Id="rId2" Type="http://schemas.openxmlformats.org/officeDocument/2006/relationships/externalLinkPath" Target="../../../../FLAGSHIP/SYS/ACQUISIT/ANALYSIS/WOODSCAP.XLS" TargetMode="External"/><Relationship Id="rId1" Type="http://schemas.openxmlformats.org/officeDocument/2006/relationships/externalLinkPath" Target="/FLAGSHIP/SYS/ACQUISIT/ANALYSIS/WOODSCAP.XLS" TargetMode="External"/></Relationships>
</file>

<file path=xl/externalLinks/_rels/externalLink9.xml.rels><?xml version="1.0" encoding="UTF-8" standalone="yes"?>
<Relationships xmlns="http://schemas.openxmlformats.org/package/2006/relationships"><Relationship Id="rId1" Type="http://schemas.microsoft.com/office/2006/relationships/xlExternalLinkPath/xlPathMissing" Target="PROGRESS.XLS" TargetMode="External"/></Relationships>
</file>

<file path=xl/externalLinks/_rels/externalLink10.xml.rels><?xml version="1.0" encoding="UTF-8" standalone="yes"?>
<Relationships xmlns="http://schemas.openxmlformats.org/package/2006/relationships"><Relationship Id="rId1" Type="http://schemas.microsoft.com/office/2006/relationships/xlExternalLinkPath/xlPathMissing" Target="Loan%20amortization%20schedule1" TargetMode="External"/></Relationships>
</file>

<file path=xl/externalLinks/_rels/externalLink11.xml.rels><?xml version="1.0" encoding="UTF-8" standalone="yes"?>
<Relationships xmlns="http://schemas.openxmlformats.org/package/2006/relationships"><Relationship Id="rId1" Type="http://schemas.microsoft.com/office/2006/relationships/xlExternalLinkPath/xlPathMissing" Target="MAG.XLS" TargetMode="External"/></Relationships>
</file>

<file path=xl/externalLinks/_rels/externalLink12.xml.rels><?xml version="1.0" encoding="UTF-8" standalone="yes"?>
<Relationships xmlns="http://schemas.openxmlformats.org/package/2006/relationships"><Relationship Id="rId1" Type="http://schemas.microsoft.com/office/2006/relationships/xlExternalLinkPath/xlPathMissing" Target="REED.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C:/Users/mdcuk/Dropbox/Cukierman%20Working%20Files/QBS%2021-32%20Development%20Partners/Aspen%20Oak%20Capital%20Partners/Aspen%20Oak%20Falcon%20Landing%20HHA%20QBS%2021-32%20Financial%20Analysis%20draft%202021-06-09.xlsm" TargetMode="External"/></Relationships>
</file>

<file path=xl/externalLinks/_rels/externalLink14.xml.rels><?xml version="1.0" encoding="UTF-8" standalone="yes"?>
<Relationships xmlns="http://schemas.openxmlformats.org/package/2006/relationships"><Relationship Id="rId1" Type="http://schemas.microsoft.com/office/2006/relationships/xlExternalLinkPath/xlPathMissing" Target="Magnolia%20Vinings.xls" TargetMode="External"/></Relationships>
</file>

<file path=xl/externalLinks/_rels/externalLink15.xml.rels><?xml version="1.0" encoding="UTF-8" standalone="yes"?>
<Relationships xmlns="http://schemas.openxmlformats.org/package/2006/relationships"><Relationship Id="rId2" Type="http://schemas.openxmlformats.org/officeDocument/2006/relationships/externalLinkPath" Target="../../../../FLAGSHIP/SYS/ACQUISIT/ANALYSIS/WORK.XLS" TargetMode="External"/><Relationship Id="rId1" Type="http://schemas.openxmlformats.org/officeDocument/2006/relationships/externalLinkPath" Target="/FLAGSHIP/SYS/ACQUISIT/ANALYSIS/WORK.XLS" TargetMode="External"/></Relationships>
</file>

<file path=xl/externalLinks/_rels/externalLink16.xml.rels><?xml version="1.0" encoding="UTF-8" standalone="yes"?>
<Relationships xmlns="http://schemas.openxmlformats.org/package/2006/relationships"><Relationship Id="rId1" Type="http://schemas.microsoft.com/office/2006/relationships/xlExternalLinkPath/xlPathMissing" Target="NORTHBOR.XLS" TargetMode="External"/></Relationships>
</file>

<file path=xl/externalLinks/_rels/externalLink17.xml.rels><?xml version="1.0" encoding="UTF-8" standalone="yes"?>
<Relationships xmlns="http://schemas.openxmlformats.org/package/2006/relationships"><Relationship Id="rId2" Type="http://schemas.openxmlformats.org/officeDocument/2006/relationships/externalLinkPath" Target="../../../../FLAGSHIP/SYS/My%20Documents/DAVIDC/PRIVATE/Bouchard%20Portfolio%201.xls" TargetMode="External"/><Relationship Id="rId1" Type="http://schemas.openxmlformats.org/officeDocument/2006/relationships/externalLinkPath" Target="/FLAGSHIP/SYS/My%20Documents/DAVIDC/PRIVATE/Bouchard%20Portfolio%201.xls" TargetMode="External"/></Relationships>
</file>

<file path=xl/externalLinks/_rels/externalLink18.xml.rels><?xml version="1.0" encoding="UTF-8" standalone="yes"?>
<Relationships xmlns="http://schemas.openxmlformats.org/package/2006/relationships"><Relationship Id="rId1" Type="http://schemas.microsoft.com/office/2006/relationships/xlExternalLinkPath/xlPathMissing" Target="UPDATE.XLS" TargetMode="External"/></Relationships>
</file>

<file path=xl/externalLinks/_rels/externalLink19.xml.rels><?xml version="1.0" encoding="UTF-8" standalone="yes"?>
<Relationships xmlns="http://schemas.openxmlformats.org/package/2006/relationships"><Relationship Id="rId2" Type="http://schemas.openxmlformats.org/officeDocument/2006/relationships/externalLinkPath" Target="../../../../Dc/my%20documents/Documents%20and%20Settings/David%20%20Cukierman/My%20Documents/Acquisitions/Archives/Greyson%20Gates%20and%20Gates%20De%20Provence/Provence%20and%20Greyson%20Dec-04/Greyson's%20Gate%20%20Financial%20Package%20020305.xls" TargetMode="External"/><Relationship Id="rId1" Type="http://schemas.openxmlformats.org/officeDocument/2006/relationships/externalLinkPath" Target="/Dc/my%20documents/Documents%20and%20Settings/David%20%20Cukierman/My%20Documents/Acquisitions/Archives/Greyson%20Gates%20and%20Gates%20De%20Provence/Provence%20and%20Greyson%20Dec-04/Greyson's%20Gate%20%20Financial%20Package%20020305.xls" TargetMode="External"/></Relationships>
</file>

<file path=xl/externalLinks/_rels/externalLink20.xml.rels><?xml version="1.0" encoding="UTF-8" standalone="yes"?>
<Relationships xmlns="http://schemas.openxmlformats.org/package/2006/relationships"><Relationship Id="rId1" Type="http://schemas.microsoft.com/office/2006/relationships/xlExternalLinkPath/xlPathMissing" Target="Greyson's%20Gate%20%20Financial%20Package%20Praedium%20%20030105.xls" TargetMode="External"/></Relationships>
</file>

<file path=xl/externalLinks/_rels/externalLink21.xml.rels><?xml version="1.0" encoding="UTF-8" standalone="yes"?>
<Relationships xmlns="http://schemas.openxmlformats.org/package/2006/relationships"><Relationship Id="rId2" Type="http://schemas.openxmlformats.org/officeDocument/2006/relationships/externalLinkPath" Target="../../../../FLAGSHIP/SYS/My%20Documents/REHABS/SAVANNAH.XLS" TargetMode="External"/><Relationship Id="rId1" Type="http://schemas.openxmlformats.org/officeDocument/2006/relationships/externalLinkPath" Target="/FLAGSHIP/SYS/My%20Documents/REHABS/SAVANNAH.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BAPTS"/>
    </sheet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Magnolia Vinings"/>
      <sheetName val="Magnolia Vinings (1)"/>
      <sheetName val="Cypress Station"/>
      <sheetName val="Cypress Concrete Costs"/>
      <sheetName val="Ranchstone Apartments"/>
      <sheetName val="Appliances"/>
    </sheetNames>
    <sheetDataSet>
      <sheetData sheetId="0"/>
      <sheetData sheetId="1"/>
      <sheetData sheetId="2"/>
      <sheetData sheetId="3"/>
      <sheetData sheetId="4"/>
      <sheetData sheetId="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Magnolia"/>
      <sheetName val="Cypress Station"/>
      <sheetName val="Ranchstone Apartments"/>
      <sheetName val="Appliances"/>
    </sheetNames>
    <sheetDataSet>
      <sheetData sheetId="0"/>
      <sheetData sheetId="1" refreshError="1"/>
      <sheetData sheetId="2" refreshError="1"/>
      <sheetData sheetId="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toneridge bids"/>
      <sheetName val="Stoneridge bids (1)"/>
      <sheetName val="Stoneridge Apartments"/>
    </sheetNames>
    <sheetDataSet>
      <sheetData sheetId="0"/>
      <sheetData sheetId="1"/>
      <sheetData sheetId="2"/>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toneridge bids"/>
      <sheetName val="Stoneridge bids (1)"/>
      <sheetName val="Stoneridge Apartments"/>
    </sheetNames>
    <sheetDataSet>
      <sheetData sheetId="0"/>
      <sheetData sheetId="1"/>
      <sheetData sheetId="2"/>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entley Wynde"/>
      <sheetName val="Whispering Creek Villas "/>
      <sheetName val="Camino Real"/>
      <sheetName val="Bentworth"/>
      <sheetName val="THE ENCLAVE"/>
      <sheetName val="Sheet1"/>
      <sheetName val="Sheet2"/>
      <sheetName val="Sheet3"/>
    </sheetNames>
    <sheetDataSet>
      <sheetData sheetId="0">
        <row r="91">
          <cell r="AC91" t="str">
            <v>Quantity</v>
          </cell>
          <cell r="AD91" t="str">
            <v>Description</v>
          </cell>
        </row>
        <row r="93">
          <cell r="AC93">
            <v>276</v>
          </cell>
          <cell r="AD93" t="str">
            <v>Ext. 3'0" x 6'8" x 1 3/4"  Insulated, 6 panel metal door,  20 min. self closing, 4-7/8" wood</v>
          </cell>
        </row>
        <row r="94">
          <cell r="AD94" t="str">
            <v>jamb, 2"x 4" S4S Trim,  weatherstrip,  adj. threshold,  2 1/2 bore,  peep site, open in.</v>
          </cell>
        </row>
        <row r="95">
          <cell r="AC95">
            <v>32</v>
          </cell>
          <cell r="AD95" t="str">
            <v>Ext. 3'0" x 6'8" x 1 3/4"  Insulated, 6 panel metal door,  1 Hr. self closing, 4-7/8" metal</v>
          </cell>
        </row>
        <row r="96">
          <cell r="AD96" t="str">
            <v>jamb 2"x 4" S4S Trim,  weatherstrip,  adj. threshold,  single bore, open in.</v>
          </cell>
        </row>
        <row r="97">
          <cell r="AC97">
            <v>92</v>
          </cell>
          <cell r="AD97" t="str">
            <v>Ext. 3'0" x 6'8" x 1 3/4"  Insulated, 6 panel metal door,  3/4 Hr. self closing, 4-7/8" metal</v>
          </cell>
        </row>
        <row r="98">
          <cell r="AD98" t="str">
            <v>jamb 2"x 4" S4S Trim,  weatherstrip,  adj. threshold,  2 1/2 bore,  peep site, open in.</v>
          </cell>
        </row>
        <row r="99">
          <cell r="AC99">
            <v>368</v>
          </cell>
          <cell r="AD99" t="str">
            <v>Ext. 3'0" x 6'8" x 1 3/4"  Insulated, French metal door, 15 lite, 4-7/8" wood jamb,</v>
          </cell>
        </row>
        <row r="100">
          <cell r="AD100" t="str">
            <v>2"x 4" S4S Trim,  weatherstrip,  adj. threshold,  2 1/2 bore, NRP, open out.</v>
          </cell>
        </row>
        <row r="101">
          <cell r="AC101">
            <v>590</v>
          </cell>
          <cell r="AD101" t="str">
            <v>Int. 2'10" x 6'8" x 1 3/8"  Hollow Core, Interior, 6 panel, 4 7/8 MDF jamb,</v>
          </cell>
        </row>
        <row r="102">
          <cell r="AD102" t="str">
            <v>casing 2 sides, 2 1/2 MDF colonial, single bore.</v>
          </cell>
        </row>
        <row r="103">
          <cell r="AC103">
            <v>412</v>
          </cell>
          <cell r="AD103" t="str">
            <v>Int. 2'8" x 6'8" x 1 3/8"  Hollow Core, Interior, 6 panel, 4 7/8 MDF jamb,</v>
          </cell>
        </row>
        <row r="104">
          <cell r="AD104" t="str">
            <v>casing 2 sides, 2 1/2 MDF colonial, single bore.</v>
          </cell>
        </row>
        <row r="105">
          <cell r="AC105">
            <v>620</v>
          </cell>
          <cell r="AD105" t="str">
            <v>Int. 2'0" x 6'8" x 1 3/8"  Hollow Core, Interior, 6 panel, 4 7/8 MDF jamb,</v>
          </cell>
        </row>
        <row r="106">
          <cell r="AD106" t="str">
            <v>casing 2 sides, 2 1/2 MDF colonial, single bore.</v>
          </cell>
        </row>
        <row r="107">
          <cell r="AC107">
            <v>574</v>
          </cell>
          <cell r="AD107" t="str">
            <v>Int. 2'4" x 6'8" x 1 3/8"  Hollow Core, Interior, 6 panel, 4 7/8 MDF jamb,</v>
          </cell>
        </row>
        <row r="108">
          <cell r="AD108" t="str">
            <v>casing 2 sides, 2 1/2 MDF colonial, single bore.</v>
          </cell>
        </row>
        <row r="109">
          <cell r="AC109">
            <v>116</v>
          </cell>
          <cell r="AD109" t="str">
            <v>Ext. 2'10" x 6'8" x 1 3/4"  Insulated, 6 panel metal door,  1 Hr. self closing, 4-7/8" metal</v>
          </cell>
        </row>
        <row r="110">
          <cell r="AD110" t="str">
            <v>jamb 2"x 4"4 S4S Trim,  weatherstrip,  adj. threshold,  2 1/2 bore,  peep site, open out,</v>
          </cell>
        </row>
        <row r="111">
          <cell r="AC111">
            <v>264</v>
          </cell>
          <cell r="AD111" t="str">
            <v>Int. 2'10" x 6'8" x 1 3/8" Hollow Core, Interior, 6 panel, 4 7/8 MDF jamb, bifold door,</v>
          </cell>
        </row>
        <row r="112">
          <cell r="AD112" t="str">
            <v>casing 2 sides, 2 1/2 MDF colonial, no bore.</v>
          </cell>
        </row>
        <row r="113">
          <cell r="AC113">
            <v>24</v>
          </cell>
          <cell r="AD113" t="str">
            <v>Int. Pair 1'6" x 6'8" x 1 3/8" Hollow Core, Interior, 6 panel, 4 7/8 MDF jamb,</v>
          </cell>
        </row>
        <row r="114">
          <cell r="AD114" t="str">
            <v>casing 2 sides, 2 1/2 MDF colonial, no bore, Bullet catches</v>
          </cell>
        </row>
        <row r="115">
          <cell r="AC115">
            <v>172</v>
          </cell>
          <cell r="AD115" t="str">
            <v>Int. 1'6" x 6'8" x 1 3/8"  Hollow Core, Interior, 6 panel,4 7/8 MDF jamb,</v>
          </cell>
        </row>
        <row r="116">
          <cell r="AD116" t="str">
            <v>casing 2 sides, 2 1/2 MDF colonial, single bore.</v>
          </cell>
        </row>
        <row r="117">
          <cell r="AC117">
            <v>243</v>
          </cell>
          <cell r="AD117" t="str">
            <v>Ext. 3'0" x 6'8" x 1 3/4" 6 panel metal, 4-7/8" jamb, 2" x 4" S4S Trim,</v>
          </cell>
        </row>
        <row r="118">
          <cell r="AD118" t="str">
            <v>weatherstrip, threshold, single bore, NRP,  bumper sill, open out.</v>
          </cell>
        </row>
        <row r="119">
          <cell r="AC119">
            <v>20</v>
          </cell>
          <cell r="AD119" t="str">
            <v>Ext. 2'6" x 6'8" x 1 3/4" flush exterior grade, HC. HB. , 4-7/8" FJ. YP. jamb,</v>
          </cell>
        </row>
        <row r="120">
          <cell r="AD120" t="str">
            <v>casing 2 sides, 2 1/2 MDF colonial, single bore.</v>
          </cell>
        </row>
        <row r="121">
          <cell r="AC121">
            <v>12</v>
          </cell>
          <cell r="AD121" t="str">
            <v>Int. Pair 2'6" x 6'8" x 1 3/8" Hollow Core, Interior, 6 panel, 4 7/8 MDF jamb, bifold door,</v>
          </cell>
        </row>
        <row r="122">
          <cell r="AD122" t="str">
            <v>casing 2 sides, 2 1/2 MDF colonial, single bore.</v>
          </cell>
        </row>
        <row r="123">
          <cell r="AC123">
            <v>76</v>
          </cell>
          <cell r="AD123" t="str">
            <v>Ext. 2'10" x 6'8" x 1 3/4" flush exterior grade, HC. HB. , 4-7/8" FJ. YP. jamb,</v>
          </cell>
        </row>
        <row r="124">
          <cell r="AD124" t="str">
            <v>casing 2 sides, 2 1/2 MDF colonial, single bore.</v>
          </cell>
        </row>
        <row r="125">
          <cell r="AC125">
            <v>12</v>
          </cell>
          <cell r="AD125" t="str">
            <v>Ext. 2'10" x 6'8" x 1 3/4"  Insulated, 6 panel metal door,  1 Hr. self closing, 4-7/8" metal</v>
          </cell>
        </row>
        <row r="126">
          <cell r="AD126" t="str">
            <v>jamb 2"x 4" S4S Trim,  weatherstrip,  adj. threshold,  single bore.</v>
          </cell>
        </row>
        <row r="127">
          <cell r="AC127">
            <v>24</v>
          </cell>
          <cell r="AD127" t="str">
            <v>Ext. 3'0" x 6'8" x 1 3/4" flush exterior grade, HC. HB. , 4-7/8" FJ. YP. jamb,</v>
          </cell>
        </row>
        <row r="128">
          <cell r="AD128" t="str">
            <v>casing 2 sides, 2 1/2 MDF colonial, single bore.</v>
          </cell>
        </row>
        <row r="129">
          <cell r="AC129">
            <v>22</v>
          </cell>
          <cell r="AD129" t="str">
            <v>Ext. 2'6" x 6'8" x 1 3/4"  Insulated, 6 panel metal door,  1 Hr. self closing, 4-7/8" metal</v>
          </cell>
        </row>
        <row r="130">
          <cell r="AD130" t="str">
            <v>jamb, casing 2 sides, 2 1/2 MDF colonial, weatherstrip,  adj. threshold,  2 1/2 bore,  peep site, open in.</v>
          </cell>
        </row>
      </sheetData>
      <sheetData sheetId="1">
        <row r="1">
          <cell r="A1" t="str">
            <v>CAMINO REAL</v>
          </cell>
        </row>
      </sheetData>
      <sheetData sheetId="2">
        <row r="1">
          <cell r="A1" t="str">
            <v>CAMINO REAL</v>
          </cell>
        </row>
        <row r="2">
          <cell r="A2" t="str">
            <v>ALBUQUERQUE, NEW MEXICO</v>
          </cell>
        </row>
        <row r="3">
          <cell r="A3" t="str">
            <v>DEVELOPMENT COSTS</v>
          </cell>
        </row>
        <row r="4">
          <cell r="A4" t="str">
            <v>FLAGSHIP PROPERTIES CORPORATION</v>
          </cell>
        </row>
        <row r="6">
          <cell r="A6" t="str">
            <v>TOTAL DEVELOPMENT COSTS</v>
          </cell>
          <cell r="D6" t="str">
            <v>Original</v>
          </cell>
          <cell r="E6" t="str">
            <v>Revised</v>
          </cell>
          <cell r="H6" t="str">
            <v>Cost Overruns</v>
          </cell>
        </row>
        <row r="8">
          <cell r="A8" t="str">
            <v>I.</v>
          </cell>
          <cell r="B8" t="str">
            <v>Land purchase</v>
          </cell>
          <cell r="D8">
            <v>1365584</v>
          </cell>
          <cell r="E8">
            <v>1354234</v>
          </cell>
          <cell r="H8">
            <v>-11350</v>
          </cell>
        </row>
        <row r="10">
          <cell r="A10" t="str">
            <v>II</v>
          </cell>
          <cell r="B10" t="str">
            <v>Hard costs</v>
          </cell>
        </row>
        <row r="11">
          <cell r="A11">
            <v>1</v>
          </cell>
          <cell r="B11" t="str">
            <v xml:space="preserve">Construction </v>
          </cell>
          <cell r="D11">
            <v>10109350.92</v>
          </cell>
          <cell r="E11">
            <v>10625199.870000001</v>
          </cell>
          <cell r="H11">
            <v>515848.95000000112</v>
          </cell>
        </row>
        <row r="12">
          <cell r="B12" t="str">
            <v>Subtotal Hard Costs</v>
          </cell>
          <cell r="D12">
            <v>10109350.92</v>
          </cell>
          <cell r="E12">
            <v>10625199.870000001</v>
          </cell>
          <cell r="H12">
            <v>515848.95000000112</v>
          </cell>
        </row>
        <row r="14">
          <cell r="A14" t="str">
            <v>III.</v>
          </cell>
          <cell r="B14" t="str">
            <v>Soft Costs</v>
          </cell>
        </row>
        <row r="15">
          <cell r="A15">
            <v>1</v>
          </cell>
          <cell r="B15" t="str">
            <v>Architectural &amp; Engineering Fees</v>
          </cell>
          <cell r="D15">
            <v>102708</v>
          </cell>
          <cell r="E15">
            <v>174030.2</v>
          </cell>
          <cell r="H15">
            <v>71322.200000000012</v>
          </cell>
        </row>
        <row r="16">
          <cell r="A16">
            <v>2</v>
          </cell>
          <cell r="B16" t="str">
            <v>Arc. &amp; Eng. Inspection Fees</v>
          </cell>
          <cell r="D16">
            <v>21666</v>
          </cell>
          <cell r="E16">
            <v>21666</v>
          </cell>
          <cell r="H16">
            <v>0</v>
          </cell>
        </row>
        <row r="17">
          <cell r="A17">
            <v>3</v>
          </cell>
          <cell r="B17" t="str">
            <v>Legal, Title &amp; Insurance</v>
          </cell>
          <cell r="D17">
            <v>109888</v>
          </cell>
          <cell r="E17">
            <v>138132.26</v>
          </cell>
          <cell r="H17">
            <v>28244.260000000009</v>
          </cell>
        </row>
        <row r="18">
          <cell r="A18">
            <v>4</v>
          </cell>
          <cell r="B18" t="str">
            <v>Heller's  Loan Fees</v>
          </cell>
          <cell r="D18">
            <v>60000</v>
          </cell>
          <cell r="E18">
            <v>60000</v>
          </cell>
          <cell r="H18">
            <v>0</v>
          </cell>
        </row>
        <row r="19">
          <cell r="A19">
            <v>5</v>
          </cell>
          <cell r="B19" t="str">
            <v>Mortgage Broker's Fee</v>
          </cell>
          <cell r="D19">
            <v>106750</v>
          </cell>
          <cell r="E19">
            <v>104475</v>
          </cell>
          <cell r="H19">
            <v>-2275</v>
          </cell>
        </row>
        <row r="20">
          <cell r="A20">
            <v>6</v>
          </cell>
          <cell r="B20" t="str">
            <v>NationsBank Loan Fee</v>
          </cell>
          <cell r="D20">
            <v>49500</v>
          </cell>
          <cell r="E20">
            <v>49500</v>
          </cell>
          <cell r="H20">
            <v>0</v>
          </cell>
        </row>
        <row r="21">
          <cell r="A21">
            <v>7</v>
          </cell>
          <cell r="B21" t="str">
            <v>NationsBank  Loan Interest</v>
          </cell>
          <cell r="D21">
            <v>700000</v>
          </cell>
          <cell r="E21">
            <v>700000</v>
          </cell>
          <cell r="H21">
            <v>0</v>
          </cell>
        </row>
        <row r="22">
          <cell r="A22">
            <v>8</v>
          </cell>
          <cell r="B22" t="str">
            <v>Operating Deficit:</v>
          </cell>
          <cell r="D22">
            <v>265000.00353737501</v>
          </cell>
          <cell r="E22">
            <v>309845.74999999994</v>
          </cell>
          <cell r="H22">
            <v>44845.746462624928</v>
          </cell>
        </row>
        <row r="23">
          <cell r="B23" t="str">
            <v>Heller's  Loan Interest</v>
          </cell>
          <cell r="C23">
            <v>540000</v>
          </cell>
        </row>
        <row r="24">
          <cell r="B24" t="str">
            <v>Tap &amp; Impact Fees</v>
          </cell>
          <cell r="C24">
            <v>129714.00353737501</v>
          </cell>
        </row>
        <row r="25">
          <cell r="B25" t="str">
            <v>Furnishings/Equipment</v>
          </cell>
          <cell r="C25">
            <v>50000</v>
          </cell>
        </row>
        <row r="26">
          <cell r="B26" t="str">
            <v>Marketing &amp; Other Costs</v>
          </cell>
          <cell r="C26">
            <v>75286</v>
          </cell>
        </row>
        <row r="27">
          <cell r="B27" t="str">
            <v>Less: Income from Operations</v>
          </cell>
          <cell r="C27">
            <v>-530000</v>
          </cell>
        </row>
        <row r="28">
          <cell r="A28">
            <v>9</v>
          </cell>
          <cell r="B28" t="str">
            <v>Developer's  Fee</v>
          </cell>
          <cell r="D28">
            <v>280000</v>
          </cell>
          <cell r="E28">
            <v>280000</v>
          </cell>
          <cell r="H28">
            <v>0</v>
          </cell>
        </row>
        <row r="29">
          <cell r="A29">
            <v>10</v>
          </cell>
          <cell r="B29" t="str">
            <v>Construction Management Fee</v>
          </cell>
          <cell r="D29">
            <v>300000</v>
          </cell>
          <cell r="E29">
            <v>300000</v>
          </cell>
          <cell r="H29">
            <v>0</v>
          </cell>
        </row>
        <row r="30">
          <cell r="A30">
            <v>11</v>
          </cell>
          <cell r="B30" t="str">
            <v>Permit Fees</v>
          </cell>
          <cell r="D30">
            <v>37200</v>
          </cell>
          <cell r="E30">
            <v>9602.0400000000009</v>
          </cell>
          <cell r="H30">
            <v>-27597.96</v>
          </cell>
        </row>
        <row r="31">
          <cell r="A31">
            <v>12</v>
          </cell>
          <cell r="B31" t="str">
            <v>Overhead</v>
          </cell>
          <cell r="D31">
            <v>75000</v>
          </cell>
          <cell r="E31">
            <v>75000</v>
          </cell>
          <cell r="H31">
            <v>0</v>
          </cell>
        </row>
        <row r="32">
          <cell r="B32" t="str">
            <v>Total</v>
          </cell>
          <cell r="D32">
            <v>2107712.003537375</v>
          </cell>
          <cell r="E32">
            <v>2222251.25</v>
          </cell>
          <cell r="F32">
            <v>0</v>
          </cell>
          <cell r="G32">
            <v>0</v>
          </cell>
          <cell r="H32">
            <v>114539.24646262496</v>
          </cell>
        </row>
        <row r="34">
          <cell r="A34" t="str">
            <v>IV.</v>
          </cell>
          <cell r="B34" t="str">
            <v>Contingency</v>
          </cell>
          <cell r="D34">
            <v>260153</v>
          </cell>
          <cell r="E34">
            <v>8914.15</v>
          </cell>
          <cell r="H34">
            <v>-251238.85</v>
          </cell>
        </row>
        <row r="36">
          <cell r="B36" t="str">
            <v>TOTAL PROJECT COSTS</v>
          </cell>
          <cell r="D36">
            <v>13842799.923537375</v>
          </cell>
          <cell r="E36">
            <v>14210599.270000001</v>
          </cell>
          <cell r="F36">
            <v>0</v>
          </cell>
          <cell r="G36">
            <v>0</v>
          </cell>
          <cell r="H36">
            <v>367799.34646262607</v>
          </cell>
        </row>
        <row r="37">
          <cell r="A37" t="str">
            <v>CAMINO REAL</v>
          </cell>
        </row>
        <row r="38">
          <cell r="A38" t="str">
            <v>ALBUQUERQUE, NEW MEXICO</v>
          </cell>
        </row>
        <row r="39">
          <cell r="A39" t="str">
            <v>HARD COSTS</v>
          </cell>
        </row>
        <row r="40">
          <cell r="A40" t="str">
            <v>FLAGSHIP CONSTRUCTION COMPANY</v>
          </cell>
        </row>
        <row r="43">
          <cell r="T43">
            <v>34274</v>
          </cell>
        </row>
        <row r="44">
          <cell r="Y44" t="str">
            <v>CAòINEô INóTALüATIÿN</v>
          </cell>
        </row>
        <row r="45">
          <cell r="A45" t="str">
            <v>Tyðe</v>
          </cell>
          <cell r="B45" t="str">
            <v>ôescòiptùon</v>
          </cell>
          <cell r="C45" t="str">
            <v>Miø</v>
          </cell>
          <cell r="E45" t="str">
            <v>öt²</v>
          </cell>
          <cell r="F45" t="str">
            <v>Toôal öt²</v>
          </cell>
          <cell r="G45" t="str">
            <v>Reþt/mÿ</v>
          </cell>
          <cell r="H45" t="str">
            <v>òentÿft²</v>
          </cell>
          <cell r="I45" t="str">
            <v>Toôal ò</v>
          </cell>
          <cell r="S45" t="str">
            <v>öt²</v>
          </cell>
          <cell r="T45" t="str">
            <v>Toôal öt²</v>
          </cell>
          <cell r="X45" t="str">
            <v>Miø</v>
          </cell>
          <cell r="Y45" t="str">
            <v>õNITðRatõ</v>
          </cell>
        </row>
        <row r="47">
          <cell r="A47" t="str">
            <v>ñ</v>
          </cell>
          <cell r="B47" t="str">
            <v>ñ beôrooý - ñ baôh</v>
          </cell>
          <cell r="C47">
            <v>60</v>
          </cell>
          <cell r="E47">
            <v>729</v>
          </cell>
          <cell r="F47">
            <v>43740</v>
          </cell>
          <cell r="G47">
            <v>625</v>
          </cell>
          <cell r="H47">
            <v>0.85733882030178321</v>
          </cell>
          <cell r="I47">
            <v>37500</v>
          </cell>
          <cell r="S47">
            <v>803</v>
          </cell>
          <cell r="T47">
            <v>28908</v>
          </cell>
          <cell r="X47">
            <v>60</v>
          </cell>
          <cell r="Y47">
            <v>77</v>
          </cell>
        </row>
        <row r="48">
          <cell r="A48" t="str">
            <v>B</v>
          </cell>
          <cell r="B48" t="str">
            <v>1 bedroom - 1 bath</v>
          </cell>
          <cell r="C48">
            <v>48</v>
          </cell>
          <cell r="E48">
            <v>794</v>
          </cell>
          <cell r="F48">
            <v>38112</v>
          </cell>
          <cell r="G48">
            <v>660</v>
          </cell>
          <cell r="H48">
            <v>0.83123425692695219</v>
          </cell>
          <cell r="I48">
            <v>31680</v>
          </cell>
          <cell r="S48">
            <v>920</v>
          </cell>
          <cell r="T48">
            <v>22080</v>
          </cell>
          <cell r="X48">
            <v>48</v>
          </cell>
          <cell r="Y48">
            <v>98</v>
          </cell>
        </row>
        <row r="49">
          <cell r="A49" t="str">
            <v>C1</v>
          </cell>
          <cell r="B49" t="str">
            <v>2 bedroom - 2 baths</v>
          </cell>
          <cell r="C49">
            <v>8</v>
          </cell>
          <cell r="E49">
            <v>1012</v>
          </cell>
          <cell r="F49">
            <v>8096</v>
          </cell>
          <cell r="G49">
            <v>795</v>
          </cell>
          <cell r="H49">
            <v>0.78557312252964429</v>
          </cell>
          <cell r="I49">
            <v>6360</v>
          </cell>
          <cell r="S49">
            <v>1012</v>
          </cell>
          <cell r="T49">
            <v>60720</v>
          </cell>
          <cell r="X49">
            <v>8</v>
          </cell>
          <cell r="Y49">
            <v>105</v>
          </cell>
        </row>
        <row r="50">
          <cell r="A50" t="str">
            <v>C2</v>
          </cell>
          <cell r="B50" t="str">
            <v>2 bedroom - 2 baths</v>
          </cell>
          <cell r="C50">
            <v>8</v>
          </cell>
          <cell r="E50">
            <v>1026</v>
          </cell>
          <cell r="F50">
            <v>8208</v>
          </cell>
          <cell r="G50">
            <v>795</v>
          </cell>
          <cell r="H50">
            <v>0.77485380116959068</v>
          </cell>
          <cell r="I50">
            <v>6360</v>
          </cell>
          <cell r="S50">
            <v>1044</v>
          </cell>
          <cell r="T50">
            <v>41760</v>
          </cell>
          <cell r="X50">
            <v>8</v>
          </cell>
          <cell r="Y50">
            <v>105</v>
          </cell>
        </row>
        <row r="51">
          <cell r="A51" t="str">
            <v>D1</v>
          </cell>
          <cell r="B51" t="str">
            <v>2 bedroom - 2 baths</v>
          </cell>
          <cell r="C51">
            <v>24</v>
          </cell>
          <cell r="E51">
            <v>1110</v>
          </cell>
          <cell r="F51">
            <v>26640</v>
          </cell>
          <cell r="G51">
            <v>850</v>
          </cell>
          <cell r="H51">
            <v>0.76576576576576572</v>
          </cell>
          <cell r="I51">
            <v>20400</v>
          </cell>
        </row>
        <row r="52">
          <cell r="A52" t="str">
            <v>D2/D3</v>
          </cell>
          <cell r="B52" t="str">
            <v>2 bedroom - 2 baths</v>
          </cell>
          <cell r="C52">
            <v>48</v>
          </cell>
          <cell r="E52">
            <v>1098</v>
          </cell>
          <cell r="F52">
            <v>52704</v>
          </cell>
          <cell r="G52">
            <v>850</v>
          </cell>
          <cell r="H52">
            <v>0.7741347905282332</v>
          </cell>
          <cell r="I52">
            <v>40800</v>
          </cell>
        </row>
        <row r="53">
          <cell r="A53" t="str">
            <v>E1</v>
          </cell>
          <cell r="B53" t="str">
            <v>2 bedroom - 2 baths</v>
          </cell>
          <cell r="C53">
            <v>20</v>
          </cell>
          <cell r="E53">
            <v>1091</v>
          </cell>
          <cell r="F53">
            <v>21820</v>
          </cell>
          <cell r="G53">
            <v>850</v>
          </cell>
          <cell r="H53">
            <v>0.77910174152153988</v>
          </cell>
          <cell r="I53">
            <v>17000</v>
          </cell>
          <cell r="S53">
            <v>1002.54</v>
          </cell>
          <cell r="T53">
            <v>200508</v>
          </cell>
        </row>
        <row r="54">
          <cell r="A54" t="str">
            <v>E2</v>
          </cell>
          <cell r="B54" t="str">
            <v>2 bedroom - 2 baths</v>
          </cell>
          <cell r="C54">
            <v>20</v>
          </cell>
          <cell r="E54">
            <v>1146</v>
          </cell>
          <cell r="F54">
            <v>22920</v>
          </cell>
          <cell r="G54">
            <v>875</v>
          </cell>
          <cell r="H54">
            <v>0.7635253054101222</v>
          </cell>
          <cell r="I54">
            <v>17500</v>
          </cell>
        </row>
        <row r="55">
          <cell r="A55" t="str">
            <v>F1</v>
          </cell>
          <cell r="B55" t="str">
            <v>3 bedroom - 2 baths</v>
          </cell>
          <cell r="C55">
            <v>6</v>
          </cell>
          <cell r="E55">
            <v>1309</v>
          </cell>
          <cell r="F55">
            <v>7854</v>
          </cell>
          <cell r="G55">
            <v>1000</v>
          </cell>
          <cell r="H55">
            <v>0.76394194041252861</v>
          </cell>
          <cell r="I55">
            <v>6000</v>
          </cell>
        </row>
        <row r="56">
          <cell r="A56" t="str">
            <v>F2</v>
          </cell>
          <cell r="B56" t="str">
            <v>3 bedroom - 2 baths</v>
          </cell>
          <cell r="C56">
            <v>6</v>
          </cell>
          <cell r="E56">
            <v>1362</v>
          </cell>
          <cell r="F56">
            <v>8172</v>
          </cell>
          <cell r="G56">
            <v>1050</v>
          </cell>
          <cell r="H56">
            <v>0.77092511013215859</v>
          </cell>
          <cell r="I56">
            <v>6300</v>
          </cell>
        </row>
        <row r="57">
          <cell r="C57">
            <v>248</v>
          </cell>
          <cell r="E57">
            <v>960.75</v>
          </cell>
          <cell r="F57">
            <v>238266</v>
          </cell>
          <cell r="G57">
            <v>765.72580645161293</v>
          </cell>
          <cell r="H57">
            <v>0.79700838558585785</v>
          </cell>
          <cell r="I57">
            <v>189900</v>
          </cell>
        </row>
        <row r="58">
          <cell r="C58">
            <v>189900</v>
          </cell>
        </row>
        <row r="59">
          <cell r="A59" t="str">
            <v>Clubhouse</v>
          </cell>
          <cell r="F59">
            <v>2885</v>
          </cell>
        </row>
        <row r="63">
          <cell r="D63" t="str">
            <v>ORIGINAL</v>
          </cell>
          <cell r="E63" t="str">
            <v>REVISED</v>
          </cell>
          <cell r="F63" t="str">
            <v>COST/ft²</v>
          </cell>
          <cell r="G63" t="str">
            <v>COST/UNIT</v>
          </cell>
          <cell r="H63" t="str">
            <v>CONTRACTS AND</v>
          </cell>
          <cell r="I63" t="str">
            <v>COST/ft²</v>
          </cell>
          <cell r="J63" t="str">
            <v>COST/UNIT</v>
          </cell>
          <cell r="K63" t="str">
            <v>COMMENTS</v>
          </cell>
        </row>
        <row r="64">
          <cell r="A64" t="str">
            <v>COST CODE</v>
          </cell>
          <cell r="B64" t="str">
            <v>DESCRIPTION</v>
          </cell>
          <cell r="D64" t="str">
            <v>SCHEDULED VALUES</v>
          </cell>
          <cell r="E64" t="str">
            <v>SCHEDULED VALUES</v>
          </cell>
          <cell r="F64">
            <v>238266</v>
          </cell>
          <cell r="G64">
            <v>248</v>
          </cell>
          <cell r="H64" t="str">
            <v>PURCHASE ORDERS</v>
          </cell>
          <cell r="I64">
            <v>238266</v>
          </cell>
          <cell r="J64">
            <v>248</v>
          </cell>
        </row>
        <row r="66">
          <cell r="A66">
            <v>1</v>
          </cell>
          <cell r="B66" t="str">
            <v>GENERAL REQUIREMENTS</v>
          </cell>
          <cell r="D66">
            <v>1075372</v>
          </cell>
          <cell r="E66">
            <v>1136549.18</v>
          </cell>
          <cell r="F66">
            <v>4.7700854507147472</v>
          </cell>
          <cell r="G66">
            <v>4582.8595967741931</v>
          </cell>
          <cell r="H66">
            <v>68527.550000000017</v>
          </cell>
          <cell r="I66">
            <v>0.28760943651213355</v>
          </cell>
          <cell r="J66">
            <v>276.32076612903234</v>
          </cell>
        </row>
        <row r="67">
          <cell r="A67">
            <v>2</v>
          </cell>
          <cell r="B67" t="str">
            <v>SITEWORK</v>
          </cell>
          <cell r="D67">
            <v>977969.6</v>
          </cell>
          <cell r="E67">
            <v>1062780.42</v>
          </cell>
          <cell r="F67">
            <v>4.4604787086701414</v>
          </cell>
          <cell r="G67">
            <v>4285.4049193548381</v>
          </cell>
          <cell r="H67">
            <v>988455.51</v>
          </cell>
          <cell r="I67">
            <v>4.1485378106821784</v>
          </cell>
          <cell r="J67">
            <v>3985.7077016129033</v>
          </cell>
        </row>
        <row r="68">
          <cell r="A68">
            <v>3</v>
          </cell>
          <cell r="B68" t="str">
            <v>CONCRETE</v>
          </cell>
          <cell r="D68">
            <v>559605.80000000005</v>
          </cell>
          <cell r="E68">
            <v>547041</v>
          </cell>
          <cell r="F68">
            <v>2.2959255621867998</v>
          </cell>
          <cell r="G68">
            <v>2205.8104838709678</v>
          </cell>
          <cell r="H68">
            <v>546066</v>
          </cell>
          <cell r="I68">
            <v>2.29183349701594</v>
          </cell>
          <cell r="J68">
            <v>2201.8790322580644</v>
          </cell>
        </row>
        <row r="69">
          <cell r="A69">
            <v>4</v>
          </cell>
          <cell r="B69" t="str">
            <v>MASONRY</v>
          </cell>
          <cell r="D69">
            <v>0</v>
          </cell>
          <cell r="E69">
            <v>0</v>
          </cell>
          <cell r="F69">
            <v>0</v>
          </cell>
          <cell r="G69">
            <v>0</v>
          </cell>
          <cell r="H69">
            <v>0</v>
          </cell>
          <cell r="I69">
            <v>0</v>
          </cell>
          <cell r="J69">
            <v>0</v>
          </cell>
        </row>
        <row r="70">
          <cell r="A70">
            <v>5</v>
          </cell>
          <cell r="B70" t="str">
            <v>METALS</v>
          </cell>
          <cell r="D70">
            <v>98556.44</v>
          </cell>
          <cell r="E70">
            <v>112030</v>
          </cell>
          <cell r="F70">
            <v>0.47018878060654901</v>
          </cell>
          <cell r="G70">
            <v>451.73387096774195</v>
          </cell>
          <cell r="H70">
            <v>112030</v>
          </cell>
          <cell r="I70">
            <v>0.47018878060654901</v>
          </cell>
          <cell r="J70">
            <v>451.73387096774195</v>
          </cell>
        </row>
        <row r="71">
          <cell r="A71">
            <v>6</v>
          </cell>
          <cell r="B71" t="str">
            <v>WOOD &amp; PLASTICS</v>
          </cell>
          <cell r="D71">
            <v>2289277.6800000002</v>
          </cell>
          <cell r="E71">
            <v>2308653</v>
          </cell>
          <cell r="F71">
            <v>9.6893933670771322</v>
          </cell>
          <cell r="G71">
            <v>9309.0846774193542</v>
          </cell>
          <cell r="H71">
            <v>2292862.8199999998</v>
          </cell>
          <cell r="I71">
            <v>9.6231221408006178</v>
          </cell>
          <cell r="J71">
            <v>9245.4145967741933</v>
          </cell>
        </row>
        <row r="72">
          <cell r="A72">
            <v>7</v>
          </cell>
          <cell r="B72" t="str">
            <v>THERMAL &amp; MOISTURE PROTECTION</v>
          </cell>
          <cell r="D72">
            <v>191731.4</v>
          </cell>
          <cell r="E72">
            <v>238510</v>
          </cell>
          <cell r="F72">
            <v>1.0010240655401945</v>
          </cell>
          <cell r="G72">
            <v>961.73387096774195</v>
          </cell>
          <cell r="H72">
            <v>238510</v>
          </cell>
          <cell r="I72">
            <v>1.0010240655401945</v>
          </cell>
          <cell r="J72">
            <v>961.73387096774195</v>
          </cell>
        </row>
        <row r="73">
          <cell r="A73">
            <v>8</v>
          </cell>
          <cell r="B73" t="str">
            <v>DOORS &amp; WINDOWS</v>
          </cell>
          <cell r="D73">
            <v>174848.68</v>
          </cell>
          <cell r="E73">
            <v>186166.88</v>
          </cell>
          <cell r="F73">
            <v>0.78134051858007436</v>
          </cell>
          <cell r="G73">
            <v>750.67290322580652</v>
          </cell>
          <cell r="H73">
            <v>185768.36</v>
          </cell>
          <cell r="I73">
            <v>0.77966793415762214</v>
          </cell>
          <cell r="J73">
            <v>749.06596774193542</v>
          </cell>
        </row>
        <row r="74">
          <cell r="A74">
            <v>9</v>
          </cell>
          <cell r="B74" t="str">
            <v>FINISHES</v>
          </cell>
          <cell r="D74">
            <v>1792874.68</v>
          </cell>
          <cell r="E74">
            <v>1960845</v>
          </cell>
          <cell r="F74">
            <v>8.2296466973886329</v>
          </cell>
          <cell r="G74">
            <v>7906.6330645161288</v>
          </cell>
          <cell r="H74">
            <v>1948666.21</v>
          </cell>
          <cell r="I74">
            <v>8.1785324385350826</v>
          </cell>
          <cell r="J74">
            <v>7857.5250403225809</v>
          </cell>
        </row>
        <row r="75">
          <cell r="A75">
            <v>10</v>
          </cell>
          <cell r="B75" t="str">
            <v>SPECIALTIES</v>
          </cell>
          <cell r="D75">
            <v>164948</v>
          </cell>
          <cell r="E75">
            <v>149046.19</v>
          </cell>
          <cell r="F75">
            <v>0.62554535687005286</v>
          </cell>
          <cell r="G75">
            <v>600.99270161290326</v>
          </cell>
          <cell r="H75">
            <v>149046.19</v>
          </cell>
          <cell r="I75">
            <v>0.62554535687005286</v>
          </cell>
          <cell r="J75">
            <v>600.99270161290326</v>
          </cell>
        </row>
        <row r="76">
          <cell r="A76">
            <v>11</v>
          </cell>
          <cell r="B76" t="str">
            <v>EQUIPMENT</v>
          </cell>
          <cell r="D76">
            <v>382000</v>
          </cell>
          <cell r="E76">
            <v>404673</v>
          </cell>
          <cell r="F76">
            <v>1.6984085014227797</v>
          </cell>
          <cell r="G76">
            <v>1631.7459677419354</v>
          </cell>
          <cell r="H76">
            <v>404673</v>
          </cell>
          <cell r="I76">
            <v>1.6984085014227797</v>
          </cell>
          <cell r="J76">
            <v>1631.7459677419354</v>
          </cell>
        </row>
        <row r="77">
          <cell r="A77">
            <v>12</v>
          </cell>
          <cell r="B77" t="str">
            <v>FURNISHINGS</v>
          </cell>
          <cell r="D77">
            <v>265579.2</v>
          </cell>
          <cell r="E77">
            <v>309648.16000000003</v>
          </cell>
          <cell r="F77">
            <v>1.2995902059043256</v>
          </cell>
          <cell r="G77">
            <v>1248.5812903225808</v>
          </cell>
          <cell r="H77">
            <v>309648.16000000003</v>
          </cell>
          <cell r="I77">
            <v>1.2995902059043256</v>
          </cell>
          <cell r="J77">
            <v>1248.5812903225808</v>
          </cell>
        </row>
        <row r="78">
          <cell r="A78">
            <v>13</v>
          </cell>
          <cell r="B78" t="str">
            <v>SPECIAL CONSTRUCTION</v>
          </cell>
          <cell r="D78">
            <v>104160</v>
          </cell>
          <cell r="E78">
            <v>111906</v>
          </cell>
          <cell r="F78">
            <v>0.46966835385661404</v>
          </cell>
          <cell r="G78">
            <v>451.23387096774195</v>
          </cell>
          <cell r="H78">
            <v>111906</v>
          </cell>
          <cell r="I78">
            <v>0.46966835385661404</v>
          </cell>
          <cell r="J78">
            <v>451.23387096774195</v>
          </cell>
        </row>
        <row r="79">
          <cell r="A79">
            <v>14</v>
          </cell>
          <cell r="B79" t="str">
            <v>CONVEYING SYSTEMS</v>
          </cell>
          <cell r="D79">
            <v>0</v>
          </cell>
          <cell r="E79">
            <v>0</v>
          </cell>
          <cell r="F79">
            <v>0</v>
          </cell>
          <cell r="G79">
            <v>0</v>
          </cell>
          <cell r="H79">
            <v>0</v>
          </cell>
          <cell r="I79">
            <v>0</v>
          </cell>
          <cell r="J79">
            <v>0</v>
          </cell>
        </row>
        <row r="80">
          <cell r="A80">
            <v>15</v>
          </cell>
          <cell r="B80" t="str">
            <v xml:space="preserve">MECHANICAL </v>
          </cell>
          <cell r="D80">
            <v>1393755.04</v>
          </cell>
          <cell r="E80">
            <v>1377425</v>
          </cell>
          <cell r="F80">
            <v>5.7810388389447089</v>
          </cell>
          <cell r="G80">
            <v>5554.1330645161288</v>
          </cell>
          <cell r="H80">
            <v>1377425</v>
          </cell>
          <cell r="I80">
            <v>5.7810388389447089</v>
          </cell>
          <cell r="J80">
            <v>5554.1330645161288</v>
          </cell>
        </row>
        <row r="81">
          <cell r="A81">
            <v>16</v>
          </cell>
          <cell r="B81" t="str">
            <v>ELECTRICAL</v>
          </cell>
          <cell r="D81">
            <v>638672.4</v>
          </cell>
          <cell r="E81">
            <v>719926.04</v>
          </cell>
          <cell r="F81">
            <v>3.0215223321833582</v>
          </cell>
          <cell r="G81">
            <v>2902.9275806451615</v>
          </cell>
          <cell r="H81">
            <v>719051.04</v>
          </cell>
          <cell r="I81">
            <v>3.0178499660043818</v>
          </cell>
          <cell r="J81">
            <v>2899.3993548387098</v>
          </cell>
        </row>
        <row r="82">
          <cell r="B82" t="str">
            <v>TOTAL</v>
          </cell>
          <cell r="D82">
            <v>10109350.92</v>
          </cell>
          <cell r="E82">
            <v>10625199.870000001</v>
          </cell>
          <cell r="F82">
            <v>44.593856739946112</v>
          </cell>
          <cell r="G82">
            <v>42843.54786290323</v>
          </cell>
          <cell r="H82">
            <v>9452635.8399999999</v>
          </cell>
          <cell r="I82">
            <v>39.672617326853185</v>
          </cell>
          <cell r="J82">
            <v>38115.467096774191</v>
          </cell>
        </row>
        <row r="83">
          <cell r="D83" t="str">
            <v>Overrun=</v>
          </cell>
          <cell r="E83">
            <v>515848.95000000112</v>
          </cell>
        </row>
        <row r="87">
          <cell r="B87" t="str">
            <v>PERCENTAGE BIDS, CONTRACTS AND PURCHASE ORDERS*</v>
          </cell>
          <cell r="I87">
            <v>0.99620442872473347</v>
          </cell>
        </row>
        <row r="88">
          <cell r="B88" t="str">
            <v>* Excludes General Requirements</v>
          </cell>
        </row>
        <row r="92">
          <cell r="D92" t="str">
            <v>ORIGINAL</v>
          </cell>
          <cell r="E92" t="str">
            <v>REVISED</v>
          </cell>
          <cell r="F92" t="str">
            <v>COST/ft²</v>
          </cell>
          <cell r="G92" t="str">
            <v>COST/UNIT</v>
          </cell>
          <cell r="H92" t="str">
            <v>CONTRACTS AND</v>
          </cell>
          <cell r="I92" t="str">
            <v>COST/ft²</v>
          </cell>
          <cell r="J92" t="str">
            <v>COST/UNIT</v>
          </cell>
          <cell r="K92" t="str">
            <v>SUB CONTRATOR</v>
          </cell>
        </row>
        <row r="93">
          <cell r="A93" t="str">
            <v>COST CODE</v>
          </cell>
          <cell r="B93" t="str">
            <v>DESCRIPTION</v>
          </cell>
          <cell r="D93" t="str">
            <v>SCHEDULE VALUE</v>
          </cell>
          <cell r="E93" t="str">
            <v>SCHEDULE VALUE</v>
          </cell>
          <cell r="F93">
            <v>238266</v>
          </cell>
          <cell r="G93">
            <v>248</v>
          </cell>
          <cell r="H93" t="str">
            <v>PURCHASE ORDERS</v>
          </cell>
          <cell r="I93">
            <v>238266</v>
          </cell>
          <cell r="J93">
            <v>248</v>
          </cell>
        </row>
        <row r="95">
          <cell r="A95" t="str">
            <v>DIVISION 1:</v>
          </cell>
          <cell r="B95" t="str">
            <v>GENERAL REQUIREMENTS</v>
          </cell>
        </row>
        <row r="96">
          <cell r="A96">
            <v>1050</v>
          </cell>
          <cell r="B96" t="str">
            <v>Field Engineering</v>
          </cell>
          <cell r="C96" t="str">
            <v>Contract</v>
          </cell>
          <cell r="D96">
            <v>10000</v>
          </cell>
          <cell r="E96">
            <v>37967</v>
          </cell>
          <cell r="F96">
            <v>0.15934711624822678</v>
          </cell>
          <cell r="G96">
            <v>153.09274193548387</v>
          </cell>
          <cell r="H96">
            <v>28693.61</v>
          </cell>
          <cell r="I96">
            <v>0.12042679190484584</v>
          </cell>
          <cell r="J96">
            <v>115.70004032258065</v>
          </cell>
          <cell r="K96" t="str">
            <v>SurvTek, Inc</v>
          </cell>
        </row>
        <row r="97">
          <cell r="A97">
            <v>1060</v>
          </cell>
          <cell r="B97" t="str">
            <v>Regulatory Requirements - Permits</v>
          </cell>
          <cell r="D97">
            <v>0</v>
          </cell>
          <cell r="E97">
            <v>7734</v>
          </cell>
          <cell r="F97">
            <v>3.2459520032232882E-2</v>
          </cell>
          <cell r="G97">
            <v>31.18548387096774</v>
          </cell>
          <cell r="H97">
            <v>7523.77</v>
          </cell>
          <cell r="I97">
            <v>3.1577186841597209E-2</v>
          </cell>
          <cell r="J97">
            <v>30.337782258064518</v>
          </cell>
          <cell r="K97" t="str">
            <v>SurvTek, Inc</v>
          </cell>
        </row>
        <row r="98">
          <cell r="A98">
            <v>1070</v>
          </cell>
          <cell r="B98" t="str">
            <v>Reproduction and Printing</v>
          </cell>
          <cell r="D98">
            <v>0</v>
          </cell>
          <cell r="E98">
            <v>92</v>
          </cell>
          <cell r="F98">
            <v>3.8612307253237978E-4</v>
          </cell>
          <cell r="G98">
            <v>0.37096774193548387</v>
          </cell>
          <cell r="H98">
            <v>0</v>
          </cell>
          <cell r="I98">
            <v>0</v>
          </cell>
          <cell r="J98">
            <v>0</v>
          </cell>
        </row>
        <row r="99">
          <cell r="A99">
            <v>1500</v>
          </cell>
          <cell r="B99" t="str">
            <v>Temp. Office Equipment &amp; Supplies</v>
          </cell>
          <cell r="D99">
            <v>4880</v>
          </cell>
          <cell r="E99">
            <v>7289</v>
          </cell>
          <cell r="F99">
            <v>3.0591859518353436E-2</v>
          </cell>
          <cell r="G99">
            <v>60</v>
          </cell>
          <cell r="H99">
            <v>0</v>
          </cell>
          <cell r="I99">
            <v>0</v>
          </cell>
          <cell r="J99">
            <v>0</v>
          </cell>
        </row>
        <row r="100">
          <cell r="A100">
            <v>1501</v>
          </cell>
          <cell r="B100" t="str">
            <v>Temporary Office</v>
          </cell>
          <cell r="C100" t="str">
            <v>Contract</v>
          </cell>
          <cell r="D100">
            <v>8060</v>
          </cell>
          <cell r="E100">
            <v>8200</v>
          </cell>
          <cell r="F100">
            <v>3.4415317334407766E-2</v>
          </cell>
          <cell r="G100">
            <v>32.5</v>
          </cell>
          <cell r="H100">
            <v>2079.8000000000002</v>
          </cell>
          <cell r="I100">
            <v>8.7288996331830824E-3</v>
          </cell>
          <cell r="J100">
            <v>8.3862903225806456</v>
          </cell>
          <cell r="K100" t="str">
            <v>GE Capital Modular Space</v>
          </cell>
        </row>
        <row r="101">
          <cell r="A101">
            <v>1502</v>
          </cell>
          <cell r="B101" t="str">
            <v>Temporary Electric</v>
          </cell>
          <cell r="D101">
            <v>18600</v>
          </cell>
          <cell r="E101">
            <v>9664</v>
          </cell>
          <cell r="F101">
            <v>4.0559710575575197E-2</v>
          </cell>
          <cell r="G101">
            <v>75</v>
          </cell>
          <cell r="H101">
            <v>0</v>
          </cell>
          <cell r="I101">
            <v>0</v>
          </cell>
          <cell r="J101">
            <v>0</v>
          </cell>
        </row>
        <row r="102">
          <cell r="A102">
            <v>1503</v>
          </cell>
          <cell r="B102" t="str">
            <v>Temporary Water</v>
          </cell>
          <cell r="D102">
            <v>9300</v>
          </cell>
          <cell r="E102">
            <v>11016</v>
          </cell>
          <cell r="F102">
            <v>4.6234040945833652E-2</v>
          </cell>
          <cell r="G102">
            <v>37.5</v>
          </cell>
          <cell r="H102">
            <v>0</v>
          </cell>
          <cell r="I102">
            <v>0</v>
          </cell>
          <cell r="J102">
            <v>0</v>
          </cell>
        </row>
        <row r="103">
          <cell r="A103">
            <v>1504</v>
          </cell>
          <cell r="B103" t="str">
            <v>Temporary Toilets</v>
          </cell>
          <cell r="D103">
            <v>9300</v>
          </cell>
          <cell r="E103">
            <v>4606</v>
          </cell>
          <cell r="F103">
            <v>1.9331335566131969E-2</v>
          </cell>
          <cell r="G103">
            <v>37.5</v>
          </cell>
          <cell r="H103">
            <v>0</v>
          </cell>
          <cell r="I103">
            <v>0</v>
          </cell>
          <cell r="J103">
            <v>0</v>
          </cell>
        </row>
        <row r="104">
          <cell r="A104">
            <v>1505</v>
          </cell>
          <cell r="B104" t="str">
            <v>Temporary Telephone</v>
          </cell>
          <cell r="D104">
            <v>14880</v>
          </cell>
          <cell r="E104">
            <v>20000</v>
          </cell>
          <cell r="F104">
            <v>8.3939798376604299E-2</v>
          </cell>
          <cell r="G104">
            <v>60</v>
          </cell>
          <cell r="H104">
            <v>0</v>
          </cell>
          <cell r="I104">
            <v>0</v>
          </cell>
          <cell r="J104">
            <v>0</v>
          </cell>
        </row>
        <row r="105">
          <cell r="A105">
            <v>1506</v>
          </cell>
          <cell r="B105" t="str">
            <v>Misc. Expense</v>
          </cell>
          <cell r="D105">
            <v>12400</v>
          </cell>
          <cell r="E105">
            <v>17854</v>
          </cell>
          <cell r="F105">
            <v>7.4933058010794654E-2</v>
          </cell>
          <cell r="G105">
            <v>50</v>
          </cell>
          <cell r="H105">
            <v>0</v>
          </cell>
          <cell r="I105">
            <v>0</v>
          </cell>
          <cell r="J105">
            <v>0</v>
          </cell>
        </row>
        <row r="106">
          <cell r="A106">
            <v>1507</v>
          </cell>
          <cell r="B106" t="str">
            <v>Temporary Gas</v>
          </cell>
          <cell r="D106">
            <v>6200</v>
          </cell>
          <cell r="E106">
            <v>1577</v>
          </cell>
          <cell r="F106">
            <v>0.03</v>
          </cell>
          <cell r="G106">
            <v>25</v>
          </cell>
          <cell r="H106">
            <v>0</v>
          </cell>
          <cell r="I106">
            <v>0.03</v>
          </cell>
          <cell r="J106">
            <v>0</v>
          </cell>
        </row>
        <row r="107">
          <cell r="A107">
            <v>1519</v>
          </cell>
          <cell r="B107" t="str">
            <v>Job Sign</v>
          </cell>
          <cell r="D107">
            <v>1000</v>
          </cell>
          <cell r="E107">
            <v>105.81</v>
          </cell>
          <cell r="F107">
            <v>4.4408350331142505E-4</v>
          </cell>
          <cell r="G107">
            <v>2.5</v>
          </cell>
          <cell r="H107">
            <v>0</v>
          </cell>
          <cell r="I107">
            <v>0</v>
          </cell>
          <cell r="J107">
            <v>0</v>
          </cell>
        </row>
        <row r="108">
          <cell r="A108">
            <v>1520</v>
          </cell>
          <cell r="B108" t="str">
            <v>Temporary Power Distribution</v>
          </cell>
          <cell r="D108">
            <v>0</v>
          </cell>
          <cell r="E108">
            <v>0</v>
          </cell>
          <cell r="F108">
            <v>0</v>
          </cell>
          <cell r="G108">
            <v>0</v>
          </cell>
          <cell r="H108">
            <v>0</v>
          </cell>
          <cell r="I108">
            <v>0</v>
          </cell>
          <cell r="J108">
            <v>0</v>
          </cell>
        </row>
        <row r="109">
          <cell r="A109">
            <v>1601</v>
          </cell>
          <cell r="B109" t="str">
            <v>Tools &amp; Equipment</v>
          </cell>
          <cell r="D109">
            <v>12400</v>
          </cell>
          <cell r="E109">
            <v>7838</v>
          </cell>
          <cell r="F109">
            <v>3.2896006983791228E-2</v>
          </cell>
          <cell r="G109">
            <v>50</v>
          </cell>
          <cell r="H109">
            <v>0</v>
          </cell>
          <cell r="I109">
            <v>0</v>
          </cell>
          <cell r="J109">
            <v>0</v>
          </cell>
        </row>
        <row r="110">
          <cell r="A110">
            <v>1602</v>
          </cell>
          <cell r="B110" t="str">
            <v>Rental Equipment</v>
          </cell>
          <cell r="D110">
            <v>9300</v>
          </cell>
          <cell r="E110">
            <v>14090</v>
          </cell>
          <cell r="F110">
            <v>5.913558795631773E-2</v>
          </cell>
          <cell r="G110">
            <v>37.5</v>
          </cell>
          <cell r="H110">
            <v>0</v>
          </cell>
          <cell r="I110">
            <v>0</v>
          </cell>
          <cell r="J110">
            <v>0</v>
          </cell>
        </row>
        <row r="111">
          <cell r="A111">
            <v>1603</v>
          </cell>
          <cell r="B111" t="str">
            <v>Temporary Fences</v>
          </cell>
          <cell r="D111">
            <v>7440</v>
          </cell>
          <cell r="E111">
            <v>2625</v>
          </cell>
          <cell r="F111">
            <v>1.1017098536929315E-2</v>
          </cell>
          <cell r="G111">
            <v>30</v>
          </cell>
          <cell r="H111">
            <v>0</v>
          </cell>
          <cell r="I111">
            <v>0</v>
          </cell>
          <cell r="J111">
            <v>0</v>
          </cell>
        </row>
        <row r="112">
          <cell r="A112">
            <v>1604</v>
          </cell>
          <cell r="B112" t="str">
            <v>Safety Equipment &amp; Services</v>
          </cell>
          <cell r="D112">
            <v>0</v>
          </cell>
          <cell r="E112">
            <v>175</v>
          </cell>
          <cell r="F112">
            <v>7.3447323579528762E-4</v>
          </cell>
          <cell r="G112">
            <v>0</v>
          </cell>
          <cell r="H112">
            <v>0</v>
          </cell>
          <cell r="I112">
            <v>0</v>
          </cell>
          <cell r="J112">
            <v>0</v>
          </cell>
        </row>
        <row r="113">
          <cell r="A113">
            <v>1610</v>
          </cell>
          <cell r="B113" t="str">
            <v>Traffic Control</v>
          </cell>
          <cell r="D113">
            <v>3100</v>
          </cell>
          <cell r="E113">
            <v>0</v>
          </cell>
          <cell r="F113">
            <v>0</v>
          </cell>
          <cell r="G113">
            <v>12.5</v>
          </cell>
          <cell r="H113">
            <v>0</v>
          </cell>
          <cell r="I113">
            <v>0</v>
          </cell>
          <cell r="J113">
            <v>0</v>
          </cell>
        </row>
        <row r="114">
          <cell r="A114">
            <v>1612</v>
          </cell>
          <cell r="B114" t="str">
            <v>Temporary Access Roads</v>
          </cell>
          <cell r="D114">
            <v>0</v>
          </cell>
          <cell r="E114">
            <v>0</v>
          </cell>
          <cell r="F114">
            <v>0</v>
          </cell>
          <cell r="G114">
            <v>0</v>
          </cell>
          <cell r="H114">
            <v>0</v>
          </cell>
          <cell r="I114">
            <v>0</v>
          </cell>
          <cell r="J114">
            <v>0</v>
          </cell>
        </row>
        <row r="115">
          <cell r="A115">
            <v>1701</v>
          </cell>
          <cell r="B115" t="str">
            <v>Material Testing</v>
          </cell>
          <cell r="C115" t="str">
            <v>Contract</v>
          </cell>
          <cell r="D115">
            <v>6000</v>
          </cell>
          <cell r="E115">
            <v>5457</v>
          </cell>
          <cell r="F115">
            <v>2.2902973987056482E-2</v>
          </cell>
          <cell r="G115">
            <v>22.004032258064516</v>
          </cell>
          <cell r="H115">
            <v>0</v>
          </cell>
          <cell r="I115">
            <v>0</v>
          </cell>
          <cell r="J115">
            <v>0</v>
          </cell>
          <cell r="K115" t="str">
            <v>Vinyard and Associates</v>
          </cell>
        </row>
        <row r="116">
          <cell r="A116">
            <v>1702</v>
          </cell>
          <cell r="B116" t="str">
            <v>Structural Inspection</v>
          </cell>
          <cell r="D116">
            <v>0</v>
          </cell>
          <cell r="E116">
            <v>0</v>
          </cell>
          <cell r="F116">
            <v>0</v>
          </cell>
          <cell r="G116">
            <v>0</v>
          </cell>
          <cell r="H116">
            <v>0</v>
          </cell>
          <cell r="I116">
            <v>0</v>
          </cell>
          <cell r="J116">
            <v>0</v>
          </cell>
        </row>
        <row r="117">
          <cell r="A117">
            <v>1750</v>
          </cell>
          <cell r="B117" t="str">
            <v>Final Clean</v>
          </cell>
          <cell r="C117" t="str">
            <v>Contract</v>
          </cell>
          <cell r="D117">
            <v>29760</v>
          </cell>
          <cell r="E117">
            <v>30230.370000000003</v>
          </cell>
          <cell r="F117">
            <v>30230.370000000003</v>
          </cell>
          <cell r="G117">
            <v>30230.370000000003</v>
          </cell>
          <cell r="H117">
            <v>30230.370000000003</v>
          </cell>
          <cell r="I117">
            <v>0.12687655813250737</v>
          </cell>
          <cell r="J117">
            <v>121.89665322580646</v>
          </cell>
          <cell r="K117" t="str">
            <v>Kommercial Kleaning/Your Best Friend Cleaning</v>
          </cell>
        </row>
        <row r="118">
          <cell r="A118">
            <v>1751</v>
          </cell>
          <cell r="B118" t="str">
            <v>Rough Clean</v>
          </cell>
          <cell r="D118">
            <v>62000</v>
          </cell>
          <cell r="E118">
            <v>20000</v>
          </cell>
          <cell r="F118">
            <v>8.3939798376604299E-2</v>
          </cell>
          <cell r="G118">
            <v>250</v>
          </cell>
          <cell r="H118">
            <v>0</v>
          </cell>
          <cell r="I118">
            <v>0</v>
          </cell>
          <cell r="J118">
            <v>0</v>
          </cell>
        </row>
        <row r="119">
          <cell r="A119">
            <v>1752</v>
          </cell>
          <cell r="B119" t="str">
            <v>Dumpsters</v>
          </cell>
          <cell r="D119">
            <v>0</v>
          </cell>
          <cell r="E119">
            <v>5367</v>
          </cell>
          <cell r="F119">
            <v>2.2525244894361765E-2</v>
          </cell>
          <cell r="G119">
            <v>0</v>
          </cell>
          <cell r="H119">
            <v>0</v>
          </cell>
          <cell r="I119">
            <v>0</v>
          </cell>
          <cell r="J119">
            <v>0</v>
          </cell>
        </row>
        <row r="120">
          <cell r="A120">
            <v>1753</v>
          </cell>
          <cell r="B120" t="str">
            <v>Street Cleaning</v>
          </cell>
          <cell r="D120">
            <v>5580</v>
          </cell>
          <cell r="E120">
            <v>0</v>
          </cell>
          <cell r="F120">
            <v>0</v>
          </cell>
          <cell r="G120">
            <v>22.5</v>
          </cell>
          <cell r="H120">
            <v>0</v>
          </cell>
          <cell r="I120">
            <v>0</v>
          </cell>
          <cell r="J120">
            <v>0</v>
          </cell>
        </row>
        <row r="121">
          <cell r="A121">
            <v>1770</v>
          </cell>
          <cell r="B121" t="str">
            <v>First Aid Equipment</v>
          </cell>
          <cell r="D121">
            <v>620</v>
          </cell>
          <cell r="E121">
            <v>360</v>
          </cell>
          <cell r="F121">
            <v>1.5109163707788774E-3</v>
          </cell>
          <cell r="G121">
            <v>2.5</v>
          </cell>
          <cell r="H121">
            <v>0</v>
          </cell>
          <cell r="I121">
            <v>0</v>
          </cell>
          <cell r="J121">
            <v>0</v>
          </cell>
        </row>
        <row r="122">
          <cell r="A122">
            <v>1771</v>
          </cell>
          <cell r="B122" t="str">
            <v>Safety Equipment</v>
          </cell>
          <cell r="D122">
            <v>0</v>
          </cell>
          <cell r="E122">
            <v>202</v>
          </cell>
          <cell r="F122">
            <v>8.4779196360370342E-4</v>
          </cell>
          <cell r="G122">
            <v>0</v>
          </cell>
          <cell r="H122">
            <v>0</v>
          </cell>
          <cell r="I122">
            <v>0</v>
          </cell>
          <cell r="J122">
            <v>0</v>
          </cell>
        </row>
        <row r="123">
          <cell r="A123">
            <v>1775</v>
          </cell>
          <cell r="B123" t="str">
            <v>Reglazing</v>
          </cell>
          <cell r="D123">
            <v>6200</v>
          </cell>
          <cell r="E123">
            <v>7607</v>
          </cell>
          <cell r="F123">
            <v>3.1926502312541447E-2</v>
          </cell>
          <cell r="G123">
            <v>25</v>
          </cell>
          <cell r="H123">
            <v>0</v>
          </cell>
          <cell r="I123">
            <v>0</v>
          </cell>
          <cell r="J123">
            <v>0</v>
          </cell>
        </row>
        <row r="124">
          <cell r="A124">
            <v>1800</v>
          </cell>
          <cell r="B124" t="str">
            <v>Theft &amp; Damage</v>
          </cell>
          <cell r="D124">
            <v>12400</v>
          </cell>
          <cell r="E124">
            <v>5255</v>
          </cell>
          <cell r="F124">
            <v>2.2055182023452781E-2</v>
          </cell>
          <cell r="G124">
            <v>50</v>
          </cell>
          <cell r="H124">
            <v>0</v>
          </cell>
          <cell r="I124">
            <v>0</v>
          </cell>
          <cell r="J124">
            <v>0</v>
          </cell>
        </row>
        <row r="125">
          <cell r="A125">
            <v>1801</v>
          </cell>
          <cell r="B125" t="str">
            <v>Remove &amp; Replace</v>
          </cell>
          <cell r="D125">
            <v>6200</v>
          </cell>
          <cell r="E125">
            <v>1059</v>
          </cell>
          <cell r="F125">
            <v>4.4446123240411981E-3</v>
          </cell>
          <cell r="G125">
            <v>25</v>
          </cell>
          <cell r="H125">
            <v>0</v>
          </cell>
          <cell r="I125">
            <v>0</v>
          </cell>
          <cell r="J125">
            <v>0</v>
          </cell>
        </row>
        <row r="126">
          <cell r="A126">
            <v>1820</v>
          </cell>
          <cell r="B126" t="str">
            <v>Security</v>
          </cell>
          <cell r="D126">
            <v>0</v>
          </cell>
          <cell r="E126">
            <v>0</v>
          </cell>
          <cell r="F126">
            <v>0</v>
          </cell>
          <cell r="G126">
            <v>0</v>
          </cell>
          <cell r="H126">
            <v>0</v>
          </cell>
          <cell r="I126">
            <v>0</v>
          </cell>
          <cell r="J126">
            <v>0</v>
          </cell>
        </row>
        <row r="127">
          <cell r="A127">
            <v>1860</v>
          </cell>
          <cell r="B127" t="str">
            <v>Travel &amp; Entertainment</v>
          </cell>
          <cell r="D127">
            <v>41664</v>
          </cell>
          <cell r="E127">
            <v>13266</v>
          </cell>
          <cell r="F127">
            <v>5.5677268263201629E-2</v>
          </cell>
          <cell r="G127">
            <v>168</v>
          </cell>
          <cell r="H127">
            <v>0</v>
          </cell>
          <cell r="I127">
            <v>0</v>
          </cell>
          <cell r="J127">
            <v>0</v>
          </cell>
        </row>
        <row r="128">
          <cell r="A128">
            <v>1870</v>
          </cell>
          <cell r="B128" t="str">
            <v>Delivery Services</v>
          </cell>
          <cell r="D128">
            <v>6200</v>
          </cell>
          <cell r="E128">
            <v>4916</v>
          </cell>
          <cell r="F128">
            <v>2.0632402440969339E-2</v>
          </cell>
          <cell r="G128">
            <v>25</v>
          </cell>
          <cell r="H128">
            <v>0</v>
          </cell>
          <cell r="I128">
            <v>0</v>
          </cell>
          <cell r="J128">
            <v>0</v>
          </cell>
        </row>
        <row r="129">
          <cell r="A129">
            <v>1970</v>
          </cell>
          <cell r="B129" t="str">
            <v>Estimating Services</v>
          </cell>
          <cell r="D129">
            <v>3720</v>
          </cell>
          <cell r="E129">
            <v>0</v>
          </cell>
          <cell r="F129">
            <v>0</v>
          </cell>
          <cell r="G129">
            <v>15</v>
          </cell>
          <cell r="H129">
            <v>0</v>
          </cell>
          <cell r="I129">
            <v>0</v>
          </cell>
          <cell r="J129">
            <v>0</v>
          </cell>
        </row>
        <row r="130">
          <cell r="A130">
            <v>1975</v>
          </cell>
          <cell r="B130" t="str">
            <v>General Labor</v>
          </cell>
          <cell r="D130">
            <v>49600</v>
          </cell>
          <cell r="E130">
            <v>75000</v>
          </cell>
          <cell r="F130">
            <v>0.31477424391226611</v>
          </cell>
          <cell r="G130">
            <v>200</v>
          </cell>
          <cell r="H130">
            <v>0</v>
          </cell>
          <cell r="I130">
            <v>0</v>
          </cell>
          <cell r="J130">
            <v>0</v>
          </cell>
        </row>
        <row r="131">
          <cell r="A131">
            <v>1980</v>
          </cell>
          <cell r="B131" t="str">
            <v>Jobsite Supervision</v>
          </cell>
          <cell r="D131">
            <v>155000</v>
          </cell>
          <cell r="E131">
            <v>223420</v>
          </cell>
          <cell r="F131">
            <v>0.93769148766504662</v>
          </cell>
          <cell r="G131">
            <v>625</v>
          </cell>
          <cell r="H131">
            <v>0</v>
          </cell>
          <cell r="I131">
            <v>0</v>
          </cell>
          <cell r="J131">
            <v>0</v>
          </cell>
        </row>
        <row r="132">
          <cell r="A132">
            <v>1986</v>
          </cell>
          <cell r="B132" t="str">
            <v>Energy Rebate</v>
          </cell>
          <cell r="D132">
            <v>0</v>
          </cell>
          <cell r="E132">
            <v>0</v>
          </cell>
          <cell r="F132">
            <v>0</v>
          </cell>
          <cell r="G132">
            <v>0</v>
          </cell>
          <cell r="H132">
            <v>0</v>
          </cell>
          <cell r="I132">
            <v>0</v>
          </cell>
          <cell r="J132">
            <v>0</v>
          </cell>
        </row>
        <row r="133">
          <cell r="A133">
            <v>1990</v>
          </cell>
          <cell r="B133" t="str">
            <v>Insurance</v>
          </cell>
          <cell r="D133">
            <v>26168</v>
          </cell>
          <cell r="E133">
            <v>45177</v>
          </cell>
          <cell r="F133">
            <v>0.18960741356299263</v>
          </cell>
          <cell r="G133">
            <v>100</v>
          </cell>
          <cell r="H133">
            <v>0</v>
          </cell>
          <cell r="I133">
            <v>0</v>
          </cell>
          <cell r="J133">
            <v>0</v>
          </cell>
        </row>
        <row r="134">
          <cell r="A134">
            <v>1991</v>
          </cell>
          <cell r="B134" t="str">
            <v>Builder's Risk Insurance</v>
          </cell>
          <cell r="D134">
            <v>12400</v>
          </cell>
          <cell r="E134">
            <v>23400</v>
          </cell>
          <cell r="F134">
            <v>9.8209564100627034E-2</v>
          </cell>
          <cell r="G134">
            <v>50</v>
          </cell>
          <cell r="H134">
            <v>0</v>
          </cell>
          <cell r="I134">
            <v>0</v>
          </cell>
          <cell r="J134">
            <v>0</v>
          </cell>
        </row>
        <row r="135">
          <cell r="A135">
            <v>1992</v>
          </cell>
          <cell r="B135" t="str">
            <v>Subcontractor Bonding</v>
          </cell>
          <cell r="D135">
            <v>0</v>
          </cell>
          <cell r="E135">
            <v>0</v>
          </cell>
          <cell r="F135">
            <v>0</v>
          </cell>
          <cell r="G135">
            <v>0</v>
          </cell>
          <cell r="H135">
            <v>0</v>
          </cell>
          <cell r="I135">
            <v>0</v>
          </cell>
          <cell r="J135">
            <v>0</v>
          </cell>
        </row>
        <row r="136">
          <cell r="A136">
            <v>1995</v>
          </cell>
          <cell r="B136" t="str">
            <v>Construction Management</v>
          </cell>
          <cell r="D136">
            <v>0</v>
          </cell>
          <cell r="E136">
            <v>0</v>
          </cell>
          <cell r="F136">
            <v>0</v>
          </cell>
          <cell r="G136">
            <v>0</v>
          </cell>
          <cell r="H136">
            <v>0</v>
          </cell>
          <cell r="I136">
            <v>0</v>
          </cell>
          <cell r="J136">
            <v>0</v>
          </cell>
        </row>
        <row r="137">
          <cell r="A137">
            <v>1996</v>
          </cell>
          <cell r="B137" t="str">
            <v>N.M. Gross Sales Receipt Taxes</v>
          </cell>
          <cell r="D137">
            <v>525000</v>
          </cell>
          <cell r="E137">
            <v>525000</v>
          </cell>
          <cell r="F137">
            <v>2.203419707385863</v>
          </cell>
          <cell r="G137">
            <v>2116.9354838709678</v>
          </cell>
          <cell r="H137">
            <v>0</v>
          </cell>
          <cell r="I137">
            <v>0</v>
          </cell>
          <cell r="J137">
            <v>0</v>
          </cell>
        </row>
        <row r="138">
          <cell r="A138">
            <v>1997</v>
          </cell>
          <cell r="B138" t="str">
            <v>Contingency</v>
          </cell>
          <cell r="D138">
            <v>0</v>
          </cell>
          <cell r="E138">
            <v>0</v>
          </cell>
          <cell r="F138">
            <v>0</v>
          </cell>
          <cell r="G138">
            <v>0</v>
          </cell>
          <cell r="H138">
            <v>0</v>
          </cell>
          <cell r="I138">
            <v>0</v>
          </cell>
          <cell r="J138">
            <v>0</v>
          </cell>
        </row>
        <row r="139">
          <cell r="A139">
            <v>1998</v>
          </cell>
          <cell r="B139" t="str">
            <v>Builders Overhead</v>
          </cell>
          <cell r="D139">
            <v>0</v>
          </cell>
          <cell r="E139">
            <v>0</v>
          </cell>
          <cell r="F139">
            <v>0</v>
          </cell>
          <cell r="G139">
            <v>0</v>
          </cell>
          <cell r="H139">
            <v>0</v>
          </cell>
          <cell r="I139">
            <v>0</v>
          </cell>
          <cell r="J139">
            <v>0</v>
          </cell>
        </row>
        <row r="140">
          <cell r="A140">
            <v>1999</v>
          </cell>
          <cell r="B140" t="str">
            <v>Builders Fee</v>
          </cell>
          <cell r="D140">
            <v>0</v>
          </cell>
          <cell r="E140">
            <v>0</v>
          </cell>
          <cell r="F140">
            <v>0</v>
          </cell>
          <cell r="G140">
            <v>0</v>
          </cell>
          <cell r="H140">
            <v>0</v>
          </cell>
          <cell r="I140">
            <v>0</v>
          </cell>
          <cell r="J140">
            <v>0</v>
          </cell>
        </row>
        <row r="141">
          <cell r="B141" t="str">
            <v>TOTAL</v>
          </cell>
          <cell r="D141">
            <v>1075372</v>
          </cell>
          <cell r="E141">
            <v>1136549.18</v>
          </cell>
          <cell r="F141">
            <v>4.7700854507147472</v>
          </cell>
          <cell r="G141">
            <v>4582.8595967741931</v>
          </cell>
          <cell r="H141">
            <v>68527.550000000017</v>
          </cell>
          <cell r="I141">
            <v>0.28760943651213355</v>
          </cell>
          <cell r="J141">
            <v>276.32076612903234</v>
          </cell>
        </row>
        <row r="143">
          <cell r="D143" t="str">
            <v>ORIGINAL</v>
          </cell>
          <cell r="E143" t="str">
            <v>REVISED</v>
          </cell>
          <cell r="F143" t="str">
            <v>COST/ft²</v>
          </cell>
          <cell r="G143" t="str">
            <v>COST/UNIT</v>
          </cell>
          <cell r="H143" t="str">
            <v>CONTRACTS AND</v>
          </cell>
          <cell r="I143" t="str">
            <v>COST/ft²</v>
          </cell>
          <cell r="J143" t="str">
            <v>COST/UNIT</v>
          </cell>
          <cell r="K143" t="str">
            <v>SUB CONTRATOR</v>
          </cell>
        </row>
        <row r="144">
          <cell r="A144" t="str">
            <v>COST CODE</v>
          </cell>
          <cell r="B144" t="str">
            <v>DESCRIPTION</v>
          </cell>
          <cell r="D144" t="str">
            <v>SCHEDULE VALUE</v>
          </cell>
          <cell r="E144" t="str">
            <v>SCHEDULE VALUE</v>
          </cell>
          <cell r="F144">
            <v>238266</v>
          </cell>
          <cell r="G144">
            <v>248</v>
          </cell>
          <cell r="H144" t="str">
            <v>PURCHASE ORDERS</v>
          </cell>
          <cell r="I144">
            <v>238266</v>
          </cell>
          <cell r="J144">
            <v>248</v>
          </cell>
        </row>
        <row r="146">
          <cell r="A146" t="str">
            <v>DIVISION 2:</v>
          </cell>
          <cell r="B146" t="str">
            <v>SITEWORK</v>
          </cell>
        </row>
        <row r="147">
          <cell r="A147">
            <v>2050</v>
          </cell>
          <cell r="B147" t="str">
            <v>Demolition</v>
          </cell>
          <cell r="D147">
            <v>0</v>
          </cell>
          <cell r="E147">
            <v>0</v>
          </cell>
          <cell r="F147">
            <v>0</v>
          </cell>
          <cell r="G147">
            <v>0</v>
          </cell>
          <cell r="I147">
            <v>0</v>
          </cell>
          <cell r="J147">
            <v>0</v>
          </cell>
        </row>
        <row r="148">
          <cell r="A148">
            <v>2100</v>
          </cell>
          <cell r="B148" t="str">
            <v>Site Preparation &amp; Clearing</v>
          </cell>
          <cell r="D148">
            <v>0</v>
          </cell>
          <cell r="E148">
            <v>3703</v>
          </cell>
          <cell r="F148">
            <v>1.5541453669428286E-2</v>
          </cell>
          <cell r="G148">
            <v>0</v>
          </cell>
          <cell r="H148">
            <v>0</v>
          </cell>
          <cell r="I148">
            <v>0</v>
          </cell>
          <cell r="J148">
            <v>0</v>
          </cell>
        </row>
        <row r="149">
          <cell r="A149">
            <v>2140</v>
          </cell>
          <cell r="B149" t="str">
            <v>Dewatering</v>
          </cell>
          <cell r="D149">
            <v>0</v>
          </cell>
          <cell r="E149">
            <v>0</v>
          </cell>
          <cell r="F149">
            <v>0</v>
          </cell>
          <cell r="G149">
            <v>0</v>
          </cell>
          <cell r="H149">
            <v>0</v>
          </cell>
          <cell r="I149">
            <v>0</v>
          </cell>
          <cell r="J149">
            <v>0</v>
          </cell>
        </row>
        <row r="150">
          <cell r="A150">
            <v>2150</v>
          </cell>
          <cell r="B150" t="str">
            <v>Shoring &amp; Underpinning</v>
          </cell>
          <cell r="D150">
            <v>0</v>
          </cell>
          <cell r="E150">
            <v>0</v>
          </cell>
          <cell r="F150">
            <v>0</v>
          </cell>
          <cell r="G150">
            <v>0</v>
          </cell>
          <cell r="I150">
            <v>0</v>
          </cell>
          <cell r="J150">
            <v>0</v>
          </cell>
        </row>
        <row r="151">
          <cell r="A151">
            <v>2200</v>
          </cell>
          <cell r="B151" t="str">
            <v>Earthwork</v>
          </cell>
          <cell r="C151" t="str">
            <v>Contract</v>
          </cell>
          <cell r="D151">
            <v>150000</v>
          </cell>
          <cell r="E151">
            <v>175000</v>
          </cell>
          <cell r="F151">
            <v>0.73447323579528767</v>
          </cell>
          <cell r="G151">
            <v>1000</v>
          </cell>
          <cell r="H151">
            <v>175000</v>
          </cell>
          <cell r="I151">
            <v>0.73447323579528767</v>
          </cell>
          <cell r="J151">
            <v>705.64516129032256</v>
          </cell>
          <cell r="K151" t="str">
            <v>Romero Excavating</v>
          </cell>
        </row>
        <row r="152">
          <cell r="A152">
            <v>2210</v>
          </cell>
          <cell r="B152" t="str">
            <v>Import/Export</v>
          </cell>
          <cell r="D152">
            <v>0</v>
          </cell>
          <cell r="E152">
            <v>0</v>
          </cell>
          <cell r="F152">
            <v>0</v>
          </cell>
          <cell r="G152">
            <v>0</v>
          </cell>
          <cell r="I152">
            <v>0</v>
          </cell>
          <cell r="J152">
            <v>0</v>
          </cell>
        </row>
        <row r="153">
          <cell r="A153">
            <v>2215</v>
          </cell>
          <cell r="B153" t="str">
            <v>Lime/Cement Stabilization</v>
          </cell>
          <cell r="D153">
            <v>0</v>
          </cell>
          <cell r="E153">
            <v>0</v>
          </cell>
          <cell r="F153">
            <v>0</v>
          </cell>
          <cell r="G153">
            <v>0</v>
          </cell>
          <cell r="I153">
            <v>0</v>
          </cell>
          <cell r="J153">
            <v>0</v>
          </cell>
        </row>
        <row r="154">
          <cell r="A154">
            <v>2225</v>
          </cell>
          <cell r="B154" t="str">
            <v>Finish Grading</v>
          </cell>
          <cell r="D154">
            <v>31000</v>
          </cell>
          <cell r="E154">
            <v>31500</v>
          </cell>
          <cell r="F154">
            <v>0.13220518244315177</v>
          </cell>
          <cell r="G154">
            <v>125</v>
          </cell>
          <cell r="H154">
            <v>0</v>
          </cell>
          <cell r="I154">
            <v>0</v>
          </cell>
          <cell r="J154">
            <v>0</v>
          </cell>
        </row>
        <row r="155">
          <cell r="A155">
            <v>2230</v>
          </cell>
          <cell r="B155" t="str">
            <v>Soil Treatment</v>
          </cell>
          <cell r="C155" t="str">
            <v>Contract</v>
          </cell>
          <cell r="D155">
            <v>11549.36</v>
          </cell>
          <cell r="E155">
            <v>7000</v>
          </cell>
          <cell r="F155">
            <v>2.9378929431811505E-2</v>
          </cell>
          <cell r="G155">
            <v>46.57</v>
          </cell>
          <cell r="H155">
            <v>7000</v>
          </cell>
          <cell r="I155">
            <v>2.9378929431811505E-2</v>
          </cell>
          <cell r="J155">
            <v>28.225806451612904</v>
          </cell>
          <cell r="K155" t="str">
            <v>Pest Eliminators (Peter LaScala)</v>
          </cell>
        </row>
        <row r="156">
          <cell r="A156">
            <v>2300</v>
          </cell>
          <cell r="B156" t="str">
            <v>Retaining Walls</v>
          </cell>
          <cell r="C156" t="str">
            <v>Contract</v>
          </cell>
          <cell r="D156">
            <v>24000</v>
          </cell>
          <cell r="E156">
            <v>13146</v>
          </cell>
          <cell r="F156">
            <v>5.5173629472942007E-2</v>
          </cell>
          <cell r="G156">
            <v>53.008064516129032</v>
          </cell>
          <cell r="H156">
            <v>5611.79</v>
          </cell>
          <cell r="I156">
            <v>2.355262605659221E-2</v>
          </cell>
          <cell r="J156">
            <v>22.628185483870968</v>
          </cell>
          <cell r="K156" t="str">
            <v>Dave R. Dent - based on unit price contract</v>
          </cell>
        </row>
        <row r="157">
          <cell r="A157">
            <v>2301</v>
          </cell>
          <cell r="B157" t="str">
            <v>Site Walls</v>
          </cell>
          <cell r="D157">
            <v>31000</v>
          </cell>
          <cell r="E157">
            <v>0</v>
          </cell>
          <cell r="F157">
            <v>0</v>
          </cell>
          <cell r="G157">
            <v>125</v>
          </cell>
          <cell r="H157">
            <v>0</v>
          </cell>
          <cell r="I157">
            <v>0</v>
          </cell>
          <cell r="J157">
            <v>0</v>
          </cell>
        </row>
        <row r="158">
          <cell r="A158">
            <v>2500</v>
          </cell>
          <cell r="B158" t="str">
            <v>Paving &amp; Surfacing</v>
          </cell>
          <cell r="C158" t="str">
            <v>Contract</v>
          </cell>
          <cell r="D158">
            <v>0</v>
          </cell>
          <cell r="E158">
            <v>35100</v>
          </cell>
          <cell r="F158">
            <v>0.14731434615094055</v>
          </cell>
          <cell r="G158">
            <v>0</v>
          </cell>
          <cell r="H158">
            <v>35100</v>
          </cell>
          <cell r="I158">
            <v>0.14731434615094055</v>
          </cell>
          <cell r="J158">
            <v>141.53225806451613</v>
          </cell>
          <cell r="K158" t="str">
            <v>Franklin's Earthmoving, Inc./Bo-Dingess</v>
          </cell>
        </row>
        <row r="159">
          <cell r="A159">
            <v>2501</v>
          </cell>
          <cell r="B159" t="str">
            <v>Curbs - concrete</v>
          </cell>
          <cell r="C159" t="str">
            <v>Contract</v>
          </cell>
          <cell r="D159">
            <v>0</v>
          </cell>
          <cell r="E159">
            <v>1954</v>
          </cell>
          <cell r="F159">
            <v>8.2009183013942409E-3</v>
          </cell>
          <cell r="G159">
            <v>0</v>
          </cell>
          <cell r="H159">
            <v>0</v>
          </cell>
          <cell r="I159">
            <v>0</v>
          </cell>
          <cell r="J159">
            <v>0</v>
          </cell>
          <cell r="K159" t="str">
            <v>Perma-Curb of New Mexico (based on $3.75 per LF)</v>
          </cell>
        </row>
        <row r="160">
          <cell r="A160">
            <v>2504</v>
          </cell>
          <cell r="B160" t="str">
            <v>Asphalt Paving</v>
          </cell>
          <cell r="C160" t="str">
            <v>Contract</v>
          </cell>
          <cell r="D160">
            <v>104631.2</v>
          </cell>
          <cell r="E160">
            <v>103195</v>
          </cell>
          <cell r="F160">
            <v>103195</v>
          </cell>
          <cell r="G160">
            <v>103195</v>
          </cell>
          <cell r="H160">
            <v>103195</v>
          </cell>
          <cell r="I160">
            <v>0.43310837467368402</v>
          </cell>
          <cell r="J160">
            <v>416.10887096774195</v>
          </cell>
          <cell r="K160" t="str">
            <v>Franklin's Earthmoving, Inc.</v>
          </cell>
        </row>
        <row r="161">
          <cell r="A161">
            <v>2505</v>
          </cell>
          <cell r="B161" t="str">
            <v>Concrete Paving</v>
          </cell>
          <cell r="C161" t="str">
            <v>Contract</v>
          </cell>
          <cell r="D161">
            <v>22320</v>
          </cell>
          <cell r="E161">
            <v>22320</v>
          </cell>
          <cell r="F161">
            <v>9.3676814988290405E-2</v>
          </cell>
          <cell r="G161">
            <v>90</v>
          </cell>
          <cell r="H161">
            <v>22320</v>
          </cell>
          <cell r="I161">
            <v>9.3676814988290405E-2</v>
          </cell>
          <cell r="J161">
            <v>90</v>
          </cell>
          <cell r="K161" t="str">
            <v>EFS (based on unit price contract)</v>
          </cell>
        </row>
        <row r="162">
          <cell r="A162">
            <v>2506</v>
          </cell>
          <cell r="B162" t="str">
            <v>Concrete Pavers</v>
          </cell>
          <cell r="C162" t="str">
            <v>Contract</v>
          </cell>
          <cell r="D162">
            <v>9300</v>
          </cell>
          <cell r="E162">
            <v>3150</v>
          </cell>
          <cell r="F162">
            <v>1.3220518244315178E-2</v>
          </cell>
          <cell r="G162">
            <v>37.5</v>
          </cell>
          <cell r="H162">
            <v>3150</v>
          </cell>
          <cell r="I162">
            <v>1.3220518244315178E-2</v>
          </cell>
          <cell r="J162">
            <v>12.701612903225806</v>
          </cell>
          <cell r="K162" t="str">
            <v>Pavetech</v>
          </cell>
        </row>
        <row r="163">
          <cell r="A163">
            <v>2507</v>
          </cell>
          <cell r="B163" t="str">
            <v>Stamped Concrete</v>
          </cell>
          <cell r="D163">
            <v>0</v>
          </cell>
          <cell r="E163">
            <v>0</v>
          </cell>
          <cell r="F163">
            <v>0</v>
          </cell>
          <cell r="G163">
            <v>0</v>
          </cell>
          <cell r="H163">
            <v>0</v>
          </cell>
          <cell r="I163">
            <v>0</v>
          </cell>
          <cell r="J163">
            <v>0</v>
          </cell>
        </row>
        <row r="164">
          <cell r="A164">
            <v>2508</v>
          </cell>
          <cell r="B164" t="str">
            <v>Concrete Street Improvements</v>
          </cell>
          <cell r="C164" t="str">
            <v>Contract</v>
          </cell>
          <cell r="D164">
            <v>44640</v>
          </cell>
          <cell r="E164">
            <v>44640</v>
          </cell>
          <cell r="F164">
            <v>0</v>
          </cell>
          <cell r="G164">
            <v>180</v>
          </cell>
          <cell r="H164">
            <v>44640</v>
          </cell>
          <cell r="I164">
            <v>0</v>
          </cell>
          <cell r="J164">
            <v>180</v>
          </cell>
          <cell r="K164" t="str">
            <v>EFS (based on unit price contract)</v>
          </cell>
        </row>
        <row r="165">
          <cell r="A165">
            <v>2510</v>
          </cell>
          <cell r="B165" t="str">
            <v>Entrance &amp; Drives</v>
          </cell>
          <cell r="D165">
            <v>0</v>
          </cell>
          <cell r="E165">
            <v>0</v>
          </cell>
          <cell r="F165">
            <v>0</v>
          </cell>
          <cell r="G165">
            <v>0</v>
          </cell>
          <cell r="H165">
            <v>0</v>
          </cell>
          <cell r="I165">
            <v>0</v>
          </cell>
          <cell r="J165">
            <v>0</v>
          </cell>
        </row>
        <row r="166">
          <cell r="A166">
            <v>2519</v>
          </cell>
          <cell r="B166" t="str">
            <v>Traffic Signs</v>
          </cell>
          <cell r="D166">
            <v>1240</v>
          </cell>
          <cell r="E166">
            <v>0</v>
          </cell>
          <cell r="F166">
            <v>0</v>
          </cell>
          <cell r="G166">
            <v>5</v>
          </cell>
          <cell r="H166">
            <v>0</v>
          </cell>
          <cell r="I166">
            <v>0</v>
          </cell>
          <cell r="J166">
            <v>0</v>
          </cell>
        </row>
        <row r="167">
          <cell r="A167">
            <v>2520</v>
          </cell>
          <cell r="B167" t="str">
            <v>Parking Lot Striping</v>
          </cell>
          <cell r="D167">
            <v>6200</v>
          </cell>
          <cell r="E167">
            <v>6200</v>
          </cell>
          <cell r="F167">
            <v>2.6021337496747333E-2</v>
          </cell>
          <cell r="G167">
            <v>25</v>
          </cell>
          <cell r="H167">
            <v>0</v>
          </cell>
          <cell r="I167">
            <v>0</v>
          </cell>
          <cell r="J167">
            <v>0</v>
          </cell>
        </row>
        <row r="168">
          <cell r="A168">
            <v>2521</v>
          </cell>
          <cell r="B168" t="str">
            <v>Bus Bay</v>
          </cell>
          <cell r="D168">
            <v>0</v>
          </cell>
          <cell r="E168">
            <v>0</v>
          </cell>
          <cell r="F168">
            <v>0</v>
          </cell>
          <cell r="G168">
            <v>0</v>
          </cell>
          <cell r="H168">
            <v>0</v>
          </cell>
          <cell r="I168">
            <v>0</v>
          </cell>
          <cell r="J168">
            <v>0</v>
          </cell>
        </row>
        <row r="169">
          <cell r="A169">
            <v>2522</v>
          </cell>
          <cell r="B169" t="str">
            <v>Dumpster Enclosure</v>
          </cell>
          <cell r="C169" t="str">
            <v>Contract</v>
          </cell>
          <cell r="D169">
            <v>17727.04</v>
          </cell>
          <cell r="E169">
            <v>20818.419999999998</v>
          </cell>
          <cell r="F169">
            <v>20818.419999999998</v>
          </cell>
          <cell r="G169">
            <v>20818.419999999998</v>
          </cell>
          <cell r="H169">
            <v>20818.419999999998</v>
          </cell>
          <cell r="I169">
            <v>8.7374698865973321E-2</v>
          </cell>
          <cell r="J169">
            <v>83.945241935483864</v>
          </cell>
          <cell r="K169" t="str">
            <v>EFS (based on unit price contract)</v>
          </cell>
        </row>
        <row r="170">
          <cell r="A170">
            <v>2525</v>
          </cell>
          <cell r="B170" t="str">
            <v>Project Sign Allowance</v>
          </cell>
          <cell r="D170">
            <v>6200</v>
          </cell>
          <cell r="E170">
            <v>6200</v>
          </cell>
          <cell r="F170">
            <v>2.6021337496747333E-2</v>
          </cell>
          <cell r="G170">
            <v>25</v>
          </cell>
          <cell r="H170">
            <v>0</v>
          </cell>
          <cell r="I170">
            <v>0</v>
          </cell>
          <cell r="J170">
            <v>0</v>
          </cell>
        </row>
        <row r="171">
          <cell r="A171">
            <v>2650</v>
          </cell>
          <cell r="B171" t="str">
            <v>Gas Distribution System</v>
          </cell>
          <cell r="D171">
            <v>12400</v>
          </cell>
          <cell r="E171">
            <v>0</v>
          </cell>
          <cell r="F171">
            <v>0</v>
          </cell>
          <cell r="G171">
            <v>50</v>
          </cell>
          <cell r="H171">
            <v>0</v>
          </cell>
          <cell r="I171">
            <v>0</v>
          </cell>
          <cell r="J171">
            <v>0</v>
          </cell>
        </row>
        <row r="172">
          <cell r="A172">
            <v>2660</v>
          </cell>
          <cell r="B172" t="str">
            <v>Domestic Water Distribution</v>
          </cell>
          <cell r="C172" t="str">
            <v>Contract</v>
          </cell>
          <cell r="D172">
            <v>134706.88</v>
          </cell>
          <cell r="E172">
            <v>144019</v>
          </cell>
          <cell r="F172">
            <v>139848.03</v>
          </cell>
          <cell r="G172">
            <v>139848.03</v>
          </cell>
          <cell r="H172">
            <v>139848.03</v>
          </cell>
          <cell r="I172">
            <v>0.58694077207826545</v>
          </cell>
          <cell r="J172">
            <v>563.90334677419355</v>
          </cell>
          <cell r="K172" t="str">
            <v>Condore Construction Company</v>
          </cell>
        </row>
        <row r="173">
          <cell r="A173">
            <v>2665</v>
          </cell>
          <cell r="B173" t="str">
            <v>Fire Main Line</v>
          </cell>
          <cell r="D173">
            <v>0</v>
          </cell>
          <cell r="E173">
            <v>0</v>
          </cell>
          <cell r="F173">
            <v>0</v>
          </cell>
          <cell r="G173">
            <v>0</v>
          </cell>
          <cell r="H173">
            <v>0</v>
          </cell>
          <cell r="I173">
            <v>0</v>
          </cell>
          <cell r="J173">
            <v>0</v>
          </cell>
        </row>
        <row r="174">
          <cell r="A174">
            <v>2700</v>
          </cell>
          <cell r="B174" t="str">
            <v>Sanitary Sewer System</v>
          </cell>
          <cell r="C174" t="str">
            <v>Contract</v>
          </cell>
          <cell r="D174">
            <v>26089.599999999999</v>
          </cell>
          <cell r="E174">
            <v>64826</v>
          </cell>
          <cell r="F174">
            <v>64826</v>
          </cell>
          <cell r="G174">
            <v>64826</v>
          </cell>
          <cell r="H174">
            <v>64826</v>
          </cell>
          <cell r="I174">
            <v>0.27207406847808752</v>
          </cell>
          <cell r="J174">
            <v>261.39516129032256</v>
          </cell>
          <cell r="K174" t="str">
            <v>Condore Construction Company</v>
          </cell>
        </row>
        <row r="175">
          <cell r="A175">
            <v>2760</v>
          </cell>
          <cell r="B175" t="str">
            <v>Storm Drainage System (On site)</v>
          </cell>
          <cell r="C175" t="str">
            <v>Contract</v>
          </cell>
          <cell r="D175">
            <v>46462.8</v>
          </cell>
          <cell r="E175">
            <v>47000</v>
          </cell>
          <cell r="F175">
            <v>0.1972585261850201</v>
          </cell>
          <cell r="G175">
            <v>187.35</v>
          </cell>
          <cell r="H175">
            <v>34618.5</v>
          </cell>
          <cell r="I175">
            <v>0.1452934955050238</v>
          </cell>
          <cell r="J175">
            <v>139.59072580645162</v>
          </cell>
          <cell r="K175" t="str">
            <v>Condore Construction Company</v>
          </cell>
        </row>
        <row r="176">
          <cell r="A176">
            <v>2765</v>
          </cell>
          <cell r="B176" t="str">
            <v>Area Drain System (Off site)</v>
          </cell>
          <cell r="D176">
            <v>0</v>
          </cell>
          <cell r="E176">
            <v>0</v>
          </cell>
          <cell r="F176">
            <v>0</v>
          </cell>
          <cell r="G176">
            <v>0</v>
          </cell>
          <cell r="H176">
            <v>0</v>
          </cell>
          <cell r="I176">
            <v>0</v>
          </cell>
          <cell r="J176">
            <v>0</v>
          </cell>
        </row>
        <row r="177">
          <cell r="A177">
            <v>2780</v>
          </cell>
          <cell r="B177" t="str">
            <v>Electrical Distribution System</v>
          </cell>
          <cell r="D177">
            <v>0</v>
          </cell>
          <cell r="E177">
            <v>0</v>
          </cell>
          <cell r="F177">
            <v>0</v>
          </cell>
          <cell r="G177">
            <v>0</v>
          </cell>
          <cell r="H177">
            <v>0</v>
          </cell>
          <cell r="I177">
            <v>0</v>
          </cell>
          <cell r="J177">
            <v>0</v>
          </cell>
        </row>
        <row r="178">
          <cell r="A178">
            <v>2801</v>
          </cell>
          <cell r="B178" t="str">
            <v>Site Fencing</v>
          </cell>
          <cell r="D178">
            <v>0</v>
          </cell>
          <cell r="E178">
            <v>0</v>
          </cell>
          <cell r="F178">
            <v>0</v>
          </cell>
          <cell r="G178">
            <v>25</v>
          </cell>
          <cell r="H178">
            <v>0</v>
          </cell>
          <cell r="I178">
            <v>0</v>
          </cell>
          <cell r="J178">
            <v>0</v>
          </cell>
        </row>
        <row r="179">
          <cell r="A179">
            <v>2803</v>
          </cell>
          <cell r="B179" t="str">
            <v>City Walks</v>
          </cell>
          <cell r="D179">
            <v>0</v>
          </cell>
          <cell r="E179">
            <v>0</v>
          </cell>
          <cell r="F179">
            <v>0</v>
          </cell>
          <cell r="G179">
            <v>0</v>
          </cell>
          <cell r="H179">
            <v>0</v>
          </cell>
          <cell r="I179">
            <v>0</v>
          </cell>
          <cell r="J179">
            <v>0</v>
          </cell>
        </row>
        <row r="180">
          <cell r="A180">
            <v>2804</v>
          </cell>
          <cell r="B180" t="str">
            <v>Flatwork</v>
          </cell>
          <cell r="D180">
            <v>0</v>
          </cell>
          <cell r="E180">
            <v>0</v>
          </cell>
          <cell r="F180">
            <v>0</v>
          </cell>
          <cell r="G180">
            <v>0</v>
          </cell>
          <cell r="H180">
            <v>0</v>
          </cell>
          <cell r="I180">
            <v>0</v>
          </cell>
          <cell r="J180">
            <v>0</v>
          </cell>
        </row>
        <row r="181">
          <cell r="A181">
            <v>2805</v>
          </cell>
          <cell r="B181" t="str">
            <v>Sidewalks</v>
          </cell>
          <cell r="C181" t="str">
            <v>Contract</v>
          </cell>
          <cell r="D181">
            <v>87702.720000000001</v>
          </cell>
          <cell r="E181">
            <v>95838</v>
          </cell>
          <cell r="F181">
            <v>95838</v>
          </cell>
          <cell r="G181">
            <v>95838</v>
          </cell>
          <cell r="H181">
            <v>95838</v>
          </cell>
          <cell r="I181">
            <v>0.40223111984085014</v>
          </cell>
          <cell r="J181">
            <v>386.44354838709677</v>
          </cell>
          <cell r="K181" t="str">
            <v>EFS (based on unit price contract)</v>
          </cell>
        </row>
        <row r="182">
          <cell r="A182">
            <v>2810</v>
          </cell>
          <cell r="B182" t="str">
            <v>Paving</v>
          </cell>
          <cell r="D182">
            <v>0</v>
          </cell>
          <cell r="E182">
            <v>0</v>
          </cell>
          <cell r="F182">
            <v>0</v>
          </cell>
          <cell r="G182">
            <v>0</v>
          </cell>
          <cell r="H182">
            <v>0</v>
          </cell>
          <cell r="I182">
            <v>0</v>
          </cell>
          <cell r="J182">
            <v>0</v>
          </cell>
        </row>
        <row r="183">
          <cell r="A183">
            <v>2850</v>
          </cell>
          <cell r="B183" t="str">
            <v>Tennis Court</v>
          </cell>
          <cell r="D183">
            <v>0</v>
          </cell>
          <cell r="E183">
            <v>0</v>
          </cell>
          <cell r="F183">
            <v>0</v>
          </cell>
          <cell r="G183">
            <v>0</v>
          </cell>
          <cell r="H183">
            <v>0</v>
          </cell>
          <cell r="I183">
            <v>0</v>
          </cell>
          <cell r="J183">
            <v>0</v>
          </cell>
        </row>
        <row r="184">
          <cell r="A184">
            <v>2900</v>
          </cell>
          <cell r="B184" t="str">
            <v xml:space="preserve">Landscaping </v>
          </cell>
          <cell r="C184" t="str">
            <v>Contract</v>
          </cell>
          <cell r="D184">
            <v>210800</v>
          </cell>
          <cell r="E184">
            <v>169674</v>
          </cell>
          <cell r="F184">
            <v>236489.48671577143</v>
          </cell>
          <cell r="G184">
            <v>236489.77</v>
          </cell>
          <cell r="H184">
            <v>168992.77</v>
          </cell>
          <cell r="I184">
            <v>0.70926095204519313</v>
          </cell>
          <cell r="J184">
            <v>681.42245967741928</v>
          </cell>
          <cell r="K184" t="str">
            <v>The Hilltop</v>
          </cell>
        </row>
        <row r="185">
          <cell r="A185">
            <v>2910</v>
          </cell>
          <cell r="B185" t="str">
            <v>Irrigation</v>
          </cell>
          <cell r="C185" t="str">
            <v>Contract</v>
          </cell>
          <cell r="D185">
            <v>0</v>
          </cell>
          <cell r="E185">
            <v>67497</v>
          </cell>
          <cell r="F185">
            <v>0.28328422855128305</v>
          </cell>
          <cell r="G185">
            <v>0</v>
          </cell>
          <cell r="H185">
            <v>67497</v>
          </cell>
          <cell r="I185">
            <v>0.28328422855128305</v>
          </cell>
          <cell r="J185">
            <v>272.16532258064518</v>
          </cell>
          <cell r="K185" t="str">
            <v>The Hilltop</v>
          </cell>
        </row>
        <row r="186">
          <cell r="B186" t="str">
            <v>TOTAL</v>
          </cell>
          <cell r="D186">
            <v>977969.6</v>
          </cell>
          <cell r="E186">
            <v>1062780.42</v>
          </cell>
          <cell r="F186">
            <v>4.4604787086701414</v>
          </cell>
          <cell r="G186">
            <v>4285.4049193548381</v>
          </cell>
          <cell r="H186">
            <v>988455.51</v>
          </cell>
          <cell r="I186">
            <v>4.1485378106821784</v>
          </cell>
          <cell r="J186">
            <v>3985.7077016129033</v>
          </cell>
        </row>
        <row r="190">
          <cell r="D190" t="str">
            <v>ORIGINAL</v>
          </cell>
          <cell r="E190" t="str">
            <v>REVISED</v>
          </cell>
          <cell r="F190" t="str">
            <v>COST/ft²</v>
          </cell>
          <cell r="G190" t="str">
            <v>COST/UNIT</v>
          </cell>
          <cell r="H190" t="str">
            <v>CONTRACTS AND</v>
          </cell>
          <cell r="I190" t="str">
            <v>COST/ft²</v>
          </cell>
          <cell r="J190" t="str">
            <v>COST/UNIT</v>
          </cell>
          <cell r="K190" t="str">
            <v>SUB CONTRATOR</v>
          </cell>
        </row>
        <row r="191">
          <cell r="A191" t="str">
            <v>COST CODE</v>
          </cell>
          <cell r="B191" t="str">
            <v>DESCRIPTION</v>
          </cell>
          <cell r="D191" t="str">
            <v>SCHEDULE VALUE</v>
          </cell>
          <cell r="E191" t="str">
            <v>SCHEDULE VALUE</v>
          </cell>
          <cell r="F191">
            <v>238266</v>
          </cell>
          <cell r="G191">
            <v>248</v>
          </cell>
          <cell r="H191" t="str">
            <v>PURCHASE ORDERS</v>
          </cell>
          <cell r="I191">
            <v>238266</v>
          </cell>
          <cell r="J191">
            <v>248</v>
          </cell>
        </row>
        <row r="192">
          <cell r="A192" t="str">
            <v>DIVISION 3:</v>
          </cell>
          <cell r="B192" t="str">
            <v>CONCRETE</v>
          </cell>
        </row>
        <row r="193">
          <cell r="A193">
            <v>3100</v>
          </cell>
          <cell r="B193" t="str">
            <v>Piles &amp; Caissons</v>
          </cell>
          <cell r="D193">
            <v>0</v>
          </cell>
          <cell r="E193">
            <v>0</v>
          </cell>
          <cell r="F193">
            <v>0</v>
          </cell>
          <cell r="G193">
            <v>0</v>
          </cell>
          <cell r="H193">
            <v>0</v>
          </cell>
          <cell r="I193">
            <v>0</v>
          </cell>
          <cell r="J193">
            <v>0</v>
          </cell>
        </row>
        <row r="194">
          <cell r="A194">
            <v>3300</v>
          </cell>
          <cell r="B194" t="str">
            <v>Concrete Foundations        -  yd²</v>
          </cell>
          <cell r="C194" t="str">
            <v>Contract</v>
          </cell>
          <cell r="D194">
            <v>458800</v>
          </cell>
          <cell r="E194">
            <v>433125</v>
          </cell>
          <cell r="F194">
            <v>432150</v>
          </cell>
          <cell r="G194">
            <v>432150</v>
          </cell>
          <cell r="H194">
            <v>432150</v>
          </cell>
          <cell r="I194">
            <v>1.8137291934224773</v>
          </cell>
          <cell r="J194">
            <v>1742.5403225806451</v>
          </cell>
          <cell r="K194" t="str">
            <v>Pacesetter</v>
          </cell>
        </row>
        <row r="195">
          <cell r="A195">
            <v>3370</v>
          </cell>
          <cell r="B195" t="str">
            <v>Concrete Curing</v>
          </cell>
          <cell r="D195">
            <v>0</v>
          </cell>
          <cell r="E195">
            <v>0</v>
          </cell>
          <cell r="F195">
            <v>0</v>
          </cell>
          <cell r="G195">
            <v>0</v>
          </cell>
          <cell r="H195">
            <v>0</v>
          </cell>
          <cell r="I195">
            <v>0</v>
          </cell>
          <cell r="J195">
            <v>0</v>
          </cell>
        </row>
        <row r="196">
          <cell r="A196">
            <v>3500</v>
          </cell>
          <cell r="B196" t="str">
            <v>Cementious Decks</v>
          </cell>
          <cell r="C196" t="str">
            <v>Contract</v>
          </cell>
          <cell r="D196">
            <v>58776</v>
          </cell>
          <cell r="E196">
            <v>64000</v>
          </cell>
          <cell r="F196">
            <v>0.26860735480513376</v>
          </cell>
          <cell r="G196">
            <v>258.06451612903226</v>
          </cell>
          <cell r="H196">
            <v>64000</v>
          </cell>
          <cell r="I196">
            <v>0.26860735480513376</v>
          </cell>
          <cell r="J196">
            <v>258.06451612903226</v>
          </cell>
          <cell r="K196" t="str">
            <v>Koch Mechanical</v>
          </cell>
        </row>
        <row r="197">
          <cell r="A197">
            <v>3505</v>
          </cell>
          <cell r="B197" t="str">
            <v>Lightweight concrete</v>
          </cell>
          <cell r="C197" t="str">
            <v>Contract</v>
          </cell>
          <cell r="D197">
            <v>42029.8</v>
          </cell>
          <cell r="E197">
            <v>49916</v>
          </cell>
          <cell r="F197">
            <v>0.209496948788329</v>
          </cell>
          <cell r="G197">
            <v>201.2741935483871</v>
          </cell>
          <cell r="H197">
            <v>49916</v>
          </cell>
          <cell r="I197">
            <v>0.209496948788329</v>
          </cell>
          <cell r="J197">
            <v>201.2741935483871</v>
          </cell>
          <cell r="K197" t="str">
            <v>EFS (based on unit price contract)</v>
          </cell>
        </row>
        <row r="198">
          <cell r="A198">
            <v>3600</v>
          </cell>
          <cell r="B198" t="str">
            <v>Grouting</v>
          </cell>
          <cell r="D198">
            <v>0</v>
          </cell>
          <cell r="E198">
            <v>0</v>
          </cell>
          <cell r="F198">
            <v>0</v>
          </cell>
          <cell r="G198">
            <v>0</v>
          </cell>
          <cell r="H198">
            <v>0</v>
          </cell>
          <cell r="I198">
            <v>0</v>
          </cell>
          <cell r="J198">
            <v>0</v>
          </cell>
        </row>
        <row r="199">
          <cell r="B199" t="str">
            <v>TOTAL</v>
          </cell>
          <cell r="D199">
            <v>559605.80000000005</v>
          </cell>
          <cell r="E199">
            <v>547041</v>
          </cell>
          <cell r="F199">
            <v>2.2959255621867998</v>
          </cell>
          <cell r="G199">
            <v>2205.8104838709678</v>
          </cell>
          <cell r="H199">
            <v>546066</v>
          </cell>
          <cell r="I199">
            <v>2.29183349701594</v>
          </cell>
          <cell r="J199">
            <v>2201.8790322580644</v>
          </cell>
        </row>
        <row r="201">
          <cell r="A201" t="str">
            <v>DIVISION 4:</v>
          </cell>
          <cell r="B201" t="str">
            <v>MASONRY</v>
          </cell>
        </row>
        <row r="202">
          <cell r="A202">
            <v>4100</v>
          </cell>
          <cell r="B202" t="str">
            <v>CMU Masonry</v>
          </cell>
          <cell r="D202">
            <v>0</v>
          </cell>
          <cell r="E202">
            <v>0</v>
          </cell>
          <cell r="F202">
            <v>0</v>
          </cell>
          <cell r="G202">
            <v>0</v>
          </cell>
          <cell r="H202">
            <v>0</v>
          </cell>
          <cell r="I202">
            <v>0</v>
          </cell>
          <cell r="J202">
            <v>0</v>
          </cell>
        </row>
        <row r="203">
          <cell r="A203">
            <v>4200</v>
          </cell>
          <cell r="B203" t="str">
            <v>Other</v>
          </cell>
          <cell r="D203">
            <v>0</v>
          </cell>
          <cell r="E203">
            <v>0</v>
          </cell>
          <cell r="F203">
            <v>0</v>
          </cell>
          <cell r="G203">
            <v>0</v>
          </cell>
          <cell r="H203">
            <v>0</v>
          </cell>
          <cell r="I203">
            <v>0</v>
          </cell>
          <cell r="J203">
            <v>0</v>
          </cell>
        </row>
        <row r="204">
          <cell r="B204" t="str">
            <v>TOTAL</v>
          </cell>
          <cell r="D204">
            <v>0</v>
          </cell>
          <cell r="E204">
            <v>0</v>
          </cell>
          <cell r="F204">
            <v>0</v>
          </cell>
          <cell r="G204">
            <v>0</v>
          </cell>
          <cell r="H204">
            <v>0</v>
          </cell>
          <cell r="I204">
            <v>0</v>
          </cell>
          <cell r="J204">
            <v>0</v>
          </cell>
        </row>
        <row r="206">
          <cell r="A206" t="str">
            <v>DIVISION 5:</v>
          </cell>
          <cell r="B206" t="str">
            <v>METALS</v>
          </cell>
        </row>
        <row r="207">
          <cell r="A207">
            <v>5100</v>
          </cell>
          <cell r="B207" t="str">
            <v>Structural Steel</v>
          </cell>
          <cell r="D207">
            <v>0</v>
          </cell>
          <cell r="E207">
            <v>0</v>
          </cell>
          <cell r="F207">
            <v>0</v>
          </cell>
          <cell r="G207">
            <v>0</v>
          </cell>
          <cell r="H207">
            <v>0</v>
          </cell>
          <cell r="I207">
            <v>0</v>
          </cell>
          <cell r="J207">
            <v>0</v>
          </cell>
        </row>
        <row r="208">
          <cell r="A208">
            <v>5300</v>
          </cell>
          <cell r="B208" t="str">
            <v>Metal Decking</v>
          </cell>
          <cell r="D208">
            <v>0</v>
          </cell>
          <cell r="E208">
            <v>0</v>
          </cell>
          <cell r="F208">
            <v>0</v>
          </cell>
          <cell r="G208">
            <v>0</v>
          </cell>
          <cell r="H208">
            <v>0</v>
          </cell>
          <cell r="I208">
            <v>0</v>
          </cell>
          <cell r="J208">
            <v>0</v>
          </cell>
        </row>
        <row r="209">
          <cell r="A209">
            <v>5700</v>
          </cell>
          <cell r="B209" t="str">
            <v>Metal Pool Fencing</v>
          </cell>
          <cell r="D209">
            <v>0</v>
          </cell>
          <cell r="E209">
            <v>0</v>
          </cell>
          <cell r="F209">
            <v>0</v>
          </cell>
          <cell r="G209">
            <v>0</v>
          </cell>
          <cell r="H209">
            <v>0</v>
          </cell>
          <cell r="I209">
            <v>0</v>
          </cell>
          <cell r="J209">
            <v>0</v>
          </cell>
        </row>
        <row r="210">
          <cell r="A210">
            <v>5701</v>
          </cell>
          <cell r="B210" t="str">
            <v>Metal Perimeter Fencing</v>
          </cell>
          <cell r="D210">
            <v>0</v>
          </cell>
          <cell r="E210">
            <v>0</v>
          </cell>
          <cell r="F210">
            <v>0</v>
          </cell>
          <cell r="G210">
            <v>0</v>
          </cell>
          <cell r="H210">
            <v>0</v>
          </cell>
          <cell r="I210">
            <v>0</v>
          </cell>
          <cell r="J210">
            <v>0</v>
          </cell>
        </row>
        <row r="211">
          <cell r="A211">
            <v>5702</v>
          </cell>
          <cell r="B211" t="str">
            <v>Metal Site Fencing</v>
          </cell>
          <cell r="C211" t="str">
            <v>Contract</v>
          </cell>
          <cell r="D211">
            <v>6200</v>
          </cell>
          <cell r="E211">
            <v>3500</v>
          </cell>
          <cell r="F211">
            <v>1.4689464715905752E-2</v>
          </cell>
          <cell r="G211">
            <v>14.112903225806452</v>
          </cell>
          <cell r="H211">
            <v>3500</v>
          </cell>
          <cell r="I211">
            <v>1.4689464715905752E-2</v>
          </cell>
          <cell r="J211">
            <v>14.112903225806452</v>
          </cell>
          <cell r="K211" t="str">
            <v>Southwestern Metal Services (combined with 5710)</v>
          </cell>
        </row>
        <row r="212">
          <cell r="A212">
            <v>5703</v>
          </cell>
          <cell r="B212" t="str">
            <v>Metal Hand Rails</v>
          </cell>
          <cell r="D212">
            <v>0</v>
          </cell>
          <cell r="E212">
            <v>0</v>
          </cell>
          <cell r="F212">
            <v>0</v>
          </cell>
          <cell r="G212">
            <v>0</v>
          </cell>
          <cell r="H212">
            <v>0</v>
          </cell>
          <cell r="I212">
            <v>0</v>
          </cell>
          <cell r="J212">
            <v>0</v>
          </cell>
        </row>
        <row r="213">
          <cell r="A213">
            <v>5704</v>
          </cell>
          <cell r="B213" t="str">
            <v>Metal Guard Rails</v>
          </cell>
          <cell r="D213">
            <v>0</v>
          </cell>
          <cell r="E213">
            <v>0</v>
          </cell>
          <cell r="F213">
            <v>0</v>
          </cell>
          <cell r="G213">
            <v>0</v>
          </cell>
          <cell r="H213">
            <v>0</v>
          </cell>
          <cell r="I213">
            <v>0</v>
          </cell>
          <cell r="J213">
            <v>0</v>
          </cell>
        </row>
        <row r="214">
          <cell r="A214">
            <v>5710</v>
          </cell>
          <cell r="B214" t="str">
            <v>Metal Stairs</v>
          </cell>
          <cell r="C214" t="str">
            <v>Contract</v>
          </cell>
          <cell r="D214">
            <v>92356.44</v>
          </cell>
          <cell r="E214">
            <v>108530</v>
          </cell>
          <cell r="F214">
            <v>108530</v>
          </cell>
          <cell r="G214">
            <v>108530</v>
          </cell>
          <cell r="H214">
            <v>108530</v>
          </cell>
          <cell r="I214">
            <v>0.45549931589064324</v>
          </cell>
          <cell r="J214">
            <v>437.62096774193549</v>
          </cell>
          <cell r="K214" t="str">
            <v>Southwestern Metal Services (combined with 5702)</v>
          </cell>
        </row>
        <row r="215">
          <cell r="B215" t="str">
            <v>TOTAL</v>
          </cell>
          <cell r="D215">
            <v>98556.44</v>
          </cell>
          <cell r="E215">
            <v>112030</v>
          </cell>
          <cell r="F215">
            <v>0.47018878060654901</v>
          </cell>
          <cell r="G215">
            <v>451.73387096774195</v>
          </cell>
          <cell r="H215">
            <v>112030</v>
          </cell>
          <cell r="I215">
            <v>0.47018878060654901</v>
          </cell>
          <cell r="J215">
            <v>451.73387096774195</v>
          </cell>
        </row>
        <row r="217">
          <cell r="A217" t="str">
            <v>DIVISION 6:</v>
          </cell>
          <cell r="B217" t="str">
            <v>WOOD &amp; PLASTICS</v>
          </cell>
        </row>
        <row r="218">
          <cell r="A218">
            <v>6050</v>
          </cell>
          <cell r="B218" t="str">
            <v>Hardware &amp; Fasteners</v>
          </cell>
          <cell r="C218" t="str">
            <v>PO</v>
          </cell>
          <cell r="D218">
            <v>31000</v>
          </cell>
          <cell r="E218">
            <v>26915</v>
          </cell>
          <cell r="F218">
            <v>26915</v>
          </cell>
          <cell r="G218">
            <v>26915</v>
          </cell>
          <cell r="H218">
            <v>26915</v>
          </cell>
          <cell r="I218">
            <v>0.11296198366531524</v>
          </cell>
          <cell r="J218">
            <v>108.52822580645162</v>
          </cell>
          <cell r="K218" t="str">
            <v>Tricon</v>
          </cell>
        </row>
        <row r="219">
          <cell r="A219">
            <v>6100</v>
          </cell>
          <cell r="B219" t="str">
            <v>Framing Labor</v>
          </cell>
          <cell r="C219" t="str">
            <v>Contract</v>
          </cell>
          <cell r="D219">
            <v>575000</v>
          </cell>
          <cell r="E219">
            <v>579200</v>
          </cell>
          <cell r="F219">
            <v>2.4308965609864606</v>
          </cell>
          <cell r="G219">
            <v>2335.483870967742</v>
          </cell>
          <cell r="H219">
            <v>579200</v>
          </cell>
          <cell r="I219">
            <v>2.4308965609864606</v>
          </cell>
          <cell r="J219">
            <v>2335.483870967742</v>
          </cell>
          <cell r="K219" t="str">
            <v>MEK</v>
          </cell>
        </row>
        <row r="220">
          <cell r="A220">
            <v>6110</v>
          </cell>
          <cell r="B220" t="str">
            <v>Framing Material</v>
          </cell>
          <cell r="C220" t="str">
            <v>PO</v>
          </cell>
          <cell r="D220">
            <v>718200</v>
          </cell>
          <cell r="E220">
            <v>704532</v>
          </cell>
          <cell r="F220">
            <v>704532</v>
          </cell>
          <cell r="G220">
            <v>704532</v>
          </cell>
          <cell r="H220">
            <v>704532</v>
          </cell>
          <cell r="I220">
            <v>2.9569137014932889</v>
          </cell>
          <cell r="J220">
            <v>2840.8548387096776</v>
          </cell>
          <cell r="K220" t="str">
            <v>Trussway, Inc</v>
          </cell>
        </row>
        <row r="221">
          <cell r="A221">
            <v>6170</v>
          </cell>
          <cell r="B221" t="str">
            <v>Roof Trusses</v>
          </cell>
          <cell r="C221" t="str">
            <v>PO</v>
          </cell>
          <cell r="D221">
            <v>203710.32</v>
          </cell>
          <cell r="E221">
            <v>200800</v>
          </cell>
          <cell r="F221">
            <v>195405</v>
          </cell>
          <cell r="G221">
            <v>195405</v>
          </cell>
          <cell r="H221">
            <v>195405</v>
          </cell>
          <cell r="I221">
            <v>0.82011281508901812</v>
          </cell>
          <cell r="J221">
            <v>787.92338709677415</v>
          </cell>
          <cell r="K221" t="str">
            <v>Trussway, Inc</v>
          </cell>
        </row>
        <row r="222">
          <cell r="A222">
            <v>6175</v>
          </cell>
          <cell r="B222" t="str">
            <v>Floor Trusses</v>
          </cell>
          <cell r="C222" t="str">
            <v>PO</v>
          </cell>
          <cell r="D222">
            <v>212442</v>
          </cell>
          <cell r="E222">
            <v>212442</v>
          </cell>
          <cell r="F222">
            <v>0.89161693233612849</v>
          </cell>
          <cell r="G222">
            <v>856.62096774193549</v>
          </cell>
          <cell r="H222">
            <v>212442</v>
          </cell>
          <cell r="I222">
            <v>0.89161693233612849</v>
          </cell>
          <cell r="J222">
            <v>856.62096774193549</v>
          </cell>
          <cell r="K222" t="str">
            <v>Trussway, Inc</v>
          </cell>
        </row>
        <row r="223">
          <cell r="A223">
            <v>6180</v>
          </cell>
          <cell r="B223" t="str">
            <v>Framing Components</v>
          </cell>
          <cell r="C223" t="str">
            <v>PO</v>
          </cell>
          <cell r="D223">
            <v>153174.68</v>
          </cell>
          <cell r="E223">
            <v>147327</v>
          </cell>
          <cell r="F223">
            <v>0.61832993377149903</v>
          </cell>
          <cell r="G223">
            <v>594.06048387096769</v>
          </cell>
          <cell r="H223">
            <v>150029</v>
          </cell>
          <cell r="I223">
            <v>0.62967020053217837</v>
          </cell>
          <cell r="J223">
            <v>604.95564516129036</v>
          </cell>
          <cell r="K223" t="str">
            <v>Trussway, Inc</v>
          </cell>
        </row>
        <row r="224">
          <cell r="A224">
            <v>6190</v>
          </cell>
          <cell r="B224" t="str">
            <v>Beams</v>
          </cell>
          <cell r="C224" t="str">
            <v>PO</v>
          </cell>
          <cell r="D224">
            <v>25433</v>
          </cell>
          <cell r="E224">
            <v>25437</v>
          </cell>
          <cell r="F224">
            <v>25437</v>
          </cell>
          <cell r="G224">
            <v>25437</v>
          </cell>
          <cell r="H224">
            <v>25437</v>
          </cell>
          <cell r="I224">
            <v>0.10675883256528418</v>
          </cell>
          <cell r="J224">
            <v>102.56854838709677</v>
          </cell>
          <cell r="K224" t="str">
            <v>Trussway, Inc</v>
          </cell>
        </row>
        <row r="225">
          <cell r="A225">
            <v>6200</v>
          </cell>
          <cell r="B225" t="str">
            <v>Finish Trim Labor</v>
          </cell>
          <cell r="C225" t="str">
            <v>Contract</v>
          </cell>
          <cell r="D225">
            <v>64790</v>
          </cell>
          <cell r="E225">
            <v>92000</v>
          </cell>
          <cell r="F225">
            <v>90718.76</v>
          </cell>
          <cell r="G225">
            <v>90718.76</v>
          </cell>
          <cell r="H225">
            <v>90718.76</v>
          </cell>
          <cell r="I225">
            <v>0.38074572116877775</v>
          </cell>
          <cell r="J225">
            <v>365.80145161290318</v>
          </cell>
          <cell r="K225" t="str">
            <v>Finish Trim Carpentry Contractors/Bernard Padillo</v>
          </cell>
        </row>
        <row r="226">
          <cell r="A226">
            <v>6210</v>
          </cell>
          <cell r="B226" t="str">
            <v>Finish Trim Material</v>
          </cell>
          <cell r="C226" t="str">
            <v>PO</v>
          </cell>
          <cell r="D226">
            <v>305527.67999999999</v>
          </cell>
          <cell r="E226">
            <v>320000</v>
          </cell>
          <cell r="F226">
            <v>308184.06</v>
          </cell>
          <cell r="G226">
            <v>308184.06</v>
          </cell>
          <cell r="H226">
            <v>308184.06</v>
          </cell>
          <cell r="I226">
            <v>1.2934453929641661</v>
          </cell>
          <cell r="J226">
            <v>1242.6776612903225</v>
          </cell>
          <cell r="K226" t="str">
            <v>Bison</v>
          </cell>
        </row>
        <row r="227">
          <cell r="B227" t="str">
            <v>TOTAL</v>
          </cell>
          <cell r="D227">
            <v>2289277.6800000002</v>
          </cell>
          <cell r="E227">
            <v>2308653</v>
          </cell>
          <cell r="F227">
            <v>9.6893933670771322</v>
          </cell>
          <cell r="G227">
            <v>9309.0846774193542</v>
          </cell>
          <cell r="H227">
            <v>2292862.8199999998</v>
          </cell>
          <cell r="I227">
            <v>9.6231221408006178</v>
          </cell>
          <cell r="J227">
            <v>9245.4145967741933</v>
          </cell>
        </row>
        <row r="230">
          <cell r="D230" t="str">
            <v>ORIGINAL</v>
          </cell>
          <cell r="E230" t="str">
            <v>REVISED</v>
          </cell>
          <cell r="F230" t="str">
            <v>COST/ft²</v>
          </cell>
          <cell r="G230" t="str">
            <v>COST/UNIT</v>
          </cell>
          <cell r="H230" t="str">
            <v>CONTRACTS AND</v>
          </cell>
          <cell r="I230" t="str">
            <v>COST/ft²</v>
          </cell>
          <cell r="J230" t="str">
            <v>COST/UNIT</v>
          </cell>
          <cell r="K230" t="str">
            <v>SUB CONTRATOR</v>
          </cell>
        </row>
        <row r="231">
          <cell r="A231" t="str">
            <v>COST CODE</v>
          </cell>
          <cell r="B231" t="str">
            <v>DESCRIPTION</v>
          </cell>
          <cell r="D231" t="str">
            <v>SCHEDULE VALUE</v>
          </cell>
          <cell r="E231" t="str">
            <v>SCHEDULE VALUE</v>
          </cell>
          <cell r="F231">
            <v>238266</v>
          </cell>
          <cell r="G231">
            <v>248</v>
          </cell>
          <cell r="H231" t="str">
            <v>PURCHASE ORDERS</v>
          </cell>
          <cell r="I231">
            <v>238266</v>
          </cell>
          <cell r="J231">
            <v>248</v>
          </cell>
        </row>
        <row r="232">
          <cell r="A232" t="str">
            <v>DIVISION 7:</v>
          </cell>
          <cell r="B232" t="str">
            <v>THERMAL &amp; MOISTURE PROTECTION</v>
          </cell>
        </row>
        <row r="233">
          <cell r="A233">
            <v>7100</v>
          </cell>
          <cell r="B233" t="str">
            <v>Waterproofing</v>
          </cell>
          <cell r="D233">
            <v>0</v>
          </cell>
          <cell r="E233">
            <v>0</v>
          </cell>
          <cell r="F233">
            <v>0</v>
          </cell>
          <cell r="G233">
            <v>0</v>
          </cell>
          <cell r="H233">
            <v>0</v>
          </cell>
          <cell r="I233">
            <v>0</v>
          </cell>
          <cell r="J233">
            <v>0</v>
          </cell>
        </row>
        <row r="234">
          <cell r="A234">
            <v>7190</v>
          </cell>
          <cell r="B234" t="str">
            <v>Vapor Retarders</v>
          </cell>
          <cell r="D234">
            <v>0</v>
          </cell>
          <cell r="E234">
            <v>0</v>
          </cell>
          <cell r="F234">
            <v>0</v>
          </cell>
          <cell r="G234">
            <v>0</v>
          </cell>
          <cell r="H234">
            <v>0</v>
          </cell>
          <cell r="I234">
            <v>0</v>
          </cell>
          <cell r="J234">
            <v>0</v>
          </cell>
        </row>
        <row r="235">
          <cell r="A235">
            <v>7200</v>
          </cell>
          <cell r="B235" t="str">
            <v>Insulation</v>
          </cell>
          <cell r="C235" t="str">
            <v>Contract</v>
          </cell>
          <cell r="D235">
            <v>65844</v>
          </cell>
          <cell r="E235">
            <v>83428</v>
          </cell>
          <cell r="F235">
            <v>83428</v>
          </cell>
          <cell r="G235">
            <v>83428</v>
          </cell>
          <cell r="H235">
            <v>83428</v>
          </cell>
          <cell r="I235">
            <v>0.3501464749481672</v>
          </cell>
          <cell r="J235">
            <v>336.40322580645159</v>
          </cell>
          <cell r="K235" t="str">
            <v>Duke Insulation Co., Inc.</v>
          </cell>
        </row>
        <row r="236">
          <cell r="A236">
            <v>7240</v>
          </cell>
          <cell r="B236" t="str">
            <v>Exterior Finish System</v>
          </cell>
          <cell r="D236">
            <v>0</v>
          </cell>
          <cell r="E236">
            <v>0</v>
          </cell>
          <cell r="F236">
            <v>0</v>
          </cell>
          <cell r="G236">
            <v>0</v>
          </cell>
          <cell r="H236">
            <v>0</v>
          </cell>
          <cell r="I236">
            <v>0</v>
          </cell>
          <cell r="J236">
            <v>0</v>
          </cell>
        </row>
        <row r="237">
          <cell r="A237">
            <v>7250</v>
          </cell>
          <cell r="B237" t="str">
            <v>Fireproofing</v>
          </cell>
          <cell r="D237">
            <v>0</v>
          </cell>
          <cell r="E237">
            <v>0</v>
          </cell>
          <cell r="F237">
            <v>0</v>
          </cell>
          <cell r="G237">
            <v>0</v>
          </cell>
          <cell r="H237">
            <v>0</v>
          </cell>
          <cell r="I237">
            <v>0</v>
          </cell>
          <cell r="J237">
            <v>0</v>
          </cell>
        </row>
        <row r="238">
          <cell r="A238">
            <v>7270</v>
          </cell>
          <cell r="B238" t="str">
            <v>Firestopping</v>
          </cell>
          <cell r="D238">
            <v>0</v>
          </cell>
          <cell r="E238">
            <v>0</v>
          </cell>
          <cell r="F238">
            <v>0</v>
          </cell>
          <cell r="G238">
            <v>0</v>
          </cell>
          <cell r="H238">
            <v>0</v>
          </cell>
          <cell r="I238">
            <v>0</v>
          </cell>
          <cell r="J238">
            <v>0</v>
          </cell>
        </row>
        <row r="239">
          <cell r="A239">
            <v>7300</v>
          </cell>
          <cell r="B239" t="str">
            <v>Composition Roofing</v>
          </cell>
          <cell r="C239" t="str">
            <v>Contract</v>
          </cell>
          <cell r="D239">
            <v>92752</v>
          </cell>
          <cell r="E239">
            <v>92146</v>
          </cell>
          <cell r="F239">
            <v>102166</v>
          </cell>
          <cell r="G239">
            <v>92968</v>
          </cell>
          <cell r="H239">
            <v>92146</v>
          </cell>
          <cell r="I239">
            <v>0.386735833060529</v>
          </cell>
          <cell r="J239">
            <v>371.55645161290323</v>
          </cell>
          <cell r="K239" t="str">
            <v>American Roofing</v>
          </cell>
        </row>
        <row r="240">
          <cell r="A240">
            <v>7301</v>
          </cell>
          <cell r="B240" t="str">
            <v>Concrete Tile Roofing</v>
          </cell>
          <cell r="D240">
            <v>0</v>
          </cell>
          <cell r="E240">
            <v>0</v>
          </cell>
          <cell r="F240">
            <v>0</v>
          </cell>
          <cell r="G240">
            <v>0</v>
          </cell>
          <cell r="H240">
            <v>0</v>
          </cell>
          <cell r="I240">
            <v>0</v>
          </cell>
          <cell r="J240">
            <v>0</v>
          </cell>
        </row>
        <row r="241">
          <cell r="A241">
            <v>7302</v>
          </cell>
          <cell r="B241" t="str">
            <v>Metal Roofing</v>
          </cell>
          <cell r="D241">
            <v>0</v>
          </cell>
          <cell r="E241">
            <v>0</v>
          </cell>
          <cell r="F241">
            <v>0</v>
          </cell>
          <cell r="G241">
            <v>0</v>
          </cell>
          <cell r="H241">
            <v>0</v>
          </cell>
          <cell r="I241">
            <v>0</v>
          </cell>
          <cell r="J241">
            <v>0</v>
          </cell>
        </row>
        <row r="242">
          <cell r="A242">
            <v>7303</v>
          </cell>
          <cell r="B242" t="str">
            <v>Built-Up Roofing</v>
          </cell>
          <cell r="D242">
            <v>0</v>
          </cell>
          <cell r="E242">
            <v>0</v>
          </cell>
          <cell r="F242">
            <v>0</v>
          </cell>
          <cell r="G242">
            <v>0</v>
          </cell>
          <cell r="H242">
            <v>0</v>
          </cell>
          <cell r="I242">
            <v>0</v>
          </cell>
          <cell r="J242">
            <v>0</v>
          </cell>
        </row>
        <row r="243">
          <cell r="A243">
            <v>7304</v>
          </cell>
          <cell r="B243" t="str">
            <v>Membrane Roofing</v>
          </cell>
          <cell r="D243">
            <v>0</v>
          </cell>
          <cell r="E243">
            <v>0</v>
          </cell>
          <cell r="F243">
            <v>0</v>
          </cell>
          <cell r="G243">
            <v>0</v>
          </cell>
          <cell r="H243">
            <v>0</v>
          </cell>
          <cell r="I243">
            <v>0</v>
          </cell>
          <cell r="J243">
            <v>0</v>
          </cell>
        </row>
        <row r="244">
          <cell r="A244">
            <v>7310</v>
          </cell>
          <cell r="B244" t="str">
            <v>Balcony Waterproofing</v>
          </cell>
          <cell r="C244" t="str">
            <v>Contract</v>
          </cell>
          <cell r="D244">
            <v>29849.4</v>
          </cell>
          <cell r="E244">
            <v>32686</v>
          </cell>
          <cell r="F244">
            <v>24000</v>
          </cell>
          <cell r="G244">
            <v>17186</v>
          </cell>
          <cell r="H244">
            <v>32686</v>
          </cell>
          <cell r="I244">
            <v>0.13718281248688441</v>
          </cell>
          <cell r="J244">
            <v>131.79838709677421</v>
          </cell>
          <cell r="K244" t="str">
            <v>American Roofing</v>
          </cell>
        </row>
        <row r="245">
          <cell r="A245">
            <v>7500</v>
          </cell>
          <cell r="B245" t="str">
            <v>Gutters &amp; Downspouts</v>
          </cell>
          <cell r="C245" t="str">
            <v>Contract</v>
          </cell>
          <cell r="D245">
            <v>0</v>
          </cell>
          <cell r="E245">
            <v>30250</v>
          </cell>
          <cell r="F245">
            <v>0.126958945044614</v>
          </cell>
          <cell r="G245">
            <v>121.9758064516129</v>
          </cell>
          <cell r="H245">
            <v>30250</v>
          </cell>
          <cell r="I245">
            <v>0.126958945044614</v>
          </cell>
          <cell r="J245">
            <v>121.9758064516129</v>
          </cell>
          <cell r="K245" t="str">
            <v>The New Mexico Gutter Co.</v>
          </cell>
        </row>
        <row r="246">
          <cell r="A246">
            <v>7600</v>
          </cell>
          <cell r="B246" t="str">
            <v>Flashing &amp; Sheetmetal</v>
          </cell>
          <cell r="D246">
            <v>0</v>
          </cell>
          <cell r="E246">
            <v>0</v>
          </cell>
          <cell r="F246">
            <v>0</v>
          </cell>
          <cell r="G246">
            <v>0</v>
          </cell>
          <cell r="H246">
            <v>0</v>
          </cell>
          <cell r="I246">
            <v>0</v>
          </cell>
          <cell r="J246">
            <v>0</v>
          </cell>
        </row>
        <row r="247">
          <cell r="A247">
            <v>7610</v>
          </cell>
          <cell r="B247" t="str">
            <v>Roof Vents</v>
          </cell>
          <cell r="D247">
            <v>3286</v>
          </cell>
          <cell r="E247">
            <v>0</v>
          </cell>
          <cell r="F247">
            <v>0</v>
          </cell>
          <cell r="G247">
            <v>0</v>
          </cell>
          <cell r="H247">
            <v>0</v>
          </cell>
          <cell r="I247">
            <v>0</v>
          </cell>
          <cell r="J247">
            <v>0</v>
          </cell>
          <cell r="K247" t="str">
            <v>Included w/7300 - American Roofing</v>
          </cell>
        </row>
        <row r="248">
          <cell r="A248">
            <v>7800</v>
          </cell>
          <cell r="B248" t="str">
            <v>Skylights</v>
          </cell>
          <cell r="D248">
            <v>0</v>
          </cell>
          <cell r="E248">
            <v>0</v>
          </cell>
          <cell r="F248">
            <v>0</v>
          </cell>
          <cell r="G248">
            <v>0</v>
          </cell>
          <cell r="H248">
            <v>0</v>
          </cell>
          <cell r="I248">
            <v>0</v>
          </cell>
          <cell r="J248">
            <v>0</v>
          </cell>
        </row>
        <row r="249">
          <cell r="A249">
            <v>7900</v>
          </cell>
          <cell r="B249" t="str">
            <v>Joint Sealers</v>
          </cell>
          <cell r="D249">
            <v>0</v>
          </cell>
          <cell r="E249">
            <v>0</v>
          </cell>
          <cell r="F249">
            <v>0</v>
          </cell>
          <cell r="G249">
            <v>0</v>
          </cell>
          <cell r="H249">
            <v>0</v>
          </cell>
          <cell r="I249">
            <v>0</v>
          </cell>
          <cell r="J249">
            <v>0</v>
          </cell>
        </row>
        <row r="250">
          <cell r="B250" t="str">
            <v>TOTAL</v>
          </cell>
          <cell r="D250">
            <v>191731.4</v>
          </cell>
          <cell r="E250">
            <v>238510</v>
          </cell>
          <cell r="F250">
            <v>1.0010240655401945</v>
          </cell>
          <cell r="G250">
            <v>961.73387096774195</v>
          </cell>
          <cell r="H250">
            <v>238510</v>
          </cell>
          <cell r="I250">
            <v>1.0010240655401945</v>
          </cell>
          <cell r="J250">
            <v>961.73387096774195</v>
          </cell>
        </row>
        <row r="252">
          <cell r="A252" t="str">
            <v>DIVISION 8:</v>
          </cell>
          <cell r="B252" t="str">
            <v>DOORS &amp; WINDOWS</v>
          </cell>
        </row>
        <row r="253">
          <cell r="A253">
            <v>8100</v>
          </cell>
          <cell r="B253" t="str">
            <v>Metal Doors &amp; Frames</v>
          </cell>
          <cell r="D253">
            <v>0</v>
          </cell>
          <cell r="E253">
            <v>0</v>
          </cell>
          <cell r="F253">
            <v>0</v>
          </cell>
          <cell r="G253">
            <v>0</v>
          </cell>
          <cell r="I253">
            <v>0</v>
          </cell>
          <cell r="J253">
            <v>0</v>
          </cell>
        </row>
        <row r="254">
          <cell r="A254">
            <v>8101</v>
          </cell>
          <cell r="B254" t="str">
            <v>Wood Doors</v>
          </cell>
          <cell r="D254">
            <v>0</v>
          </cell>
          <cell r="E254">
            <v>0</v>
          </cell>
          <cell r="F254">
            <v>0</v>
          </cell>
          <cell r="G254">
            <v>0</v>
          </cell>
          <cell r="I254">
            <v>0</v>
          </cell>
          <cell r="J254">
            <v>0</v>
          </cell>
        </row>
        <row r="255">
          <cell r="A255">
            <v>8110</v>
          </cell>
          <cell r="B255" t="str">
            <v>Exterior Metal Doors</v>
          </cell>
          <cell r="D255">
            <v>0</v>
          </cell>
          <cell r="E255">
            <v>0</v>
          </cell>
          <cell r="F255">
            <v>0</v>
          </cell>
          <cell r="G255">
            <v>0</v>
          </cell>
          <cell r="I255">
            <v>0</v>
          </cell>
          <cell r="J255">
            <v>0</v>
          </cell>
        </row>
        <row r="256">
          <cell r="A256">
            <v>8200</v>
          </cell>
          <cell r="B256" t="str">
            <v>Mirror By-Pass Doors</v>
          </cell>
          <cell r="C256" t="str">
            <v>PO</v>
          </cell>
          <cell r="D256">
            <v>6200</v>
          </cell>
          <cell r="E256">
            <v>6174</v>
          </cell>
          <cell r="F256">
            <v>6174</v>
          </cell>
          <cell r="G256">
            <v>6174</v>
          </cell>
          <cell r="H256">
            <v>6174</v>
          </cell>
          <cell r="I256">
            <v>2.5912215758857746E-2</v>
          </cell>
          <cell r="J256">
            <v>24.89516129032258</v>
          </cell>
          <cell r="K256" t="str">
            <v>Maintenance Builders Supply, Inc</v>
          </cell>
        </row>
        <row r="257">
          <cell r="A257">
            <v>8205</v>
          </cell>
          <cell r="B257" t="str">
            <v>Shower Doors</v>
          </cell>
          <cell r="D257">
            <v>0</v>
          </cell>
          <cell r="E257">
            <v>0</v>
          </cell>
          <cell r="F257">
            <v>0</v>
          </cell>
          <cell r="G257">
            <v>0</v>
          </cell>
          <cell r="I257">
            <v>0</v>
          </cell>
          <cell r="J257">
            <v>0</v>
          </cell>
        </row>
        <row r="258">
          <cell r="A258">
            <v>8300</v>
          </cell>
          <cell r="B258" t="str">
            <v>Special Doors</v>
          </cell>
          <cell r="D258">
            <v>0</v>
          </cell>
          <cell r="E258">
            <v>0</v>
          </cell>
          <cell r="F258">
            <v>0</v>
          </cell>
          <cell r="G258">
            <v>0</v>
          </cell>
          <cell r="I258">
            <v>0</v>
          </cell>
          <cell r="J258">
            <v>0</v>
          </cell>
        </row>
        <row r="259">
          <cell r="A259">
            <v>8500</v>
          </cell>
          <cell r="B259" t="str">
            <v>Metal Windows</v>
          </cell>
          <cell r="C259" t="str">
            <v>PO</v>
          </cell>
          <cell r="D259">
            <v>122850</v>
          </cell>
          <cell r="E259">
            <v>127992.88</v>
          </cell>
          <cell r="F259">
            <v>127992.88</v>
          </cell>
          <cell r="G259">
            <v>127992.88</v>
          </cell>
          <cell r="H259">
            <v>127992.88</v>
          </cell>
          <cell r="I259">
            <v>0.53718482704204551</v>
          </cell>
          <cell r="J259">
            <v>516.10032258064518</v>
          </cell>
          <cell r="K259" t="str">
            <v>Living Windows Corporation</v>
          </cell>
        </row>
        <row r="260">
          <cell r="A260">
            <v>8700</v>
          </cell>
          <cell r="B260" t="str">
            <v>Finish Hardware &amp; Toilet Accessories</v>
          </cell>
          <cell r="C260" t="str">
            <v>PO</v>
          </cell>
          <cell r="D260">
            <v>45798.68</v>
          </cell>
          <cell r="E260">
            <v>52000</v>
          </cell>
          <cell r="F260">
            <v>44289.88</v>
          </cell>
          <cell r="G260">
            <v>44289.88</v>
          </cell>
          <cell r="H260">
            <v>51601.479999999996</v>
          </cell>
          <cell r="I260">
            <v>0.21657089135671895</v>
          </cell>
          <cell r="J260">
            <v>208.07048387096773</v>
          </cell>
          <cell r="K260" t="str">
            <v>Maintenance Builders Supply, Inc</v>
          </cell>
        </row>
        <row r="261">
          <cell r="A261">
            <v>8810</v>
          </cell>
          <cell r="B261" t="str">
            <v>Sliding  Glass Doors</v>
          </cell>
          <cell r="D261">
            <v>0</v>
          </cell>
          <cell r="E261">
            <v>0</v>
          </cell>
          <cell r="F261">
            <v>0</v>
          </cell>
          <cell r="G261">
            <v>0</v>
          </cell>
          <cell r="I261">
            <v>0</v>
          </cell>
          <cell r="J261">
            <v>0</v>
          </cell>
        </row>
        <row r="262">
          <cell r="B262" t="str">
            <v>TOTAL</v>
          </cell>
          <cell r="D262">
            <v>174848.68</v>
          </cell>
          <cell r="E262">
            <v>186166.88</v>
          </cell>
          <cell r="F262">
            <v>0.78134051858007436</v>
          </cell>
          <cell r="G262">
            <v>750.67290322580652</v>
          </cell>
          <cell r="H262">
            <v>185768.36</v>
          </cell>
          <cell r="I262">
            <v>0.77966793415762214</v>
          </cell>
          <cell r="J262">
            <v>749.06596774193542</v>
          </cell>
        </row>
        <row r="264">
          <cell r="A264" t="str">
            <v>DIVISION 9:</v>
          </cell>
          <cell r="B264" t="str">
            <v>FINISHES</v>
          </cell>
        </row>
        <row r="265">
          <cell r="A265">
            <v>9200</v>
          </cell>
          <cell r="B265" t="str">
            <v>Stucco</v>
          </cell>
          <cell r="C265" t="str">
            <v>Contract</v>
          </cell>
          <cell r="D265">
            <v>510272</v>
          </cell>
          <cell r="E265">
            <v>507500</v>
          </cell>
          <cell r="F265">
            <v>507500</v>
          </cell>
          <cell r="G265">
            <v>507500</v>
          </cell>
          <cell r="H265">
            <v>507500</v>
          </cell>
          <cell r="I265">
            <v>2.1299723838063342</v>
          </cell>
          <cell r="J265">
            <v>2046.3709677419354</v>
          </cell>
          <cell r="K265" t="str">
            <v>Mudd Brothers, Inc.</v>
          </cell>
        </row>
        <row r="266">
          <cell r="A266">
            <v>9250</v>
          </cell>
          <cell r="B266" t="str">
            <v>Drywall</v>
          </cell>
          <cell r="C266" t="str">
            <v>Contract</v>
          </cell>
          <cell r="D266">
            <v>734786.8</v>
          </cell>
          <cell r="E266">
            <v>783800</v>
          </cell>
          <cell r="F266">
            <v>3.2896006983791226</v>
          </cell>
          <cell r="G266">
            <v>3160.483870967742</v>
          </cell>
          <cell r="H266">
            <v>783800</v>
          </cell>
          <cell r="I266">
            <v>3.2896006983791226</v>
          </cell>
          <cell r="J266">
            <v>3160.483870967742</v>
          </cell>
          <cell r="K266" t="str">
            <v>Omega Drywall Company, Inc.</v>
          </cell>
        </row>
        <row r="267">
          <cell r="A267">
            <v>9300</v>
          </cell>
          <cell r="B267" t="str">
            <v>Tile</v>
          </cell>
          <cell r="D267">
            <v>0</v>
          </cell>
          <cell r="E267">
            <v>0</v>
          </cell>
          <cell r="F267">
            <v>0</v>
          </cell>
          <cell r="G267">
            <v>0</v>
          </cell>
          <cell r="H267">
            <v>0</v>
          </cell>
          <cell r="I267">
            <v>0</v>
          </cell>
          <cell r="J267">
            <v>0</v>
          </cell>
        </row>
        <row r="268">
          <cell r="A268">
            <v>9301</v>
          </cell>
          <cell r="B268" t="str">
            <v>Ceramic Tile @ Tubs</v>
          </cell>
          <cell r="C268" t="str">
            <v>Contract</v>
          </cell>
          <cell r="D268">
            <v>62198.400000000001</v>
          </cell>
          <cell r="E268">
            <v>98000</v>
          </cell>
          <cell r="F268">
            <v>0.41130501204536107</v>
          </cell>
          <cell r="G268">
            <v>395.16129032258067</v>
          </cell>
          <cell r="H268">
            <v>98000</v>
          </cell>
          <cell r="I268">
            <v>0.41130501204536107</v>
          </cell>
          <cell r="J268">
            <v>395.16129032258067</v>
          </cell>
          <cell r="K268" t="str">
            <v>K.V. Tile Company</v>
          </cell>
        </row>
        <row r="269">
          <cell r="A269">
            <v>9302</v>
          </cell>
          <cell r="B269" t="str">
            <v>Ceramic Tile @ Fireplaces - 186</v>
          </cell>
          <cell r="C269" t="str">
            <v>Contract</v>
          </cell>
          <cell r="D269">
            <v>15376</v>
          </cell>
          <cell r="E269">
            <v>29326</v>
          </cell>
          <cell r="F269">
            <v>29326</v>
          </cell>
          <cell r="G269">
            <v>29326</v>
          </cell>
          <cell r="H269">
            <v>29326</v>
          </cell>
          <cell r="I269">
            <v>0.12308092635961489</v>
          </cell>
          <cell r="J269">
            <v>118.25</v>
          </cell>
          <cell r="K269" t="str">
            <v>Cast Fireplaces/Mudd Bros.</v>
          </cell>
        </row>
        <row r="270">
          <cell r="A270">
            <v>9303</v>
          </cell>
          <cell r="B270" t="str">
            <v>Ceramic Tile Accents</v>
          </cell>
          <cell r="D270">
            <v>1550</v>
          </cell>
          <cell r="E270">
            <v>0</v>
          </cell>
          <cell r="F270">
            <v>0</v>
          </cell>
          <cell r="G270">
            <v>0</v>
          </cell>
          <cell r="H270">
            <v>0</v>
          </cell>
          <cell r="I270">
            <v>0</v>
          </cell>
          <cell r="J270">
            <v>0</v>
          </cell>
        </row>
        <row r="271">
          <cell r="A271">
            <v>9550</v>
          </cell>
          <cell r="B271" t="str">
            <v>Ceramic Tile Flooring</v>
          </cell>
          <cell r="C271" t="str">
            <v>Contract</v>
          </cell>
          <cell r="D271">
            <v>0</v>
          </cell>
          <cell r="E271">
            <v>33020</v>
          </cell>
          <cell r="F271">
            <v>0.13858460711977369</v>
          </cell>
          <cell r="G271">
            <v>133.14516129032259</v>
          </cell>
          <cell r="H271">
            <v>33020</v>
          </cell>
          <cell r="I271">
            <v>0.13858460711977369</v>
          </cell>
          <cell r="J271">
            <v>133.14516129032259</v>
          </cell>
          <cell r="K271" t="str">
            <v>K.V. Tile Company</v>
          </cell>
        </row>
        <row r="272">
          <cell r="A272">
            <v>9551</v>
          </cell>
          <cell r="B272" t="str">
            <v>Slate Flooring</v>
          </cell>
          <cell r="D272">
            <v>0</v>
          </cell>
          <cell r="E272">
            <v>0</v>
          </cell>
          <cell r="F272">
            <v>0</v>
          </cell>
          <cell r="G272">
            <v>0</v>
          </cell>
          <cell r="H272">
            <v>0</v>
          </cell>
          <cell r="I272">
            <v>0</v>
          </cell>
          <cell r="J272">
            <v>0</v>
          </cell>
        </row>
        <row r="273">
          <cell r="A273">
            <v>9552</v>
          </cell>
          <cell r="B273" t="str">
            <v xml:space="preserve">Clubhouse </v>
          </cell>
          <cell r="C273" t="str">
            <v>Contract</v>
          </cell>
          <cell r="D273">
            <v>6200</v>
          </cell>
          <cell r="E273">
            <v>37500</v>
          </cell>
          <cell r="F273">
            <v>0.15738712195613305</v>
          </cell>
          <cell r="G273">
            <v>151.20967741935485</v>
          </cell>
          <cell r="H273">
            <v>25321.21</v>
          </cell>
          <cell r="I273">
            <v>0.10627286310258283</v>
          </cell>
          <cell r="J273">
            <v>102.10165322580644</v>
          </cell>
          <cell r="K273" t="str">
            <v>K.V. Tile Company+ Firplace Contractor+Tri-Kes Contract Wallcovering</v>
          </cell>
        </row>
        <row r="274">
          <cell r="A274">
            <v>9560</v>
          </cell>
          <cell r="B274" t="str">
            <v>Wood Flooring</v>
          </cell>
          <cell r="D274">
            <v>0</v>
          </cell>
          <cell r="E274">
            <v>0</v>
          </cell>
          <cell r="F274">
            <v>0</v>
          </cell>
          <cell r="G274">
            <v>0</v>
          </cell>
          <cell r="H274">
            <v>0</v>
          </cell>
          <cell r="I274">
            <v>0</v>
          </cell>
          <cell r="J274">
            <v>0</v>
          </cell>
        </row>
        <row r="275">
          <cell r="A275">
            <v>9650</v>
          </cell>
          <cell r="B275" t="str">
            <v>Resilient Flooring</v>
          </cell>
          <cell r="C275" t="str">
            <v>Contract</v>
          </cell>
          <cell r="D275">
            <v>41540</v>
          </cell>
          <cell r="E275">
            <v>72912</v>
          </cell>
          <cell r="F275">
            <v>0.30601092896174864</v>
          </cell>
          <cell r="G275">
            <v>294</v>
          </cell>
          <cell r="H275">
            <v>72912</v>
          </cell>
          <cell r="I275">
            <v>0.30601092896174864</v>
          </cell>
          <cell r="J275">
            <v>294</v>
          </cell>
          <cell r="K275" t="str">
            <v>Dixie Carpets</v>
          </cell>
        </row>
        <row r="276">
          <cell r="A276">
            <v>9680</v>
          </cell>
          <cell r="B276" t="str">
            <v>Carpet</v>
          </cell>
          <cell r="C276" t="str">
            <v>Contract</v>
          </cell>
          <cell r="D276">
            <v>179366</v>
          </cell>
          <cell r="E276">
            <v>174587</v>
          </cell>
          <cell r="F276">
            <v>174587</v>
          </cell>
          <cell r="G276">
            <v>174587</v>
          </cell>
          <cell r="H276">
            <v>174587</v>
          </cell>
          <cell r="I276">
            <v>0.73273987895881076</v>
          </cell>
          <cell r="J276">
            <v>703.97983870967744</v>
          </cell>
          <cell r="K276" t="str">
            <v>Dixie Carpets</v>
          </cell>
        </row>
        <row r="277">
          <cell r="A277">
            <v>9900</v>
          </cell>
          <cell r="B277" t="str">
            <v>Painting</v>
          </cell>
          <cell r="C277" t="str">
            <v>Contract</v>
          </cell>
          <cell r="D277">
            <v>241585.48</v>
          </cell>
          <cell r="E277">
            <v>223200</v>
          </cell>
          <cell r="F277">
            <v>0.93676814988290402</v>
          </cell>
          <cell r="G277">
            <v>900</v>
          </cell>
          <cell r="H277">
            <v>223200</v>
          </cell>
          <cell r="I277">
            <v>0.93676814988290402</v>
          </cell>
          <cell r="J277">
            <v>900</v>
          </cell>
          <cell r="K277" t="str">
            <v>Omega Drywall Company, Inc.</v>
          </cell>
        </row>
        <row r="278">
          <cell r="A278">
            <v>9950</v>
          </cell>
          <cell r="B278" t="str">
            <v>Wall Coverings</v>
          </cell>
          <cell r="C278" t="str">
            <v>PO</v>
          </cell>
          <cell r="D278">
            <v>0</v>
          </cell>
          <cell r="E278">
            <v>1000</v>
          </cell>
          <cell r="F278">
            <v>3660</v>
          </cell>
          <cell r="G278">
            <v>3660</v>
          </cell>
          <cell r="H278">
            <v>1000</v>
          </cell>
          <cell r="I278">
            <v>4.196989918830215E-3</v>
          </cell>
          <cell r="J278">
            <v>4.032258064516129</v>
          </cell>
          <cell r="K278" t="str">
            <v>John Benion</v>
          </cell>
        </row>
        <row r="279">
          <cell r="B279" t="str">
            <v>TOTAL</v>
          </cell>
          <cell r="D279">
            <v>1792874.68</v>
          </cell>
          <cell r="E279">
            <v>1960845</v>
          </cell>
          <cell r="F279">
            <v>715078.23965651833</v>
          </cell>
          <cell r="G279">
            <v>720107.00000000012</v>
          </cell>
          <cell r="H279">
            <v>1948666.21</v>
          </cell>
          <cell r="I279">
            <v>8.1785324385350826</v>
          </cell>
          <cell r="J279">
            <v>7857.5250403225809</v>
          </cell>
        </row>
        <row r="282">
          <cell r="D282" t="str">
            <v>ORIGINAL</v>
          </cell>
          <cell r="E282" t="str">
            <v>REVISED</v>
          </cell>
          <cell r="F282" t="str">
            <v>COST/ft²</v>
          </cell>
          <cell r="G282" t="str">
            <v>COST/UNIT</v>
          </cell>
          <cell r="H282" t="str">
            <v>CONTRACTS AND</v>
          </cell>
          <cell r="I282" t="str">
            <v>COST/ft²</v>
          </cell>
          <cell r="J282" t="str">
            <v>COST/UNIT</v>
          </cell>
          <cell r="K282" t="str">
            <v>SUB CONTRATOR</v>
          </cell>
        </row>
        <row r="283">
          <cell r="A283" t="str">
            <v>COST CODE</v>
          </cell>
          <cell r="B283" t="str">
            <v>DESCRIPTION</v>
          </cell>
          <cell r="D283" t="str">
            <v>SCHEDULE VALUE</v>
          </cell>
          <cell r="E283" t="str">
            <v>SCHEDULE VALUE</v>
          </cell>
          <cell r="F283">
            <v>238266</v>
          </cell>
          <cell r="G283">
            <v>248</v>
          </cell>
          <cell r="H283" t="str">
            <v>PURCHASE ORDERS</v>
          </cell>
          <cell r="I283">
            <v>238266</v>
          </cell>
          <cell r="J283">
            <v>248</v>
          </cell>
        </row>
        <row r="284">
          <cell r="A284" t="str">
            <v>DIVISION 10:</v>
          </cell>
          <cell r="B284" t="str">
            <v>SPECIALTIES</v>
          </cell>
          <cell r="H284">
            <v>0</v>
          </cell>
        </row>
        <row r="285">
          <cell r="A285">
            <v>10200</v>
          </cell>
          <cell r="B285" t="str">
            <v>Louvers &amp; Vents</v>
          </cell>
          <cell r="D285">
            <v>0</v>
          </cell>
          <cell r="E285">
            <v>0</v>
          </cell>
          <cell r="F285">
            <v>0</v>
          </cell>
          <cell r="G285">
            <v>0</v>
          </cell>
          <cell r="H285">
            <v>0</v>
          </cell>
          <cell r="I285">
            <v>0</v>
          </cell>
          <cell r="J285">
            <v>0</v>
          </cell>
        </row>
        <row r="286">
          <cell r="A286">
            <v>10260</v>
          </cell>
          <cell r="B286" t="str">
            <v>Corner</v>
          </cell>
          <cell r="D286">
            <v>0</v>
          </cell>
          <cell r="E286">
            <v>0</v>
          </cell>
          <cell r="F286">
            <v>0</v>
          </cell>
          <cell r="G286">
            <v>0</v>
          </cell>
          <cell r="H286">
            <v>0</v>
          </cell>
          <cell r="I286">
            <v>0</v>
          </cell>
          <cell r="J286">
            <v>0</v>
          </cell>
        </row>
        <row r="287">
          <cell r="A287">
            <v>10290</v>
          </cell>
          <cell r="B287" t="str">
            <v>Pest Control</v>
          </cell>
          <cell r="D287">
            <v>0</v>
          </cell>
          <cell r="E287">
            <v>0</v>
          </cell>
          <cell r="F287">
            <v>0</v>
          </cell>
          <cell r="G287">
            <v>0</v>
          </cell>
          <cell r="H287">
            <v>0</v>
          </cell>
          <cell r="I287">
            <v>0</v>
          </cell>
          <cell r="J287">
            <v>0</v>
          </cell>
        </row>
        <row r="288">
          <cell r="A288">
            <v>10300</v>
          </cell>
          <cell r="B288" t="str">
            <v>Fireplaces - 188 + clubhouse</v>
          </cell>
          <cell r="C288" t="str">
            <v>Contract</v>
          </cell>
          <cell r="D288">
            <v>83476.800000000003</v>
          </cell>
          <cell r="E288">
            <v>80090</v>
          </cell>
          <cell r="F288">
            <v>80090</v>
          </cell>
          <cell r="G288">
            <v>80090</v>
          </cell>
          <cell r="H288">
            <v>80090</v>
          </cell>
          <cell r="I288">
            <v>0.33613692259911193</v>
          </cell>
          <cell r="J288">
            <v>322.94354838709677</v>
          </cell>
          <cell r="K288" t="str">
            <v>Duke Insulation Co., Inc.</v>
          </cell>
        </row>
        <row r="289">
          <cell r="A289">
            <v>10301</v>
          </cell>
          <cell r="B289" t="str">
            <v>Chimney Caps</v>
          </cell>
          <cell r="C289" t="str">
            <v>Contract</v>
          </cell>
          <cell r="D289">
            <v>9548</v>
          </cell>
          <cell r="E289">
            <v>0</v>
          </cell>
          <cell r="F289">
            <v>0</v>
          </cell>
          <cell r="G289">
            <v>0</v>
          </cell>
          <cell r="H289">
            <v>0</v>
          </cell>
          <cell r="I289">
            <v>0</v>
          </cell>
          <cell r="J289">
            <v>0</v>
          </cell>
          <cell r="K289" t="str">
            <v>Duke Insulation (included w/10300)</v>
          </cell>
        </row>
        <row r="290">
          <cell r="A290">
            <v>10310</v>
          </cell>
          <cell r="B290" t="str">
            <v>Sauna</v>
          </cell>
          <cell r="C290" t="str">
            <v>PO</v>
          </cell>
          <cell r="D290">
            <v>3500</v>
          </cell>
          <cell r="E290">
            <v>3512.5</v>
          </cell>
          <cell r="F290">
            <v>1.4741927089891129E-2</v>
          </cell>
          <cell r="G290">
            <v>14.163306451612904</v>
          </cell>
          <cell r="H290">
            <v>3512.5</v>
          </cell>
          <cell r="I290">
            <v>1.4741927089891129E-2</v>
          </cell>
          <cell r="J290">
            <v>14.163306451612904</v>
          </cell>
          <cell r="K290" t="str">
            <v xml:space="preserve">Hello Sauna &amp; Fitness of California </v>
          </cell>
        </row>
        <row r="291">
          <cell r="A291">
            <v>10340</v>
          </cell>
          <cell r="B291" t="str">
            <v>Exterior Specialties</v>
          </cell>
          <cell r="D291">
            <v>0</v>
          </cell>
          <cell r="E291">
            <v>0</v>
          </cell>
          <cell r="F291">
            <v>0</v>
          </cell>
          <cell r="G291">
            <v>0</v>
          </cell>
          <cell r="H291">
            <v>0</v>
          </cell>
          <cell r="I291">
            <v>0</v>
          </cell>
          <cell r="J291">
            <v>0</v>
          </cell>
        </row>
        <row r="292">
          <cell r="A292">
            <v>10350</v>
          </cell>
          <cell r="B292" t="str">
            <v>Flagpoles</v>
          </cell>
          <cell r="D292">
            <v>0</v>
          </cell>
          <cell r="E292">
            <v>0</v>
          </cell>
          <cell r="F292">
            <v>0</v>
          </cell>
          <cell r="G292">
            <v>0</v>
          </cell>
          <cell r="H292">
            <v>0</v>
          </cell>
          <cell r="I292">
            <v>0</v>
          </cell>
          <cell r="J292">
            <v>0</v>
          </cell>
        </row>
        <row r="293">
          <cell r="A293">
            <v>10400</v>
          </cell>
          <cell r="B293" t="str">
            <v>Identifying  Devices</v>
          </cell>
          <cell r="D293">
            <v>0</v>
          </cell>
          <cell r="E293">
            <v>0</v>
          </cell>
          <cell r="F293">
            <v>0</v>
          </cell>
          <cell r="G293">
            <v>0</v>
          </cell>
          <cell r="H293">
            <v>0</v>
          </cell>
          <cell r="I293">
            <v>0</v>
          </cell>
          <cell r="J293">
            <v>0</v>
          </cell>
        </row>
        <row r="294">
          <cell r="A294">
            <v>10520</v>
          </cell>
          <cell r="B294" t="str">
            <v>Fire Extinguisher &amp; Cabinets</v>
          </cell>
          <cell r="C294" t="str">
            <v>PO</v>
          </cell>
          <cell r="D294">
            <v>4094.48</v>
          </cell>
          <cell r="E294">
            <v>7055.48</v>
          </cell>
          <cell r="F294">
            <v>2.9611778432508205E-2</v>
          </cell>
          <cell r="G294">
            <v>28.449516129032258</v>
          </cell>
          <cell r="H294">
            <v>7055.48</v>
          </cell>
          <cell r="I294">
            <v>2.9611778432508205E-2</v>
          </cell>
          <cell r="J294">
            <v>28.449516129032258</v>
          </cell>
          <cell r="K294" t="str">
            <v>Maintenance Builders Supply, Inc</v>
          </cell>
        </row>
        <row r="295">
          <cell r="A295">
            <v>10550</v>
          </cell>
          <cell r="B295" t="str">
            <v>Postal Specialties</v>
          </cell>
          <cell r="C295" t="str">
            <v>PO</v>
          </cell>
          <cell r="D295">
            <v>4433</v>
          </cell>
          <cell r="E295">
            <v>4599.05</v>
          </cell>
          <cell r="F295">
            <v>1.93021664861961E-2</v>
          </cell>
          <cell r="G295">
            <v>18.544556451612905</v>
          </cell>
          <cell r="H295">
            <v>4599.05</v>
          </cell>
          <cell r="I295">
            <v>1.93021664861961E-2</v>
          </cell>
          <cell r="J295">
            <v>18.544556451612905</v>
          </cell>
          <cell r="K295" t="str">
            <v>Maintenance Builders Supply, Inc</v>
          </cell>
        </row>
        <row r="296">
          <cell r="A296">
            <v>10670</v>
          </cell>
          <cell r="B296" t="str">
            <v>Ventilated Metal Shelving</v>
          </cell>
          <cell r="C296" t="str">
            <v>PO</v>
          </cell>
          <cell r="D296">
            <v>33607.72</v>
          </cell>
          <cell r="E296">
            <v>30189.599999999999</v>
          </cell>
          <cell r="F296">
            <v>0.12670544685351665</v>
          </cell>
          <cell r="G296">
            <v>121.73225806451612</v>
          </cell>
          <cell r="H296">
            <v>30189.599999999999</v>
          </cell>
          <cell r="I296">
            <v>0.12670544685351665</v>
          </cell>
          <cell r="J296">
            <v>121.73225806451612</v>
          </cell>
          <cell r="K296" t="str">
            <v>Maintenance Builders Supply, Inc</v>
          </cell>
        </row>
        <row r="297">
          <cell r="A297">
            <v>10680</v>
          </cell>
          <cell r="B297" t="str">
            <v>Mirrors</v>
          </cell>
          <cell r="C297" t="str">
            <v>PO</v>
          </cell>
          <cell r="D297">
            <v>26288</v>
          </cell>
          <cell r="E297">
            <v>23599.56</v>
          </cell>
          <cell r="F297">
            <v>9.9047115408828795E-2</v>
          </cell>
          <cell r="G297">
            <v>95.159516129032269</v>
          </cell>
          <cell r="H297">
            <v>23599.56</v>
          </cell>
          <cell r="I297">
            <v>9.9047115408828795E-2</v>
          </cell>
          <cell r="J297">
            <v>95.159516129032269</v>
          </cell>
          <cell r="K297" t="str">
            <v>Maintenance Builders Supply, Inc</v>
          </cell>
        </row>
        <row r="298">
          <cell r="A298">
            <v>10690</v>
          </cell>
          <cell r="B298" t="str">
            <v>Entry Sign</v>
          </cell>
          <cell r="D298">
            <v>0</v>
          </cell>
          <cell r="E298">
            <v>0</v>
          </cell>
          <cell r="F298">
            <v>0</v>
          </cell>
          <cell r="G298">
            <v>0</v>
          </cell>
          <cell r="H298">
            <v>0</v>
          </cell>
          <cell r="I298">
            <v>0</v>
          </cell>
          <cell r="J298">
            <v>0</v>
          </cell>
        </row>
        <row r="299">
          <cell r="B299" t="str">
            <v>TOTAL</v>
          </cell>
          <cell r="D299">
            <v>164948</v>
          </cell>
          <cell r="E299">
            <v>149046.19</v>
          </cell>
          <cell r="F299">
            <v>0.62554535687005286</v>
          </cell>
          <cell r="G299">
            <v>600.99270161290326</v>
          </cell>
          <cell r="H299">
            <v>149046.19</v>
          </cell>
          <cell r="I299">
            <v>0.62554535687005286</v>
          </cell>
          <cell r="J299">
            <v>600.99270161290326</v>
          </cell>
        </row>
        <row r="301">
          <cell r="A301" t="str">
            <v>DIVISION 11:</v>
          </cell>
          <cell r="B301" t="str">
            <v>EQUIPMENT</v>
          </cell>
        </row>
        <row r="302">
          <cell r="A302">
            <v>11130</v>
          </cell>
          <cell r="B302" t="str">
            <v>Audio-Visual Equipment</v>
          </cell>
          <cell r="D302">
            <v>0</v>
          </cell>
          <cell r="E302">
            <v>0</v>
          </cell>
          <cell r="F302">
            <v>0</v>
          </cell>
          <cell r="G302">
            <v>0</v>
          </cell>
          <cell r="H302">
            <v>0</v>
          </cell>
          <cell r="I302">
            <v>0</v>
          </cell>
          <cell r="J302">
            <v>0</v>
          </cell>
        </row>
        <row r="303">
          <cell r="A303">
            <v>11150</v>
          </cell>
          <cell r="B303" t="str">
            <v>Parking Control Equipment</v>
          </cell>
          <cell r="D303">
            <v>0</v>
          </cell>
          <cell r="E303">
            <v>0</v>
          </cell>
          <cell r="F303">
            <v>0</v>
          </cell>
          <cell r="G303">
            <v>0</v>
          </cell>
          <cell r="H303">
            <v>0</v>
          </cell>
          <cell r="I303">
            <v>0</v>
          </cell>
          <cell r="J303">
            <v>0</v>
          </cell>
        </row>
        <row r="304">
          <cell r="A304">
            <v>11170</v>
          </cell>
          <cell r="B304" t="str">
            <v>Permanent Dumpsters</v>
          </cell>
          <cell r="D304">
            <v>0</v>
          </cell>
          <cell r="E304">
            <v>0</v>
          </cell>
          <cell r="F304">
            <v>0</v>
          </cell>
          <cell r="G304">
            <v>0</v>
          </cell>
          <cell r="H304">
            <v>0</v>
          </cell>
          <cell r="I304">
            <v>0</v>
          </cell>
          <cell r="J304">
            <v>0</v>
          </cell>
        </row>
        <row r="305">
          <cell r="A305">
            <v>11175</v>
          </cell>
          <cell r="B305" t="str">
            <v>Trash Chute</v>
          </cell>
          <cell r="D305">
            <v>0</v>
          </cell>
          <cell r="E305">
            <v>0</v>
          </cell>
          <cell r="F305">
            <v>0</v>
          </cell>
          <cell r="G305">
            <v>0</v>
          </cell>
          <cell r="H305">
            <v>0</v>
          </cell>
          <cell r="I305">
            <v>0</v>
          </cell>
          <cell r="J305">
            <v>0</v>
          </cell>
        </row>
        <row r="306">
          <cell r="A306">
            <v>11180</v>
          </cell>
          <cell r="B306" t="str">
            <v>Exercise Equipment</v>
          </cell>
          <cell r="D306">
            <v>0</v>
          </cell>
          <cell r="E306">
            <v>0</v>
          </cell>
          <cell r="F306">
            <v>0</v>
          </cell>
          <cell r="G306">
            <v>0</v>
          </cell>
          <cell r="H306">
            <v>0</v>
          </cell>
          <cell r="I306">
            <v>0</v>
          </cell>
          <cell r="J306">
            <v>0</v>
          </cell>
        </row>
        <row r="307">
          <cell r="A307">
            <v>11450</v>
          </cell>
          <cell r="B307" t="str">
            <v>Appliances</v>
          </cell>
          <cell r="C307" t="str">
            <v>PO</v>
          </cell>
          <cell r="D307">
            <v>382000</v>
          </cell>
          <cell r="E307">
            <v>404673</v>
          </cell>
          <cell r="F307">
            <v>404673</v>
          </cell>
          <cell r="G307">
            <v>404673</v>
          </cell>
          <cell r="H307">
            <v>404673</v>
          </cell>
          <cell r="I307">
            <v>1.6984085014227797</v>
          </cell>
          <cell r="J307">
            <v>1631.7459677419354</v>
          </cell>
          <cell r="K307" t="str">
            <v>General Electric</v>
          </cell>
        </row>
        <row r="308">
          <cell r="A308">
            <v>11460</v>
          </cell>
          <cell r="B308" t="str">
            <v>Unit Kitchen</v>
          </cell>
          <cell r="D308">
            <v>0</v>
          </cell>
          <cell r="E308">
            <v>0</v>
          </cell>
          <cell r="F308">
            <v>0</v>
          </cell>
          <cell r="G308">
            <v>0</v>
          </cell>
          <cell r="H308">
            <v>0</v>
          </cell>
          <cell r="I308">
            <v>0</v>
          </cell>
          <cell r="J308">
            <v>0</v>
          </cell>
        </row>
        <row r="309">
          <cell r="A309">
            <v>11680</v>
          </cell>
          <cell r="B309" t="str">
            <v>Office Equipment</v>
          </cell>
          <cell r="D309">
            <v>0</v>
          </cell>
          <cell r="E309">
            <v>0</v>
          </cell>
          <cell r="F309">
            <v>0</v>
          </cell>
          <cell r="G309">
            <v>0</v>
          </cell>
          <cell r="H309">
            <v>0</v>
          </cell>
          <cell r="I309">
            <v>0</v>
          </cell>
          <cell r="J309">
            <v>0</v>
          </cell>
        </row>
        <row r="310">
          <cell r="A310">
            <v>11700</v>
          </cell>
          <cell r="B310" t="str">
            <v>Garage Doors and Openers</v>
          </cell>
          <cell r="D310">
            <v>0</v>
          </cell>
          <cell r="E310">
            <v>0</v>
          </cell>
          <cell r="F310">
            <v>0</v>
          </cell>
          <cell r="G310">
            <v>0</v>
          </cell>
          <cell r="H310">
            <v>0</v>
          </cell>
          <cell r="I310">
            <v>0</v>
          </cell>
          <cell r="J310">
            <v>0</v>
          </cell>
        </row>
        <row r="311">
          <cell r="B311" t="str">
            <v>TOTAL</v>
          </cell>
          <cell r="D311">
            <v>382000</v>
          </cell>
          <cell r="E311">
            <v>404673</v>
          </cell>
          <cell r="F311">
            <v>1.6984085014227797</v>
          </cell>
          <cell r="G311">
            <v>1631.7459677419354</v>
          </cell>
          <cell r="H311">
            <v>404673</v>
          </cell>
          <cell r="I311">
            <v>1.6984085014227797</v>
          </cell>
          <cell r="J311">
            <v>1631.7459677419354</v>
          </cell>
        </row>
        <row r="313">
          <cell r="A313" t="str">
            <v>DIVISION 12:</v>
          </cell>
          <cell r="B313" t="str">
            <v>FURNISHINGS</v>
          </cell>
        </row>
        <row r="314">
          <cell r="A314">
            <v>12300</v>
          </cell>
          <cell r="B314" t="str">
            <v>Cabinets</v>
          </cell>
          <cell r="C314" t="str">
            <v>Contract/PO</v>
          </cell>
          <cell r="D314">
            <v>230344.6</v>
          </cell>
          <cell r="E314">
            <v>273726</v>
          </cell>
          <cell r="F314">
            <v>273726</v>
          </cell>
          <cell r="G314">
            <v>273726</v>
          </cell>
          <cell r="H314">
            <v>273726</v>
          </cell>
          <cell r="I314">
            <v>1.1488252625217195</v>
          </cell>
          <cell r="J314">
            <v>1103.733870967742</v>
          </cell>
          <cell r="K314" t="str">
            <v>Leedo Cabinetry+Crestline Countertop</v>
          </cell>
        </row>
      </sheetData>
      <sheetData sheetId="3"/>
      <sheetData sheetId="4"/>
      <sheetData sheetId="5"/>
      <sheetData sheetId="6"/>
      <sheetData sheetId="7"/>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mino Real"/>
      <sheetName val="WCV"/>
      <sheetName val="Bentley Wynde"/>
      <sheetName val="Magnolia Vinings"/>
    </sheetNames>
    <sheetDataSet>
      <sheetData sheetId="0"/>
      <sheetData sheetId="1"/>
      <sheetData sheetId="2"/>
      <sheetData sheetId="3"/>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Total Acquisition and Rehab "/>
      <sheetName val="Summary of Hard Costs"/>
    </sheetNames>
    <sheetDataSet>
      <sheetData sheetId="0" refreshError="1"/>
      <sheetData sheetId="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 C"/>
      <sheetName val="Whispering Creek Villas"/>
      <sheetName val="Cypress Lake"/>
      <sheetName val="Bentworth"/>
      <sheetName val="Magnolia Vinings"/>
      <sheetName val="Ranchstone Apartments"/>
      <sheetName val="All Projects"/>
      <sheetName val="Bentley Wynde"/>
      <sheetName val="Camino Real"/>
      <sheetName val="Module1"/>
      <sheetName val="Module2"/>
      <sheetName val="Module3"/>
    </sheetNames>
    <sheetDataSet>
      <sheetData sheetId="0"/>
      <sheetData sheetId="1">
        <row r="1">
          <cell r="D1" t="str">
            <v>WCV Building</v>
          </cell>
          <cell r="E1" t="str">
            <v>Type</v>
          </cell>
          <cell r="F1" t="str">
            <v>Units</v>
          </cell>
          <cell r="O1" t="str">
            <v>Values for Depreciation Purposes</v>
          </cell>
          <cell r="V1" t="str">
            <v>Completion Schedule</v>
          </cell>
        </row>
        <row r="2">
          <cell r="D2" t="str">
            <v>Number</v>
          </cell>
          <cell r="F2" t="str">
            <v>A</v>
          </cell>
          <cell r="G2" t="str">
            <v>B</v>
          </cell>
          <cell r="H2" t="str">
            <v>C</v>
          </cell>
          <cell r="I2" t="str">
            <v>D</v>
          </cell>
          <cell r="J2" t="str">
            <v>E</v>
          </cell>
          <cell r="K2" t="str">
            <v>Totals</v>
          </cell>
          <cell r="O2">
            <v>35105.429559837961</v>
          </cell>
          <cell r="V2">
            <v>35060</v>
          </cell>
          <cell r="Z2" t="str">
            <v>Total Parking</v>
          </cell>
          <cell r="AB2">
            <v>496</v>
          </cell>
        </row>
        <row r="3">
          <cell r="D3">
            <v>1</v>
          </cell>
          <cell r="E3" t="str">
            <v>I</v>
          </cell>
          <cell r="G3">
            <v>12</v>
          </cell>
          <cell r="I3">
            <v>8</v>
          </cell>
          <cell r="K3">
            <v>20</v>
          </cell>
          <cell r="W3" t="str">
            <v xml:space="preserve">Whispering Creek </v>
          </cell>
          <cell r="Z3" t="str">
            <v>Which includes:</v>
          </cell>
        </row>
        <row r="4">
          <cell r="D4">
            <v>2</v>
          </cell>
          <cell r="E4" t="str">
            <v>II</v>
          </cell>
          <cell r="F4">
            <v>4</v>
          </cell>
          <cell r="H4">
            <v>8</v>
          </cell>
          <cell r="J4">
            <v>8</v>
          </cell>
          <cell r="K4">
            <v>20</v>
          </cell>
          <cell r="Z4" t="str">
            <v>Handicapped Parking</v>
          </cell>
          <cell r="AB4">
            <v>12</v>
          </cell>
        </row>
        <row r="5">
          <cell r="D5">
            <v>3</v>
          </cell>
          <cell r="E5" t="str">
            <v>III</v>
          </cell>
          <cell r="I5">
            <v>8</v>
          </cell>
          <cell r="K5">
            <v>8</v>
          </cell>
          <cell r="O5" t="str">
            <v>Project Start Date</v>
          </cell>
          <cell r="P5">
            <v>34568</v>
          </cell>
          <cell r="V5" t="str">
            <v>Start Date</v>
          </cell>
          <cell r="W5">
            <v>34568</v>
          </cell>
          <cell r="Z5" t="str">
            <v>Additional Uncovered Parking</v>
          </cell>
          <cell r="AB5">
            <v>286</v>
          </cell>
        </row>
        <row r="6">
          <cell r="D6">
            <v>4</v>
          </cell>
          <cell r="E6" t="str">
            <v>I</v>
          </cell>
          <cell r="G6">
            <v>12</v>
          </cell>
          <cell r="I6">
            <v>8</v>
          </cell>
          <cell r="K6">
            <v>20</v>
          </cell>
          <cell r="O6" t="str">
            <v>Permit Date</v>
          </cell>
          <cell r="P6">
            <v>34619</v>
          </cell>
          <cell r="V6" t="str">
            <v>Permit Date</v>
          </cell>
          <cell r="W6">
            <v>34619</v>
          </cell>
          <cell r="Z6" t="str">
            <v>Carports</v>
          </cell>
          <cell r="AB6">
            <v>150</v>
          </cell>
        </row>
        <row r="7">
          <cell r="D7">
            <v>5</v>
          </cell>
          <cell r="E7" t="str">
            <v>II</v>
          </cell>
          <cell r="F7">
            <v>4</v>
          </cell>
          <cell r="H7">
            <v>8</v>
          </cell>
          <cell r="J7">
            <v>8</v>
          </cell>
          <cell r="K7">
            <v>20</v>
          </cell>
          <cell r="O7" t="str">
            <v>Days to open Clubhouse</v>
          </cell>
          <cell r="P7">
            <v>234</v>
          </cell>
          <cell r="V7" t="str">
            <v>Days to open Clubhouse</v>
          </cell>
          <cell r="W7">
            <v>234</v>
          </cell>
          <cell r="Z7" t="str">
            <v>Garages</v>
          </cell>
          <cell r="AB7">
            <v>48</v>
          </cell>
        </row>
        <row r="8">
          <cell r="D8">
            <v>6</v>
          </cell>
          <cell r="E8" t="str">
            <v>II</v>
          </cell>
          <cell r="F8">
            <v>4</v>
          </cell>
          <cell r="H8">
            <v>8</v>
          </cell>
          <cell r="J8">
            <v>8</v>
          </cell>
          <cell r="K8">
            <v>20</v>
          </cell>
          <cell r="O8" t="str">
            <v>Percent Completed</v>
          </cell>
          <cell r="P8" t="str">
            <v>Delivery Date with CO</v>
          </cell>
          <cell r="Q8" t="str">
            <v>Units</v>
          </cell>
          <cell r="R8" t="str">
            <v>ft²</v>
          </cell>
          <cell r="S8" t="str">
            <v>Cost</v>
          </cell>
          <cell r="V8" t="str">
            <v>Percent Completed</v>
          </cell>
          <cell r="W8">
            <v>1</v>
          </cell>
        </row>
        <row r="9">
          <cell r="D9">
            <v>7</v>
          </cell>
          <cell r="E9" t="str">
            <v>I</v>
          </cell>
          <cell r="G9">
            <v>12</v>
          </cell>
          <cell r="I9">
            <v>8</v>
          </cell>
          <cell r="K9">
            <v>20</v>
          </cell>
          <cell r="O9" t="str">
            <v>Clubhouse will open</v>
          </cell>
          <cell r="P9">
            <v>34802</v>
          </cell>
          <cell r="R9">
            <v>4000</v>
          </cell>
          <cell r="S9">
            <v>203350.44797212214</v>
          </cell>
          <cell r="V9" t="str">
            <v>Clubhouse will open</v>
          </cell>
          <cell r="W9">
            <v>34802</v>
          </cell>
        </row>
        <row r="10">
          <cell r="D10">
            <v>8</v>
          </cell>
          <cell r="E10" t="str">
            <v>I</v>
          </cell>
          <cell r="G10">
            <v>12</v>
          </cell>
          <cell r="I10">
            <v>8</v>
          </cell>
          <cell r="K10">
            <v>20</v>
          </cell>
          <cell r="O10" t="str">
            <v>Building 1</v>
          </cell>
          <cell r="P10">
            <v>34834</v>
          </cell>
          <cell r="Q10">
            <v>20</v>
          </cell>
          <cell r="R10">
            <v>17555.625</v>
          </cell>
          <cell r="S10">
            <v>892486.0520451467</v>
          </cell>
          <cell r="V10" t="str">
            <v>Building 1</v>
          </cell>
          <cell r="W10">
            <v>34834</v>
          </cell>
        </row>
        <row r="11">
          <cell r="D11">
            <v>9</v>
          </cell>
          <cell r="E11" t="str">
            <v>III</v>
          </cell>
          <cell r="I11">
            <v>8</v>
          </cell>
          <cell r="K11">
            <v>8</v>
          </cell>
          <cell r="O11" t="str">
            <v>Building 2</v>
          </cell>
          <cell r="P11">
            <v>34877</v>
          </cell>
          <cell r="Q11">
            <v>20</v>
          </cell>
          <cell r="R11">
            <v>17555.625</v>
          </cell>
          <cell r="S11">
            <v>892486.0520451467</v>
          </cell>
          <cell r="V11" t="str">
            <v>Building 2</v>
          </cell>
          <cell r="W11">
            <v>34877</v>
          </cell>
        </row>
        <row r="12">
          <cell r="D12">
            <v>10</v>
          </cell>
          <cell r="E12" t="str">
            <v>I</v>
          </cell>
          <cell r="G12">
            <v>12</v>
          </cell>
          <cell r="I12">
            <v>8</v>
          </cell>
          <cell r="K12">
            <v>20</v>
          </cell>
          <cell r="O12" t="str">
            <v>Building 3</v>
          </cell>
          <cell r="P12">
            <v>34904</v>
          </cell>
          <cell r="Q12">
            <v>8</v>
          </cell>
          <cell r="R12">
            <v>7022.25</v>
          </cell>
          <cell r="S12">
            <v>356994.42081805866</v>
          </cell>
          <cell r="V12" t="str">
            <v>Building 3</v>
          </cell>
          <cell r="W12">
            <v>34904</v>
          </cell>
        </row>
        <row r="13">
          <cell r="D13">
            <v>11</v>
          </cell>
          <cell r="E13" t="str">
            <v>II</v>
          </cell>
          <cell r="F13">
            <v>4</v>
          </cell>
          <cell r="H13">
            <v>8</v>
          </cell>
          <cell r="J13">
            <v>8</v>
          </cell>
          <cell r="K13">
            <v>20</v>
          </cell>
          <cell r="O13" t="str">
            <v>Building 4</v>
          </cell>
          <cell r="P13">
            <v>34913</v>
          </cell>
          <cell r="Q13">
            <v>20</v>
          </cell>
          <cell r="R13">
            <v>17555.625</v>
          </cell>
          <cell r="S13">
            <v>892486.0520451467</v>
          </cell>
          <cell r="V13" t="str">
            <v>Building 4</v>
          </cell>
          <cell r="W13">
            <v>34913</v>
          </cell>
        </row>
        <row r="14">
          <cell r="D14">
            <v>12</v>
          </cell>
          <cell r="E14" t="str">
            <v>II</v>
          </cell>
          <cell r="F14">
            <v>4</v>
          </cell>
          <cell r="H14">
            <v>8</v>
          </cell>
          <cell r="J14">
            <v>8</v>
          </cell>
          <cell r="K14">
            <v>20</v>
          </cell>
          <cell r="O14" t="str">
            <v>Building 5</v>
          </cell>
          <cell r="P14">
            <v>34894</v>
          </cell>
          <cell r="Q14">
            <v>20</v>
          </cell>
          <cell r="R14">
            <v>17555.625</v>
          </cell>
          <cell r="S14">
            <v>892486.0520451467</v>
          </cell>
          <cell r="V14" t="str">
            <v>Building 5</v>
          </cell>
          <cell r="W14">
            <v>34894</v>
          </cell>
        </row>
        <row r="15">
          <cell r="D15">
            <v>13</v>
          </cell>
          <cell r="E15" t="str">
            <v>II</v>
          </cell>
          <cell r="F15">
            <v>4</v>
          </cell>
          <cell r="H15">
            <v>8</v>
          </cell>
          <cell r="J15">
            <v>8</v>
          </cell>
          <cell r="K15">
            <v>20</v>
          </cell>
          <cell r="O15" t="str">
            <v>Building 6</v>
          </cell>
          <cell r="P15">
            <v>34851</v>
          </cell>
          <cell r="Q15">
            <v>20</v>
          </cell>
          <cell r="R15">
            <v>17555.625</v>
          </cell>
          <cell r="S15">
            <v>892486.0520451467</v>
          </cell>
          <cell r="V15" t="str">
            <v>Building 6</v>
          </cell>
          <cell r="W15">
            <v>34851</v>
          </cell>
        </row>
        <row r="16">
          <cell r="D16">
            <v>14</v>
          </cell>
          <cell r="E16" t="str">
            <v>I</v>
          </cell>
          <cell r="G16">
            <v>12</v>
          </cell>
          <cell r="I16">
            <v>8</v>
          </cell>
          <cell r="K16">
            <v>20</v>
          </cell>
          <cell r="O16" t="str">
            <v>Building 7</v>
          </cell>
          <cell r="P16">
            <v>34929</v>
          </cell>
          <cell r="Q16">
            <v>20</v>
          </cell>
          <cell r="R16">
            <v>17555.625</v>
          </cell>
          <cell r="S16">
            <v>892486.0520451467</v>
          </cell>
          <cell r="V16" t="str">
            <v>Building 7</v>
          </cell>
          <cell r="W16">
            <v>34929</v>
          </cell>
        </row>
        <row r="17">
          <cell r="D17" t="str">
            <v>Totals</v>
          </cell>
          <cell r="F17">
            <v>24</v>
          </cell>
          <cell r="G17">
            <v>72</v>
          </cell>
          <cell r="H17">
            <v>48</v>
          </cell>
          <cell r="I17">
            <v>64</v>
          </cell>
          <cell r="J17">
            <v>48</v>
          </cell>
          <cell r="K17">
            <v>256</v>
          </cell>
          <cell r="O17" t="str">
            <v>Building 8</v>
          </cell>
          <cell r="P17">
            <v>34948</v>
          </cell>
          <cell r="Q17">
            <v>20</v>
          </cell>
          <cell r="R17">
            <v>17555.625</v>
          </cell>
          <cell r="S17">
            <v>892486.0520451467</v>
          </cell>
          <cell r="V17" t="str">
            <v>Building 8</v>
          </cell>
          <cell r="W17">
            <v>34948</v>
          </cell>
        </row>
        <row r="18">
          <cell r="O18" t="str">
            <v>Building 9</v>
          </cell>
          <cell r="P18">
            <v>34953</v>
          </cell>
          <cell r="Q18">
            <v>8</v>
          </cell>
          <cell r="R18">
            <v>7022.25</v>
          </cell>
          <cell r="S18">
            <v>356994.42081805866</v>
          </cell>
          <cell r="V18" t="str">
            <v>Building 9</v>
          </cell>
          <cell r="W18">
            <v>34953</v>
          </cell>
        </row>
        <row r="19">
          <cell r="O19" t="str">
            <v>Building 10</v>
          </cell>
          <cell r="P19">
            <v>34971</v>
          </cell>
          <cell r="Q19">
            <v>20</v>
          </cell>
          <cell r="R19">
            <v>17555.625</v>
          </cell>
          <cell r="S19">
            <v>892486.0520451467</v>
          </cell>
          <cell r="V19" t="str">
            <v>Building 10</v>
          </cell>
          <cell r="W19">
            <v>34971</v>
          </cell>
        </row>
        <row r="20">
          <cell r="O20" t="str">
            <v>Building 11</v>
          </cell>
          <cell r="P20">
            <v>34976</v>
          </cell>
          <cell r="Q20">
            <v>20</v>
          </cell>
          <cell r="R20">
            <v>17555.625</v>
          </cell>
          <cell r="S20">
            <v>892486.0520451467</v>
          </cell>
          <cell r="V20" t="str">
            <v>Building 11</v>
          </cell>
          <cell r="W20">
            <v>34976</v>
          </cell>
        </row>
        <row r="21">
          <cell r="O21" t="str">
            <v>Building 12</v>
          </cell>
          <cell r="P21">
            <v>35031</v>
          </cell>
          <cell r="Q21">
            <v>20</v>
          </cell>
          <cell r="R21">
            <v>17555.625</v>
          </cell>
          <cell r="S21">
            <v>892486.0520451467</v>
          </cell>
          <cell r="V21" t="str">
            <v>Building 12</v>
          </cell>
          <cell r="W21">
            <v>35031</v>
          </cell>
        </row>
        <row r="22">
          <cell r="O22" t="str">
            <v>Building 13</v>
          </cell>
          <cell r="P22">
            <v>35032</v>
          </cell>
          <cell r="Q22">
            <v>20</v>
          </cell>
          <cell r="R22">
            <v>17555.625</v>
          </cell>
          <cell r="S22">
            <v>892486.0520451467</v>
          </cell>
          <cell r="V22" t="str">
            <v>Building 13</v>
          </cell>
          <cell r="W22">
            <v>35032</v>
          </cell>
        </row>
        <row r="23">
          <cell r="O23" t="str">
            <v>Building 14</v>
          </cell>
          <cell r="P23">
            <v>35009</v>
          </cell>
          <cell r="Q23">
            <v>20</v>
          </cell>
          <cell r="R23">
            <v>17555.625</v>
          </cell>
          <cell r="S23">
            <v>892486.0520451467</v>
          </cell>
          <cell r="V23" t="str">
            <v>Building 14</v>
          </cell>
          <cell r="W23">
            <v>35009</v>
          </cell>
        </row>
        <row r="24">
          <cell r="O24" t="str">
            <v>Average ft²</v>
          </cell>
          <cell r="Q24">
            <v>256</v>
          </cell>
          <cell r="R24">
            <v>877.78125</v>
          </cell>
          <cell r="S24">
            <v>11627171.91415</v>
          </cell>
          <cell r="V24" t="str">
            <v>Months to Complete</v>
          </cell>
          <cell r="W24">
            <v>16</v>
          </cell>
        </row>
        <row r="25">
          <cell r="V25" t="str">
            <v>Completion Date</v>
          </cell>
          <cell r="W25">
            <v>35060</v>
          </cell>
        </row>
        <row r="27">
          <cell r="O27" t="str">
            <v>Based on the following costs:</v>
          </cell>
        </row>
        <row r="28">
          <cell r="O28" t="str">
            <v>TOTAL DEVELOPMENT COSTS</v>
          </cell>
        </row>
        <row r="30">
          <cell r="P30" t="str">
            <v xml:space="preserve"> </v>
          </cell>
        </row>
        <row r="31">
          <cell r="O31" t="str">
            <v xml:space="preserve">Construction </v>
          </cell>
          <cell r="P31">
            <v>11001884.66415</v>
          </cell>
        </row>
        <row r="32">
          <cell r="O32" t="str">
            <v>Architecture</v>
          </cell>
          <cell r="P32">
            <v>51177.14</v>
          </cell>
        </row>
        <row r="33">
          <cell r="O33" t="str">
            <v xml:space="preserve">Engineers </v>
          </cell>
          <cell r="P33">
            <v>87907.11</v>
          </cell>
        </row>
        <row r="34">
          <cell r="O34" t="str">
            <v>Permit Fees</v>
          </cell>
          <cell r="P34">
            <v>51793.5</v>
          </cell>
        </row>
        <row r="35">
          <cell r="O35" t="str">
            <v>Marketing Costs</v>
          </cell>
          <cell r="P35">
            <v>50359.5</v>
          </cell>
        </row>
        <row r="36">
          <cell r="O36" t="str">
            <v>Arc. &amp; Eng. Inspection Fees</v>
          </cell>
          <cell r="P36">
            <v>19050</v>
          </cell>
        </row>
        <row r="37">
          <cell r="O37" t="str">
            <v>Developer's  Fee</v>
          </cell>
          <cell r="P37">
            <v>275000</v>
          </cell>
        </row>
        <row r="38">
          <cell r="O38" t="str">
            <v>Developer's  Office Cost</v>
          </cell>
          <cell r="P38">
            <v>90000</v>
          </cell>
        </row>
        <row r="39">
          <cell r="O39" t="str">
            <v xml:space="preserve">     Total  Costs</v>
          </cell>
          <cell r="P39">
            <v>11627171.91415</v>
          </cell>
        </row>
        <row r="41">
          <cell r="O41" t="str">
            <v>Total Living  Area</v>
          </cell>
          <cell r="P41">
            <v>224712</v>
          </cell>
        </row>
        <row r="42">
          <cell r="O42" t="str">
            <v>Leasing Office and Clubhouse</v>
          </cell>
          <cell r="P42">
            <v>4000</v>
          </cell>
        </row>
        <row r="43">
          <cell r="O43" t="str">
            <v>Total Building Area</v>
          </cell>
          <cell r="P43">
            <v>228712</v>
          </cell>
        </row>
        <row r="44">
          <cell r="O44" t="str">
            <v>Construction Cost per sq. ft.</v>
          </cell>
          <cell r="P44">
            <v>50.837611993030535</v>
          </cell>
        </row>
      </sheetData>
      <sheetData sheetId="2"/>
      <sheetData sheetId="3">
        <row r="1">
          <cell r="T1" t="str">
            <v>THE BENTWORTH APARTMENTS - PROGRESS REPORT</v>
          </cell>
        </row>
        <row r="2">
          <cell r="T2" t="str">
            <v>Phase II - Bldg. No.</v>
          </cell>
          <cell r="U2" t="str">
            <v>Number of Units</v>
          </cell>
          <cell r="W2" t="str">
            <v>Comments</v>
          </cell>
        </row>
        <row r="3">
          <cell r="T3" t="str">
            <v>15, 9, 7, 12</v>
          </cell>
          <cell r="U3">
            <v>19</v>
          </cell>
          <cell r="V3" t="str">
            <v>Non Perimeter Bldgs.</v>
          </cell>
          <cell r="W3" t="str">
            <v>Units that were rehabilitated and have been painted.  No carpet nor appliances.</v>
          </cell>
        </row>
        <row r="4">
          <cell r="T4">
            <v>3</v>
          </cell>
          <cell r="U4">
            <v>1</v>
          </cell>
          <cell r="V4" t="str">
            <v>Non Perimeter Bldgs.</v>
          </cell>
          <cell r="W4" t="str">
            <v>Moved out.  No work done - Unit # 392</v>
          </cell>
        </row>
        <row r="5">
          <cell r="T5">
            <v>4</v>
          </cell>
          <cell r="U5">
            <v>4</v>
          </cell>
          <cell r="V5" t="str">
            <v>Non Perimeter Bldgs.</v>
          </cell>
          <cell r="W5" t="str">
            <v>Moved out.  No work done - Unit # 406, 427, 433, 437.</v>
          </cell>
        </row>
        <row r="6">
          <cell r="T6" t="str">
            <v>Total Units</v>
          </cell>
          <cell r="U6">
            <v>24</v>
          </cell>
          <cell r="W6" t="str">
            <v>Not completed or rehabilitated.</v>
          </cell>
        </row>
        <row r="7">
          <cell r="T7" t="str">
            <v>Total Units not rehabilitated</v>
          </cell>
          <cell r="U7">
            <v>34</v>
          </cell>
          <cell r="V7" t="str">
            <v>Non Perimeter Bldgs.</v>
          </cell>
        </row>
        <row r="8">
          <cell r="T8" t="str">
            <v>Total Units this Phase</v>
          </cell>
          <cell r="U8">
            <v>200</v>
          </cell>
        </row>
        <row r="10">
          <cell r="T10" t="str">
            <v>Phase III - Bldg. No.</v>
          </cell>
          <cell r="U10" t="str">
            <v>Number of Units</v>
          </cell>
          <cell r="W10" t="str">
            <v>Comments</v>
          </cell>
        </row>
        <row r="11">
          <cell r="T11">
            <v>2</v>
          </cell>
          <cell r="U11">
            <v>6</v>
          </cell>
          <cell r="V11" t="str">
            <v>Perimeter Building</v>
          </cell>
          <cell r="W11" t="str">
            <v>Units that were rehabilitated and have been painted.  No carpet nor appliances.</v>
          </cell>
        </row>
        <row r="12">
          <cell r="T12">
            <v>3</v>
          </cell>
          <cell r="U12">
            <v>16</v>
          </cell>
          <cell r="V12" t="str">
            <v>Perimeter Building</v>
          </cell>
          <cell r="W12" t="str">
            <v>Units that were rehabilitated and have been painted.  No carpet nor appliances.</v>
          </cell>
        </row>
        <row r="13">
          <cell r="T13">
            <v>5</v>
          </cell>
          <cell r="U13">
            <v>16</v>
          </cell>
          <cell r="V13" t="str">
            <v>Perimeter Building</v>
          </cell>
          <cell r="W13" t="str">
            <v>Units that were rehabilitated and have been painted.  No carpet nor appliances.</v>
          </cell>
        </row>
        <row r="14">
          <cell r="T14">
            <v>6</v>
          </cell>
          <cell r="U14">
            <v>6</v>
          </cell>
          <cell r="V14" t="str">
            <v>Perimeter Building</v>
          </cell>
          <cell r="W14" t="str">
            <v>Units that were rehabilitated and have been painted.  No carpet nor appliances.</v>
          </cell>
        </row>
        <row r="15">
          <cell r="T15">
            <v>7</v>
          </cell>
          <cell r="U15">
            <v>6</v>
          </cell>
          <cell r="V15" t="str">
            <v>Perimeter Building</v>
          </cell>
          <cell r="W15" t="str">
            <v>Units that were rehabilitated and have been painted.  No carpet nor appliances.</v>
          </cell>
        </row>
        <row r="16">
          <cell r="T16">
            <v>9</v>
          </cell>
          <cell r="U16">
            <v>16</v>
          </cell>
          <cell r="V16" t="str">
            <v>Perimeter Building</v>
          </cell>
          <cell r="W16" t="str">
            <v>Units that were rehabilitated and have been painted.  No carpet nor appliances.</v>
          </cell>
        </row>
        <row r="17">
          <cell r="T17" t="str">
            <v>Total Units</v>
          </cell>
          <cell r="U17">
            <v>66</v>
          </cell>
          <cell r="W17" t="str">
            <v>Total:</v>
          </cell>
        </row>
        <row r="18">
          <cell r="T18" t="str">
            <v>Total Units not rehabilitated</v>
          </cell>
          <cell r="U18">
            <v>116</v>
          </cell>
          <cell r="V18" t="str">
            <v>Non Perimeter Bldgs.</v>
          </cell>
          <cell r="W18" t="str">
            <v>All units were occupied.  5 Units are down for storage.</v>
          </cell>
        </row>
        <row r="19">
          <cell r="T19" t="str">
            <v>Total Units this Phase</v>
          </cell>
          <cell r="U19">
            <v>296</v>
          </cell>
        </row>
      </sheetData>
      <sheetData sheetId="4"/>
      <sheetData sheetId="5"/>
      <sheetData sheetId="6"/>
      <sheetData sheetId="7"/>
      <sheetData sheetId="8">
        <row r="111">
          <cell r="A111" t="str">
            <v>CR Building</v>
          </cell>
          <cell r="B111" t="str">
            <v>Type</v>
          </cell>
          <cell r="C111" t="str">
            <v>Units</v>
          </cell>
          <cell r="J111" t="str">
            <v>Bldgs. through</v>
          </cell>
        </row>
        <row r="133">
          <cell r="A133" t="str">
            <v>CAMINO REAL APARTMENTS</v>
          </cell>
        </row>
        <row r="134">
          <cell r="A134" t="str">
            <v>Building Number</v>
          </cell>
          <cell r="C134" t="str">
            <v>A</v>
          </cell>
          <cell r="D134" t="str">
            <v>B</v>
          </cell>
          <cell r="E134" t="str">
            <v>C</v>
          </cell>
          <cell r="F134" t="str">
            <v>D</v>
          </cell>
          <cell r="G134" t="str">
            <v>E</v>
          </cell>
          <cell r="H134" t="str">
            <v>F</v>
          </cell>
          <cell r="I134" t="str">
            <v>Totals</v>
          </cell>
          <cell r="J134">
            <v>35186</v>
          </cell>
        </row>
        <row r="135">
          <cell r="A135">
            <v>1</v>
          </cell>
          <cell r="B135" t="str">
            <v>Clubhouse</v>
          </cell>
        </row>
        <row r="136">
          <cell r="A136">
            <v>2</v>
          </cell>
          <cell r="B136" t="str">
            <v>III</v>
          </cell>
          <cell r="D136">
            <v>12</v>
          </cell>
          <cell r="G136">
            <v>8</v>
          </cell>
          <cell r="I136">
            <v>20</v>
          </cell>
          <cell r="J136">
            <v>20</v>
          </cell>
        </row>
        <row r="137">
          <cell r="A137">
            <v>3</v>
          </cell>
          <cell r="B137" t="str">
            <v>IV</v>
          </cell>
          <cell r="F137">
            <v>24</v>
          </cell>
          <cell r="I137">
            <v>24</v>
          </cell>
          <cell r="J137">
            <v>24</v>
          </cell>
        </row>
        <row r="138">
          <cell r="A138">
            <v>4</v>
          </cell>
          <cell r="B138" t="str">
            <v>IV</v>
          </cell>
          <cell r="F138">
            <v>24</v>
          </cell>
          <cell r="I138">
            <v>24</v>
          </cell>
          <cell r="J138">
            <v>24</v>
          </cell>
        </row>
        <row r="139">
          <cell r="A139">
            <v>5</v>
          </cell>
          <cell r="B139" t="str">
            <v>II</v>
          </cell>
          <cell r="C139">
            <v>12</v>
          </cell>
          <cell r="G139">
            <v>8</v>
          </cell>
          <cell r="I139">
            <v>20</v>
          </cell>
          <cell r="J139">
            <v>20</v>
          </cell>
        </row>
        <row r="140">
          <cell r="A140">
            <v>6</v>
          </cell>
          <cell r="B140" t="str">
            <v>IV</v>
          </cell>
          <cell r="F140">
            <v>24</v>
          </cell>
          <cell r="I140">
            <v>24</v>
          </cell>
          <cell r="J140">
            <v>24</v>
          </cell>
        </row>
        <row r="141">
          <cell r="A141">
            <v>7</v>
          </cell>
          <cell r="B141" t="str">
            <v>VI</v>
          </cell>
          <cell r="D141">
            <v>12</v>
          </cell>
          <cell r="H141">
            <v>8</v>
          </cell>
          <cell r="I141">
            <v>20</v>
          </cell>
          <cell r="J141">
            <v>20</v>
          </cell>
        </row>
        <row r="142">
          <cell r="A142">
            <v>8</v>
          </cell>
          <cell r="B142" t="str">
            <v>I</v>
          </cell>
          <cell r="C142">
            <v>12</v>
          </cell>
          <cell r="E142">
            <v>8</v>
          </cell>
          <cell r="I142">
            <v>20</v>
          </cell>
          <cell r="J142">
            <v>20</v>
          </cell>
        </row>
        <row r="143">
          <cell r="A143">
            <v>9</v>
          </cell>
          <cell r="B143" t="str">
            <v>II</v>
          </cell>
          <cell r="C143">
            <v>12</v>
          </cell>
          <cell r="G143">
            <v>8</v>
          </cell>
          <cell r="I143">
            <v>20</v>
          </cell>
          <cell r="J143">
            <v>20</v>
          </cell>
        </row>
        <row r="144">
          <cell r="A144">
            <v>10</v>
          </cell>
          <cell r="B144" t="str">
            <v>III</v>
          </cell>
          <cell r="D144">
            <v>12</v>
          </cell>
          <cell r="G144">
            <v>8</v>
          </cell>
          <cell r="I144">
            <v>20</v>
          </cell>
          <cell r="J144">
            <v>20</v>
          </cell>
        </row>
        <row r="145">
          <cell r="A145">
            <v>11</v>
          </cell>
          <cell r="B145" t="str">
            <v>V</v>
          </cell>
          <cell r="D145">
            <v>12</v>
          </cell>
          <cell r="H145">
            <v>4</v>
          </cell>
          <cell r="I145">
            <v>16</v>
          </cell>
          <cell r="J145">
            <v>16</v>
          </cell>
        </row>
        <row r="146">
          <cell r="A146">
            <v>12</v>
          </cell>
          <cell r="B146" t="str">
            <v>II</v>
          </cell>
          <cell r="C146">
            <v>12</v>
          </cell>
          <cell r="G146">
            <v>8</v>
          </cell>
          <cell r="I146">
            <v>20</v>
          </cell>
          <cell r="J146">
            <v>20</v>
          </cell>
        </row>
        <row r="147">
          <cell r="A147">
            <v>13</v>
          </cell>
          <cell r="B147" t="str">
            <v>I</v>
          </cell>
          <cell r="C147">
            <v>12</v>
          </cell>
          <cell r="E147">
            <v>8</v>
          </cell>
          <cell r="I147">
            <v>20</v>
          </cell>
          <cell r="J147">
            <v>20</v>
          </cell>
        </row>
        <row r="148">
          <cell r="A148" t="str">
            <v>Totals</v>
          </cell>
          <cell r="C148">
            <v>60</v>
          </cell>
          <cell r="D148">
            <v>48</v>
          </cell>
          <cell r="E148">
            <v>16</v>
          </cell>
          <cell r="F148">
            <v>72</v>
          </cell>
          <cell r="G148">
            <v>40</v>
          </cell>
          <cell r="H148">
            <v>12</v>
          </cell>
          <cell r="I148">
            <v>248</v>
          </cell>
          <cell r="J148">
            <v>248</v>
          </cell>
        </row>
      </sheetData>
      <sheetData sheetId="9" refreshError="1"/>
      <sheetData sheetId="10" refreshError="1"/>
      <sheetData sheetId="11"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an Schedule"/>
      <sheetName val="Loan amortization schedule1"/>
      <sheetName val="HHA Benefits Analysis"/>
      <sheetName val="Benefits Analysis"/>
      <sheetName val="SOURCES and USES of FUNDS"/>
      <sheetName val="P&amp;L"/>
      <sheetName val="Cash Flow + Debt"/>
      <sheetName val="Mixed Rent"/>
      <sheetName val="10 Years Mixed"/>
      <sheetName val="Project"/>
      <sheetName val="Loan Worksheet"/>
      <sheetName val="Amort Schedule "/>
      <sheetName val="Loan Amortization Schedule"/>
    </sheetNames>
    <sheetDataSet>
      <sheetData sheetId="0"/>
      <sheetData sheetId="1" refreshError="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velopment Costs"/>
      <sheetName val="Hard Costs"/>
      <sheetName val="The Bristol Hard Costs"/>
      <sheetName val="Sheet1"/>
      <sheetName val="Sheet2"/>
      <sheetName val="Sheet3"/>
    </sheetNames>
    <sheetDataSet>
      <sheetData sheetId="0" refreshError="1"/>
      <sheetData sheetId="1">
        <row r="1">
          <cell r="AH1" t="str">
            <v>Southwestern Metal Services</v>
          </cell>
          <cell r="AO1" t="str">
            <v>EXHIBIT H</v>
          </cell>
        </row>
        <row r="2">
          <cell r="AH2" t="str">
            <v>DIVISION 5:</v>
          </cell>
          <cell r="AI2" t="str">
            <v>METALS</v>
          </cell>
          <cell r="AK2" t="str">
            <v>Magnolia</v>
          </cell>
          <cell r="AL2" t="str">
            <v>Cypress</v>
          </cell>
          <cell r="AM2" t="str">
            <v>Ranchstone</v>
          </cell>
          <cell r="AO2" t="str">
            <v>PROJECT BUDGET</v>
          </cell>
        </row>
        <row r="3">
          <cell r="AH3">
            <v>5100</v>
          </cell>
          <cell r="AI3" t="str">
            <v>Structural Steel</v>
          </cell>
          <cell r="AK3">
            <v>0</v>
          </cell>
          <cell r="AL3">
            <v>0</v>
          </cell>
          <cell r="AM3">
            <v>0</v>
          </cell>
          <cell r="AO3" t="str">
            <v>THE MAGNOLIA AT VININGS</v>
          </cell>
          <cell r="AQ3" t="str">
            <v>Equity</v>
          </cell>
          <cell r="AR3" t="str">
            <v>Fleet Bank</v>
          </cell>
          <cell r="AT3" t="str">
            <v>Total Revised</v>
          </cell>
        </row>
        <row r="4">
          <cell r="AH4">
            <v>5300</v>
          </cell>
          <cell r="AI4" t="str">
            <v>Metal Decking</v>
          </cell>
          <cell r="AK4">
            <v>0</v>
          </cell>
          <cell r="AL4">
            <v>0</v>
          </cell>
          <cell r="AM4">
            <v>0</v>
          </cell>
          <cell r="AO4" t="str">
            <v>TOTAL DEVELOPMENT COSTS</v>
          </cell>
          <cell r="AR4" t="str">
            <v>Original Schedule</v>
          </cell>
          <cell r="AS4" t="str">
            <v>Revised Schedule</v>
          </cell>
          <cell r="AT4" t="str">
            <v>Budget</v>
          </cell>
        </row>
        <row r="5">
          <cell r="AH5">
            <v>5700</v>
          </cell>
          <cell r="AI5" t="str">
            <v>Metal Pool Fencing</v>
          </cell>
          <cell r="AK5">
            <v>5000</v>
          </cell>
          <cell r="AL5">
            <v>4175</v>
          </cell>
          <cell r="AM5">
            <v>4175</v>
          </cell>
        </row>
        <row r="6">
          <cell r="AH6">
            <v>5701</v>
          </cell>
          <cell r="AI6" t="str">
            <v>Metal Perimeter Fencing</v>
          </cell>
          <cell r="AK6">
            <v>0</v>
          </cell>
          <cell r="AL6">
            <v>46705</v>
          </cell>
          <cell r="AM6">
            <v>35970</v>
          </cell>
          <cell r="AO6">
            <v>91500</v>
          </cell>
          <cell r="AP6" t="str">
            <v>LAND</v>
          </cell>
          <cell r="AQ6">
            <v>3626875</v>
          </cell>
          <cell r="AR6">
            <v>0</v>
          </cell>
          <cell r="AS6">
            <v>0</v>
          </cell>
          <cell r="AT6">
            <v>3626875</v>
          </cell>
        </row>
        <row r="7">
          <cell r="AH7">
            <v>5702</v>
          </cell>
          <cell r="AI7" t="str">
            <v>Metal Site Fencing</v>
          </cell>
          <cell r="AK7">
            <v>0</v>
          </cell>
          <cell r="AL7">
            <v>0</v>
          </cell>
          <cell r="AM7">
            <v>0</v>
          </cell>
        </row>
        <row r="8">
          <cell r="AH8">
            <v>5703</v>
          </cell>
          <cell r="AI8" t="str">
            <v>Metal Hand Rails</v>
          </cell>
          <cell r="AK8">
            <v>0</v>
          </cell>
          <cell r="AL8">
            <v>0</v>
          </cell>
          <cell r="AM8">
            <v>0</v>
          </cell>
          <cell r="AO8">
            <v>91600</v>
          </cell>
          <cell r="AP8" t="str">
            <v>HARD COSTS</v>
          </cell>
        </row>
        <row r="9">
          <cell r="AH9">
            <v>5704</v>
          </cell>
          <cell r="AI9" t="str">
            <v>Metal Guard Rails</v>
          </cell>
          <cell r="AK9">
            <v>0</v>
          </cell>
          <cell r="AL9">
            <v>0</v>
          </cell>
          <cell r="AM9">
            <v>0</v>
          </cell>
          <cell r="AO9">
            <v>91610</v>
          </cell>
          <cell r="AP9" t="str">
            <v>Construction Costs</v>
          </cell>
          <cell r="AQ9">
            <v>246400.77027462423</v>
          </cell>
          <cell r="AR9">
            <v>17215000</v>
          </cell>
          <cell r="AS9">
            <v>17815000.212931328</v>
          </cell>
          <cell r="AT9">
            <v>18061400.483205952</v>
          </cell>
        </row>
        <row r="10">
          <cell r="AH10">
            <v>5710</v>
          </cell>
          <cell r="AI10" t="str">
            <v>Metal Stairs</v>
          </cell>
          <cell r="AK10">
            <v>220745</v>
          </cell>
          <cell r="AL10">
            <v>76062</v>
          </cell>
          <cell r="AM10">
            <v>78144</v>
          </cell>
          <cell r="AO10">
            <v>91620</v>
          </cell>
          <cell r="AP10" t="str">
            <v>General Contractor's Fee</v>
          </cell>
          <cell r="AQ10">
            <v>750000</v>
          </cell>
          <cell r="AR10">
            <v>0</v>
          </cell>
          <cell r="AS10">
            <v>0</v>
          </cell>
          <cell r="AT10">
            <v>750000</v>
          </cell>
        </row>
        <row r="11">
          <cell r="AI11" t="str">
            <v>TOTAL</v>
          </cell>
          <cell r="AK11">
            <v>225745</v>
          </cell>
          <cell r="AL11">
            <v>126942</v>
          </cell>
          <cell r="AM11">
            <v>118289</v>
          </cell>
          <cell r="AP11" t="str">
            <v>Total Hard Costs</v>
          </cell>
          <cell r="AQ11">
            <v>996400.77027462423</v>
          </cell>
          <cell r="AR11">
            <v>17215000</v>
          </cell>
          <cell r="AS11">
            <v>17815000.212931328</v>
          </cell>
          <cell r="AT11">
            <v>18811400.483205952</v>
          </cell>
        </row>
        <row r="13">
          <cell r="AH13" t="str">
            <v>Metal Stairs &amp; Balconies per Unit</v>
          </cell>
          <cell r="AK13">
            <v>551.86249999999995</v>
          </cell>
          <cell r="AL13">
            <v>352.13888888888891</v>
          </cell>
          <cell r="AM13">
            <v>355.2</v>
          </cell>
          <cell r="AO13">
            <v>91700</v>
          </cell>
          <cell r="AP13" t="str">
            <v>SOFT COSTS</v>
          </cell>
        </row>
        <row r="14">
          <cell r="AO14">
            <v>91710</v>
          </cell>
          <cell r="AP14" t="str">
            <v>Architecture</v>
          </cell>
          <cell r="AQ14">
            <v>100000</v>
          </cell>
          <cell r="AR14">
            <v>0</v>
          </cell>
          <cell r="AS14">
            <v>15000</v>
          </cell>
          <cell r="AT14">
            <v>115000</v>
          </cell>
        </row>
        <row r="15">
          <cell r="AK15" t="str">
            <v>BW</v>
          </cell>
          <cell r="AL15" t="str">
            <v>WCV</v>
          </cell>
          <cell r="AM15" t="str">
            <v>CR</v>
          </cell>
          <cell r="AO15">
            <v>91720</v>
          </cell>
          <cell r="AP15" t="str">
            <v>Engineering</v>
          </cell>
          <cell r="AQ15">
            <v>120000</v>
          </cell>
          <cell r="AR15">
            <v>0</v>
          </cell>
          <cell r="AS15">
            <v>0</v>
          </cell>
          <cell r="AT15">
            <v>120000</v>
          </cell>
        </row>
        <row r="16">
          <cell r="AH16" t="str">
            <v>Metal Stairs &amp; Balconies</v>
          </cell>
          <cell r="AK16">
            <v>115660</v>
          </cell>
          <cell r="AL16">
            <v>77232</v>
          </cell>
          <cell r="AM16">
            <v>108530</v>
          </cell>
          <cell r="AO16">
            <v>91730</v>
          </cell>
          <cell r="AP16" t="str">
            <v>Arc. &amp; Eng. Inspection Fees</v>
          </cell>
          <cell r="AQ16">
            <v>0</v>
          </cell>
          <cell r="AR16">
            <v>25000</v>
          </cell>
          <cell r="AS16">
            <v>25000</v>
          </cell>
          <cell r="AT16">
            <v>25000</v>
          </cell>
        </row>
        <row r="17">
          <cell r="AH17" t="str">
            <v>Metal Stairs &amp; Balconies per Unit</v>
          </cell>
          <cell r="AK17">
            <v>314.29347826086956</v>
          </cell>
          <cell r="AL17">
            <v>301.6875</v>
          </cell>
          <cell r="AM17">
            <v>437.62096774193549</v>
          </cell>
          <cell r="AO17">
            <v>91740</v>
          </cell>
          <cell r="AP17" t="str">
            <v>Site Fees (Permit Fees,  Tap &amp; Impact Fees, Plan Check Fees, DOT)</v>
          </cell>
          <cell r="AQ17">
            <v>647924</v>
          </cell>
          <cell r="AR17">
            <v>400000</v>
          </cell>
          <cell r="AS17">
            <v>1585.4000000000233</v>
          </cell>
          <cell r="AT17">
            <v>649510.40000000002</v>
          </cell>
        </row>
        <row r="18">
          <cell r="AO18">
            <v>91750</v>
          </cell>
          <cell r="AP18" t="str">
            <v>Marketing Costs</v>
          </cell>
          <cell r="AQ18">
            <v>0</v>
          </cell>
          <cell r="AR18">
            <v>85000</v>
          </cell>
          <cell r="AS18">
            <v>85000</v>
          </cell>
          <cell r="AT18">
            <v>85000</v>
          </cell>
        </row>
        <row r="19">
          <cell r="AO19">
            <v>91810</v>
          </cell>
          <cell r="AP19" t="str">
            <v>Legal/Accounting</v>
          </cell>
          <cell r="AQ19">
            <v>300000</v>
          </cell>
          <cell r="AR19">
            <v>0</v>
          </cell>
          <cell r="AS19">
            <v>-30000</v>
          </cell>
          <cell r="AT19">
            <v>270000</v>
          </cell>
        </row>
        <row r="20">
          <cell r="AO20">
            <v>91824</v>
          </cell>
          <cell r="AP20" t="str">
            <v>Developer's  Fee</v>
          </cell>
          <cell r="AQ20">
            <v>758000</v>
          </cell>
          <cell r="AR20">
            <v>0</v>
          </cell>
          <cell r="AS20">
            <v>0</v>
          </cell>
          <cell r="AT20">
            <v>758000</v>
          </cell>
        </row>
        <row r="21">
          <cell r="AO21">
            <v>91841</v>
          </cell>
          <cell r="AP21" t="str">
            <v>Appraisal</v>
          </cell>
          <cell r="AQ21">
            <v>7500</v>
          </cell>
          <cell r="AR21">
            <v>0</v>
          </cell>
          <cell r="AS21">
            <v>0</v>
          </cell>
          <cell r="AT21">
            <v>7500</v>
          </cell>
        </row>
        <row r="22">
          <cell r="S22" t="str">
            <v>Magnolia loan balance 28-Nov-95</v>
          </cell>
          <cell r="T22">
            <v>16654227.08</v>
          </cell>
          <cell r="AO22">
            <v>91842</v>
          </cell>
          <cell r="AP22" t="str">
            <v>Title Policy &amp; Closing Costs</v>
          </cell>
          <cell r="AQ22">
            <v>83800</v>
          </cell>
          <cell r="AR22">
            <v>0</v>
          </cell>
          <cell r="AS22">
            <v>0</v>
          </cell>
          <cell r="AT22">
            <v>83800</v>
          </cell>
        </row>
        <row r="23">
          <cell r="S23" t="str">
            <v>Cypress Station loan balance 28-Nov-96</v>
          </cell>
          <cell r="T23">
            <v>4858873.6899999995</v>
          </cell>
          <cell r="AO23">
            <v>91846</v>
          </cell>
          <cell r="AP23" t="str">
            <v>1st Lien Fee &amp; Application</v>
          </cell>
          <cell r="AQ23">
            <v>97500</v>
          </cell>
          <cell r="AR23">
            <v>0</v>
          </cell>
          <cell r="AS23">
            <v>0</v>
          </cell>
          <cell r="AT23">
            <v>97500</v>
          </cell>
        </row>
        <row r="24">
          <cell r="S24" t="str">
            <v>Ranchstone loan balance 28-Nov-97</v>
          </cell>
          <cell r="T24">
            <v>6386154.6500000004</v>
          </cell>
          <cell r="AO24">
            <v>91847</v>
          </cell>
          <cell r="AP24" t="str">
            <v>2nd Lien Fee &amp; Application</v>
          </cell>
          <cell r="AQ24">
            <v>0</v>
          </cell>
          <cell r="AR24">
            <v>0</v>
          </cell>
          <cell r="AS24">
            <v>0</v>
          </cell>
          <cell r="AT24">
            <v>0</v>
          </cell>
        </row>
        <row r="25">
          <cell r="AO25">
            <v>91848</v>
          </cell>
          <cell r="AP25" t="str">
            <v>Mortgage Broker's Fee</v>
          </cell>
          <cell r="AQ25">
            <v>140000</v>
          </cell>
          <cell r="AR25">
            <v>0</v>
          </cell>
          <cell r="AS25">
            <v>0</v>
          </cell>
          <cell r="AT25">
            <v>140000</v>
          </cell>
        </row>
        <row r="26">
          <cell r="A26" t="str">
            <v>THE MAGNOLIA AT VININGS</v>
          </cell>
          <cell r="C26" t="str">
            <v>Equity</v>
          </cell>
          <cell r="D26" t="str">
            <v>Fleet Bank</v>
          </cell>
          <cell r="H26" t="str">
            <v>Total Budget</v>
          </cell>
          <cell r="AO26">
            <v>91852</v>
          </cell>
          <cell r="AP26" t="str">
            <v>Interest Reserve (First Lien only)</v>
          </cell>
          <cell r="AQ26">
            <v>0</v>
          </cell>
          <cell r="AR26">
            <v>1150000</v>
          </cell>
          <cell r="AS26">
            <v>1150000</v>
          </cell>
          <cell r="AT26">
            <v>1150000</v>
          </cell>
        </row>
        <row r="27">
          <cell r="A27" t="str">
            <v>TOTAL DEVELOPMENT COSTS</v>
          </cell>
          <cell r="D27" t="str">
            <v>Original Schedule</v>
          </cell>
          <cell r="G27" t="str">
            <v>Revised Schedule</v>
          </cell>
          <cell r="AO27">
            <v>91854</v>
          </cell>
          <cell r="AP27" t="str">
            <v>Interest Reserve (Second Lien only)</v>
          </cell>
          <cell r="AQ27">
            <v>0</v>
          </cell>
          <cell r="AR27">
            <v>0</v>
          </cell>
          <cell r="AS27">
            <v>0</v>
          </cell>
          <cell r="AT27">
            <v>0</v>
          </cell>
        </row>
        <row r="28">
          <cell r="AO28">
            <v>91862</v>
          </cell>
          <cell r="AP28" t="str">
            <v>Ad-Valorem Taxes</v>
          </cell>
          <cell r="AQ28">
            <v>30000</v>
          </cell>
          <cell r="AR28">
            <v>0</v>
          </cell>
          <cell r="AS28">
            <v>0</v>
          </cell>
          <cell r="AT28">
            <v>30000</v>
          </cell>
        </row>
        <row r="29">
          <cell r="A29">
            <v>91500</v>
          </cell>
          <cell r="B29" t="str">
            <v>LAND</v>
          </cell>
          <cell r="C29">
            <v>3626875</v>
          </cell>
          <cell r="D29">
            <v>0</v>
          </cell>
          <cell r="G29">
            <v>0</v>
          </cell>
          <cell r="H29">
            <v>3626875</v>
          </cell>
          <cell r="AO29">
            <v>91890</v>
          </cell>
          <cell r="AP29" t="str">
            <v>Furnishings/Equipment</v>
          </cell>
          <cell r="AQ29">
            <v>0</v>
          </cell>
          <cell r="AR29">
            <v>75000</v>
          </cell>
          <cell r="AS29">
            <v>175000</v>
          </cell>
          <cell r="AT29">
            <v>175000</v>
          </cell>
        </row>
        <row r="30">
          <cell r="AO30">
            <v>91790</v>
          </cell>
          <cell r="AP30" t="str">
            <v>Contingency</v>
          </cell>
          <cell r="AQ30">
            <v>0</v>
          </cell>
          <cell r="AR30">
            <v>750000</v>
          </cell>
          <cell r="AS30">
            <v>463414.6</v>
          </cell>
          <cell r="AT30">
            <v>463414.6</v>
          </cell>
        </row>
        <row r="31">
          <cell r="A31">
            <v>91600</v>
          </cell>
          <cell r="B31" t="str">
            <v>HARD COSTS</v>
          </cell>
          <cell r="AP31" t="str">
            <v>Total Soft Costs</v>
          </cell>
          <cell r="AQ31">
            <v>2284724</v>
          </cell>
          <cell r="AR31">
            <v>2485000</v>
          </cell>
          <cell r="AS31">
            <v>1885000</v>
          </cell>
          <cell r="AT31">
            <v>4169725</v>
          </cell>
        </row>
        <row r="32">
          <cell r="A32">
            <v>91610</v>
          </cell>
          <cell r="B32" t="str">
            <v>Construction Costs</v>
          </cell>
          <cell r="C32">
            <v>246400.77027462423</v>
          </cell>
          <cell r="D32">
            <v>17215000</v>
          </cell>
          <cell r="G32">
            <v>17815000.303117368</v>
          </cell>
          <cell r="H32">
            <v>18061400.573391993</v>
          </cell>
        </row>
        <row r="33">
          <cell r="A33">
            <v>91620</v>
          </cell>
          <cell r="B33" t="str">
            <v>General Contractor's Fee</v>
          </cell>
          <cell r="C33">
            <v>750000</v>
          </cell>
          <cell r="D33">
            <v>0</v>
          </cell>
          <cell r="G33">
            <v>0</v>
          </cell>
          <cell r="H33">
            <v>750000</v>
          </cell>
          <cell r="AP33" t="str">
            <v>TOTAL PROJECT COSTS</v>
          </cell>
          <cell r="AQ33">
            <v>6907999.7702746242</v>
          </cell>
          <cell r="AR33">
            <v>19700000</v>
          </cell>
          <cell r="AS33">
            <v>19700000.212931328</v>
          </cell>
          <cell r="AT33">
            <v>26608000.483205952</v>
          </cell>
        </row>
        <row r="34">
          <cell r="B34" t="str">
            <v>Total Hard Costs</v>
          </cell>
          <cell r="C34">
            <v>996400.77027462423</v>
          </cell>
          <cell r="D34">
            <v>17215000</v>
          </cell>
          <cell r="E34">
            <v>0</v>
          </cell>
          <cell r="F34">
            <v>0</v>
          </cell>
          <cell r="G34">
            <v>17815000.303117368</v>
          </cell>
          <cell r="H34">
            <v>18811400.573391993</v>
          </cell>
        </row>
        <row r="36">
          <cell r="A36">
            <v>91700</v>
          </cell>
          <cell r="B36" t="str">
            <v>SOFT COSTS</v>
          </cell>
        </row>
        <row r="37">
          <cell r="A37">
            <v>91710</v>
          </cell>
          <cell r="B37" t="str">
            <v>Architecture</v>
          </cell>
          <cell r="C37">
            <v>100000</v>
          </cell>
          <cell r="D37">
            <v>0</v>
          </cell>
          <cell r="G37">
            <v>15000</v>
          </cell>
          <cell r="H37">
            <v>115000</v>
          </cell>
        </row>
        <row r="38">
          <cell r="A38">
            <v>91720</v>
          </cell>
          <cell r="B38" t="str">
            <v>Engineering</v>
          </cell>
          <cell r="C38">
            <v>120000</v>
          </cell>
          <cell r="D38">
            <v>0</v>
          </cell>
          <cell r="G38">
            <v>0</v>
          </cell>
          <cell r="H38">
            <v>120000</v>
          </cell>
        </row>
        <row r="39">
          <cell r="A39">
            <v>91730</v>
          </cell>
          <cell r="B39" t="str">
            <v>Arc. &amp; Eng. Inspection Fees</v>
          </cell>
          <cell r="C39">
            <v>0</v>
          </cell>
          <cell r="D39">
            <v>25000</v>
          </cell>
          <cell r="G39">
            <v>25000</v>
          </cell>
          <cell r="H39">
            <v>25000</v>
          </cell>
        </row>
        <row r="40">
          <cell r="A40">
            <v>91740</v>
          </cell>
          <cell r="B40" t="str">
            <v>Site Fees (Permit Fees,  Tap &amp; Impact Fees, Plan Check Fees, DOT)</v>
          </cell>
          <cell r="C40">
            <v>647924</v>
          </cell>
          <cell r="D40">
            <v>400000</v>
          </cell>
          <cell r="G40">
            <v>1585.4000000000233</v>
          </cell>
          <cell r="H40">
            <v>649510.40000000002</v>
          </cell>
        </row>
        <row r="41">
          <cell r="A41">
            <v>91750</v>
          </cell>
          <cell r="B41" t="str">
            <v>Marketing Costs</v>
          </cell>
          <cell r="C41">
            <v>0</v>
          </cell>
          <cell r="D41">
            <v>85000</v>
          </cell>
          <cell r="G41">
            <v>85000</v>
          </cell>
          <cell r="H41">
            <v>85000</v>
          </cell>
        </row>
        <row r="42">
          <cell r="A42">
            <v>91810</v>
          </cell>
          <cell r="B42" t="str">
            <v>Legal/Accounting</v>
          </cell>
          <cell r="C42">
            <v>300000</v>
          </cell>
          <cell r="D42">
            <v>0</v>
          </cell>
          <cell r="G42">
            <v>-30000</v>
          </cell>
          <cell r="H42">
            <v>270000</v>
          </cell>
        </row>
        <row r="43">
          <cell r="A43">
            <v>91824</v>
          </cell>
          <cell r="B43" t="str">
            <v>Developer's  Fee</v>
          </cell>
          <cell r="C43">
            <v>758000</v>
          </cell>
          <cell r="D43">
            <v>0</v>
          </cell>
          <cell r="G43">
            <v>0</v>
          </cell>
          <cell r="H43">
            <v>758000</v>
          </cell>
        </row>
        <row r="44">
          <cell r="A44">
            <v>91841</v>
          </cell>
          <cell r="B44" t="str">
            <v>Appraisal</v>
          </cell>
          <cell r="C44">
            <v>7500</v>
          </cell>
          <cell r="D44">
            <v>0</v>
          </cell>
          <cell r="G44">
            <v>0</v>
          </cell>
          <cell r="H44">
            <v>7500</v>
          </cell>
        </row>
        <row r="45">
          <cell r="A45">
            <v>91842</v>
          </cell>
          <cell r="B45" t="str">
            <v>Title Policy &amp; Closing Costs</v>
          </cell>
          <cell r="C45">
            <v>83800</v>
          </cell>
          <cell r="D45">
            <v>0</v>
          </cell>
          <cell r="G45">
            <v>0</v>
          </cell>
          <cell r="H45">
            <v>83800</v>
          </cell>
        </row>
        <row r="46">
          <cell r="A46">
            <v>91846</v>
          </cell>
          <cell r="B46" t="str">
            <v>1st Lien Fee &amp; Application</v>
          </cell>
          <cell r="C46">
            <v>97500</v>
          </cell>
          <cell r="D46">
            <v>0</v>
          </cell>
          <cell r="G46">
            <v>0</v>
          </cell>
          <cell r="H46">
            <v>97500</v>
          </cell>
        </row>
        <row r="47">
          <cell r="A47">
            <v>91847</v>
          </cell>
          <cell r="B47" t="str">
            <v>2nd Lien Fee &amp; Application</v>
          </cell>
          <cell r="C47">
            <v>0</v>
          </cell>
          <cell r="D47">
            <v>0</v>
          </cell>
          <cell r="G47">
            <v>0</v>
          </cell>
          <cell r="H47">
            <v>0</v>
          </cell>
        </row>
        <row r="48">
          <cell r="A48">
            <v>91848</v>
          </cell>
          <cell r="B48" t="str">
            <v>Mortgage Broker's Fee</v>
          </cell>
          <cell r="C48">
            <v>140000</v>
          </cell>
          <cell r="D48">
            <v>0</v>
          </cell>
          <cell r="G48">
            <v>0</v>
          </cell>
          <cell r="H48">
            <v>140000</v>
          </cell>
        </row>
        <row r="49">
          <cell r="A49">
            <v>91852</v>
          </cell>
          <cell r="B49" t="str">
            <v>Interest Reserve (First Lien only)</v>
          </cell>
          <cell r="C49">
            <v>0</v>
          </cell>
          <cell r="D49">
            <v>1150000</v>
          </cell>
          <cell r="G49">
            <v>1150000</v>
          </cell>
          <cell r="H49">
            <v>1150000</v>
          </cell>
        </row>
        <row r="50">
          <cell r="A50">
            <v>91854</v>
          </cell>
          <cell r="B50" t="str">
            <v>Interest Reserve (Second Lien only)</v>
          </cell>
          <cell r="C50">
            <v>0</v>
          </cell>
          <cell r="D50">
            <v>0</v>
          </cell>
          <cell r="G50">
            <v>0</v>
          </cell>
          <cell r="H50">
            <v>0</v>
          </cell>
        </row>
        <row r="51">
          <cell r="A51">
            <v>91862</v>
          </cell>
          <cell r="B51" t="str">
            <v>Ad-Valorem Taxes</v>
          </cell>
          <cell r="C51">
            <v>30000</v>
          </cell>
          <cell r="D51">
            <v>0</v>
          </cell>
          <cell r="G51">
            <v>0</v>
          </cell>
          <cell r="H51">
            <v>30000</v>
          </cell>
        </row>
        <row r="52">
          <cell r="A52">
            <v>91890</v>
          </cell>
          <cell r="B52" t="str">
            <v>Furnishings/Equipment</v>
          </cell>
          <cell r="C52">
            <v>0</v>
          </cell>
          <cell r="D52">
            <v>75000</v>
          </cell>
          <cell r="G52">
            <v>175000</v>
          </cell>
          <cell r="H52">
            <v>175000</v>
          </cell>
        </row>
        <row r="53">
          <cell r="A53">
            <v>91790</v>
          </cell>
          <cell r="B53" t="str">
            <v>Contingency</v>
          </cell>
          <cell r="C53">
            <v>0</v>
          </cell>
          <cell r="D53">
            <v>750000</v>
          </cell>
          <cell r="G53">
            <v>463414.60000000009</v>
          </cell>
          <cell r="H53">
            <v>463414.60000000009</v>
          </cell>
        </row>
        <row r="54">
          <cell r="B54" t="str">
            <v>Total Soft Costs</v>
          </cell>
          <cell r="C54">
            <v>2284724</v>
          </cell>
          <cell r="D54">
            <v>2485000</v>
          </cell>
          <cell r="E54">
            <v>0</v>
          </cell>
          <cell r="F54">
            <v>0</v>
          </cell>
          <cell r="G54">
            <v>1885000</v>
          </cell>
          <cell r="H54">
            <v>4169725</v>
          </cell>
        </row>
        <row r="56">
          <cell r="B56" t="str">
            <v>TOTAL PROJECT COSTS</v>
          </cell>
          <cell r="C56">
            <v>6907999.7702746242</v>
          </cell>
          <cell r="D56">
            <v>19700000</v>
          </cell>
          <cell r="G56">
            <v>19700000.303117368</v>
          </cell>
          <cell r="H56">
            <v>26608000.573391993</v>
          </cell>
        </row>
        <row r="213">
          <cell r="T213" t="str">
            <v>Omega Drywall</v>
          </cell>
        </row>
        <row r="214">
          <cell r="T214" t="str">
            <v>Code</v>
          </cell>
          <cell r="V214" t="str">
            <v>Ranchstone</v>
          </cell>
          <cell r="W214" t="str">
            <v>Cypress</v>
          </cell>
          <cell r="X214" t="str">
            <v>Magnolia</v>
          </cell>
          <cell r="Y214" t="str">
            <v>Totals</v>
          </cell>
        </row>
        <row r="215">
          <cell r="T215">
            <v>9250</v>
          </cell>
          <cell r="U215" t="str">
            <v>Drywall</v>
          </cell>
          <cell r="V215">
            <v>514300</v>
          </cell>
          <cell r="W215">
            <v>505000</v>
          </cell>
          <cell r="X215">
            <v>1100000</v>
          </cell>
          <cell r="Y215">
            <v>2119300</v>
          </cell>
        </row>
        <row r="216">
          <cell r="T216">
            <v>9900</v>
          </cell>
          <cell r="U216" t="str">
            <v>Painting</v>
          </cell>
          <cell r="V216">
            <v>152500</v>
          </cell>
          <cell r="W216">
            <v>150000</v>
          </cell>
          <cell r="X216">
            <v>448800</v>
          </cell>
          <cell r="Y216">
            <v>751300</v>
          </cell>
        </row>
        <row r="217">
          <cell r="U217" t="str">
            <v>Totals</v>
          </cell>
          <cell r="V217">
            <v>666800</v>
          </cell>
          <cell r="W217">
            <v>655000</v>
          </cell>
          <cell r="X217">
            <v>1548800</v>
          </cell>
          <cell r="Y217">
            <v>2870600</v>
          </cell>
        </row>
        <row r="228">
          <cell r="T228" t="str">
            <v>Tile Magnolia</v>
          </cell>
          <cell r="V228" t="str">
            <v>Budget</v>
          </cell>
          <cell r="W228" t="str">
            <v>Lyn-Tile</v>
          </cell>
          <cell r="X228" t="str">
            <v>Ceramic Surfaces</v>
          </cell>
          <cell r="Y228" t="str">
            <v>KV Tile</v>
          </cell>
        </row>
        <row r="229">
          <cell r="T229">
            <v>9301</v>
          </cell>
          <cell r="U229" t="str">
            <v>Ceramic Tile @ Tubs</v>
          </cell>
          <cell r="V229">
            <v>120000</v>
          </cell>
          <cell r="W229">
            <v>107960</v>
          </cell>
          <cell r="X229">
            <v>131673.30000000002</v>
          </cell>
          <cell r="Y229">
            <v>145340</v>
          </cell>
        </row>
        <row r="230">
          <cell r="T230">
            <v>9550</v>
          </cell>
          <cell r="U230" t="str">
            <v>Ceramic Tile Flooring</v>
          </cell>
          <cell r="V230">
            <v>26000</v>
          </cell>
          <cell r="W230">
            <v>50140</v>
          </cell>
          <cell r="X230">
            <v>49800.020000000004</v>
          </cell>
          <cell r="Y230">
            <v>49950</v>
          </cell>
        </row>
        <row r="231">
          <cell r="U231" t="str">
            <v>Sub-Totals</v>
          </cell>
          <cell r="V231">
            <v>146000</v>
          </cell>
          <cell r="W231">
            <v>158100</v>
          </cell>
          <cell r="X231">
            <v>181473.32</v>
          </cell>
          <cell r="Y231">
            <v>195290</v>
          </cell>
        </row>
        <row r="233">
          <cell r="U233" t="str">
            <v>Clubhouse</v>
          </cell>
          <cell r="V233">
            <v>10000</v>
          </cell>
          <cell r="W233">
            <v>9200</v>
          </cell>
          <cell r="X233">
            <v>15809.15</v>
          </cell>
          <cell r="Y233">
            <v>12200</v>
          </cell>
        </row>
        <row r="234">
          <cell r="U234" t="str">
            <v>Totals</v>
          </cell>
          <cell r="V234">
            <v>156000</v>
          </cell>
          <cell r="W234">
            <v>167300</v>
          </cell>
          <cell r="X234">
            <v>197282.47</v>
          </cell>
          <cell r="Y234">
            <v>207490</v>
          </cell>
        </row>
        <row r="238">
          <cell r="T238" t="str">
            <v>Tile Magnolia</v>
          </cell>
          <cell r="U238" t="str">
            <v>WCV</v>
          </cell>
          <cell r="V238" t="str">
            <v>CYPRESS</v>
          </cell>
          <cell r="W238" t="str">
            <v>RANCHSTONE</v>
          </cell>
        </row>
        <row r="240">
          <cell r="T240" t="str">
            <v>Bathrooms</v>
          </cell>
          <cell r="U240">
            <v>287.68</v>
          </cell>
          <cell r="V240">
            <v>243.06</v>
          </cell>
          <cell r="W240">
            <v>235.45</v>
          </cell>
        </row>
        <row r="242">
          <cell r="T242" t="str">
            <v>Entries</v>
          </cell>
          <cell r="U242">
            <v>48.26</v>
          </cell>
          <cell r="V242">
            <v>64.81</v>
          </cell>
          <cell r="W242">
            <v>71.36363636363636</v>
          </cell>
        </row>
        <row r="298">
          <cell r="N298" t="str">
            <v>Leedo</v>
          </cell>
          <cell r="O298" t="str">
            <v>Cabinets/Unist</v>
          </cell>
          <cell r="P298" t="str">
            <v>Installation</v>
          </cell>
        </row>
        <row r="299">
          <cell r="N299" t="str">
            <v>Magnolia</v>
          </cell>
          <cell r="O299">
            <v>947.5</v>
          </cell>
          <cell r="P299">
            <v>0</v>
          </cell>
        </row>
        <row r="300">
          <cell r="N300" t="str">
            <v>Cypres</v>
          </cell>
          <cell r="O300">
            <v>1180.2800925925926</v>
          </cell>
          <cell r="P300">
            <v>-232.78009259259261</v>
          </cell>
        </row>
        <row r="301">
          <cell r="N301" t="str">
            <v>Ranchstone</v>
          </cell>
          <cell r="O301">
            <v>1153.2772727272727</v>
          </cell>
          <cell r="P301">
            <v>-205.7772727272727</v>
          </cell>
        </row>
      </sheetData>
      <sheetData sheetId="2"/>
      <sheetData sheetId="3"/>
      <sheetData sheetId="4"/>
      <sheetData sheetId="5"/>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nit Mix"/>
      <sheetName val="Total Development Costs"/>
      <sheetName val="Reedville Hard Costs"/>
      <sheetName val="Financial Projections"/>
      <sheetName val="IRR Scenario I"/>
      <sheetName val="IRR Scenario II"/>
      <sheetName val="Draw Schedule"/>
      <sheetName val="Expenses"/>
      <sheetName val="PPM Proposal"/>
      <sheetName val="IRR Scenario PPM Model"/>
      <sheetName val="DA's Financial Projections"/>
      <sheetName val="DA's Draw Schedule"/>
      <sheetName val="DA's IRR Scenario PPM Model"/>
      <sheetName val="DA's IRR Scenario NML Model"/>
      <sheetName val="A"/>
      <sheetName val="B"/>
      <sheetName val="C"/>
      <sheetName val="Sheet1"/>
      <sheetName val="Sheet2"/>
      <sheetName val="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HA Benefits Analysis"/>
      <sheetName val="Benefits Analysis"/>
      <sheetName val="SOURCES and USES of FUNDS"/>
      <sheetName val="P&amp;L"/>
      <sheetName val="Cash Flow + Debt"/>
      <sheetName val="Mixed Rent"/>
      <sheetName val="10 Years Mixed"/>
      <sheetName val="Project"/>
      <sheetName val="Loan Worksheet"/>
      <sheetName val="Amort Schedule "/>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3">
          <cell r="E3">
            <v>52480000</v>
          </cell>
          <cell r="I3">
            <v>225525.91608185033</v>
          </cell>
        </row>
        <row r="4">
          <cell r="E4">
            <v>3.15E-2</v>
          </cell>
          <cell r="I4">
            <v>360</v>
          </cell>
        </row>
        <row r="5">
          <cell r="E5">
            <v>30</v>
          </cell>
        </row>
        <row r="6">
          <cell r="E6">
            <v>12</v>
          </cell>
        </row>
        <row r="7">
          <cell r="E7">
            <v>44440</v>
          </cell>
        </row>
        <row r="9">
          <cell r="E9">
            <v>100</v>
          </cell>
        </row>
      </sheetData>
      <sheetData sheetId="9"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inal Presentation to JOQ -1998"/>
      <sheetName val="Final Presentation JOQ - 2001"/>
      <sheetName val="31-Dec-96"/>
      <sheetName val="6-Jun-97"/>
      <sheetName val="Valuation Magnolia 30-May-98"/>
      <sheetName val="Valuation Magnolia 31-Dec-01"/>
      <sheetName val="Potential Loan"/>
      <sheetName val="Potential Loan (2)"/>
      <sheetName val="Loan Amortixation"/>
      <sheetName val="Historical Performance"/>
      <sheetName val="MAG-BUD"/>
      <sheetName val="Magnolia Vinings (2)"/>
      <sheetName val="Magnolia Vinings (1)"/>
      <sheetName val="Valuation Magnolia 30-Dec-97"/>
      <sheetName val="Valuation Magnolia 1-Mar-98"/>
      <sheetName val="Magnolia Vinings"/>
      <sheetName val="Valuation Magnolia 31-Jul-97"/>
      <sheetName val="Valuation Magnolia 31-Jul-9 (2)"/>
      <sheetName val="Unit Mix"/>
      <sheetName val="Magnolia Sale to Shelter"/>
      <sheetName val="2nd Loan Amortization"/>
      <sheetName val="31-Dec-97"/>
      <sheetName val="31-Mar-98"/>
      <sheetName val="Shelter Group Analysis"/>
      <sheetName val="Loan Amortization for The Shelt"/>
      <sheetName val="Sheet1"/>
      <sheetName val="Original Underwriting 31-Dec-97"/>
      <sheetName val="Final Underwriting 30-Jun-98"/>
      <sheetName val="Earn out"/>
      <sheetName val="EO MVA July 98 "/>
    </sheetNames>
    <sheetDataSet>
      <sheetData sheetId="0"/>
      <sheetData sheetId="1"/>
      <sheetData sheetId="2"/>
      <sheetData sheetId="3"/>
      <sheetData sheetId="4"/>
      <sheetData sheetId="5"/>
      <sheetData sheetId="6"/>
      <sheetData sheetId="7"/>
      <sheetData sheetId="8"/>
      <sheetData sheetId="9"/>
      <sheetData sheetId="10"/>
      <sheetData sheetId="11">
        <row r="13">
          <cell r="AB13" t="str">
            <v>Framing Mat</v>
          </cell>
          <cell r="AC13" t="str">
            <v>Per Unit</v>
          </cell>
          <cell r="AD13" t="str">
            <v>Per ft²</v>
          </cell>
        </row>
        <row r="14">
          <cell r="AA14" t="str">
            <v>Magnolia</v>
          </cell>
          <cell r="AB14">
            <v>1475078</v>
          </cell>
          <cell r="AC14">
            <v>3687.6950000000002</v>
          </cell>
          <cell r="AD14">
            <v>3.8144886011005834</v>
          </cell>
        </row>
        <row r="15">
          <cell r="AA15" t="str">
            <v>Cypress Lake</v>
          </cell>
          <cell r="AB15">
            <v>685231.59</v>
          </cell>
          <cell r="AC15">
            <v>3172.368472222222</v>
          </cell>
          <cell r="AD15">
            <v>3.5409557349263108</v>
          </cell>
        </row>
        <row r="16">
          <cell r="AA16" t="str">
            <v>Ranchstone</v>
          </cell>
          <cell r="AB16">
            <v>700515.05</v>
          </cell>
          <cell r="AC16">
            <v>3184.1593181818184</v>
          </cell>
          <cell r="AD16">
            <v>3.6279574598110709</v>
          </cell>
        </row>
        <row r="18">
          <cell r="AA18" t="str">
            <v>Bentley Wynde*</v>
          </cell>
          <cell r="AB18">
            <v>1453882</v>
          </cell>
          <cell r="AC18">
            <v>3950.766304347826</v>
          </cell>
          <cell r="AD18">
            <v>4.3043295477422641</v>
          </cell>
        </row>
        <row r="19">
          <cell r="AA19" t="str">
            <v>WCV</v>
          </cell>
          <cell r="AB19">
            <v>777847.07</v>
          </cell>
          <cell r="AC19">
            <v>3038.4651171874998</v>
          </cell>
          <cell r="AD19">
            <v>3.4615288458115274</v>
          </cell>
        </row>
        <row r="20">
          <cell r="AA20" t="str">
            <v>Camino</v>
          </cell>
          <cell r="AB20">
            <v>704532</v>
          </cell>
          <cell r="AC20">
            <v>2840.8548387096776</v>
          </cell>
          <cell r="AD20">
            <v>2.9082368092993303</v>
          </cell>
        </row>
        <row r="21">
          <cell r="AA21" t="str">
            <v>* includes Garages</v>
          </cell>
        </row>
      </sheetData>
      <sheetData sheetId="12"/>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sheetData sheetId="22"/>
      <sheetData sheetId="23" refreshError="1"/>
      <sheetData sheetId="24" refreshError="1"/>
      <sheetData sheetId="25" refreshError="1"/>
      <sheetData sheetId="26" refreshError="1"/>
      <sheetData sheetId="27" refreshError="1"/>
      <sheetData sheetId="28" refreshError="1"/>
      <sheetData sheetId="29"/>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Greenridge Park"/>
      <sheetName val="Greenridge Park Apartments"/>
      <sheetName val="Northborough Station"/>
      <sheetName val="Northborough Station Apartments"/>
      <sheetName val="The Forum"/>
      <sheetName val="The Forum Apartments"/>
      <sheetName val="Northwest Pines"/>
      <sheetName val="Northwest Pines Apartments"/>
      <sheetName val="Rockport "/>
      <sheetName val="Rockport Apartments (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ECC Comparison"/>
      <sheetName val="Northborough Station Unit Mix"/>
      <sheetName val="Total Acquisition and Rehab "/>
      <sheetName val="Original Summary of Hard Costs"/>
      <sheetName val="Historical Performance"/>
      <sheetName val="DCFM"/>
      <sheetName val="Budgets 1997 "/>
      <sheetName val="Comparisons "/>
      <sheetName val="Comparisons  (2)"/>
      <sheetName val="Heller's Information"/>
      <sheetName val="Northborough Station"/>
      <sheetName val="Assumptions"/>
      <sheetName val="Draw Schedule"/>
      <sheetName val="Cost"/>
      <sheetName val="unit mix"/>
      <sheetName val="Summary"/>
      <sheetName val="proforma"/>
      <sheetName val="Loan Amort."/>
      <sheetName val="Spread"/>
      <sheetName val="loan analysis"/>
      <sheetName val="expenses"/>
      <sheetName val="Expenses Forecast"/>
      <sheetName val="LEASE AUDIT"/>
      <sheetName val="Revised Summary of Hard Costs"/>
      <sheetName val="Judson's Worksheet"/>
      <sheetName val="1996 Performance"/>
      <sheetName val="Cash Flow 1997"/>
      <sheetName val="Cashflow"/>
      <sheetName val="Market Rent"/>
    </sheetNames>
    <sheetDataSet>
      <sheetData sheetId="0" refreshError="1"/>
      <sheetData sheetId="1" refreshError="1"/>
      <sheetData sheetId="2" refreshError="1"/>
      <sheetData sheetId="3"/>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1">
          <cell r="A1" t="str">
            <v>Property:</v>
          </cell>
          <cell r="C1" t="str">
            <v>NORTHBOROUGH STATION APARTMENTS</v>
          </cell>
        </row>
        <row r="2">
          <cell r="A2" t="str">
            <v>Address:</v>
          </cell>
          <cell r="C2" t="str">
            <v>10615 Beechnut</v>
          </cell>
        </row>
        <row r="3">
          <cell r="A3" t="str">
            <v>City, State:</v>
          </cell>
          <cell r="C3" t="str">
            <v>HOUSTON, TEXAS</v>
          </cell>
        </row>
        <row r="4">
          <cell r="A4" t="str">
            <v>Number of Units:</v>
          </cell>
          <cell r="C4">
            <v>300</v>
          </cell>
        </row>
        <row r="5">
          <cell r="A5" t="str">
            <v>Square Footage:</v>
          </cell>
          <cell r="C5">
            <v>235516</v>
          </cell>
        </row>
        <row r="6">
          <cell r="A6" t="str">
            <v>Average:</v>
          </cell>
          <cell r="C6">
            <v>785.05333333333328</v>
          </cell>
        </row>
        <row r="8">
          <cell r="A8" t="str">
            <v>UNIT MIX / RENT SCHEDULE</v>
          </cell>
        </row>
        <row r="10">
          <cell r="C10" t="str">
            <v>Number</v>
          </cell>
          <cell r="D10" t="str">
            <v>% of</v>
          </cell>
          <cell r="F10" t="str">
            <v>Total</v>
          </cell>
          <cell r="G10" t="str">
            <v>Monthly</v>
          </cell>
          <cell r="H10" t="str">
            <v>Monthly</v>
          </cell>
        </row>
        <row r="11">
          <cell r="A11" t="str">
            <v>Unit</v>
          </cell>
          <cell r="B11" t="str">
            <v>Type</v>
          </cell>
          <cell r="C11" t="str">
            <v>of Units</v>
          </cell>
          <cell r="D11" t="str">
            <v>Total</v>
          </cell>
          <cell r="E11" t="str">
            <v>Square Feet</v>
          </cell>
          <cell r="F11" t="str">
            <v>Square Feet</v>
          </cell>
          <cell r="G11" t="str">
            <v>Rent</v>
          </cell>
          <cell r="H11" t="str">
            <v>Rent PSF</v>
          </cell>
        </row>
        <row r="12">
          <cell r="A12" t="str">
            <v>E</v>
          </cell>
          <cell r="B12" t="str">
            <v>EFF</v>
          </cell>
          <cell r="C12">
            <v>52</v>
          </cell>
          <cell r="D12">
            <v>0.17333333333333334</v>
          </cell>
          <cell r="E12">
            <v>519</v>
          </cell>
          <cell r="F12">
            <v>26988</v>
          </cell>
          <cell r="G12">
            <v>315</v>
          </cell>
          <cell r="H12">
            <v>0.60693641618497107</v>
          </cell>
        </row>
        <row r="13">
          <cell r="A13" t="str">
            <v>A</v>
          </cell>
          <cell r="B13" t="str">
            <v>1-1</v>
          </cell>
          <cell r="C13">
            <v>40</v>
          </cell>
          <cell r="D13">
            <v>0.13333333333333333</v>
          </cell>
          <cell r="E13">
            <v>682</v>
          </cell>
          <cell r="F13">
            <v>27280</v>
          </cell>
          <cell r="G13">
            <v>345</v>
          </cell>
          <cell r="H13">
            <v>0.50586510263929618</v>
          </cell>
        </row>
        <row r="14">
          <cell r="A14" t="str">
            <v>AW</v>
          </cell>
          <cell r="B14" t="str">
            <v>1-1</v>
          </cell>
          <cell r="C14">
            <v>40</v>
          </cell>
          <cell r="D14">
            <v>0.13333333333333333</v>
          </cell>
          <cell r="E14">
            <v>682</v>
          </cell>
          <cell r="F14">
            <v>27280</v>
          </cell>
          <cell r="G14">
            <v>355</v>
          </cell>
          <cell r="H14">
            <v>0.52052785923753664</v>
          </cell>
        </row>
        <row r="15">
          <cell r="A15" t="str">
            <v>B</v>
          </cell>
          <cell r="B15" t="str">
            <v>1-1</v>
          </cell>
          <cell r="C15">
            <v>20</v>
          </cell>
          <cell r="D15">
            <v>6.6666666666666666E-2</v>
          </cell>
          <cell r="E15">
            <v>846</v>
          </cell>
          <cell r="F15">
            <v>16920</v>
          </cell>
          <cell r="G15">
            <v>435</v>
          </cell>
          <cell r="H15">
            <v>0.51418439716312059</v>
          </cell>
        </row>
        <row r="16">
          <cell r="A16" t="str">
            <v>BW</v>
          </cell>
          <cell r="B16" t="str">
            <v>1-1</v>
          </cell>
          <cell r="C16">
            <v>20</v>
          </cell>
          <cell r="D16">
            <v>6.6666666666666666E-2</v>
          </cell>
          <cell r="E16">
            <v>846</v>
          </cell>
          <cell r="F16">
            <v>16920</v>
          </cell>
          <cell r="G16">
            <v>445</v>
          </cell>
          <cell r="H16">
            <v>0.52600472813238774</v>
          </cell>
        </row>
        <row r="17">
          <cell r="A17" t="str">
            <v>C</v>
          </cell>
          <cell r="B17" t="str">
            <v>2-1</v>
          </cell>
          <cell r="C17">
            <v>64</v>
          </cell>
          <cell r="D17">
            <v>0.21333333333333335</v>
          </cell>
          <cell r="E17">
            <v>880</v>
          </cell>
          <cell r="F17">
            <v>56320</v>
          </cell>
          <cell r="G17">
            <v>465</v>
          </cell>
          <cell r="H17">
            <v>0.52840909090909094</v>
          </cell>
        </row>
        <row r="18">
          <cell r="A18" t="str">
            <v>E</v>
          </cell>
          <cell r="B18" t="str">
            <v>2-2</v>
          </cell>
          <cell r="C18">
            <v>32</v>
          </cell>
          <cell r="D18">
            <v>0.10666666666666667</v>
          </cell>
          <cell r="E18">
            <v>975</v>
          </cell>
          <cell r="F18">
            <v>31200</v>
          </cell>
          <cell r="G18">
            <v>485</v>
          </cell>
          <cell r="H18">
            <v>0.49743589743589745</v>
          </cell>
        </row>
        <row r="19">
          <cell r="A19" t="str">
            <v>G</v>
          </cell>
          <cell r="B19" t="str">
            <v>2-2</v>
          </cell>
          <cell r="C19">
            <v>32</v>
          </cell>
          <cell r="D19">
            <v>0.10666666666666667</v>
          </cell>
          <cell r="E19">
            <v>1019</v>
          </cell>
          <cell r="F19">
            <v>32608</v>
          </cell>
          <cell r="G19">
            <v>505</v>
          </cell>
          <cell r="H19">
            <v>0.49558390578999018</v>
          </cell>
        </row>
        <row r="20">
          <cell r="B20" t="str">
            <v>Totals/Averages</v>
          </cell>
          <cell r="C20">
            <v>300</v>
          </cell>
          <cell r="D20">
            <v>1</v>
          </cell>
          <cell r="E20">
            <v>785.05333333333328</v>
          </cell>
          <cell r="F20">
            <v>235516</v>
          </cell>
          <cell r="G20">
            <v>411.40000000000003</v>
          </cell>
          <cell r="H20">
            <v>0.52404082949778352</v>
          </cell>
        </row>
        <row r="21">
          <cell r="G21" t="str">
            <v>Monthly</v>
          </cell>
        </row>
      </sheetData>
      <sheetData sheetId="15" refreshError="1"/>
      <sheetData sheetId="16" refreshError="1">
        <row r="1">
          <cell r="B1" t="str">
            <v>PROFORMA - LIHTC</v>
          </cell>
          <cell r="C1"/>
          <cell r="D1"/>
          <cell r="E1" t="str">
            <v>Updated:</v>
          </cell>
          <cell r="F1"/>
          <cell r="G1"/>
          <cell r="H1"/>
          <cell r="I1"/>
          <cell r="J1">
            <v>43851</v>
          </cell>
          <cell r="K1" t="str">
            <v>By:</v>
          </cell>
        </row>
        <row r="2">
          <cell r="B2" t="str">
            <v>Project name</v>
          </cell>
          <cell r="C2" t="str">
            <v>Fulton</v>
          </cell>
          <cell r="D2"/>
          <cell r="E2" t="str">
            <v>Address</v>
          </cell>
          <cell r="F2"/>
          <cell r="G2"/>
          <cell r="H2"/>
          <cell r="I2"/>
          <cell r="J2" t="str">
            <v>5007 Fulton Street, Houston, TX 77009</v>
          </cell>
          <cell r="K2"/>
        </row>
        <row r="3">
          <cell r="B3" t="str">
            <v>City / County</v>
          </cell>
          <cell r="C3" t="str">
            <v>Houston</v>
          </cell>
          <cell r="D3" t="str">
            <v>Harris</v>
          </cell>
          <cell r="E3" t="str">
            <v>Region</v>
          </cell>
          <cell r="F3"/>
          <cell r="G3"/>
          <cell r="H3"/>
          <cell r="I3"/>
          <cell r="J3">
            <v>6</v>
          </cell>
          <cell r="K3" t="str">
            <v>3 Yr LIBOR</v>
          </cell>
        </row>
        <row r="4">
          <cell r="B4" t="str">
            <v>Type of Credits</v>
          </cell>
          <cell r="C4">
            <v>0.04</v>
          </cell>
          <cell r="D4"/>
          <cell r="E4" t="str">
            <v>Type</v>
          </cell>
          <cell r="F4"/>
          <cell r="G4"/>
          <cell r="H4"/>
          <cell r="I4"/>
          <cell r="J4" t="str">
            <v>General</v>
          </cell>
          <cell r="K4" t="str">
            <v>18 Yr LIBOR</v>
          </cell>
        </row>
        <row r="5">
          <cell r="B5" t="str">
            <v>Set Aside</v>
          </cell>
          <cell r="C5" t="str">
            <v>n/a</v>
          </cell>
          <cell r="D5"/>
          <cell r="E5" t="str">
            <v>Land Acreage</v>
          </cell>
          <cell r="F5"/>
          <cell r="G5"/>
          <cell r="H5"/>
          <cell r="I5"/>
          <cell r="J5">
            <v>1.59</v>
          </cell>
          <cell r="K5" t="str">
            <v>Const. Per.</v>
          </cell>
        </row>
        <row r="6">
          <cell r="B6" t="str">
            <v>30% Boost</v>
          </cell>
          <cell r="C6" t="str">
            <v>no</v>
          </cell>
          <cell r="D6"/>
          <cell r="E6" t="str">
            <v>Project Type</v>
          </cell>
          <cell r="F6"/>
          <cell r="G6"/>
          <cell r="H6"/>
          <cell r="I6"/>
          <cell r="J6" t="str">
            <v>New Const.</v>
          </cell>
          <cell r="K6" t="str">
            <v>Lease-up+stab</v>
          </cell>
        </row>
        <row r="7">
          <cell r="B7" t="str">
            <v>Occupied Units</v>
          </cell>
          <cell r="C7"/>
          <cell r="D7"/>
          <cell r="E7">
            <v>241</v>
          </cell>
          <cell r="F7" t="str">
            <v>@</v>
          </cell>
          <cell r="G7">
            <v>440.19800000000004</v>
          </cell>
          <cell r="H7" t="str">
            <v xml:space="preserve">/Unit; </v>
          </cell>
          <cell r="I7">
            <v>0.56072368756262847</v>
          </cell>
          <cell r="J7" t="str">
            <v>PSF/MO</v>
          </cell>
          <cell r="K7">
            <v>1584712.8</v>
          </cell>
        </row>
        <row r="8">
          <cell r="B8" t="str">
            <v>Employee Units (1)</v>
          </cell>
          <cell r="C8" t="str">
            <v># of</v>
          </cell>
          <cell r="D8" t="str">
            <v xml:space="preserve"># of </v>
          </cell>
          <cell r="E8">
            <v>0</v>
          </cell>
          <cell r="F8" t="str">
            <v>@</v>
          </cell>
          <cell r="G8" t="e">
            <v>#DIV/0!</v>
          </cell>
          <cell r="H8" t="str">
            <v xml:space="preserve">/Unit; </v>
          </cell>
          <cell r="I8" t="str">
            <v>RAD</v>
          </cell>
          <cell r="J8" t="str">
            <v>PSF/MO</v>
          </cell>
          <cell r="K8">
            <v>0</v>
          </cell>
        </row>
        <row r="9">
          <cell r="B9" t="str">
            <v>Rent Loss to Old Leases</v>
          </cell>
          <cell r="C9" t="str">
            <v>Bedrooms</v>
          </cell>
          <cell r="D9" t="str">
            <v>Units</v>
          </cell>
          <cell r="E9">
            <v>0</v>
          </cell>
          <cell r="F9" t="str">
            <v>@</v>
          </cell>
          <cell r="G9" t="e">
            <v>#DIV/0!</v>
          </cell>
          <cell r="H9" t="str">
            <v xml:space="preserve">/Unit; </v>
          </cell>
          <cell r="I9" t="str">
            <v>Overhang</v>
          </cell>
          <cell r="J9" t="str">
            <v>PSF/MO</v>
          </cell>
          <cell r="K9" t="str">
            <v>Utility</v>
          </cell>
        </row>
        <row r="10">
          <cell r="B10" t="str">
            <v>Vacant Units</v>
          </cell>
          <cell r="C10"/>
          <cell r="D10"/>
          <cell r="E10">
            <v>59</v>
          </cell>
          <cell r="F10" t="str">
            <v>@</v>
          </cell>
          <cell r="G10">
            <v>422.45762711864404</v>
          </cell>
          <cell r="H10" t="str">
            <v xml:space="preserve">/Unit; </v>
          </cell>
          <cell r="I10">
            <v>0</v>
          </cell>
          <cell r="J10" t="str">
            <v>PSF/MO</v>
          </cell>
          <cell r="K10">
            <v>299100</v>
          </cell>
        </row>
        <row r="11">
          <cell r="B11">
            <v>715</v>
          </cell>
          <cell r="C11" t="str">
            <v>1bd/1ba</v>
          </cell>
          <cell r="D11">
            <v>1</v>
          </cell>
          <cell r="E11">
            <v>361</v>
          </cell>
          <cell r="F11">
            <v>429</v>
          </cell>
          <cell r="G11"/>
          <cell r="H11"/>
          <cell r="I11">
            <v>0</v>
          </cell>
          <cell r="J11">
            <v>361</v>
          </cell>
          <cell r="K11">
            <v>68</v>
          </cell>
        </row>
        <row r="12">
          <cell r="B12">
            <v>715</v>
          </cell>
          <cell r="C12" t="str">
            <v>1bd/1ba</v>
          </cell>
          <cell r="D12">
            <v>0</v>
          </cell>
          <cell r="E12">
            <v>300</v>
          </cell>
          <cell r="F12" t="str">
            <v>@</v>
          </cell>
          <cell r="G12">
            <v>523.28133333333335</v>
          </cell>
          <cell r="H12" t="str">
            <v xml:space="preserve">/Unit; </v>
          </cell>
          <cell r="I12">
            <v>0.66655513850439041</v>
          </cell>
          <cell r="J12" t="str">
            <v>PSF/MO</v>
          </cell>
          <cell r="K12">
            <v>1883812.8</v>
          </cell>
        </row>
        <row r="13">
          <cell r="B13">
            <v>715</v>
          </cell>
          <cell r="C13" t="str">
            <v>1bd/1ba</v>
          </cell>
          <cell r="D13">
            <v>2</v>
          </cell>
          <cell r="E13">
            <v>648</v>
          </cell>
          <cell r="F13">
            <v>716</v>
          </cell>
          <cell r="G13"/>
          <cell r="H13"/>
          <cell r="I13">
            <v>0</v>
          </cell>
          <cell r="J13">
            <v>1296</v>
          </cell>
          <cell r="K13">
            <v>68</v>
          </cell>
        </row>
        <row r="14">
          <cell r="B14" t="str">
            <v>Add:  Other Income (2)</v>
          </cell>
          <cell r="C14" t="str">
            <v>1bd/1ba</v>
          </cell>
          <cell r="D14">
            <v>12</v>
          </cell>
          <cell r="E14">
            <v>791</v>
          </cell>
          <cell r="F14">
            <v>859</v>
          </cell>
          <cell r="G14">
            <v>10</v>
          </cell>
          <cell r="H14" t="str">
            <v>/Unit</v>
          </cell>
          <cell r="I14">
            <v>0</v>
          </cell>
          <cell r="J14">
            <v>9492</v>
          </cell>
          <cell r="K14">
            <v>32760</v>
          </cell>
        </row>
        <row r="15">
          <cell r="B15">
            <v>917.55405405405406</v>
          </cell>
          <cell r="C15" t="str">
            <v>2bd/2ba</v>
          </cell>
          <cell r="D15">
            <v>8</v>
          </cell>
          <cell r="E15">
            <v>423</v>
          </cell>
          <cell r="F15">
            <v>515</v>
          </cell>
          <cell r="G15"/>
          <cell r="H15"/>
          <cell r="I15">
            <v>0</v>
          </cell>
          <cell r="J15">
            <v>3384</v>
          </cell>
          <cell r="K15">
            <v>92</v>
          </cell>
        </row>
        <row r="16">
          <cell r="B16">
            <v>917.55405405405406</v>
          </cell>
          <cell r="C16" t="str">
            <v>2bd/2ba</v>
          </cell>
          <cell r="D16">
            <v>0</v>
          </cell>
          <cell r="E16">
            <v>0</v>
          </cell>
          <cell r="F16">
            <v>687</v>
          </cell>
          <cell r="G16"/>
          <cell r="H16"/>
          <cell r="I16">
            <v>0</v>
          </cell>
          <cell r="J16">
            <v>0</v>
          </cell>
          <cell r="K16">
            <v>1916572.8</v>
          </cell>
        </row>
        <row r="17">
          <cell r="B17">
            <v>917.55405405405406</v>
          </cell>
          <cell r="C17" t="str">
            <v>2bd/2ba</v>
          </cell>
          <cell r="D17">
            <v>16</v>
          </cell>
          <cell r="E17">
            <v>766</v>
          </cell>
          <cell r="F17">
            <v>858</v>
          </cell>
          <cell r="G17"/>
          <cell r="H17"/>
          <cell r="I17">
            <v>0</v>
          </cell>
          <cell r="J17">
            <v>12256</v>
          </cell>
          <cell r="K17">
            <v>92</v>
          </cell>
        </row>
        <row r="18">
          <cell r="B18" t="str">
            <v>Less:  Vacancy @</v>
          </cell>
          <cell r="C18" t="str">
            <v>2bd/2ba</v>
          </cell>
          <cell r="D18">
            <v>0.09</v>
          </cell>
          <cell r="E18" t="str">
            <v>(3)</v>
          </cell>
          <cell r="F18">
            <v>1030</v>
          </cell>
          <cell r="G18"/>
          <cell r="H18"/>
          <cell r="I18">
            <v>0.1</v>
          </cell>
          <cell r="J18">
            <v>45962</v>
          </cell>
          <cell r="K18">
            <v>-537199.18576765107</v>
          </cell>
        </row>
        <row r="19">
          <cell r="B19">
            <v>1081.3684210526317</v>
          </cell>
          <cell r="C19" t="str">
            <v>3bd/2ba</v>
          </cell>
          <cell r="D19">
            <v>6</v>
          </cell>
          <cell r="E19">
            <v>479</v>
          </cell>
          <cell r="F19">
            <v>595</v>
          </cell>
          <cell r="G19"/>
          <cell r="H19"/>
          <cell r="I19">
            <v>0</v>
          </cell>
          <cell r="J19">
            <v>2874</v>
          </cell>
          <cell r="K19">
            <v>116</v>
          </cell>
        </row>
        <row r="20">
          <cell r="B20">
            <v>1081.3684210526317</v>
          </cell>
          <cell r="C20" t="str">
            <v>3bd/2ba</v>
          </cell>
          <cell r="D20">
            <v>0</v>
          </cell>
          <cell r="E20">
            <v>0</v>
          </cell>
          <cell r="F20">
            <v>794</v>
          </cell>
          <cell r="G20"/>
          <cell r="H20"/>
          <cell r="I20">
            <v>0</v>
          </cell>
          <cell r="J20">
            <v>0</v>
          </cell>
          <cell r="K20">
            <v>1379373.614232349</v>
          </cell>
        </row>
        <row r="21">
          <cell r="B21">
            <v>1081.3684210526317</v>
          </cell>
          <cell r="C21" t="str">
            <v>3bd/2ba</v>
          </cell>
          <cell r="D21">
            <v>12</v>
          </cell>
          <cell r="E21">
            <v>876</v>
          </cell>
          <cell r="F21">
            <v>992</v>
          </cell>
          <cell r="G21"/>
          <cell r="H21"/>
          <cell r="I21">
            <v>0</v>
          </cell>
          <cell r="J21">
            <v>10512</v>
          </cell>
          <cell r="K21">
            <v>116</v>
          </cell>
        </row>
        <row r="22">
          <cell r="B22" t="str">
            <v>Less: Operating Expenses (4)</v>
          </cell>
          <cell r="C22" t="str">
            <v>3bd/2ba</v>
          </cell>
          <cell r="D22">
            <v>38</v>
          </cell>
          <cell r="E22">
            <v>1075</v>
          </cell>
          <cell r="F22">
            <v>1191</v>
          </cell>
          <cell r="G22"/>
          <cell r="H22"/>
          <cell r="I22">
            <v>0</v>
          </cell>
          <cell r="J22">
            <v>40850</v>
          </cell>
          <cell r="K22">
            <v>116</v>
          </cell>
        </row>
        <row r="23">
          <cell r="B23">
            <v>1391</v>
          </cell>
          <cell r="C23" t="str">
            <v xml:space="preserve">   G &amp; A</v>
          </cell>
          <cell r="D23">
            <v>0</v>
          </cell>
          <cell r="E23">
            <v>0</v>
          </cell>
          <cell r="F23" t="str">
            <v>@</v>
          </cell>
          <cell r="G23">
            <v>-171.66666666666663</v>
          </cell>
          <cell r="H23" t="str">
            <v>/Unit</v>
          </cell>
          <cell r="I23">
            <v>0</v>
          </cell>
          <cell r="J23">
            <v>-51499.999999999993</v>
          </cell>
          <cell r="K23">
            <v>0</v>
          </cell>
        </row>
        <row r="24">
          <cell r="B24">
            <v>1391</v>
          </cell>
          <cell r="C24" t="str">
            <v xml:space="preserve">   Management Fees</v>
          </cell>
          <cell r="D24">
            <v>0</v>
          </cell>
          <cell r="E24">
            <v>0</v>
          </cell>
          <cell r="F24" t="str">
            <v>@</v>
          </cell>
          <cell r="G24">
            <v>-183.91648189764658</v>
          </cell>
          <cell r="H24" t="str">
            <v>/Unit</v>
          </cell>
          <cell r="I24">
            <v>0</v>
          </cell>
          <cell r="J24">
            <v>-55174.94456929397</v>
          </cell>
          <cell r="K24">
            <v>0</v>
          </cell>
        </row>
        <row r="25">
          <cell r="B25">
            <v>1391</v>
          </cell>
          <cell r="C25" t="str">
            <v xml:space="preserve">   Payroll</v>
          </cell>
          <cell r="D25">
            <v>0</v>
          </cell>
          <cell r="E25">
            <v>0</v>
          </cell>
          <cell r="F25" t="str">
            <v>@</v>
          </cell>
          <cell r="G25">
            <v>-755.33333333333348</v>
          </cell>
          <cell r="H25" t="str">
            <v>/Unit</v>
          </cell>
          <cell r="I25">
            <v>0</v>
          </cell>
          <cell r="J25">
            <v>-226600.00000000003</v>
          </cell>
          <cell r="K25">
            <v>0</v>
          </cell>
        </row>
        <row r="26">
          <cell r="B26">
            <v>1391</v>
          </cell>
          <cell r="C26" t="str">
            <v xml:space="preserve">   Marketing</v>
          </cell>
          <cell r="D26">
            <v>0</v>
          </cell>
          <cell r="E26">
            <v>0</v>
          </cell>
          <cell r="F26" t="str">
            <v>@</v>
          </cell>
          <cell r="G26">
            <v>-171.66666666666663</v>
          </cell>
          <cell r="H26" t="str">
            <v>/Unit</v>
          </cell>
          <cell r="I26">
            <v>0</v>
          </cell>
          <cell r="J26">
            <v>-51499.999999999993</v>
          </cell>
          <cell r="K26">
            <v>0</v>
          </cell>
        </row>
        <row r="27">
          <cell r="C27" t="str">
            <v xml:space="preserve">   Utilities</v>
          </cell>
          <cell r="D27">
            <v>0.54767463506197356</v>
          </cell>
          <cell r="E27" t="str">
            <v>Totals:</v>
          </cell>
          <cell r="F27" t="str">
            <v>@</v>
          </cell>
          <cell r="G27">
            <v>-532.16666666666663</v>
          </cell>
          <cell r="H27" t="str">
            <v>/Unit</v>
          </cell>
          <cell r="I27"/>
          <cell r="J27">
            <v>-159650</v>
          </cell>
        </row>
        <row r="28">
          <cell r="B28" t="str">
            <v>Market Rate Units</v>
          </cell>
          <cell r="C28" t="str">
            <v xml:space="preserve">   Repairs/Maintenance</v>
          </cell>
          <cell r="D28"/>
          <cell r="E28">
            <v>0</v>
          </cell>
          <cell r="F28" t="str">
            <v>@</v>
          </cell>
          <cell r="G28">
            <v>-240.33333333333334</v>
          </cell>
          <cell r="H28" t="str">
            <v>/Unit</v>
          </cell>
          <cell r="I28"/>
          <cell r="J28">
            <v>-72100</v>
          </cell>
          <cell r="K28" t="str">
            <v>Mkt Comps</v>
          </cell>
        </row>
        <row r="29">
          <cell r="B29">
            <v>715</v>
          </cell>
          <cell r="C29" t="str">
            <v xml:space="preserve">   Property Taxes</v>
          </cell>
          <cell r="D29">
            <v>0</v>
          </cell>
          <cell r="E29">
            <v>859</v>
          </cell>
          <cell r="F29" t="str">
            <v>@</v>
          </cell>
          <cell r="G29">
            <v>-378.3533333333333</v>
          </cell>
          <cell r="H29" t="str">
            <v>/Unit</v>
          </cell>
          <cell r="I29"/>
          <cell r="J29">
            <v>-113505.99999999999</v>
          </cell>
          <cell r="K29"/>
        </row>
        <row r="30">
          <cell r="B30">
            <v>917.55405405405406</v>
          </cell>
          <cell r="C30" t="str">
            <v xml:space="preserve">   Insurance</v>
          </cell>
          <cell r="D30">
            <v>0</v>
          </cell>
          <cell r="E30">
            <v>1030</v>
          </cell>
          <cell r="F30" t="str">
            <v>@</v>
          </cell>
          <cell r="G30">
            <v>-154.5</v>
          </cell>
          <cell r="H30" t="str">
            <v>/Unit</v>
          </cell>
          <cell r="I30"/>
          <cell r="J30">
            <v>-46350</v>
          </cell>
          <cell r="K30"/>
        </row>
        <row r="31">
          <cell r="B31">
            <v>1081.3684210526317</v>
          </cell>
          <cell r="C31" t="str">
            <v xml:space="preserve">   Reserves</v>
          </cell>
          <cell r="D31">
            <v>0</v>
          </cell>
          <cell r="E31">
            <v>1191</v>
          </cell>
          <cell r="F31" t="str">
            <v>@</v>
          </cell>
          <cell r="G31">
            <v>-200</v>
          </cell>
          <cell r="H31" t="str">
            <v>/Unit</v>
          </cell>
          <cell r="I31"/>
          <cell r="J31">
            <v>-60000</v>
          </cell>
          <cell r="K31"/>
        </row>
        <row r="32">
          <cell r="B32">
            <v>1391</v>
          </cell>
          <cell r="C32" t="str">
            <v>4bd/2ba</v>
          </cell>
          <cell r="D32">
            <v>0</v>
          </cell>
          <cell r="E32">
            <v>1329</v>
          </cell>
          <cell r="F32"/>
          <cell r="G32"/>
          <cell r="H32"/>
          <cell r="I32"/>
          <cell r="J32">
            <v>0</v>
          </cell>
          <cell r="K32"/>
        </row>
        <row r="33">
          <cell r="B33" t="str">
            <v>Manager Units</v>
          </cell>
          <cell r="C33">
            <v>1.3698630136986301E-2</v>
          </cell>
          <cell r="D33"/>
          <cell r="E33"/>
          <cell r="F33" t="str">
            <v>@</v>
          </cell>
          <cell r="G33">
            <v>-2787.9364818976469</v>
          </cell>
          <cell r="H33" t="str">
            <v>/Unit;</v>
          </cell>
          <cell r="I33">
            <v>-3.5512701666523467</v>
          </cell>
          <cell r="J33" t="str">
            <v>PSF</v>
          </cell>
          <cell r="K33">
            <v>-836380.94456929399</v>
          </cell>
        </row>
        <row r="34">
          <cell r="B34">
            <v>917.55405405405406</v>
          </cell>
          <cell r="C34" t="str">
            <v>2bd/2ba</v>
          </cell>
          <cell r="D34">
            <v>1</v>
          </cell>
          <cell r="E34">
            <v>938</v>
          </cell>
          <cell r="F34"/>
          <cell r="G34"/>
          <cell r="H34"/>
          <cell r="I34"/>
          <cell r="J34"/>
          <cell r="K34"/>
        </row>
        <row r="35">
          <cell r="B35">
            <v>1081.3684210526317</v>
          </cell>
          <cell r="C35" t="str">
            <v>3bd/2ba</v>
          </cell>
          <cell r="D35">
            <v>1</v>
          </cell>
          <cell r="E35">
            <v>1075</v>
          </cell>
          <cell r="F35"/>
          <cell r="G35"/>
          <cell r="H35"/>
          <cell r="I35"/>
          <cell r="J35">
            <v>0</v>
          </cell>
          <cell r="K35">
            <v>542992.66966305498</v>
          </cell>
        </row>
        <row r="36">
          <cell r="B36"/>
          <cell r="C36"/>
          <cell r="D36"/>
          <cell r="E36"/>
          <cell r="F36"/>
          <cell r="G36"/>
          <cell r="H36"/>
          <cell r="I36"/>
          <cell r="J36"/>
          <cell r="K36">
            <v>-391702.02691209904</v>
          </cell>
        </row>
        <row r="37">
          <cell r="B37" t="str">
            <v>Total Units:</v>
          </cell>
          <cell r="C37">
            <v>146</v>
          </cell>
          <cell r="D37">
            <v>15</v>
          </cell>
          <cell r="E37" t="str">
            <v>1bd units</v>
          </cell>
          <cell r="F37"/>
          <cell r="G37"/>
          <cell r="H37"/>
          <cell r="I37"/>
          <cell r="J37">
            <v>73</v>
          </cell>
          <cell r="K37">
            <v>151290.64275095594</v>
          </cell>
        </row>
        <row r="38">
          <cell r="B38" t="str">
            <v>Density:</v>
          </cell>
          <cell r="C38">
            <v>91.823899371069174</v>
          </cell>
          <cell r="D38"/>
          <cell r="E38">
            <v>0.10273972602739725</v>
          </cell>
          <cell r="F38"/>
          <cell r="G38"/>
          <cell r="H38"/>
          <cell r="I38"/>
          <cell r="J38"/>
          <cell r="K38">
            <v>0.50684931506849318</v>
          </cell>
        </row>
        <row r="39">
          <cell r="C39"/>
          <cell r="D39"/>
          <cell r="E39"/>
          <cell r="F39"/>
          <cell r="G39"/>
          <cell r="H39"/>
          <cell r="I39"/>
          <cell r="J39"/>
          <cell r="K39"/>
        </row>
        <row r="40">
          <cell r="B40" t="str">
            <v>Residential Building Structures:</v>
          </cell>
          <cell r="C40"/>
          <cell r="D40"/>
          <cell r="E40"/>
          <cell r="F40"/>
          <cell r="G40"/>
          <cell r="H40"/>
          <cell r="I40"/>
          <cell r="J40" t="str">
            <v>Applicable Fraction Calculation:</v>
          </cell>
          <cell r="K40">
            <v>9.8333303995275401E-2</v>
          </cell>
        </row>
        <row r="41">
          <cell r="B41" t="str">
            <v>Sqft excl. Mgr. Units</v>
          </cell>
          <cell r="C41">
            <v>138263.07752489331</v>
          </cell>
          <cell r="D41"/>
          <cell r="E41"/>
          <cell r="F41"/>
          <cell r="G41"/>
          <cell r="H41"/>
          <cell r="I41"/>
          <cell r="J41" t="str">
            <v xml:space="preserve">Total # of units excl. Mgr </v>
          </cell>
          <cell r="K41">
            <v>0.10947533450723713</v>
          </cell>
        </row>
        <row r="42">
          <cell r="B42" t="str">
            <v>Sqft incl. Mgr. Units</v>
          </cell>
          <cell r="C42">
            <v>140262</v>
          </cell>
          <cell r="D42" t="str">
            <v>net sf</v>
          </cell>
          <cell r="E42">
            <v>974.04166666666663</v>
          </cell>
          <cell r="F42"/>
          <cell r="G42"/>
          <cell r="H42"/>
          <cell r="I42"/>
          <cell r="J42" t="str">
            <v>Total # of Aff. Units</v>
          </cell>
          <cell r="K42"/>
        </row>
        <row r="43">
          <cell r="B43" t="str">
            <v>PERMANENT LOAN ANALYSIS</v>
          </cell>
          <cell r="C43">
            <v>138263.07752489331</v>
          </cell>
          <cell r="D43"/>
          <cell r="E43"/>
          <cell r="F43"/>
          <cell r="G43"/>
          <cell r="H43"/>
          <cell r="I43"/>
          <cell r="J43" t="str">
            <v>Units Ratio of Aff./ ttl - mgr</v>
          </cell>
          <cell r="K43"/>
        </row>
        <row r="44">
          <cell r="B44" t="str">
            <v>Efficiency loss</v>
          </cell>
          <cell r="C44">
            <v>19126.636363636353</v>
          </cell>
          <cell r="D44">
            <v>0.12</v>
          </cell>
          <cell r="E44"/>
          <cell r="F44"/>
          <cell r="G44"/>
          <cell r="H44"/>
          <cell r="I44"/>
          <cell r="J44" t="str">
            <v>Sqft Ratio of Aff./ ttl - mgr</v>
          </cell>
          <cell r="K44"/>
        </row>
        <row r="45">
          <cell r="B45" t="str">
            <v>Total Bldg Sqft</v>
          </cell>
          <cell r="C45">
            <v>159389</v>
          </cell>
          <cell r="D45" t="str">
            <v>gross sf</v>
          </cell>
          <cell r="E45"/>
          <cell r="F45"/>
          <cell r="G45"/>
          <cell r="H45"/>
          <cell r="I45"/>
          <cell r="J45" t="str">
            <v>Applicable Fraction</v>
          </cell>
          <cell r="K45"/>
        </row>
        <row r="46">
          <cell r="B46"/>
          <cell r="C46"/>
          <cell r="D46"/>
          <cell r="E46"/>
          <cell r="F46"/>
          <cell r="G46"/>
          <cell r="H46"/>
          <cell r="I46"/>
          <cell r="J46"/>
          <cell r="K46"/>
        </row>
        <row r="47">
          <cell r="B47"/>
          <cell r="C47"/>
          <cell r="D47"/>
          <cell r="E47"/>
          <cell r="F47"/>
          <cell r="G47"/>
          <cell r="H47"/>
          <cell r="I47"/>
          <cell r="J47"/>
          <cell r="K47"/>
        </row>
        <row r="48">
          <cell r="B48"/>
          <cell r="C48"/>
          <cell r="D48"/>
          <cell r="E48"/>
          <cell r="F48"/>
          <cell r="G48">
            <v>4140000</v>
          </cell>
          <cell r="H48">
            <v>160000</v>
          </cell>
          <cell r="I48"/>
          <cell r="J48"/>
          <cell r="K48"/>
        </row>
        <row r="49">
          <cell r="B49"/>
          <cell r="C49"/>
          <cell r="D49"/>
          <cell r="E49"/>
          <cell r="F49"/>
          <cell r="G49"/>
          <cell r="H49"/>
          <cell r="I49"/>
          <cell r="J49"/>
          <cell r="K49"/>
        </row>
        <row r="50">
          <cell r="B50"/>
          <cell r="C50"/>
          <cell r="D50" t="str">
            <v>INCOME &amp; EXPENSE (AT STABILIZED OCCUPANCY)</v>
          </cell>
          <cell r="E50"/>
          <cell r="F50"/>
          <cell r="G50">
            <v>13800</v>
          </cell>
          <cell r="H50">
            <v>533.33333333333337</v>
          </cell>
          <cell r="I50"/>
          <cell r="J50"/>
          <cell r="K50"/>
        </row>
        <row r="51">
          <cell r="B51"/>
          <cell r="C51"/>
          <cell r="D51"/>
          <cell r="E51"/>
          <cell r="F51"/>
          <cell r="G51"/>
          <cell r="H51"/>
          <cell r="I51"/>
          <cell r="J51"/>
          <cell r="K51"/>
        </row>
        <row r="52">
          <cell r="B52"/>
          <cell r="C52"/>
          <cell r="D52" t="str">
            <v>Annual</v>
          </cell>
          <cell r="E52"/>
          <cell r="F52"/>
          <cell r="G52">
            <v>17.578423546595559</v>
          </cell>
          <cell r="H52">
            <v>0.67935936411963516</v>
          </cell>
          <cell r="I52"/>
          <cell r="J52"/>
          <cell r="K52"/>
        </row>
        <row r="53">
          <cell r="B53" t="str">
            <v>Income from Rents</v>
          </cell>
          <cell r="C53"/>
          <cell r="D53">
            <v>1523844</v>
          </cell>
          <cell r="E53"/>
          <cell r="F53"/>
          <cell r="G53"/>
          <cell r="H53"/>
          <cell r="I53"/>
          <cell r="J53"/>
          <cell r="K53"/>
        </row>
        <row r="54">
          <cell r="B54" t="str">
            <v>Income from PBVs</v>
          </cell>
          <cell r="C54"/>
          <cell r="D54">
            <v>0</v>
          </cell>
          <cell r="F54"/>
          <cell r="G54">
            <v>20876.324469503848</v>
          </cell>
          <cell r="H54">
            <v>20876.324469503848</v>
          </cell>
          <cell r="I54"/>
          <cell r="J54" t="str">
            <v/>
          </cell>
          <cell r="K54" t="str">
            <v>average overhang per PBV unit</v>
          </cell>
        </row>
        <row r="55">
          <cell r="B55" t="str">
            <v>Other Income</v>
          </cell>
          <cell r="C55"/>
          <cell r="D55">
            <v>21024</v>
          </cell>
          <cell r="E55"/>
          <cell r="F55"/>
          <cell r="G55"/>
          <cell r="H55"/>
          <cell r="I55"/>
          <cell r="J55">
            <v>12</v>
          </cell>
          <cell r="K55" t="str">
            <v>per unit/mo.</v>
          </cell>
        </row>
        <row r="56">
          <cell r="B56" t="str">
            <v>Gross Income</v>
          </cell>
          <cell r="C56"/>
          <cell r="D56">
            <v>0.1</v>
          </cell>
          <cell r="E56"/>
          <cell r="F56">
            <v>0.09</v>
          </cell>
          <cell r="G56">
            <v>209000</v>
          </cell>
          <cell r="H56">
            <v>209000</v>
          </cell>
          <cell r="I56"/>
          <cell r="J56"/>
          <cell r="K56"/>
        </row>
        <row r="57">
          <cell r="B57"/>
          <cell r="C57"/>
          <cell r="D57"/>
          <cell r="E57"/>
          <cell r="F57"/>
          <cell r="G57"/>
          <cell r="H57"/>
          <cell r="I57"/>
          <cell r="J57"/>
          <cell r="K57"/>
        </row>
        <row r="58">
          <cell r="B58" t="str">
            <v>Vacancy @</v>
          </cell>
          <cell r="C58">
            <v>7.4999999999999997E-2</v>
          </cell>
          <cell r="D58">
            <v>115865.09999999999</v>
          </cell>
          <cell r="E58"/>
          <cell r="F58"/>
          <cell r="G58">
            <v>696.66666666666663</v>
          </cell>
          <cell r="H58">
            <v>696.66666666666663</v>
          </cell>
          <cell r="I58"/>
          <cell r="J58"/>
          <cell r="K58"/>
        </row>
        <row r="59">
          <cell r="C59"/>
          <cell r="D59"/>
          <cell r="E59"/>
          <cell r="F59"/>
          <cell r="G59"/>
          <cell r="H59"/>
          <cell r="I59"/>
          <cell r="J59"/>
          <cell r="K59"/>
        </row>
        <row r="60">
          <cell r="B60" t="str">
            <v>Effective Gross Inc.</v>
          </cell>
          <cell r="D60">
            <v>1429002.9</v>
          </cell>
          <cell r="E60"/>
          <cell r="F60"/>
          <cell r="G60">
            <v>0.88741316938127346</v>
          </cell>
          <cell r="H60">
            <v>0.88741316938127346</v>
          </cell>
          <cell r="I60"/>
          <cell r="J60"/>
          <cell r="K60"/>
        </row>
        <row r="61">
          <cell r="B61"/>
          <cell r="C61"/>
          <cell r="D61"/>
          <cell r="E61"/>
          <cell r="F61"/>
          <cell r="G61"/>
          <cell r="H61"/>
          <cell r="I61"/>
          <cell r="J61"/>
          <cell r="K61"/>
        </row>
        <row r="62">
          <cell r="B62" t="str">
            <v>Operating Expenses</v>
          </cell>
          <cell r="C62"/>
          <cell r="D62">
            <v>593975.10149999999</v>
          </cell>
          <cell r="E62"/>
          <cell r="F62"/>
          <cell r="G62">
            <v>7</v>
          </cell>
          <cell r="H62">
            <v>7</v>
          </cell>
          <cell r="I62"/>
          <cell r="J62">
            <v>4068.3226130136982</v>
          </cell>
          <cell r="K62" t="str">
            <v xml:space="preserve">/unit/year </v>
          </cell>
        </row>
        <row r="63">
          <cell r="B63" t="str">
            <v>Property Taxes</v>
          </cell>
          <cell r="C63" t="str">
            <v>no</v>
          </cell>
          <cell r="D63">
            <v>0</v>
          </cell>
          <cell r="E63"/>
          <cell r="F63"/>
          <cell r="G63"/>
          <cell r="H63"/>
          <cell r="I63"/>
          <cell r="J63">
            <v>0</v>
          </cell>
          <cell r="K63" t="str">
            <v>/unit/year</v>
          </cell>
        </row>
      </sheetData>
      <sheetData sheetId="17" refreshError="1"/>
      <sheetData sheetId="18" refreshError="1"/>
      <sheetData sheetId="19" refreshError="1">
        <row r="1">
          <cell r="B1" t="str">
            <v>NORTHBOROUGH STATION APARTMENTS</v>
          </cell>
        </row>
        <row r="2">
          <cell r="B2" t="str">
            <v>PERMANENT LOAN ANALYSIS</v>
          </cell>
        </row>
        <row r="7">
          <cell r="G7">
            <v>4140000</v>
          </cell>
        </row>
        <row r="9">
          <cell r="G9">
            <v>13800</v>
          </cell>
        </row>
        <row r="11">
          <cell r="G11">
            <v>17.578423546595559</v>
          </cell>
        </row>
        <row r="13">
          <cell r="G13">
            <v>542992.66966305498</v>
          </cell>
        </row>
        <row r="15">
          <cell r="D15">
            <v>0.1</v>
          </cell>
          <cell r="F15">
            <v>0.09</v>
          </cell>
          <cell r="G15">
            <v>5430000</v>
          </cell>
        </row>
        <row r="17">
          <cell r="G17">
            <v>18100</v>
          </cell>
        </row>
        <row r="19">
          <cell r="G19">
            <v>23.055758419810118</v>
          </cell>
        </row>
        <row r="21">
          <cell r="G21">
            <v>7</v>
          </cell>
        </row>
        <row r="23">
          <cell r="G23">
            <v>8.2500000000000004E-2</v>
          </cell>
        </row>
        <row r="25">
          <cell r="G25">
            <v>1.7500000000000002E-2</v>
          </cell>
        </row>
        <row r="27">
          <cell r="G27">
            <v>6.5000000000000002E-2</v>
          </cell>
        </row>
        <row r="29">
          <cell r="G29">
            <v>25</v>
          </cell>
        </row>
        <row r="31">
          <cell r="G31">
            <v>9.4614016162342773E-2</v>
          </cell>
        </row>
        <row r="33">
          <cell r="G33">
            <v>391702.02691209904</v>
          </cell>
        </row>
        <row r="35">
          <cell r="G35">
            <v>1.386239111254093</v>
          </cell>
        </row>
        <row r="37">
          <cell r="G37">
            <v>0.76243093922651939</v>
          </cell>
        </row>
        <row r="39">
          <cell r="G39">
            <v>1228082.9714813931</v>
          </cell>
        </row>
        <row r="41">
          <cell r="G41">
            <v>0.64077032267252931</v>
          </cell>
        </row>
      </sheetData>
      <sheetData sheetId="20" refreshError="1"/>
      <sheetData sheetId="21" refreshError="1"/>
      <sheetData sheetId="22" refreshError="1"/>
      <sheetData sheetId="23" refreshError="1"/>
      <sheetData sheetId="24" refreshError="1"/>
      <sheetData sheetId="25" refreshError="1"/>
      <sheetData sheetId="26" refreshError="1"/>
      <sheetData sheetId="27"/>
      <sheetData sheetId="28"/>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Hunter's Cove Repair and Mainte"/>
      <sheetName val="Hunter's Cove"/>
      <sheetName val="Hunter's Cove (2)"/>
      <sheetName val="Hard Costs Hunter's Cove"/>
      <sheetName val="Historical Performance (3)"/>
      <sheetName val="Expenses Hunter's Cove 1996 "/>
      <sheetName val="LEASE AUDIT HUNTER'S COVE"/>
      <sheetName val="Expenses Comparison"/>
      <sheetName val="Ashley Park"/>
      <sheetName val="Ashley Park (2)"/>
      <sheetName val="Summary of Hard Costs"/>
      <sheetName val="Historical Performance (2)"/>
      <sheetName val="Expenses Ashley Park 1996"/>
      <sheetName val="LEASE AUDIT ASHLEY PARK"/>
      <sheetName val="Clay Creek"/>
      <sheetName val="Clay Creek (2)"/>
      <sheetName val="Hard Costs Clay Creek"/>
      <sheetName val="Historical Performance"/>
      <sheetName val="Expenses Clay Creek 1996"/>
      <sheetName val="LEASE AUDIT CLAY CREEK"/>
      <sheetName val="Bouchard Portfolio Combined "/>
      <sheetName val="Sources and Uses"/>
      <sheetName val="Income Increase"/>
    </sheetNames>
    <sheetDataSet>
      <sheetData sheetId="0" refreshError="1"/>
      <sheetData sheetId="1" refreshError="1">
        <row r="204">
          <cell r="Z204" t="str">
            <v>HUNTER'S COVE APARTMENTS</v>
          </cell>
        </row>
        <row r="205">
          <cell r="Z205" t="str">
            <v>Monthly Schedule - Year 1</v>
          </cell>
        </row>
        <row r="206">
          <cell r="Z206" t="str">
            <v>Underwritten Case</v>
          </cell>
        </row>
        <row r="209">
          <cell r="AB209" t="str">
            <v>Month 1</v>
          </cell>
          <cell r="AC209" t="str">
            <v>Month 2</v>
          </cell>
          <cell r="AD209" t="str">
            <v>Month 3</v>
          </cell>
          <cell r="AE209" t="str">
            <v>Month 4</v>
          </cell>
          <cell r="AF209" t="str">
            <v>Month 5</v>
          </cell>
          <cell r="AG209" t="str">
            <v>Month 6</v>
          </cell>
          <cell r="AH209" t="str">
            <v>Month 7</v>
          </cell>
          <cell r="AI209" t="str">
            <v>Month 8</v>
          </cell>
          <cell r="AJ209" t="str">
            <v>Month 9</v>
          </cell>
          <cell r="AK209" t="str">
            <v>Month 10</v>
          </cell>
          <cell r="AL209" t="str">
            <v>Month 11</v>
          </cell>
          <cell r="AM209" t="str">
            <v>Month 12</v>
          </cell>
          <cell r="AN209" t="str">
            <v>Total</v>
          </cell>
        </row>
        <row r="210">
          <cell r="Z210" t="str">
            <v>PROFORMA ANALYSIS</v>
          </cell>
        </row>
        <row r="211">
          <cell r="Z211" t="str">
            <v>Economic Occupancy</v>
          </cell>
          <cell r="AB211">
            <v>0.86799999999999999</v>
          </cell>
          <cell r="AC211">
            <v>0.85299999999999998</v>
          </cell>
          <cell r="AD211">
            <v>0.83799999999999997</v>
          </cell>
          <cell r="AE211">
            <v>0.84799999999999998</v>
          </cell>
          <cell r="AF211">
            <v>0.85799999999999998</v>
          </cell>
          <cell r="AG211">
            <v>0.86799999999999999</v>
          </cell>
          <cell r="AH211">
            <v>0.878</v>
          </cell>
          <cell r="AI211">
            <v>0.88800000000000001</v>
          </cell>
          <cell r="AJ211">
            <v>0.89800000000000002</v>
          </cell>
          <cell r="AK211">
            <v>0.90800000000000003</v>
          </cell>
          <cell r="AL211">
            <v>0.91800000000000004</v>
          </cell>
          <cell r="AM211">
            <v>0.92800000000000005</v>
          </cell>
          <cell r="AN211">
            <v>0.87924999999999998</v>
          </cell>
        </row>
        <row r="212">
          <cell r="Z212" t="str">
            <v>Rent/SF</v>
          </cell>
          <cell r="AB212">
            <v>0.5585</v>
          </cell>
          <cell r="AC212">
            <v>0.5585</v>
          </cell>
          <cell r="AD212">
            <v>0.5585</v>
          </cell>
          <cell r="AE212">
            <v>0.5585</v>
          </cell>
          <cell r="AF212">
            <v>0.5585</v>
          </cell>
          <cell r="AG212">
            <v>0.5585</v>
          </cell>
          <cell r="AH212">
            <v>0.5585</v>
          </cell>
          <cell r="AI212">
            <v>0.5585</v>
          </cell>
          <cell r="AJ212">
            <v>0.5585</v>
          </cell>
          <cell r="AK212">
            <v>0.5585</v>
          </cell>
          <cell r="AL212">
            <v>0.5585</v>
          </cell>
          <cell r="AM212">
            <v>0.5585</v>
          </cell>
          <cell r="AN212">
            <v>0.55850000000000011</v>
          </cell>
        </row>
        <row r="214">
          <cell r="Z214" t="str">
            <v>Gross Potential Rent</v>
          </cell>
          <cell r="AB214">
            <v>184405.53</v>
          </cell>
          <cell r="AC214">
            <v>184405.53</v>
          </cell>
          <cell r="AD214">
            <v>184405.53</v>
          </cell>
          <cell r="AE214">
            <v>184405.53</v>
          </cell>
          <cell r="AF214">
            <v>184405.53</v>
          </cell>
          <cell r="AG214">
            <v>184405.53</v>
          </cell>
          <cell r="AH214">
            <v>184405.53</v>
          </cell>
          <cell r="AI214">
            <v>184405.53</v>
          </cell>
          <cell r="AJ214">
            <v>184405.53</v>
          </cell>
          <cell r="AK214">
            <v>184405.53</v>
          </cell>
          <cell r="AL214">
            <v>184405.53</v>
          </cell>
          <cell r="AM214">
            <v>184405.53</v>
          </cell>
          <cell r="AN214">
            <v>2212866.36</v>
          </cell>
        </row>
        <row r="215">
          <cell r="Z215" t="str">
            <v>Other Income ($5/unit/mth)</v>
          </cell>
          <cell r="AA215">
            <v>6</v>
          </cell>
          <cell r="AB215">
            <v>2616</v>
          </cell>
          <cell r="AC215">
            <v>2616</v>
          </cell>
          <cell r="AD215">
            <v>2616</v>
          </cell>
          <cell r="AE215">
            <v>2616</v>
          </cell>
          <cell r="AF215">
            <v>2616</v>
          </cell>
          <cell r="AG215">
            <v>2616</v>
          </cell>
          <cell r="AH215">
            <v>2616</v>
          </cell>
          <cell r="AI215">
            <v>2616</v>
          </cell>
          <cell r="AJ215">
            <v>2616</v>
          </cell>
          <cell r="AK215">
            <v>2616</v>
          </cell>
          <cell r="AL215">
            <v>2616</v>
          </cell>
          <cell r="AM215">
            <v>2616</v>
          </cell>
          <cell r="AN215">
            <v>31392</v>
          </cell>
        </row>
        <row r="216">
          <cell r="Z216" t="str">
            <v>Less: Vacancy</v>
          </cell>
          <cell r="AB216">
            <v>-24686.841960000002</v>
          </cell>
          <cell r="AC216">
            <v>-27492.164910000003</v>
          </cell>
          <cell r="AD216">
            <v>-30297.487860000005</v>
          </cell>
          <cell r="AE216">
            <v>-28427.272560000005</v>
          </cell>
          <cell r="AF216">
            <v>-26557.057260000001</v>
          </cell>
          <cell r="AG216">
            <v>-24686.841960000002</v>
          </cell>
          <cell r="AH216">
            <v>-22816.626659999998</v>
          </cell>
          <cell r="AI216">
            <v>-20946.411359999998</v>
          </cell>
          <cell r="AJ216">
            <v>-19076.196059999995</v>
          </cell>
          <cell r="AK216">
            <v>-17205.980759999995</v>
          </cell>
          <cell r="AL216">
            <v>-15335.765459999993</v>
          </cell>
          <cell r="AM216">
            <v>-13465.550159999992</v>
          </cell>
          <cell r="AN216">
            <v>-270994.19696999999</v>
          </cell>
        </row>
        <row r="218">
          <cell r="Z218" t="str">
            <v>Effective Gross Income</v>
          </cell>
          <cell r="AB218">
            <v>162334.68804000001</v>
          </cell>
          <cell r="AC218">
            <v>159529.36509000001</v>
          </cell>
          <cell r="AD218">
            <v>156724.04214000001</v>
          </cell>
          <cell r="AE218">
            <v>158594.25743999999</v>
          </cell>
          <cell r="AF218">
            <v>160464.47274</v>
          </cell>
          <cell r="AG218">
            <v>162334.68804000001</v>
          </cell>
          <cell r="AH218">
            <v>164204.90333999999</v>
          </cell>
          <cell r="AI218">
            <v>166075.11864</v>
          </cell>
          <cell r="AJ218">
            <v>167945.33394000001</v>
          </cell>
          <cell r="AK218">
            <v>169815.54923999999</v>
          </cell>
          <cell r="AL218">
            <v>171685.76454</v>
          </cell>
          <cell r="AM218">
            <v>173555.97984000001</v>
          </cell>
          <cell r="AN218">
            <v>1973264.1630300002</v>
          </cell>
        </row>
        <row r="220">
          <cell r="Z220" t="str">
            <v>G&amp;A</v>
          </cell>
          <cell r="AB220">
            <v>2356.5833333333335</v>
          </cell>
          <cell r="AC220">
            <v>2356.5833333333335</v>
          </cell>
          <cell r="AD220">
            <v>2356.5833333333335</v>
          </cell>
          <cell r="AE220">
            <v>2356.5833333333335</v>
          </cell>
          <cell r="AF220">
            <v>2356.5833333333335</v>
          </cell>
          <cell r="AG220">
            <v>2356.5833333333335</v>
          </cell>
          <cell r="AH220">
            <v>2356.5833333333335</v>
          </cell>
          <cell r="AI220">
            <v>2356.5833333333335</v>
          </cell>
          <cell r="AJ220">
            <v>2356.5833333333335</v>
          </cell>
          <cell r="AK220">
            <v>2356.5833333333335</v>
          </cell>
          <cell r="AL220">
            <v>2356.5833333333335</v>
          </cell>
          <cell r="AM220">
            <v>2356.5833333333335</v>
          </cell>
          <cell r="AN220">
            <v>28278.999999999996</v>
          </cell>
        </row>
        <row r="221">
          <cell r="Z221" t="str">
            <v>Payroll</v>
          </cell>
          <cell r="AB221">
            <v>22650</v>
          </cell>
          <cell r="AC221">
            <v>22650</v>
          </cell>
          <cell r="AD221">
            <v>22650</v>
          </cell>
          <cell r="AE221">
            <v>22650</v>
          </cell>
          <cell r="AF221">
            <v>22650</v>
          </cell>
          <cell r="AG221">
            <v>22650</v>
          </cell>
          <cell r="AH221">
            <v>22650</v>
          </cell>
          <cell r="AI221">
            <v>22650</v>
          </cell>
          <cell r="AJ221">
            <v>22650</v>
          </cell>
          <cell r="AK221">
            <v>22650</v>
          </cell>
          <cell r="AL221">
            <v>22650</v>
          </cell>
          <cell r="AM221">
            <v>22650</v>
          </cell>
          <cell r="AN221">
            <v>271800</v>
          </cell>
        </row>
        <row r="222">
          <cell r="Z222" t="str">
            <v>Marketing</v>
          </cell>
          <cell r="AB222">
            <v>2666.6666666666665</v>
          </cell>
          <cell r="AC222">
            <v>2666.6666666666665</v>
          </cell>
          <cell r="AD222">
            <v>2666.6666666666665</v>
          </cell>
          <cell r="AE222">
            <v>2666.6666666666665</v>
          </cell>
          <cell r="AF222">
            <v>2666.6666666666665</v>
          </cell>
          <cell r="AG222">
            <v>2666.6666666666665</v>
          </cell>
          <cell r="AH222">
            <v>2666.6666666666665</v>
          </cell>
          <cell r="AI222">
            <v>2666.6666666666665</v>
          </cell>
          <cell r="AJ222">
            <v>2666.6666666666665</v>
          </cell>
          <cell r="AK222">
            <v>2666.6666666666665</v>
          </cell>
          <cell r="AL222">
            <v>2666.6666666666665</v>
          </cell>
          <cell r="AM222">
            <v>2666.6666666666665</v>
          </cell>
          <cell r="AN222">
            <v>32000.000000000004</v>
          </cell>
        </row>
        <row r="223">
          <cell r="Z223" t="str">
            <v>Utilities</v>
          </cell>
          <cell r="AB223">
            <v>17799.333333333332</v>
          </cell>
          <cell r="AC223">
            <v>17799.333333333332</v>
          </cell>
          <cell r="AD223">
            <v>17799.333333333332</v>
          </cell>
          <cell r="AE223">
            <v>17799.333333333332</v>
          </cell>
          <cell r="AF223">
            <v>17799.333333333332</v>
          </cell>
          <cell r="AG223">
            <v>17799.333333333332</v>
          </cell>
          <cell r="AH223">
            <v>17799.333333333332</v>
          </cell>
          <cell r="AI223">
            <v>17799.333333333332</v>
          </cell>
          <cell r="AJ223">
            <v>17799.333333333332</v>
          </cell>
          <cell r="AK223">
            <v>17799.333333333332</v>
          </cell>
          <cell r="AL223">
            <v>17799.333333333332</v>
          </cell>
          <cell r="AM223">
            <v>17799.333333333332</v>
          </cell>
          <cell r="AN223">
            <v>213592.00000000003</v>
          </cell>
        </row>
        <row r="224">
          <cell r="Z224" t="str">
            <v>Repairs &amp; Maintenance</v>
          </cell>
          <cell r="AB224">
            <v>14703.916666666666</v>
          </cell>
          <cell r="AC224">
            <v>14703.916666666666</v>
          </cell>
          <cell r="AD224">
            <v>14703.916666666666</v>
          </cell>
          <cell r="AE224">
            <v>14703.916666666666</v>
          </cell>
          <cell r="AF224">
            <v>14703.916666666666</v>
          </cell>
          <cell r="AG224">
            <v>14703.916666666666</v>
          </cell>
          <cell r="AH224">
            <v>14703.916666666666</v>
          </cell>
          <cell r="AI224">
            <v>14703.916666666666</v>
          </cell>
          <cell r="AJ224">
            <v>14703.916666666666</v>
          </cell>
          <cell r="AK224">
            <v>14703.916666666666</v>
          </cell>
          <cell r="AL224">
            <v>14703.916666666666</v>
          </cell>
          <cell r="AM224">
            <v>14703.916666666666</v>
          </cell>
          <cell r="AN224">
            <v>176446.99999999997</v>
          </cell>
        </row>
        <row r="225">
          <cell r="Z225" t="str">
            <v>Property Taxes</v>
          </cell>
          <cell r="AB225">
            <v>17266.666666666668</v>
          </cell>
          <cell r="AC225">
            <v>17266.666666666668</v>
          </cell>
          <cell r="AD225">
            <v>17266.666666666668</v>
          </cell>
          <cell r="AE225">
            <v>17266.666666666668</v>
          </cell>
          <cell r="AF225">
            <v>17266.666666666668</v>
          </cell>
          <cell r="AG225">
            <v>17266.666666666668</v>
          </cell>
          <cell r="AH225">
            <v>17266.666666666668</v>
          </cell>
          <cell r="AI225">
            <v>17266.666666666668</v>
          </cell>
          <cell r="AJ225">
            <v>17266.666666666668</v>
          </cell>
          <cell r="AK225">
            <v>17266.666666666668</v>
          </cell>
          <cell r="AL225">
            <v>17266.666666666668</v>
          </cell>
          <cell r="AM225">
            <v>17266.666666666668</v>
          </cell>
          <cell r="AN225">
            <v>207199.99999999997</v>
          </cell>
        </row>
        <row r="226">
          <cell r="Z226" t="str">
            <v>Insurance</v>
          </cell>
          <cell r="AB226">
            <v>4217.666666666667</v>
          </cell>
          <cell r="AC226">
            <v>4217.666666666667</v>
          </cell>
          <cell r="AD226">
            <v>4217.666666666667</v>
          </cell>
          <cell r="AE226">
            <v>4217.666666666667</v>
          </cell>
          <cell r="AF226">
            <v>4217.666666666667</v>
          </cell>
          <cell r="AG226">
            <v>4217.666666666667</v>
          </cell>
          <cell r="AH226">
            <v>4217.666666666667</v>
          </cell>
          <cell r="AI226">
            <v>4217.666666666667</v>
          </cell>
          <cell r="AJ226">
            <v>4217.666666666667</v>
          </cell>
          <cell r="AK226">
            <v>4217.666666666667</v>
          </cell>
          <cell r="AL226">
            <v>4217.666666666667</v>
          </cell>
          <cell r="AM226">
            <v>4217.666666666667</v>
          </cell>
          <cell r="AN226">
            <v>50611.999999999993</v>
          </cell>
        </row>
        <row r="227">
          <cell r="Z227" t="str">
            <v>Miscellaneous</v>
          </cell>
          <cell r="AB227">
            <v>2000</v>
          </cell>
          <cell r="AC227">
            <v>2000</v>
          </cell>
          <cell r="AD227">
            <v>2000</v>
          </cell>
          <cell r="AE227">
            <v>2000</v>
          </cell>
          <cell r="AF227">
            <v>2000</v>
          </cell>
          <cell r="AG227">
            <v>2000</v>
          </cell>
          <cell r="AH227">
            <v>2000</v>
          </cell>
          <cell r="AI227">
            <v>2000</v>
          </cell>
          <cell r="AJ227">
            <v>2000</v>
          </cell>
          <cell r="AK227">
            <v>2000</v>
          </cell>
          <cell r="AL227">
            <v>2000</v>
          </cell>
          <cell r="AM227">
            <v>2000</v>
          </cell>
          <cell r="AN227">
            <v>24000</v>
          </cell>
        </row>
        <row r="228">
          <cell r="Z228" t="str">
            <v>Management Fee</v>
          </cell>
          <cell r="AA228">
            <v>0.04</v>
          </cell>
          <cell r="AB228">
            <v>6493.3875216000006</v>
          </cell>
          <cell r="AC228">
            <v>6381.1746036000004</v>
          </cell>
          <cell r="AD228">
            <v>6268.9616856000002</v>
          </cell>
          <cell r="AE228">
            <v>6343.7702976</v>
          </cell>
          <cell r="AF228">
            <v>6418.5789095999999</v>
          </cell>
          <cell r="AG228">
            <v>6493.3875216000006</v>
          </cell>
          <cell r="AH228">
            <v>6568.1961335999995</v>
          </cell>
          <cell r="AI228">
            <v>6643.0047456000002</v>
          </cell>
          <cell r="AJ228">
            <v>6717.8133576000009</v>
          </cell>
          <cell r="AK228">
            <v>6792.6219695999998</v>
          </cell>
          <cell r="AL228">
            <v>6867.4305816000006</v>
          </cell>
          <cell r="AM228">
            <v>6942.2391936000004</v>
          </cell>
          <cell r="AN228">
            <v>78930.566521200017</v>
          </cell>
        </row>
        <row r="229">
          <cell r="Z229" t="str">
            <v>Reserves</v>
          </cell>
          <cell r="AA229">
            <v>250</v>
          </cell>
          <cell r="AB229">
            <v>0</v>
          </cell>
          <cell r="AC229">
            <v>0</v>
          </cell>
          <cell r="AD229">
            <v>0</v>
          </cell>
          <cell r="AE229">
            <v>0</v>
          </cell>
          <cell r="AF229">
            <v>0</v>
          </cell>
          <cell r="AG229">
            <v>0</v>
          </cell>
          <cell r="AH229">
            <v>9083.3333333333339</v>
          </cell>
          <cell r="AI229">
            <v>9083.3333333333339</v>
          </cell>
          <cell r="AJ229">
            <v>9083.3333333333339</v>
          </cell>
          <cell r="AK229">
            <v>9083.3333333333339</v>
          </cell>
          <cell r="AL229">
            <v>9083.3333333333339</v>
          </cell>
          <cell r="AM229">
            <v>9083.3333333333339</v>
          </cell>
          <cell r="AN229">
            <v>54500.000000000007</v>
          </cell>
        </row>
        <row r="230">
          <cell r="Z230" t="str">
            <v xml:space="preserve">   Total Expenses</v>
          </cell>
          <cell r="AB230">
            <v>90154.22085493333</v>
          </cell>
          <cell r="AC230">
            <v>90042.007936933325</v>
          </cell>
          <cell r="AD230">
            <v>89929.795018933335</v>
          </cell>
          <cell r="AE230">
            <v>90004.603630933329</v>
          </cell>
          <cell r="AF230">
            <v>90079.412242933322</v>
          </cell>
          <cell r="AG230">
            <v>90154.22085493333</v>
          </cell>
          <cell r="AH230">
            <v>99312.362800266652</v>
          </cell>
          <cell r="AI230">
            <v>99387.17141226666</v>
          </cell>
          <cell r="AJ230">
            <v>99461.980024266653</v>
          </cell>
          <cell r="AK230">
            <v>99536.788636266661</v>
          </cell>
          <cell r="AL230">
            <v>99611.597248266655</v>
          </cell>
          <cell r="AM230">
            <v>99686.405860266663</v>
          </cell>
          <cell r="AN230">
            <v>1137360.5665212001</v>
          </cell>
        </row>
        <row r="232">
          <cell r="Z232" t="str">
            <v>Expenses/Unit</v>
          </cell>
          <cell r="AB232">
            <v>206.77573590581039</v>
          </cell>
          <cell r="AC232">
            <v>206.51836682782871</v>
          </cell>
          <cell r="AD232">
            <v>206.26099774984709</v>
          </cell>
          <cell r="AE232">
            <v>206.43257713516817</v>
          </cell>
          <cell r="AF232">
            <v>206.60415652048928</v>
          </cell>
          <cell r="AG232">
            <v>206.77573590581039</v>
          </cell>
          <cell r="AH232">
            <v>227.78064862446479</v>
          </cell>
          <cell r="AI232">
            <v>227.95222800978593</v>
          </cell>
          <cell r="AJ232">
            <v>228.12380739510701</v>
          </cell>
          <cell r="AK232">
            <v>228.29538678042812</v>
          </cell>
          <cell r="AL232">
            <v>228.4669661657492</v>
          </cell>
          <cell r="AM232">
            <v>228.63854555107034</v>
          </cell>
          <cell r="AN232">
            <v>2608.6251525715597</v>
          </cell>
        </row>
        <row r="234">
          <cell r="Z234" t="str">
            <v>NOI</v>
          </cell>
          <cell r="AB234">
            <v>72180.467185066678</v>
          </cell>
          <cell r="AC234">
            <v>69487.357153066681</v>
          </cell>
          <cell r="AD234">
            <v>66794.24712106667</v>
          </cell>
          <cell r="AE234">
            <v>68589.653809066658</v>
          </cell>
          <cell r="AF234">
            <v>70385.060497066675</v>
          </cell>
          <cell r="AG234">
            <v>72180.467185066678</v>
          </cell>
          <cell r="AH234">
            <v>64892.540539733338</v>
          </cell>
          <cell r="AI234">
            <v>66687.947227733341</v>
          </cell>
          <cell r="AJ234">
            <v>68483.353915733358</v>
          </cell>
          <cell r="AK234">
            <v>70278.760603733332</v>
          </cell>
          <cell r="AL234">
            <v>72074.167291733349</v>
          </cell>
          <cell r="AM234">
            <v>73869.573979733352</v>
          </cell>
          <cell r="AN234">
            <v>835903.59650880005</v>
          </cell>
        </row>
        <row r="237">
          <cell r="Z237" t="str">
            <v>CONSTRUCTION DRAWS</v>
          </cell>
          <cell r="AB237">
            <v>35551</v>
          </cell>
          <cell r="AC237">
            <v>35582</v>
          </cell>
          <cell r="AD237">
            <v>35612</v>
          </cell>
          <cell r="AE237">
            <v>35643</v>
          </cell>
          <cell r="AF237">
            <v>35674</v>
          </cell>
          <cell r="AG237">
            <v>35704</v>
          </cell>
          <cell r="AH237">
            <v>35735</v>
          </cell>
          <cell r="AI237">
            <v>35765</v>
          </cell>
          <cell r="AJ237">
            <v>35796</v>
          </cell>
          <cell r="AK237">
            <v>35827</v>
          </cell>
          <cell r="AL237">
            <v>35855</v>
          </cell>
          <cell r="AM237">
            <v>35886</v>
          </cell>
          <cell r="AN237" t="str">
            <v>Total</v>
          </cell>
        </row>
        <row r="239">
          <cell r="Z239" t="str">
            <v>First Funding - First Mortgage</v>
          </cell>
          <cell r="AA239">
            <v>5813484</v>
          </cell>
        </row>
        <row r="241">
          <cell r="Z241" t="str">
            <v>Total (Balance to be drawn)</v>
          </cell>
          <cell r="AA241">
            <v>636516</v>
          </cell>
          <cell r="AB241">
            <v>108207.72</v>
          </cell>
          <cell r="AC241">
            <v>108207.72</v>
          </cell>
          <cell r="AD241">
            <v>210050.28</v>
          </cell>
          <cell r="AE241">
            <v>108207.72</v>
          </cell>
          <cell r="AF241">
            <v>20368.511999999999</v>
          </cell>
          <cell r="AG241">
            <v>20368.511999999999</v>
          </cell>
          <cell r="AH241">
            <v>20368.511999999999</v>
          </cell>
          <cell r="AI241">
            <v>20368.511999999999</v>
          </cell>
          <cell r="AJ241">
            <v>20368.511999999999</v>
          </cell>
          <cell r="AK241">
            <v>0</v>
          </cell>
          <cell r="AL241">
            <v>0</v>
          </cell>
          <cell r="AM241">
            <v>0</v>
          </cell>
          <cell r="AN241">
            <v>636515.99999999988</v>
          </cell>
        </row>
        <row r="243">
          <cell r="Z243" t="str">
            <v>1st MTGE BALANCE ANALYSIS</v>
          </cell>
        </row>
        <row r="245">
          <cell r="Z245" t="str">
            <v>Beginning Balance</v>
          </cell>
          <cell r="AB245">
            <v>5813484</v>
          </cell>
          <cell r="AC245">
            <v>5921691.7199999997</v>
          </cell>
          <cell r="AD245">
            <v>6029899.4399999995</v>
          </cell>
          <cell r="AE245">
            <v>6239949.7199999997</v>
          </cell>
          <cell r="AF245">
            <v>6348157.4399999995</v>
          </cell>
          <cell r="AG245">
            <v>6368525.9519999996</v>
          </cell>
          <cell r="AH245">
            <v>6388894.4639999997</v>
          </cell>
          <cell r="AI245">
            <v>6409262.9759999998</v>
          </cell>
          <cell r="AJ245">
            <v>6429631.4879999999</v>
          </cell>
          <cell r="AK245">
            <v>6450000</v>
          </cell>
          <cell r="AL245">
            <v>6450000</v>
          </cell>
          <cell r="AM245">
            <v>6450000</v>
          </cell>
          <cell r="AN245">
            <v>5813484</v>
          </cell>
        </row>
        <row r="246">
          <cell r="Z246" t="str">
            <v xml:space="preserve">  Add:  Construction Draw</v>
          </cell>
          <cell r="AB246">
            <v>108207.72</v>
          </cell>
          <cell r="AC246">
            <v>108207.72</v>
          </cell>
          <cell r="AD246">
            <v>210050.28</v>
          </cell>
          <cell r="AE246">
            <v>108207.72</v>
          </cell>
          <cell r="AF246">
            <v>20368.511999999999</v>
          </cell>
          <cell r="AG246">
            <v>20368.511999999999</v>
          </cell>
          <cell r="AH246">
            <v>20368.511999999999</v>
          </cell>
          <cell r="AI246">
            <v>20368.511999999999</v>
          </cell>
          <cell r="AJ246">
            <v>20368.511999999999</v>
          </cell>
          <cell r="AK246">
            <v>0</v>
          </cell>
          <cell r="AL246">
            <v>0</v>
          </cell>
          <cell r="AM246">
            <v>0</v>
          </cell>
          <cell r="AN246">
            <v>636515.99999999988</v>
          </cell>
        </row>
        <row r="247">
          <cell r="Z247" t="str">
            <v xml:space="preserve">  Add:  Interest Accrual</v>
          </cell>
          <cell r="AB247">
            <v>0</v>
          </cell>
          <cell r="AC247">
            <v>0</v>
          </cell>
          <cell r="AD247">
            <v>0</v>
          </cell>
          <cell r="AE247">
            <v>0</v>
          </cell>
          <cell r="AF247">
            <v>0</v>
          </cell>
          <cell r="AG247">
            <v>0</v>
          </cell>
          <cell r="AH247">
            <v>0</v>
          </cell>
          <cell r="AI247">
            <v>0</v>
          </cell>
          <cell r="AJ247">
            <v>0</v>
          </cell>
          <cell r="AK247">
            <v>0</v>
          </cell>
          <cell r="AL247">
            <v>0</v>
          </cell>
          <cell r="AM247">
            <v>0</v>
          </cell>
          <cell r="AN247">
            <v>0</v>
          </cell>
        </row>
        <row r="248">
          <cell r="Z248" t="str">
            <v xml:space="preserve">  Less:  Amortization</v>
          </cell>
          <cell r="AB248">
            <v>0</v>
          </cell>
          <cell r="AC248">
            <v>0</v>
          </cell>
          <cell r="AD248">
            <v>0</v>
          </cell>
          <cell r="AE248">
            <v>0</v>
          </cell>
          <cell r="AF248">
            <v>0</v>
          </cell>
          <cell r="AG248">
            <v>0</v>
          </cell>
          <cell r="AH248">
            <v>0</v>
          </cell>
          <cell r="AI248">
            <v>0</v>
          </cell>
          <cell r="AJ248">
            <v>0</v>
          </cell>
          <cell r="AK248">
            <v>0</v>
          </cell>
          <cell r="AL248">
            <v>0</v>
          </cell>
          <cell r="AM248">
            <v>0</v>
          </cell>
          <cell r="AN248">
            <v>0</v>
          </cell>
        </row>
        <row r="249">
          <cell r="Z249" t="str">
            <v xml:space="preserve">  Less:  Excess CF </v>
          </cell>
          <cell r="AB249">
            <v>0</v>
          </cell>
          <cell r="AC249">
            <v>0</v>
          </cell>
          <cell r="AD249">
            <v>0</v>
          </cell>
          <cell r="AE249">
            <v>0</v>
          </cell>
          <cell r="AF249">
            <v>0</v>
          </cell>
          <cell r="AG249">
            <v>0</v>
          </cell>
          <cell r="AH249">
            <v>0</v>
          </cell>
          <cell r="AI249">
            <v>0</v>
          </cell>
          <cell r="AJ249">
            <v>0</v>
          </cell>
          <cell r="AK249">
            <v>0</v>
          </cell>
          <cell r="AL249">
            <v>0</v>
          </cell>
          <cell r="AM249">
            <v>0</v>
          </cell>
          <cell r="AN249">
            <v>0</v>
          </cell>
        </row>
        <row r="250">
          <cell r="Z250" t="str">
            <v>Total</v>
          </cell>
          <cell r="AB250">
            <v>5921691.7199999997</v>
          </cell>
          <cell r="AC250">
            <v>6029899.4399999995</v>
          </cell>
          <cell r="AD250">
            <v>6239949.7199999997</v>
          </cell>
          <cell r="AE250">
            <v>6348157.4399999995</v>
          </cell>
          <cell r="AF250">
            <v>6368525.9519999996</v>
          </cell>
          <cell r="AG250">
            <v>6388894.4639999997</v>
          </cell>
          <cell r="AH250">
            <v>6409262.9759999998</v>
          </cell>
          <cell r="AI250">
            <v>6429631.4879999999</v>
          </cell>
          <cell r="AJ250">
            <v>6450000</v>
          </cell>
          <cell r="AK250">
            <v>6450000</v>
          </cell>
          <cell r="AL250">
            <v>6450000</v>
          </cell>
          <cell r="AM250">
            <v>6450000</v>
          </cell>
          <cell r="AN250">
            <v>6450000</v>
          </cell>
        </row>
        <row r="252">
          <cell r="Z252" t="str">
            <v>Average Balance</v>
          </cell>
          <cell r="AB252">
            <v>5867587.8599999994</v>
          </cell>
          <cell r="AC252">
            <v>5975795.5800000001</v>
          </cell>
          <cell r="AD252">
            <v>6134924.5800000001</v>
          </cell>
          <cell r="AE252">
            <v>6294053.5800000001</v>
          </cell>
          <cell r="AF252">
            <v>6358341.6959999995</v>
          </cell>
          <cell r="AG252">
            <v>6378710.2079999996</v>
          </cell>
          <cell r="AH252">
            <v>6399078.7199999997</v>
          </cell>
          <cell r="AI252">
            <v>6419447.2319999998</v>
          </cell>
          <cell r="AJ252">
            <v>6439815.7439999999</v>
          </cell>
          <cell r="AK252">
            <v>6450000</v>
          </cell>
          <cell r="AL252">
            <v>6450000</v>
          </cell>
          <cell r="AM252">
            <v>6450000</v>
          </cell>
          <cell r="AN252">
            <v>6301479.6000000006</v>
          </cell>
        </row>
        <row r="254">
          <cell r="Z254" t="str">
            <v>JUNIOR LOAN BALANCE ANALYSIS</v>
          </cell>
        </row>
        <row r="256">
          <cell r="Z256" t="str">
            <v>Beginning Balance</v>
          </cell>
          <cell r="AB256">
            <v>1800000</v>
          </cell>
          <cell r="AC256">
            <v>1788546.7614346063</v>
          </cell>
          <cell r="AD256">
            <v>1780478.0377147866</v>
          </cell>
          <cell r="AE256">
            <v>1776201.0108992902</v>
          </cell>
          <cell r="AF256">
            <v>1771242.7164142914</v>
          </cell>
          <cell r="AG256">
            <v>1764901.2841198957</v>
          </cell>
          <cell r="AH256">
            <v>1756840.9567391241</v>
          </cell>
          <cell r="AI256">
            <v>1756173.4371689311</v>
          </cell>
          <cell r="AJ256">
            <v>1753844.0467608466</v>
          </cell>
          <cell r="AK256">
            <v>1749836.0832953944</v>
          </cell>
          <cell r="AL256">
            <v>1744058.0433247618</v>
          </cell>
          <cell r="AM256">
            <v>1736417.5037684948</v>
          </cell>
          <cell r="AN256">
            <v>1800000</v>
          </cell>
        </row>
        <row r="257">
          <cell r="Z257" t="str">
            <v xml:space="preserve">  Add:  Construction Draw</v>
          </cell>
          <cell r="AB257">
            <v>0</v>
          </cell>
          <cell r="AC257">
            <v>0</v>
          </cell>
          <cell r="AD257">
            <v>0</v>
          </cell>
          <cell r="AE257">
            <v>0</v>
          </cell>
          <cell r="AF257">
            <v>0</v>
          </cell>
          <cell r="AG257">
            <v>0</v>
          </cell>
          <cell r="AH257">
            <v>0</v>
          </cell>
          <cell r="AI257">
            <v>0</v>
          </cell>
          <cell r="AJ257">
            <v>0</v>
          </cell>
          <cell r="AK257">
            <v>0</v>
          </cell>
          <cell r="AL257">
            <v>0</v>
          </cell>
          <cell r="AM257">
            <v>0</v>
          </cell>
          <cell r="AN257">
            <v>0</v>
          </cell>
        </row>
        <row r="258">
          <cell r="Z258" t="str">
            <v xml:space="preserve">  Add:  Interest Accrual</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row>
        <row r="259">
          <cell r="Z259" t="str">
            <v xml:space="preserve">  Add:  Amortization</v>
          </cell>
        </row>
        <row r="260">
          <cell r="Z260" t="str">
            <v xml:space="preserve">  Less:  Excess CF </v>
          </cell>
          <cell r="AB260">
            <v>-11453.238565393651</v>
          </cell>
          <cell r="AC260">
            <v>-8068.7237198197181</v>
          </cell>
          <cell r="AD260">
            <v>-4277.0268154962978</v>
          </cell>
          <cell r="AE260">
            <v>-4958.2944849987543</v>
          </cell>
          <cell r="AF260">
            <v>-6341.4322943957523</v>
          </cell>
          <cell r="AG260">
            <v>-8060.3273807715887</v>
          </cell>
          <cell r="AH260">
            <v>-667.51957019306428</v>
          </cell>
          <cell r="AI260">
            <v>-2329.3904080844586</v>
          </cell>
          <cell r="AJ260">
            <v>-4007.9634654521578</v>
          </cell>
          <cell r="AK260">
            <v>-5778.0399706325552</v>
          </cell>
          <cell r="AL260">
            <v>-7640.5395562670747</v>
          </cell>
          <cell r="AM260">
            <v>-9521.7577307019237</v>
          </cell>
          <cell r="AN260">
            <v>-73104.253962207003</v>
          </cell>
        </row>
        <row r="261">
          <cell r="Z261" t="str">
            <v>Total</v>
          </cell>
          <cell r="AB261">
            <v>1788546.7614346063</v>
          </cell>
          <cell r="AC261">
            <v>1780478.0377147866</v>
          </cell>
          <cell r="AD261">
            <v>1776201.0108992902</v>
          </cell>
          <cell r="AE261">
            <v>1771242.7164142914</v>
          </cell>
          <cell r="AF261">
            <v>1764901.2841198957</v>
          </cell>
          <cell r="AG261">
            <v>1756840.9567391241</v>
          </cell>
          <cell r="AH261">
            <v>1756173.4371689311</v>
          </cell>
          <cell r="AI261">
            <v>1753844.0467608466</v>
          </cell>
          <cell r="AJ261">
            <v>1749836.0832953944</v>
          </cell>
          <cell r="AK261">
            <v>1744058.0433247618</v>
          </cell>
          <cell r="AL261">
            <v>1736417.5037684948</v>
          </cell>
          <cell r="AM261">
            <v>1726895.7460377929</v>
          </cell>
          <cell r="AN261">
            <v>1726895.7460377929</v>
          </cell>
        </row>
        <row r="263">
          <cell r="Z263" t="str">
            <v>Average Balance</v>
          </cell>
          <cell r="AB263">
            <v>1794273.3807173031</v>
          </cell>
          <cell r="AC263">
            <v>1784512.3995746966</v>
          </cell>
          <cell r="AD263">
            <v>1778339.5243070384</v>
          </cell>
          <cell r="AE263">
            <v>1773721.8636567909</v>
          </cell>
          <cell r="AF263">
            <v>1768072.0002670935</v>
          </cell>
          <cell r="AG263">
            <v>1760871.1204295098</v>
          </cell>
          <cell r="AH263">
            <v>1756507.1969540277</v>
          </cell>
          <cell r="AI263">
            <v>1755008.7419648888</v>
          </cell>
          <cell r="AJ263">
            <v>1751840.0650281205</v>
          </cell>
          <cell r="AK263">
            <v>1746947.0633100781</v>
          </cell>
          <cell r="AL263">
            <v>1740237.7735466282</v>
          </cell>
          <cell r="AM263">
            <v>1731656.6249031438</v>
          </cell>
          <cell r="AN263">
            <v>1763447.8730188964</v>
          </cell>
        </row>
        <row r="265">
          <cell r="Z265" t="str">
            <v>INTEREST ANALYSIS</v>
          </cell>
        </row>
        <row r="267">
          <cell r="Z267" t="str">
            <v>First Mortgage</v>
          </cell>
        </row>
        <row r="268">
          <cell r="Z268" t="str">
            <v>Average Balance</v>
          </cell>
          <cell r="AB268">
            <v>5867587.8599999994</v>
          </cell>
          <cell r="AC268">
            <v>5975795.5800000001</v>
          </cell>
          <cell r="AD268">
            <v>6134924.5800000001</v>
          </cell>
          <cell r="AE268">
            <v>6294053.5800000001</v>
          </cell>
          <cell r="AF268">
            <v>6358341.6959999995</v>
          </cell>
          <cell r="AG268">
            <v>6378710.2079999996</v>
          </cell>
          <cell r="AH268">
            <v>6399078.7199999997</v>
          </cell>
          <cell r="AI268">
            <v>6419447.2319999998</v>
          </cell>
          <cell r="AJ268">
            <v>6439815.7439999999</v>
          </cell>
          <cell r="AK268">
            <v>6450000</v>
          </cell>
          <cell r="AL268">
            <v>6450000</v>
          </cell>
          <cell r="AM268">
            <v>6450000</v>
          </cell>
          <cell r="AN268">
            <v>6301479.6000000006</v>
          </cell>
        </row>
        <row r="269">
          <cell r="Z269" t="str">
            <v xml:space="preserve"> x Interest Rate</v>
          </cell>
          <cell r="AA269" t="str">
            <v>X</v>
          </cell>
          <cell r="AB269">
            <v>7.2916666666666659E-3</v>
          </cell>
          <cell r="AC269">
            <v>7.2916666666666659E-3</v>
          </cell>
          <cell r="AD269">
            <v>7.2916666666666659E-3</v>
          </cell>
          <cell r="AE269">
            <v>7.2916666666666659E-3</v>
          </cell>
          <cell r="AF269">
            <v>7.2916666666666659E-3</v>
          </cell>
          <cell r="AG269">
            <v>7.2916666666666659E-3</v>
          </cell>
          <cell r="AH269">
            <v>7.2916666666666659E-3</v>
          </cell>
          <cell r="AI269">
            <v>7.2916666666666659E-3</v>
          </cell>
          <cell r="AJ269">
            <v>7.2916666666666659E-3</v>
          </cell>
          <cell r="AK269">
            <v>7.2916666666666659E-3</v>
          </cell>
          <cell r="AL269">
            <v>7.2916666666666659E-3</v>
          </cell>
          <cell r="AM269">
            <v>7.2916666666666659E-3</v>
          </cell>
        </row>
        <row r="270">
          <cell r="Z270" t="str">
            <v>Interest on 1st Mtge</v>
          </cell>
          <cell r="AB270">
            <v>42784.494812499994</v>
          </cell>
          <cell r="AC270">
            <v>43573.509437499997</v>
          </cell>
          <cell r="AD270">
            <v>44733.825062499993</v>
          </cell>
          <cell r="AE270">
            <v>45894.140687499996</v>
          </cell>
          <cell r="AF270">
            <v>46362.908199999991</v>
          </cell>
          <cell r="AG270">
            <v>46511.428599999992</v>
          </cell>
          <cell r="AH270">
            <v>46659.948999999993</v>
          </cell>
          <cell r="AI270">
            <v>46808.469399999994</v>
          </cell>
          <cell r="AJ270">
            <v>46956.989799999996</v>
          </cell>
          <cell r="AK270">
            <v>47031.249999999993</v>
          </cell>
          <cell r="AL270">
            <v>47031.249999999993</v>
          </cell>
          <cell r="AM270">
            <v>47031.249999999993</v>
          </cell>
          <cell r="AN270">
            <v>551379.46499999985</v>
          </cell>
        </row>
        <row r="272">
          <cell r="Z272" t="str">
            <v>Junior Loan</v>
          </cell>
        </row>
        <row r="273">
          <cell r="Z273" t="str">
            <v>Average Balance</v>
          </cell>
          <cell r="AB273">
            <v>1794273.3807173031</v>
          </cell>
          <cell r="AC273">
            <v>1784512.3995746966</v>
          </cell>
          <cell r="AD273">
            <v>1778339.5243070384</v>
          </cell>
          <cell r="AE273">
            <v>1773721.8636567909</v>
          </cell>
          <cell r="AF273">
            <v>1768072.0002670935</v>
          </cell>
          <cell r="AG273">
            <v>1760871.1204295098</v>
          </cell>
          <cell r="AH273">
            <v>1756507.1969540277</v>
          </cell>
          <cell r="AI273">
            <v>1755008.7419648888</v>
          </cell>
          <cell r="AJ273">
            <v>1751840.0650281205</v>
          </cell>
          <cell r="AK273">
            <v>1746947.0633100781</v>
          </cell>
          <cell r="AL273">
            <v>1740237.7735466282</v>
          </cell>
          <cell r="AM273">
            <v>1731656.6249031438</v>
          </cell>
          <cell r="AN273">
            <v>1763447.8730188964</v>
          </cell>
        </row>
        <row r="274">
          <cell r="Z274" t="str">
            <v xml:space="preserve"> x Interest Rate</v>
          </cell>
          <cell r="AA274" t="str">
            <v>X</v>
          </cell>
          <cell r="AB274">
            <v>0.01</v>
          </cell>
          <cell r="AC274">
            <v>0.01</v>
          </cell>
          <cell r="AD274">
            <v>0.01</v>
          </cell>
          <cell r="AE274">
            <v>0.01</v>
          </cell>
          <cell r="AF274">
            <v>0.01</v>
          </cell>
          <cell r="AG274">
            <v>0.01</v>
          </cell>
          <cell r="AH274">
            <v>0.01</v>
          </cell>
          <cell r="AI274">
            <v>0.01</v>
          </cell>
          <cell r="AJ274">
            <v>0.01</v>
          </cell>
          <cell r="AK274">
            <v>0.01</v>
          </cell>
          <cell r="AL274">
            <v>0.01</v>
          </cell>
          <cell r="AM274">
            <v>0.01</v>
          </cell>
        </row>
        <row r="275">
          <cell r="Z275" t="str">
            <v>Interest on 2 nd Mtge</v>
          </cell>
          <cell r="AB275">
            <v>17942.73380717303</v>
          </cell>
          <cell r="AC275">
            <v>17845.123995746966</v>
          </cell>
          <cell r="AD275">
            <v>17783.395243070383</v>
          </cell>
          <cell r="AE275">
            <v>17737.218636567908</v>
          </cell>
          <cell r="AF275">
            <v>17680.720002670936</v>
          </cell>
          <cell r="AG275">
            <v>17608.711204295098</v>
          </cell>
          <cell r="AH275">
            <v>17565.071969540277</v>
          </cell>
          <cell r="AI275">
            <v>17550.087419648888</v>
          </cell>
          <cell r="AJ275">
            <v>17518.400650281204</v>
          </cell>
          <cell r="AK275">
            <v>17469.47063310078</v>
          </cell>
          <cell r="AL275">
            <v>17402.377735466282</v>
          </cell>
          <cell r="AM275">
            <v>17316.566249031439</v>
          </cell>
          <cell r="AN275">
            <v>211419.8775465932</v>
          </cell>
        </row>
        <row r="277">
          <cell r="Z277" t="str">
            <v>TOTAL INTEREST</v>
          </cell>
          <cell r="AB277">
            <v>60727.228619673027</v>
          </cell>
          <cell r="AC277">
            <v>61418.633433246963</v>
          </cell>
          <cell r="AD277">
            <v>62517.220305570372</v>
          </cell>
          <cell r="AE277">
            <v>63631.359324067904</v>
          </cell>
          <cell r="AF277">
            <v>64043.628202670923</v>
          </cell>
          <cell r="AG277">
            <v>64120.13980429509</v>
          </cell>
          <cell r="AH277">
            <v>64225.020969540274</v>
          </cell>
          <cell r="AI277">
            <v>64358.556819648882</v>
          </cell>
          <cell r="AJ277">
            <v>64475.3904502812</v>
          </cell>
          <cell r="AK277">
            <v>64500.720633100776</v>
          </cell>
          <cell r="AL277">
            <v>64433.627735466274</v>
          </cell>
          <cell r="AM277">
            <v>64347.816249031428</v>
          </cell>
          <cell r="AN277">
            <v>762799.34254659305</v>
          </cell>
        </row>
        <row r="279">
          <cell r="Z279" t="str">
            <v>Monthly Cash Flow</v>
          </cell>
          <cell r="AB279">
            <v>72180.467185066678</v>
          </cell>
          <cell r="AC279">
            <v>69487.357153066681</v>
          </cell>
          <cell r="AD279">
            <v>66794.24712106667</v>
          </cell>
          <cell r="AE279">
            <v>68589.653809066658</v>
          </cell>
          <cell r="AF279">
            <v>70385.060497066675</v>
          </cell>
          <cell r="AG279">
            <v>72180.467185066678</v>
          </cell>
          <cell r="AH279">
            <v>64892.540539733338</v>
          </cell>
          <cell r="AI279">
            <v>66687.947227733341</v>
          </cell>
          <cell r="AJ279">
            <v>68483.353915733358</v>
          </cell>
          <cell r="AK279">
            <v>70278.760603733332</v>
          </cell>
          <cell r="AL279">
            <v>72074.167291733349</v>
          </cell>
          <cell r="AM279">
            <v>73869.573979733352</v>
          </cell>
          <cell r="AN279">
            <v>835903.59650880017</v>
          </cell>
        </row>
        <row r="280">
          <cell r="Z280" t="str">
            <v>Accrual</v>
          </cell>
          <cell r="AB280">
            <v>0</v>
          </cell>
          <cell r="AC280">
            <v>0</v>
          </cell>
          <cell r="AD280">
            <v>0</v>
          </cell>
          <cell r="AE280">
            <v>0</v>
          </cell>
          <cell r="AF280">
            <v>0</v>
          </cell>
          <cell r="AG280">
            <v>0</v>
          </cell>
          <cell r="AH280">
            <v>0</v>
          </cell>
          <cell r="AI280">
            <v>0</v>
          </cell>
          <cell r="AJ280">
            <v>0</v>
          </cell>
          <cell r="AK280">
            <v>0</v>
          </cell>
          <cell r="AL280">
            <v>0</v>
          </cell>
          <cell r="AM280">
            <v>0</v>
          </cell>
          <cell r="AN280">
            <v>0</v>
          </cell>
        </row>
        <row r="281">
          <cell r="Z281" t="str">
            <v>Excess Cash Flow</v>
          </cell>
          <cell r="AB281">
            <v>11453.238565393651</v>
          </cell>
          <cell r="AC281">
            <v>8068.7237198197181</v>
          </cell>
          <cell r="AD281">
            <v>4277.0268154962978</v>
          </cell>
          <cell r="AE281">
            <v>4958.2944849987543</v>
          </cell>
          <cell r="AF281">
            <v>6341.4322943957523</v>
          </cell>
          <cell r="AG281">
            <v>8060.3273807715887</v>
          </cell>
          <cell r="AH281">
            <v>667.51957019306428</v>
          </cell>
          <cell r="AI281">
            <v>2329.3904080844586</v>
          </cell>
          <cell r="AJ281">
            <v>4007.9634654521578</v>
          </cell>
          <cell r="AK281">
            <v>5778.0399706325552</v>
          </cell>
          <cell r="AL281">
            <v>7640.5395562670747</v>
          </cell>
          <cell r="AM281">
            <v>9521.7577307019237</v>
          </cell>
          <cell r="AN281">
            <v>73104.253962207003</v>
          </cell>
        </row>
      </sheetData>
      <sheetData sheetId="2"/>
      <sheetData sheetId="3" refreshError="1"/>
      <sheetData sheetId="4" refreshError="1"/>
      <sheetData sheetId="5" refreshError="1"/>
      <sheetData sheetId="6" refreshError="1"/>
      <sheetData sheetId="7" refreshError="1"/>
      <sheetData sheetId="8" refreshError="1"/>
      <sheetData sheetId="9"/>
      <sheetData sheetId="10"/>
      <sheetData sheetId="11" refreshError="1"/>
      <sheetData sheetId="12" refreshError="1"/>
      <sheetData sheetId="13" refreshError="1"/>
      <sheetData sheetId="14" refreshError="1"/>
      <sheetData sheetId="15"/>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s>
    <sheetDataSet>
      <sheetData sheetId="0">
        <row r="2">
          <cell r="A2" t="str">
            <v>As of</v>
          </cell>
        </row>
        <row r="3">
          <cell r="A3" t="str">
            <v>Units</v>
          </cell>
        </row>
        <row r="4">
          <cell r="A4">
            <v>372</v>
          </cell>
        </row>
        <row r="5">
          <cell r="A5">
            <v>32</v>
          </cell>
        </row>
        <row r="6">
          <cell r="A6">
            <v>412</v>
          </cell>
        </row>
        <row r="7">
          <cell r="A7">
            <v>286</v>
          </cell>
        </row>
        <row r="8">
          <cell r="A8">
            <v>313</v>
          </cell>
        </row>
        <row r="9">
          <cell r="A9">
            <v>328</v>
          </cell>
        </row>
        <row r="10">
          <cell r="A10">
            <v>272</v>
          </cell>
        </row>
        <row r="11">
          <cell r="A11">
            <v>337</v>
          </cell>
        </row>
        <row r="12">
          <cell r="A12">
            <v>178</v>
          </cell>
        </row>
        <row r="13">
          <cell r="A13">
            <v>92</v>
          </cell>
        </row>
        <row r="14">
          <cell r="A14">
            <v>140</v>
          </cell>
        </row>
        <row r="15">
          <cell r="A15">
            <v>314</v>
          </cell>
        </row>
        <row r="16">
          <cell r="A16">
            <v>400</v>
          </cell>
        </row>
        <row r="17">
          <cell r="A17">
            <v>312</v>
          </cell>
        </row>
        <row r="18">
          <cell r="A18">
            <v>234</v>
          </cell>
        </row>
        <row r="19">
          <cell r="A19">
            <v>292</v>
          </cell>
        </row>
        <row r="20">
          <cell r="A20">
            <v>489</v>
          </cell>
        </row>
        <row r="21">
          <cell r="A21">
            <v>256</v>
          </cell>
        </row>
        <row r="22">
          <cell r="A22">
            <v>195</v>
          </cell>
        </row>
        <row r="23">
          <cell r="A23">
            <v>348</v>
          </cell>
        </row>
        <row r="24">
          <cell r="A24">
            <v>226</v>
          </cell>
        </row>
        <row r="25">
          <cell r="A25">
            <v>96</v>
          </cell>
        </row>
        <row r="26">
          <cell r="A26">
            <v>274</v>
          </cell>
        </row>
        <row r="27">
          <cell r="A27">
            <v>546</v>
          </cell>
        </row>
        <row r="28">
          <cell r="A28">
            <v>285</v>
          </cell>
        </row>
        <row r="29">
          <cell r="A29">
            <v>198</v>
          </cell>
        </row>
        <row r="30">
          <cell r="A30">
            <v>1682</v>
          </cell>
        </row>
        <row r="31">
          <cell r="A31">
            <v>345</v>
          </cell>
        </row>
        <row r="32">
          <cell r="A32">
            <v>326</v>
          </cell>
        </row>
        <row r="33">
          <cell r="A33">
            <v>124</v>
          </cell>
        </row>
        <row r="34">
          <cell r="A34">
            <v>372</v>
          </cell>
        </row>
        <row r="35">
          <cell r="A35">
            <v>152</v>
          </cell>
        </row>
        <row r="36">
          <cell r="A36">
            <v>176</v>
          </cell>
        </row>
        <row r="37">
          <cell r="A37">
            <v>162</v>
          </cell>
        </row>
        <row r="38">
          <cell r="A38">
            <v>137</v>
          </cell>
        </row>
        <row r="39">
          <cell r="A39">
            <v>174</v>
          </cell>
        </row>
        <row r="40">
          <cell r="A40">
            <v>104</v>
          </cell>
        </row>
        <row r="41">
          <cell r="A41">
            <v>180</v>
          </cell>
        </row>
        <row r="42">
          <cell r="A42">
            <v>268</v>
          </cell>
        </row>
        <row r="43">
          <cell r="A43">
            <v>278</v>
          </cell>
        </row>
        <row r="44">
          <cell r="A44">
            <v>222</v>
          </cell>
        </row>
        <row r="45">
          <cell r="A45">
            <v>57</v>
          </cell>
        </row>
        <row r="46">
          <cell r="A46">
            <v>272</v>
          </cell>
        </row>
        <row r="47">
          <cell r="A47">
            <v>72</v>
          </cell>
        </row>
        <row r="48">
          <cell r="A48">
            <v>173</v>
          </cell>
        </row>
        <row r="49">
          <cell r="A49">
            <v>108</v>
          </cell>
        </row>
        <row r="50">
          <cell r="A50">
            <v>316</v>
          </cell>
        </row>
        <row r="51">
          <cell r="A51">
            <v>256</v>
          </cell>
        </row>
        <row r="52">
          <cell r="A52">
            <v>336</v>
          </cell>
        </row>
        <row r="53">
          <cell r="A53">
            <v>188</v>
          </cell>
        </row>
        <row r="54">
          <cell r="A54">
            <v>286</v>
          </cell>
        </row>
        <row r="55">
          <cell r="A55">
            <v>308</v>
          </cell>
        </row>
        <row r="56">
          <cell r="A56">
            <v>308</v>
          </cell>
        </row>
        <row r="57">
          <cell r="A57">
            <v>310</v>
          </cell>
        </row>
        <row r="58">
          <cell r="A58">
            <v>328</v>
          </cell>
        </row>
        <row r="59">
          <cell r="A59">
            <v>333</v>
          </cell>
        </row>
        <row r="60">
          <cell r="A60">
            <v>240</v>
          </cell>
        </row>
        <row r="61">
          <cell r="A61">
            <v>135</v>
          </cell>
        </row>
        <row r="62">
          <cell r="A62">
            <v>286</v>
          </cell>
        </row>
        <row r="63">
          <cell r="A63">
            <v>152</v>
          </cell>
        </row>
        <row r="64">
          <cell r="A64">
            <v>156</v>
          </cell>
        </row>
        <row r="65">
          <cell r="A65">
            <v>193</v>
          </cell>
        </row>
        <row r="66">
          <cell r="A66">
            <v>611</v>
          </cell>
        </row>
        <row r="67">
          <cell r="A67">
            <v>516</v>
          </cell>
        </row>
        <row r="68">
          <cell r="A68">
            <v>671</v>
          </cell>
        </row>
        <row r="69">
          <cell r="A69">
            <v>344</v>
          </cell>
        </row>
        <row r="70">
          <cell r="A70">
            <v>763</v>
          </cell>
        </row>
        <row r="71">
          <cell r="A71">
            <v>255</v>
          </cell>
        </row>
        <row r="72">
          <cell r="A72">
            <v>256</v>
          </cell>
        </row>
        <row r="73">
          <cell r="A73">
            <v>280</v>
          </cell>
        </row>
        <row r="74">
          <cell r="A74">
            <v>332</v>
          </cell>
        </row>
        <row r="75">
          <cell r="A75">
            <v>384</v>
          </cell>
        </row>
        <row r="76">
          <cell r="A76">
            <v>271</v>
          </cell>
        </row>
        <row r="77">
          <cell r="A77">
            <v>222</v>
          </cell>
        </row>
        <row r="78">
          <cell r="A78">
            <v>452</v>
          </cell>
        </row>
        <row r="79">
          <cell r="A79">
            <v>154</v>
          </cell>
        </row>
        <row r="80">
          <cell r="A80">
            <v>200</v>
          </cell>
        </row>
        <row r="81">
          <cell r="A81">
            <v>232</v>
          </cell>
        </row>
        <row r="82">
          <cell r="A82">
            <v>128</v>
          </cell>
        </row>
        <row r="83">
          <cell r="A83">
            <v>232</v>
          </cell>
        </row>
        <row r="84">
          <cell r="A84">
            <v>114</v>
          </cell>
        </row>
        <row r="85">
          <cell r="A85">
            <v>152</v>
          </cell>
        </row>
        <row r="86">
          <cell r="A86">
            <v>174</v>
          </cell>
        </row>
        <row r="87">
          <cell r="A87">
            <v>164</v>
          </cell>
        </row>
        <row r="88">
          <cell r="A88">
            <v>324</v>
          </cell>
        </row>
        <row r="89">
          <cell r="A89">
            <v>398</v>
          </cell>
        </row>
        <row r="90">
          <cell r="A90">
            <v>252</v>
          </cell>
        </row>
        <row r="91">
          <cell r="A91">
            <v>264</v>
          </cell>
        </row>
        <row r="92">
          <cell r="A92">
            <v>324</v>
          </cell>
        </row>
        <row r="93">
          <cell r="A93">
            <v>612</v>
          </cell>
        </row>
        <row r="94">
          <cell r="A94">
            <v>152</v>
          </cell>
        </row>
        <row r="95">
          <cell r="A95">
            <v>125</v>
          </cell>
        </row>
        <row r="96">
          <cell r="A96">
            <v>198</v>
          </cell>
        </row>
        <row r="97">
          <cell r="A97">
            <v>397</v>
          </cell>
        </row>
        <row r="98">
          <cell r="A98">
            <v>63</v>
          </cell>
        </row>
        <row r="99">
          <cell r="A99">
            <v>90</v>
          </cell>
        </row>
        <row r="100">
          <cell r="A100">
            <v>159</v>
          </cell>
        </row>
        <row r="101">
          <cell r="A101">
            <v>161</v>
          </cell>
        </row>
        <row r="102">
          <cell r="A102">
            <v>48</v>
          </cell>
        </row>
        <row r="103">
          <cell r="A103">
            <v>240</v>
          </cell>
        </row>
        <row r="104">
          <cell r="A104">
            <v>418</v>
          </cell>
        </row>
      </sheetData>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Income &amp; Expenses"/>
      <sheetName val="12 MO 2004"/>
      <sheetName val="Revised Apartment Investment"/>
      <sheetName val="Amortization Schedule 1st"/>
      <sheetName val="Amortization Schedule 2nd"/>
      <sheetName val="Amortization Schedule 3rd"/>
    </sheetNames>
    <sheetDataSet>
      <sheetData sheetId="0" refreshError="1"/>
      <sheetData sheetId="1"/>
      <sheetData sheetId="2" refreshError="1"/>
      <sheetData sheetId="3" refreshError="1"/>
      <sheetData sheetId="4" refreshError="1"/>
      <sheetData sheetId="5"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2 MO 2004"/>
      <sheetName val="Praedium Assumptions"/>
      <sheetName val="Property Valuation"/>
      <sheetName val="Amortization Schedule 1st"/>
      <sheetName val="Amortization Schedule 2nd"/>
      <sheetName val="Amortization Schedule 3rd"/>
    </sheetNames>
    <sheetDataSet>
      <sheetData sheetId="0"/>
      <sheetData sheetId="1"/>
      <sheetData sheetId="2"/>
      <sheetData sheetId="3"/>
      <sheetData sheetId="4"/>
      <sheetData sheetId="5"/>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avannah Apartments Unit Mix"/>
      <sheetName val="Total Acquisition and Rehab"/>
      <sheetName val="Investment Analysis Savannah "/>
      <sheetName val="Summary of Hard Costs"/>
      <sheetName val="Savannah Place"/>
      <sheetName val="Historical Performance"/>
      <sheetName val="SUMMARY"/>
      <sheetName val="Life Safety Issues"/>
      <sheetName val="Expenses"/>
      <sheetName val="SAVANNAH PARTIAL AUDIT"/>
      <sheetName val="SAVANNAH LEASE AUDIT"/>
      <sheetName val="Capps Walk"/>
      <sheetName val="AECC Comparison"/>
      <sheetName val="Savannah 12-19 Walk"/>
      <sheetName val="Additnl 12 Units"/>
      <sheetName val="Additnl 10 Units"/>
      <sheetName val="unit value"/>
      <sheetName val="Closing 15-Dec-96"/>
      <sheetName val="5-Jun-97"/>
      <sheetName val="20-Nov-97"/>
      <sheetName val="12-Jan-98"/>
      <sheetName val="1-Jun-98"/>
      <sheetName val="Potential Loan"/>
      <sheetName val="Loan Amortixation"/>
      <sheetName val="Valuation Savannah 31-May-98"/>
      <sheetName val="SVA-BUD"/>
      <sheetName val="Projected Performance 1997"/>
      <sheetName val="Investment Analysis  DCF"/>
      <sheetName val="Lease Audit at Acquisition"/>
    </sheetNames>
    <sheetDataSet>
      <sheetData sheetId="0"/>
      <sheetData sheetId="1" refreshError="1"/>
      <sheetData sheetId="2" refreshError="1"/>
      <sheetData sheetId="3"/>
      <sheetData sheetId="4"/>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900A2E9-CDDC-D94A-A1A7-8DD15E52AE8D}">
  <we:reference id="wa200009404" version="1.0.0.8" store="en-US" storeType="OMEX"/>
  <we:alternateReferences>
    <we:reference id="wa200009404" version="1.0.0.8" store="" storeType="OMEX"/>
  </we:alternateReferences>
  <we:properties>
    <we:property name="claude.fileId" value="&quot;896abe2a-bebb-4399-b9f1-3c6a0e1d3b19&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34511-DA6D-49E3-AEE7-B27D950640F7}">
  <sheetPr>
    <pageSetUpPr fitToPage="1"/>
  </sheetPr>
  <dimension ref="A1:P38"/>
  <sheetViews>
    <sheetView showGridLines="0" zoomScale="80" zoomScaleNormal="80" workbookViewId="0">
      <selection activeCell="D37" sqref="D37"/>
    </sheetView>
  </sheetViews>
  <sheetFormatPr baseColWidth="10" defaultColWidth="8.83203125" defaultRowHeight="15"/>
  <cols>
    <col min="1" max="1" width="31.1640625" bestFit="1" customWidth="1"/>
    <col min="2" max="2" width="16.1640625" bestFit="1" customWidth="1"/>
    <col min="3" max="3" width="5" customWidth="1"/>
    <col min="4" max="4" width="26.1640625" customWidth="1"/>
    <col min="5" max="5" width="16.1640625" customWidth="1"/>
    <col min="6" max="6" width="5" customWidth="1"/>
    <col min="7" max="7" width="30.33203125" customWidth="1"/>
    <col min="8" max="8" width="17.1640625" bestFit="1" customWidth="1"/>
    <col min="9" max="9" width="16.1640625" style="101" bestFit="1" customWidth="1"/>
    <col min="10" max="10" width="17.5" style="101" bestFit="1" customWidth="1"/>
    <col min="16" max="16" width="13.5" bestFit="1" customWidth="1"/>
  </cols>
  <sheetData>
    <row r="1" spans="1:16">
      <c r="A1" s="118"/>
    </row>
    <row r="2" spans="1:16">
      <c r="A2" s="118"/>
    </row>
    <row r="3" spans="1:16">
      <c r="A3" s="147">
        <v>46113</v>
      </c>
    </row>
    <row r="4" spans="1:16">
      <c r="A4" s="118"/>
    </row>
    <row r="5" spans="1:16">
      <c r="A5" t="s">
        <v>238</v>
      </c>
      <c r="B5" s="187">
        <v>0</v>
      </c>
      <c r="D5" s="142" t="s">
        <v>265</v>
      </c>
      <c r="E5" s="122"/>
    </row>
    <row r="6" spans="1:16">
      <c r="A6" t="s">
        <v>258</v>
      </c>
      <c r="B6" s="119">
        <v>0</v>
      </c>
      <c r="C6" s="119"/>
      <c r="D6" t="s">
        <v>267</v>
      </c>
      <c r="E6" s="119">
        <v>0</v>
      </c>
    </row>
    <row r="7" spans="1:16">
      <c r="A7" t="s">
        <v>259</v>
      </c>
      <c r="B7" s="101">
        <v>0</v>
      </c>
      <c r="C7" s="101"/>
      <c r="D7" t="s">
        <v>266</v>
      </c>
      <c r="E7" s="119">
        <v>0</v>
      </c>
    </row>
    <row r="8" spans="1:16">
      <c r="D8" t="s">
        <v>268</v>
      </c>
      <c r="E8" s="119">
        <v>0</v>
      </c>
      <c r="G8" s="142"/>
      <c r="H8" s="143" t="s">
        <v>146</v>
      </c>
      <c r="I8" s="144" t="s">
        <v>286</v>
      </c>
      <c r="J8" s="144" t="s">
        <v>287</v>
      </c>
    </row>
    <row r="9" spans="1:16">
      <c r="D9" t="s">
        <v>269</v>
      </c>
      <c r="E9" s="119">
        <v>0</v>
      </c>
      <c r="G9" t="s">
        <v>289</v>
      </c>
      <c r="I9" s="101">
        <f>'Municipality Benefits Analysis'!J23</f>
        <v>0</v>
      </c>
      <c r="J9" s="101">
        <f>'Municipality Benefits Analysis'!I23</f>
        <v>0</v>
      </c>
    </row>
    <row r="10" spans="1:16">
      <c r="A10" s="142" t="s">
        <v>260</v>
      </c>
      <c r="B10" s="122"/>
      <c r="D10" t="s">
        <v>270</v>
      </c>
      <c r="E10" s="119">
        <v>0</v>
      </c>
    </row>
    <row r="11" spans="1:16">
      <c r="A11" t="s">
        <v>25</v>
      </c>
      <c r="B11" s="228">
        <v>0</v>
      </c>
      <c r="C11" s="101"/>
      <c r="D11" t="s">
        <v>271</v>
      </c>
      <c r="E11" s="119">
        <v>0</v>
      </c>
      <c r="G11" s="127" t="s">
        <v>288</v>
      </c>
      <c r="H11" s="128">
        <f>'Municipality Benefits Analysis'!K7</f>
        <v>0</v>
      </c>
      <c r="I11" s="129">
        <f>'Municipality Benefits Analysis'!J7</f>
        <v>0</v>
      </c>
      <c r="J11" s="130">
        <f>'Municipality Benefits Analysis'!I7</f>
        <v>0</v>
      </c>
    </row>
    <row r="12" spans="1:16">
      <c r="A12" t="s">
        <v>234</v>
      </c>
      <c r="B12" s="228">
        <v>0</v>
      </c>
      <c r="C12" s="101"/>
      <c r="D12" t="s">
        <v>272</v>
      </c>
      <c r="E12" s="119">
        <v>0</v>
      </c>
      <c r="G12" s="131"/>
      <c r="I12" s="132"/>
      <c r="J12" s="133"/>
      <c r="P12" s="101"/>
    </row>
    <row r="13" spans="1:16">
      <c r="A13" t="s">
        <v>261</v>
      </c>
      <c r="B13" s="228">
        <v>0</v>
      </c>
      <c r="C13" s="101"/>
      <c r="D13" t="s">
        <v>273</v>
      </c>
      <c r="E13" s="119">
        <v>0</v>
      </c>
      <c r="G13" s="131" t="s">
        <v>335</v>
      </c>
      <c r="H13" s="134">
        <f>'Municipality Benefits Analysis'!H9</f>
        <v>0</v>
      </c>
      <c r="I13" s="132">
        <f>'Municipality Benefits Analysis'!G9</f>
        <v>0</v>
      </c>
      <c r="J13" s="133">
        <f>'Municipality Benefits Analysis'!F9</f>
        <v>0</v>
      </c>
      <c r="P13" s="101"/>
    </row>
    <row r="14" spans="1:16">
      <c r="A14" t="s">
        <v>262</v>
      </c>
      <c r="B14" s="228">
        <v>0</v>
      </c>
      <c r="C14" s="101"/>
      <c r="D14" t="s">
        <v>274</v>
      </c>
      <c r="E14" s="119">
        <v>0</v>
      </c>
      <c r="G14" s="131" t="s">
        <v>336</v>
      </c>
      <c r="H14" s="134">
        <f>'Municipality Benefits Analysis'!H11</f>
        <v>0</v>
      </c>
      <c r="I14" s="132">
        <f>'Municipality Benefits Analysis'!G11</f>
        <v>0</v>
      </c>
      <c r="J14" s="133">
        <f>'Municipality Benefits Analysis'!F11</f>
        <v>0</v>
      </c>
      <c r="P14" s="101"/>
    </row>
    <row r="15" spans="1:16">
      <c r="A15" t="s">
        <v>263</v>
      </c>
      <c r="B15" s="228">
        <v>0</v>
      </c>
      <c r="C15" s="101"/>
      <c r="D15" t="s">
        <v>275</v>
      </c>
      <c r="E15" s="119">
        <v>0</v>
      </c>
      <c r="G15" s="131" t="s">
        <v>331</v>
      </c>
      <c r="H15" s="134">
        <f>'Municipality Benefits Analysis'!C12</f>
        <v>0</v>
      </c>
      <c r="I15" s="132">
        <f>'Municipality Benefits Analysis'!G12</f>
        <v>0</v>
      </c>
      <c r="J15" s="133">
        <f>'Municipality Benefits Analysis'!F12</f>
        <v>0</v>
      </c>
      <c r="P15" s="101"/>
    </row>
    <row r="16" spans="1:16">
      <c r="A16" t="s">
        <v>157</v>
      </c>
      <c r="B16" s="228">
        <v>0</v>
      </c>
      <c r="C16" s="101"/>
      <c r="D16" t="s">
        <v>51</v>
      </c>
      <c r="E16" s="119">
        <v>0</v>
      </c>
      <c r="G16" s="131" t="s">
        <v>337</v>
      </c>
      <c r="H16" s="134">
        <f>'Municipality Benefits Analysis'!H13</f>
        <v>0</v>
      </c>
      <c r="I16" s="132">
        <f>'Municipality Benefits Analysis'!G13</f>
        <v>0</v>
      </c>
      <c r="J16" s="133">
        <f>'Municipality Benefits Analysis'!F13</f>
        <v>0</v>
      </c>
      <c r="P16" s="101"/>
    </row>
    <row r="17" spans="1:16">
      <c r="A17" t="s">
        <v>156</v>
      </c>
      <c r="B17" s="228">
        <v>0</v>
      </c>
      <c r="C17" s="101"/>
      <c r="D17" t="s">
        <v>28</v>
      </c>
      <c r="E17" s="119">
        <v>0</v>
      </c>
      <c r="G17" s="135" t="s">
        <v>338</v>
      </c>
      <c r="H17" s="138">
        <f>'Municipality Benefits Analysis'!H17</f>
        <v>0</v>
      </c>
      <c r="I17" s="136">
        <f>'Municipality Benefits Analysis'!G17</f>
        <v>0</v>
      </c>
      <c r="J17" s="137">
        <f>'Municipality Benefits Analysis'!F17</f>
        <v>0</v>
      </c>
      <c r="P17" s="101"/>
    </row>
    <row r="18" spans="1:16">
      <c r="A18" t="s">
        <v>264</v>
      </c>
      <c r="B18" s="228">
        <v>0</v>
      </c>
      <c r="C18" s="101"/>
      <c r="D18" t="s">
        <v>131</v>
      </c>
      <c r="E18" s="119">
        <v>0</v>
      </c>
      <c r="G18" s="131"/>
      <c r="I18" s="132"/>
      <c r="J18" s="133"/>
      <c r="P18" s="101"/>
    </row>
    <row r="19" spans="1:16">
      <c r="A19" t="s">
        <v>159</v>
      </c>
      <c r="B19" s="228">
        <v>0</v>
      </c>
      <c r="C19" s="101"/>
      <c r="D19" t="s">
        <v>27</v>
      </c>
      <c r="E19" s="119">
        <v>0</v>
      </c>
      <c r="G19" s="135" t="s">
        <v>143</v>
      </c>
      <c r="H19" s="138">
        <f>SUM(H11:H17)</f>
        <v>0</v>
      </c>
      <c r="I19" s="136">
        <f>'Municipality Benefits Analysis'!J21</f>
        <v>0</v>
      </c>
      <c r="J19" s="137">
        <f>SUM(J11:J17)</f>
        <v>0</v>
      </c>
    </row>
    <row r="20" spans="1:16">
      <c r="A20" t="s">
        <v>27</v>
      </c>
      <c r="B20" s="229">
        <v>0</v>
      </c>
      <c r="C20" s="101"/>
      <c r="D20" t="s">
        <v>22</v>
      </c>
      <c r="E20" s="119">
        <v>0</v>
      </c>
    </row>
    <row r="21" spans="1:16">
      <c r="A21" t="s">
        <v>291</v>
      </c>
      <c r="B21" s="228">
        <v>0</v>
      </c>
      <c r="C21" s="101"/>
      <c r="D21" t="s">
        <v>160</v>
      </c>
      <c r="E21" s="119">
        <v>0</v>
      </c>
      <c r="G21" t="s">
        <v>14</v>
      </c>
      <c r="J21" s="101">
        <f>'Municipality Benefits Analysis'!I26</f>
        <v>0</v>
      </c>
    </row>
    <row r="22" spans="1:16">
      <c r="D22" t="s">
        <v>282</v>
      </c>
      <c r="E22" s="119">
        <v>0</v>
      </c>
    </row>
    <row r="23" spans="1:16">
      <c r="A23" s="142" t="s">
        <v>277</v>
      </c>
      <c r="B23" s="122"/>
      <c r="D23" t="s">
        <v>283</v>
      </c>
      <c r="E23" s="119">
        <v>0</v>
      </c>
      <c r="G23" s="139" t="s">
        <v>257</v>
      </c>
      <c r="H23" s="140"/>
      <c r="I23" s="173" t="str">
        <f>IFERROR(IF(J23=Project!B104,"","ERROR"),"")</f>
        <v/>
      </c>
      <c r="J23" s="141">
        <f>'Municipality Benefits Analysis'!K21</f>
        <v>0</v>
      </c>
    </row>
    <row r="24" spans="1:16">
      <c r="A24" t="s">
        <v>230</v>
      </c>
      <c r="B24" s="119">
        <v>0</v>
      </c>
      <c r="D24" t="s">
        <v>284</v>
      </c>
      <c r="E24" s="119">
        <v>0</v>
      </c>
    </row>
    <row r="25" spans="1:16">
      <c r="A25" t="s">
        <v>34</v>
      </c>
      <c r="B25" s="101">
        <f>'Cash Flow + Debt'!D20</f>
        <v>0</v>
      </c>
      <c r="C25" s="101"/>
      <c r="G25" t="s">
        <v>327</v>
      </c>
      <c r="J25" s="119"/>
    </row>
    <row r="26" spans="1:16">
      <c r="A26" t="s">
        <v>35</v>
      </c>
      <c r="B26" s="119">
        <v>0</v>
      </c>
      <c r="H26" t="s">
        <v>56</v>
      </c>
      <c r="J26" s="119">
        <f>'Benefits Analysis'!D16</f>
        <v>0</v>
      </c>
    </row>
    <row r="27" spans="1:16">
      <c r="A27" t="s">
        <v>276</v>
      </c>
      <c r="B27" s="126">
        <v>0</v>
      </c>
      <c r="H27" t="s">
        <v>57</v>
      </c>
      <c r="J27" s="119">
        <f>'Benefits Analysis'!E16</f>
        <v>0</v>
      </c>
    </row>
    <row r="28" spans="1:16">
      <c r="A28" t="s">
        <v>278</v>
      </c>
      <c r="B28" s="119">
        <v>0</v>
      </c>
      <c r="C28" s="119"/>
      <c r="D28" s="145" t="s">
        <v>285</v>
      </c>
      <c r="E28" s="146">
        <f>'Cash Flow + Debt'!H42</f>
        <v>0</v>
      </c>
      <c r="H28" t="s">
        <v>58</v>
      </c>
      <c r="J28" s="119">
        <f>'Benefits Analysis'!F16</f>
        <v>0</v>
      </c>
    </row>
    <row r="30" spans="1:16">
      <c r="A30" s="142" t="s">
        <v>279</v>
      </c>
      <c r="B30" s="122"/>
      <c r="D30" s="142" t="s">
        <v>292</v>
      </c>
      <c r="E30" s="122"/>
      <c r="F30" s="122"/>
      <c r="G30" t="s">
        <v>333</v>
      </c>
      <c r="J30" s="226">
        <v>0</v>
      </c>
    </row>
    <row r="31" spans="1:16">
      <c r="A31" s="122" t="s">
        <v>280</v>
      </c>
      <c r="D31" t="s">
        <v>13</v>
      </c>
      <c r="E31" s="156">
        <v>0</v>
      </c>
      <c r="F31">
        <f>'Mixed Rent'!D148</f>
        <v>0</v>
      </c>
    </row>
    <row r="32" spans="1:16">
      <c r="A32" t="s">
        <v>43</v>
      </c>
      <c r="B32" s="121">
        <v>0</v>
      </c>
      <c r="C32" s="121"/>
      <c r="D32" t="s">
        <v>293</v>
      </c>
      <c r="E32" s="156">
        <v>0</v>
      </c>
      <c r="F32">
        <f>'Mixed Rent'!D213</f>
        <v>0</v>
      </c>
    </row>
    <row r="33" spans="1:10">
      <c r="A33" t="s">
        <v>334</v>
      </c>
      <c r="B33" s="121">
        <v>0</v>
      </c>
      <c r="C33" s="121"/>
      <c r="D33" t="s">
        <v>294</v>
      </c>
      <c r="E33" s="156">
        <v>0</v>
      </c>
      <c r="F33" s="122">
        <f>'Mixed Rent'!D278</f>
        <v>0</v>
      </c>
    </row>
    <row r="34" spans="1:10">
      <c r="A34" s="122" t="s">
        <v>281</v>
      </c>
      <c r="B34" s="121"/>
      <c r="C34" s="121"/>
      <c r="F34">
        <f>SUM(F31:F33)</f>
        <v>0</v>
      </c>
    </row>
    <row r="35" spans="1:10">
      <c r="A35" t="s">
        <v>43</v>
      </c>
      <c r="B35" s="156">
        <f>1-B36</f>
        <v>1</v>
      </c>
      <c r="C35" s="121"/>
    </row>
    <row r="36" spans="1:10">
      <c r="A36" t="s">
        <v>334</v>
      </c>
      <c r="B36" s="156">
        <v>0</v>
      </c>
      <c r="C36" s="121"/>
      <c r="D36" s="142" t="s">
        <v>356</v>
      </c>
      <c r="E36" s="142" t="s">
        <v>146</v>
      </c>
      <c r="G36" s="101"/>
      <c r="H36" s="101"/>
      <c r="I36"/>
      <c r="J36"/>
    </row>
    <row r="37" spans="1:10">
      <c r="E37" s="223">
        <v>0</v>
      </c>
      <c r="G37" s="101"/>
      <c r="H37" s="101"/>
      <c r="I37"/>
      <c r="J37"/>
    </row>
    <row r="38" spans="1:10">
      <c r="A38" t="s">
        <v>174</v>
      </c>
      <c r="B38" s="134">
        <f>Project!L67</f>
        <v>0</v>
      </c>
    </row>
  </sheetData>
  <phoneticPr fontId="26" type="noConversion"/>
  <pageMargins left="0.25" right="0.25" top="0.75" bottom="0.75" header="0.3" footer="0.3"/>
  <pageSetup scale="74"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67096-B4CB-4DCC-948D-93C9B23F39B2}">
  <sheetPr>
    <pageSetUpPr fitToPage="1"/>
  </sheetPr>
  <dimension ref="A1:R29"/>
  <sheetViews>
    <sheetView zoomScale="90" zoomScaleNormal="90" workbookViewId="0">
      <selection activeCell="F18" sqref="F18"/>
    </sheetView>
  </sheetViews>
  <sheetFormatPr baseColWidth="10" defaultColWidth="8.6640625" defaultRowHeight="14"/>
  <cols>
    <col min="1" max="1" width="23.6640625" style="1" bestFit="1" customWidth="1"/>
    <col min="2" max="2" width="1.5" style="1" customWidth="1"/>
    <col min="3" max="3" width="6.6640625" style="1" bestFit="1" customWidth="1"/>
    <col min="4" max="4" width="25.5" style="1" customWidth="1"/>
    <col min="5" max="5" width="1.5" style="1" customWidth="1"/>
    <col min="6" max="6" width="13.5" style="1" bestFit="1" customWidth="1"/>
    <col min="7" max="8" width="12.33203125" style="1" customWidth="1"/>
    <col min="9" max="9" width="14.5" style="1" bestFit="1" customWidth="1"/>
    <col min="10" max="10" width="11" style="1" bestFit="1" customWidth="1"/>
    <col min="11" max="16384" width="8.6640625" style="1"/>
  </cols>
  <sheetData>
    <row r="1" spans="1:18">
      <c r="A1" s="331">
        <f>'Summary Page'!A1</f>
        <v>0</v>
      </c>
      <c r="B1" s="331"/>
      <c r="C1" s="331"/>
      <c r="D1" s="331"/>
      <c r="E1" s="331"/>
      <c r="F1" s="331"/>
      <c r="G1" s="331"/>
      <c r="H1" s="331"/>
      <c r="I1" s="331"/>
      <c r="J1" s="331"/>
      <c r="K1" s="331"/>
      <c r="L1" s="22"/>
      <c r="M1" s="22"/>
      <c r="N1" s="22"/>
      <c r="O1" s="22"/>
      <c r="P1" s="22"/>
      <c r="Q1" s="22"/>
      <c r="R1" s="22"/>
    </row>
    <row r="2" spans="1:18">
      <c r="A2" s="331">
        <f>'Summary Page'!A2</f>
        <v>0</v>
      </c>
      <c r="B2" s="331"/>
      <c r="C2" s="331"/>
      <c r="D2" s="331"/>
      <c r="E2" s="331"/>
      <c r="F2" s="331"/>
      <c r="G2" s="331"/>
      <c r="H2" s="331"/>
      <c r="I2" s="331"/>
      <c r="J2" s="331"/>
      <c r="K2" s="331"/>
      <c r="L2" s="22"/>
      <c r="M2" s="22"/>
      <c r="N2" s="22"/>
      <c r="O2" s="22"/>
      <c r="P2" s="22"/>
      <c r="Q2" s="22"/>
      <c r="R2" s="22"/>
    </row>
    <row r="3" spans="1:18">
      <c r="A3" s="332" t="s">
        <v>94</v>
      </c>
      <c r="B3" s="332"/>
      <c r="C3" s="332"/>
      <c r="D3" s="332"/>
      <c r="E3" s="332"/>
      <c r="F3" s="332"/>
      <c r="G3" s="332"/>
      <c r="H3" s="332"/>
      <c r="I3" s="332"/>
      <c r="J3" s="332"/>
      <c r="K3" s="332"/>
    </row>
    <row r="4" spans="1:18">
      <c r="A4" s="333">
        <f>'Summary Page'!A3</f>
        <v>46113</v>
      </c>
      <c r="B4" s="333"/>
      <c r="C4" s="333"/>
      <c r="D4" s="333"/>
      <c r="E4" s="333"/>
      <c r="F4" s="333"/>
      <c r="G4" s="333"/>
      <c r="H4" s="333"/>
      <c r="I4" s="333"/>
      <c r="J4" s="333"/>
      <c r="K4" s="333"/>
    </row>
    <row r="6" spans="1:18">
      <c r="I6" s="7"/>
      <c r="J6" s="7" t="s">
        <v>147</v>
      </c>
      <c r="K6" s="7" t="s">
        <v>9</v>
      </c>
    </row>
    <row r="7" spans="1:18">
      <c r="A7" s="2" t="s">
        <v>139</v>
      </c>
      <c r="D7" s="82" t="str">
        <f>"incl "&amp;TEXT('Mixed Rent'!G77,"##%")&amp;" of Units for 60% AMI"</f>
        <v>incl % of Units for 60% AMI</v>
      </c>
      <c r="I7" s="70">
        <f>'Benefits Analysis'!O10</f>
        <v>0</v>
      </c>
      <c r="J7" s="70">
        <f>IFERROR(I7/$I$29,0)</f>
        <v>0</v>
      </c>
      <c r="K7" s="47">
        <f>IFERROR(I7/$I$23,0)</f>
        <v>0</v>
      </c>
    </row>
    <row r="8" spans="1:18">
      <c r="A8" s="2"/>
      <c r="F8" s="7"/>
      <c r="G8" s="7" t="s">
        <v>147</v>
      </c>
      <c r="H8" s="7" t="s">
        <v>9</v>
      </c>
      <c r="I8" s="70"/>
      <c r="J8" s="70"/>
    </row>
    <row r="9" spans="1:18">
      <c r="A9" s="2" t="s">
        <v>41</v>
      </c>
      <c r="C9" s="43" t="e">
        <f>F9/'SOURCES and USES of FUNDS'!G27</f>
        <v>#DIV/0!</v>
      </c>
      <c r="D9" s="82" t="s">
        <v>212</v>
      </c>
      <c r="F9" s="70">
        <f>'SOURCES and USES of FUNDS'!G26</f>
        <v>0</v>
      </c>
      <c r="G9" s="70">
        <f>IFERROR(F9/$I$29,0)</f>
        <v>0</v>
      </c>
      <c r="H9" s="47">
        <f>IFERROR(F9/$I$23,0)</f>
        <v>0</v>
      </c>
      <c r="I9" s="70"/>
      <c r="J9" s="70"/>
    </row>
    <row r="10" spans="1:18">
      <c r="F10" s="70"/>
      <c r="G10" s="70"/>
      <c r="I10" s="70"/>
      <c r="J10" s="70"/>
    </row>
    <row r="11" spans="1:18">
      <c r="A11" s="2" t="s">
        <v>40</v>
      </c>
      <c r="C11" s="43">
        <f>'10 Years Mixed'!C50</f>
        <v>0</v>
      </c>
      <c r="D11" s="92" t="str">
        <f>"after "&amp;TEXT('Cash Flow + Debt'!D39,"##%")&amp;" preferred RoR"</f>
        <v>after % preferred RoR</v>
      </c>
      <c r="F11" s="70">
        <f>'Benefits Analysis'!O25</f>
        <v>0</v>
      </c>
      <c r="G11" s="70">
        <f>IFERROR(F11/$I$29,0)</f>
        <v>0</v>
      </c>
      <c r="H11" s="47">
        <f>IFERROR(F11/$I$23,0)</f>
        <v>0</v>
      </c>
      <c r="I11" s="70"/>
      <c r="J11" s="70"/>
    </row>
    <row r="12" spans="1:18">
      <c r="A12" s="2" t="s">
        <v>331</v>
      </c>
      <c r="C12" s="43">
        <f>'Summary Page'!E37</f>
        <v>0</v>
      </c>
      <c r="D12" s="82"/>
      <c r="F12" s="70">
        <f>'Benefits Analysis'!O22</f>
        <v>0</v>
      </c>
      <c r="G12" s="70">
        <f>IFERROR(F12/$I$29,0)</f>
        <v>0</v>
      </c>
      <c r="H12" s="47">
        <f>IFERROR(F12/$I$23,0)</f>
        <v>0</v>
      </c>
      <c r="I12" s="70"/>
      <c r="J12" s="70"/>
    </row>
    <row r="13" spans="1:18">
      <c r="A13" s="2" t="s">
        <v>140</v>
      </c>
      <c r="C13" s="43">
        <f>'10 Years Mixed'!C66</f>
        <v>0</v>
      </c>
      <c r="D13" s="82" t="str">
        <f>"after "&amp;TEXT(Project!L67,"##%")&amp;" preferred IRR"</f>
        <v>after % preferred IRR</v>
      </c>
      <c r="F13" s="70">
        <f>'Benefits Analysis'!O28</f>
        <v>0</v>
      </c>
      <c r="G13" s="70">
        <f>IFERROR(F13/$I$29,0)</f>
        <v>0</v>
      </c>
      <c r="H13" s="47">
        <f>IFERROR(F13/$I$23,0)</f>
        <v>0</v>
      </c>
      <c r="I13" s="70"/>
      <c r="J13" s="70"/>
    </row>
    <row r="14" spans="1:18">
      <c r="A14" s="2"/>
      <c r="C14" s="43"/>
      <c r="D14" s="82"/>
      <c r="F14" s="70"/>
      <c r="G14" s="70"/>
      <c r="H14" s="47"/>
      <c r="I14" s="70"/>
      <c r="J14" s="70"/>
    </row>
    <row r="15" spans="1:18">
      <c r="I15" s="70"/>
      <c r="J15" s="70"/>
    </row>
    <row r="16" spans="1:18">
      <c r="C16" s="4"/>
      <c r="D16" s="112"/>
      <c r="F16" s="70"/>
      <c r="G16" s="70"/>
      <c r="I16" s="70"/>
      <c r="J16" s="70"/>
    </row>
    <row r="17" spans="1:11">
      <c r="A17" s="2" t="s">
        <v>330</v>
      </c>
      <c r="C17" s="43">
        <f>'Cash Flow + Debt'!D34</f>
        <v>0</v>
      </c>
      <c r="D17" s="82" t="s">
        <v>141</v>
      </c>
      <c r="F17" s="157">
        <f>'Benefits Analysis'!O21</f>
        <v>0</v>
      </c>
      <c r="G17" s="157">
        <f>IFERROR(F17/$I$29,0)</f>
        <v>0</v>
      </c>
      <c r="H17" s="72">
        <f>IFERROR(F17/$I$23,0)</f>
        <v>0</v>
      </c>
      <c r="I17" s="70"/>
      <c r="J17" s="70"/>
    </row>
    <row r="18" spans="1:11">
      <c r="I18" s="70"/>
      <c r="J18" s="70"/>
    </row>
    <row r="19" spans="1:11">
      <c r="A19" s="2" t="s">
        <v>142</v>
      </c>
      <c r="F19" s="50"/>
      <c r="I19" s="157">
        <f>SUM(F9:F17)</f>
        <v>0</v>
      </c>
      <c r="J19" s="157">
        <f>IFERROR(I19/$I$29,0)</f>
        <v>0</v>
      </c>
      <c r="K19" s="72">
        <f>IFERROR(I19/$I$23,0)</f>
        <v>0</v>
      </c>
    </row>
    <row r="20" spans="1:11">
      <c r="F20" s="50"/>
      <c r="I20" s="70"/>
      <c r="J20" s="70"/>
    </row>
    <row r="21" spans="1:11">
      <c r="A21" s="2" t="s">
        <v>143</v>
      </c>
      <c r="I21" s="70">
        <f>I7+I19</f>
        <v>0</v>
      </c>
      <c r="J21" s="70">
        <f>IFERROR(I21/$I$29,0)</f>
        <v>0</v>
      </c>
      <c r="K21" s="47">
        <f>IFERROR(ROUND(I21/$I$23,4),0)</f>
        <v>0</v>
      </c>
    </row>
    <row r="22" spans="1:11">
      <c r="I22" s="70"/>
      <c r="J22" s="70"/>
    </row>
    <row r="23" spans="1:11">
      <c r="A23" s="2" t="s">
        <v>144</v>
      </c>
      <c r="I23" s="70">
        <f>'Benefits Analysis'!N12</f>
        <v>0</v>
      </c>
      <c r="J23" s="70">
        <f>IFERROR(I23/$I$29,0)</f>
        <v>0</v>
      </c>
    </row>
    <row r="24" spans="1:11">
      <c r="I24" s="70"/>
      <c r="J24" s="70"/>
    </row>
    <row r="25" spans="1:11">
      <c r="A25" s="2" t="s">
        <v>145</v>
      </c>
      <c r="I25" s="70"/>
      <c r="J25" s="70"/>
    </row>
    <row r="26" spans="1:11">
      <c r="A26" s="2" t="s">
        <v>14</v>
      </c>
      <c r="I26" s="70">
        <f>I21-I23</f>
        <v>0</v>
      </c>
      <c r="J26" s="70"/>
    </row>
    <row r="27" spans="1:11">
      <c r="A27" s="2" t="s">
        <v>146</v>
      </c>
      <c r="I27" s="5">
        <f>IFERROR(I21/I23,0)</f>
        <v>0</v>
      </c>
    </row>
    <row r="29" spans="1:11">
      <c r="A29" s="2" t="s">
        <v>108</v>
      </c>
      <c r="I29" s="9">
        <f>'SOURCES and USES of FUNDS'!E34</f>
        <v>0</v>
      </c>
    </row>
  </sheetData>
  <mergeCells count="4">
    <mergeCell ref="A1:K1"/>
    <mergeCell ref="A2:K2"/>
    <mergeCell ref="A3:K3"/>
    <mergeCell ref="A4:K4"/>
  </mergeCells>
  <pageMargins left="0.7" right="0.7" top="0.75" bottom="0.75" header="0.3" footer="0.3"/>
  <pageSetup scale="68"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4CF11-78A4-4858-AA5E-D0E0DE2F13AE}">
  <sheetPr>
    <pageSetUpPr fitToPage="1"/>
  </sheetPr>
  <dimension ref="A1:P32"/>
  <sheetViews>
    <sheetView zoomScale="90" zoomScaleNormal="90" workbookViewId="0">
      <selection activeCell="L28" sqref="L28"/>
    </sheetView>
  </sheetViews>
  <sheetFormatPr baseColWidth="10" defaultColWidth="9.33203125" defaultRowHeight="14"/>
  <cols>
    <col min="1" max="1" width="30.5" style="1" customWidth="1"/>
    <col min="2" max="2" width="9.33203125" style="1"/>
    <col min="3" max="12" width="13.1640625" style="1" customWidth="1"/>
    <col min="13" max="13" width="1.6640625" style="1" customWidth="1"/>
    <col min="14" max="15" width="13.1640625" style="1" customWidth="1"/>
    <col min="16" max="16" width="11" style="1" bestFit="1" customWidth="1"/>
    <col min="17" max="16384" width="9.33203125" style="1"/>
  </cols>
  <sheetData>
    <row r="1" spans="1:16">
      <c r="A1" s="331">
        <f>'Municipality Benefits Analysis'!A1:K1</f>
        <v>0</v>
      </c>
      <c r="B1" s="331"/>
      <c r="C1" s="331"/>
      <c r="D1" s="331"/>
      <c r="E1" s="331"/>
      <c r="F1" s="331"/>
      <c r="G1" s="331"/>
      <c r="H1" s="331"/>
      <c r="I1" s="331"/>
      <c r="J1" s="331"/>
      <c r="K1" s="331"/>
      <c r="L1" s="331"/>
      <c r="M1" s="331"/>
      <c r="N1" s="331"/>
      <c r="O1" s="331"/>
      <c r="P1" s="331"/>
    </row>
    <row r="2" spans="1:16">
      <c r="A2" s="331">
        <f>'Municipality Benefits Analysis'!A2:K2</f>
        <v>0</v>
      </c>
      <c r="B2" s="331"/>
      <c r="C2" s="331"/>
      <c r="D2" s="331"/>
      <c r="E2" s="331"/>
      <c r="F2" s="331"/>
      <c r="G2" s="331"/>
      <c r="H2" s="331"/>
      <c r="I2" s="331"/>
      <c r="J2" s="331"/>
      <c r="K2" s="331"/>
      <c r="L2" s="331"/>
      <c r="M2" s="331"/>
      <c r="N2" s="331"/>
      <c r="O2" s="331"/>
      <c r="P2" s="331"/>
    </row>
    <row r="3" spans="1:16">
      <c r="A3" s="331" t="s">
        <v>94</v>
      </c>
      <c r="B3" s="331"/>
      <c r="C3" s="331"/>
      <c r="D3" s="331"/>
      <c r="E3" s="331"/>
      <c r="F3" s="331"/>
      <c r="G3" s="331"/>
      <c r="H3" s="331"/>
      <c r="I3" s="331"/>
      <c r="J3" s="331"/>
      <c r="K3" s="331"/>
      <c r="L3" s="331"/>
      <c r="M3" s="331"/>
      <c r="N3" s="331"/>
      <c r="O3" s="331"/>
      <c r="P3" s="331"/>
    </row>
    <row r="4" spans="1:16" ht="15" thickBot="1">
      <c r="A4" s="337">
        <f>'Municipality Benefits Analysis'!A4:K4</f>
        <v>46113</v>
      </c>
      <c r="B4" s="337"/>
      <c r="C4" s="337"/>
      <c r="D4" s="337"/>
      <c r="E4" s="337"/>
      <c r="F4" s="337"/>
      <c r="G4" s="337"/>
      <c r="H4" s="337"/>
      <c r="I4" s="337"/>
      <c r="J4" s="337"/>
      <c r="K4" s="337"/>
      <c r="L4" s="337"/>
      <c r="M4" s="337"/>
      <c r="N4" s="337"/>
      <c r="O4" s="337"/>
      <c r="P4" s="337"/>
    </row>
    <row r="5" spans="1:16" ht="15" thickTop="1">
      <c r="O5" s="334" t="s">
        <v>339</v>
      </c>
      <c r="P5" s="334"/>
    </row>
    <row r="6" spans="1:16">
      <c r="C6" s="227">
        <f>'Summary Page'!A3</f>
        <v>46113</v>
      </c>
      <c r="D6" s="227">
        <f>C6+366</f>
        <v>46479</v>
      </c>
      <c r="E6" s="227">
        <f>D6+365</f>
        <v>46844</v>
      </c>
      <c r="F6" s="227">
        <f>E6+365</f>
        <v>47209</v>
      </c>
      <c r="G6" s="227">
        <f>F6+365</f>
        <v>47574</v>
      </c>
      <c r="H6" s="227">
        <f>G6+366</f>
        <v>47940</v>
      </c>
      <c r="I6" s="227">
        <f>H6+365</f>
        <v>48305</v>
      </c>
      <c r="J6" s="227">
        <f>I6+365</f>
        <v>48670</v>
      </c>
      <c r="K6" s="227">
        <f>J6+365</f>
        <v>49035</v>
      </c>
      <c r="L6" s="227">
        <f>K6+366</f>
        <v>49401</v>
      </c>
      <c r="O6" s="335" t="s">
        <v>5</v>
      </c>
      <c r="P6" s="335" t="s">
        <v>86</v>
      </c>
    </row>
    <row r="7" spans="1:16">
      <c r="C7" s="7" t="s">
        <v>55</v>
      </c>
      <c r="D7" s="7" t="s">
        <v>56</v>
      </c>
      <c r="E7" s="7" t="s">
        <v>57</v>
      </c>
      <c r="F7" s="7" t="s">
        <v>58</v>
      </c>
      <c r="G7" s="7" t="s">
        <v>59</v>
      </c>
      <c r="H7" s="7" t="s">
        <v>60</v>
      </c>
      <c r="I7" s="7" t="s">
        <v>61</v>
      </c>
      <c r="J7" s="7" t="s">
        <v>62</v>
      </c>
      <c r="K7" s="7" t="s">
        <v>63</v>
      </c>
      <c r="L7" s="7" t="s">
        <v>64</v>
      </c>
      <c r="N7" s="7" t="s">
        <v>43</v>
      </c>
      <c r="O7" s="336"/>
      <c r="P7" s="336"/>
    </row>
    <row r="8" spans="1:16">
      <c r="A8" s="1" t="s">
        <v>81</v>
      </c>
      <c r="C8" s="10">
        <f>'Mixed Rent'!M280</f>
        <v>0</v>
      </c>
      <c r="D8" s="10">
        <f>C8*(100%+'Summary Page'!$E$7)</f>
        <v>0</v>
      </c>
      <c r="E8" s="10">
        <f>D8*(100%+'Summary Page'!$E$8)</f>
        <v>0</v>
      </c>
      <c r="F8" s="10">
        <f>E8*(100%+'Summary Page'!$E$9)</f>
        <v>0</v>
      </c>
      <c r="G8" s="10">
        <f>F8*(100%+'Summary Page'!$E$10)</f>
        <v>0</v>
      </c>
      <c r="H8" s="10">
        <f>G8*(100%+'Summary Page'!$E$11)</f>
        <v>0</v>
      </c>
      <c r="I8" s="10">
        <f>H8*(100%+'Summary Page'!$E$12)</f>
        <v>0</v>
      </c>
      <c r="J8" s="10">
        <f>I8*(100%+'Summary Page'!$E$13)</f>
        <v>0</v>
      </c>
      <c r="K8" s="10">
        <f>J8*(100%+'Summary Page'!$E$14)</f>
        <v>0</v>
      </c>
      <c r="L8" s="10">
        <f>K8*(100%+'Summary Page'!$E$15)</f>
        <v>0</v>
      </c>
      <c r="M8" s="10"/>
      <c r="N8" s="10"/>
      <c r="O8" s="10"/>
    </row>
    <row r="9" spans="1:16">
      <c r="A9" s="1" t="s">
        <v>82</v>
      </c>
      <c r="C9" s="12">
        <f>-'10 Years Mixed'!D11</f>
        <v>0</v>
      </c>
      <c r="D9" s="12">
        <f>-'10 Years Mixed'!E11</f>
        <v>0</v>
      </c>
      <c r="E9" s="12">
        <f>-'10 Years Mixed'!F11</f>
        <v>0</v>
      </c>
      <c r="F9" s="12">
        <f>-'10 Years Mixed'!G11</f>
        <v>0</v>
      </c>
      <c r="G9" s="12">
        <f>-'10 Years Mixed'!H11</f>
        <v>0</v>
      </c>
      <c r="H9" s="12">
        <f>-'10 Years Mixed'!I11</f>
        <v>0</v>
      </c>
      <c r="I9" s="12">
        <f>-'10 Years Mixed'!J11</f>
        <v>0</v>
      </c>
      <c r="J9" s="12">
        <f>-'10 Years Mixed'!K11</f>
        <v>0</v>
      </c>
      <c r="K9" s="12">
        <f>-'10 Years Mixed'!L11</f>
        <v>0</v>
      </c>
      <c r="L9" s="12">
        <f>-'10 Years Mixed'!M11</f>
        <v>0</v>
      </c>
      <c r="M9" s="10"/>
      <c r="N9" s="10"/>
      <c r="O9" s="10"/>
    </row>
    <row r="10" spans="1:16">
      <c r="A10" s="1" t="s">
        <v>14</v>
      </c>
      <c r="C10" s="10">
        <f>IF(C6&lt;'Summary Page'!$J$30,0,SUM(C8:C9))</f>
        <v>0</v>
      </c>
      <c r="D10" s="10">
        <f>IF(D6&lt;'Summary Page'!$J$30,0,SUM(D8:D9))</f>
        <v>0</v>
      </c>
      <c r="E10" s="10">
        <f>IF(E6&lt;'Summary Page'!$J$30,0,SUM(E8:E9))</f>
        <v>0</v>
      </c>
      <c r="F10" s="10">
        <f>IF(F6&lt;'Summary Page'!$J$30,0,SUM(F8:F9))</f>
        <v>0</v>
      </c>
      <c r="G10" s="10">
        <f>IF(G6&lt;'Summary Page'!$J$30,0,SUM(G8:G9))</f>
        <v>0</v>
      </c>
      <c r="H10" s="10">
        <f>IF(H6&lt;'Summary Page'!$J$30,0,SUM(H8:H9))</f>
        <v>0</v>
      </c>
      <c r="I10" s="10">
        <f>IF(I6&lt;'Summary Page'!$J$30,0,SUM(I8:I9))</f>
        <v>0</v>
      </c>
      <c r="J10" s="10">
        <f>IF(J6&lt;'Summary Page'!$J$30,0,SUM(J8:J9))</f>
        <v>0</v>
      </c>
      <c r="K10" s="10">
        <f>IF(K6&lt;'Summary Page'!$J$30,0,SUM(K8:K9))</f>
        <v>0</v>
      </c>
      <c r="L10" s="10">
        <f>IF(L6&lt;'Summary Page'!$J$30,0,SUM(L8:L9))</f>
        <v>0</v>
      </c>
      <c r="M10" s="10"/>
      <c r="N10" s="10"/>
      <c r="O10" s="10">
        <f>SUM(C10:L10)</f>
        <v>0</v>
      </c>
      <c r="P10" s="11">
        <f>IFERROR(O10/N12,0)</f>
        <v>0</v>
      </c>
    </row>
    <row r="11" spans="1:16">
      <c r="C11" s="10"/>
      <c r="D11" s="10"/>
      <c r="E11" s="10"/>
      <c r="F11" s="10"/>
      <c r="G11" s="10"/>
      <c r="H11" s="10"/>
      <c r="I11" s="10"/>
      <c r="J11" s="10"/>
      <c r="K11" s="10"/>
      <c r="L11" s="10"/>
      <c r="M11" s="10"/>
      <c r="N11" s="10"/>
      <c r="O11" s="10"/>
      <c r="P11" s="11"/>
    </row>
    <row r="12" spans="1:16">
      <c r="A12" s="1" t="s">
        <v>27</v>
      </c>
      <c r="C12" s="12">
        <f>'10 Years Mixed'!D24</f>
        <v>0</v>
      </c>
      <c r="D12" s="12">
        <f>'10 Years Mixed'!E24</f>
        <v>0</v>
      </c>
      <c r="E12" s="12">
        <f>'10 Years Mixed'!F24</f>
        <v>0</v>
      </c>
      <c r="F12" s="12">
        <f>'10 Years Mixed'!G24</f>
        <v>0</v>
      </c>
      <c r="G12" s="12">
        <f>'10 Years Mixed'!H24</f>
        <v>0</v>
      </c>
      <c r="H12" s="12">
        <f>'10 Years Mixed'!I24</f>
        <v>0</v>
      </c>
      <c r="I12" s="12">
        <f>'10 Years Mixed'!J24</f>
        <v>0</v>
      </c>
      <c r="J12" s="12">
        <f>'10 Years Mixed'!K24</f>
        <v>0</v>
      </c>
      <c r="K12" s="12">
        <f>'10 Years Mixed'!L24</f>
        <v>0</v>
      </c>
      <c r="L12" s="12">
        <f>'10 Years Mixed'!M24</f>
        <v>0</v>
      </c>
      <c r="M12" s="10"/>
      <c r="N12" s="157">
        <f>SUM(C12:L12)*-1</f>
        <v>0</v>
      </c>
      <c r="O12" s="12"/>
      <c r="P12" s="14"/>
    </row>
    <row r="13" spans="1:16">
      <c r="C13" s="10"/>
      <c r="D13" s="10"/>
      <c r="E13" s="10"/>
      <c r="F13" s="10"/>
      <c r="G13" s="10"/>
      <c r="H13" s="10"/>
      <c r="I13" s="10"/>
      <c r="J13" s="10"/>
      <c r="K13" s="10"/>
      <c r="L13" s="10"/>
      <c r="M13" s="10"/>
      <c r="N13" s="10"/>
      <c r="O13" s="10"/>
      <c r="P13" s="11"/>
    </row>
    <row r="14" spans="1:16" ht="15" thickBot="1">
      <c r="A14" s="1" t="s">
        <v>83</v>
      </c>
      <c r="C14" s="78">
        <f>C10+C12</f>
        <v>0</v>
      </c>
      <c r="D14" s="78">
        <f t="shared" ref="D14:L14" si="0">D10+D12</f>
        <v>0</v>
      </c>
      <c r="E14" s="78">
        <f t="shared" si="0"/>
        <v>0</v>
      </c>
      <c r="F14" s="78">
        <f t="shared" si="0"/>
        <v>0</v>
      </c>
      <c r="G14" s="78">
        <f t="shared" si="0"/>
        <v>0</v>
      </c>
      <c r="H14" s="78">
        <f t="shared" si="0"/>
        <v>0</v>
      </c>
      <c r="I14" s="78">
        <f t="shared" si="0"/>
        <v>0</v>
      </c>
      <c r="J14" s="78">
        <f>J10+J12</f>
        <v>0</v>
      </c>
      <c r="K14" s="78">
        <f>K10+K12</f>
        <v>0</v>
      </c>
      <c r="L14" s="78">
        <f t="shared" si="0"/>
        <v>0</v>
      </c>
      <c r="M14" s="10"/>
      <c r="N14" s="78">
        <f>SUM(N8:N12)</f>
        <v>0</v>
      </c>
      <c r="O14" s="78">
        <f>SUM(O8:O12)</f>
        <v>0</v>
      </c>
      <c r="P14" s="159">
        <f>IFERROR(O14/N12,0)</f>
        <v>0</v>
      </c>
    </row>
    <row r="15" spans="1:16" ht="15" thickTop="1">
      <c r="C15" s="10"/>
      <c r="D15" s="10"/>
      <c r="E15" s="10"/>
      <c r="F15" s="10"/>
      <c r="G15" s="10"/>
      <c r="H15" s="10"/>
      <c r="I15" s="10"/>
      <c r="J15" s="10"/>
      <c r="K15" s="10"/>
      <c r="L15" s="10"/>
      <c r="M15" s="10"/>
      <c r="N15" s="10"/>
      <c r="O15" s="10"/>
      <c r="P15" s="4"/>
    </row>
    <row r="16" spans="1:16">
      <c r="A16" s="1" t="s">
        <v>326</v>
      </c>
      <c r="C16" s="47">
        <f>IFERROR((C10/-C12),0)</f>
        <v>0</v>
      </c>
      <c r="D16" s="47">
        <f t="shared" ref="D16:L16" si="1">IFERROR((D10/-D12),0)</f>
        <v>0</v>
      </c>
      <c r="E16" s="47">
        <f t="shared" si="1"/>
        <v>0</v>
      </c>
      <c r="F16" s="47">
        <f t="shared" si="1"/>
        <v>0</v>
      </c>
      <c r="G16" s="47">
        <f t="shared" si="1"/>
        <v>0</v>
      </c>
      <c r="H16" s="47">
        <f t="shared" si="1"/>
        <v>0</v>
      </c>
      <c r="I16" s="47">
        <f t="shared" si="1"/>
        <v>0</v>
      </c>
      <c r="J16" s="47">
        <f t="shared" si="1"/>
        <v>0</v>
      </c>
      <c r="K16" s="47">
        <f t="shared" si="1"/>
        <v>0</v>
      </c>
      <c r="L16" s="47">
        <f t="shared" si="1"/>
        <v>0</v>
      </c>
      <c r="M16" s="10"/>
      <c r="N16" s="10"/>
      <c r="O16" s="10"/>
      <c r="P16" s="4"/>
    </row>
    <row r="17" spans="1:16">
      <c r="C17" s="10"/>
      <c r="D17" s="10"/>
      <c r="E17" s="10"/>
      <c r="F17" s="10"/>
      <c r="G17" s="10"/>
      <c r="H17" s="10"/>
      <c r="I17" s="10"/>
      <c r="J17" s="10"/>
      <c r="K17" s="10"/>
      <c r="L17" s="10"/>
      <c r="M17" s="10"/>
      <c r="N17" s="10"/>
      <c r="O17" s="10"/>
      <c r="P17" s="4"/>
    </row>
    <row r="18" spans="1:16">
      <c r="A18" s="2" t="s">
        <v>84</v>
      </c>
      <c r="C18" s="10"/>
      <c r="D18" s="10"/>
      <c r="E18" s="10"/>
      <c r="F18" s="10"/>
      <c r="G18" s="10"/>
      <c r="H18" s="10"/>
      <c r="I18" s="10"/>
      <c r="J18" s="10"/>
      <c r="K18" s="10"/>
      <c r="L18" s="10"/>
      <c r="M18" s="10"/>
      <c r="N18" s="10"/>
      <c r="O18" s="10"/>
      <c r="P18" s="4"/>
    </row>
    <row r="19" spans="1:16">
      <c r="A19" s="2" t="s">
        <v>85</v>
      </c>
      <c r="C19" s="10"/>
      <c r="D19" s="10"/>
      <c r="E19" s="10"/>
      <c r="F19" s="10"/>
      <c r="G19" s="10"/>
      <c r="H19" s="10"/>
      <c r="I19" s="10"/>
      <c r="J19" s="10"/>
      <c r="K19" s="10"/>
      <c r="L19" s="10"/>
      <c r="M19" s="10"/>
      <c r="N19" s="10"/>
      <c r="O19" s="10"/>
      <c r="P19" s="4"/>
    </row>
    <row r="20" spans="1:16">
      <c r="A20" s="1" t="s">
        <v>41</v>
      </c>
      <c r="B20" s="4" t="s">
        <v>340</v>
      </c>
      <c r="C20" s="10">
        <f>'SOURCES and USES of FUNDS'!G26</f>
        <v>0</v>
      </c>
      <c r="D20" s="10"/>
      <c r="E20" s="10"/>
      <c r="F20" s="10"/>
      <c r="G20" s="10"/>
      <c r="H20" s="10"/>
      <c r="I20" s="10"/>
      <c r="J20" s="10"/>
      <c r="K20" s="10"/>
      <c r="L20" s="10"/>
      <c r="M20" s="10"/>
      <c r="N20" s="10"/>
      <c r="O20" s="10">
        <f>'SOURCES and USES of FUNDS'!G26</f>
        <v>0</v>
      </c>
      <c r="P20" s="11">
        <f>IFERROR(O20/$N$12,0)</f>
        <v>0</v>
      </c>
    </row>
    <row r="21" spans="1:16">
      <c r="A21" s="1" t="s">
        <v>329</v>
      </c>
      <c r="B21" s="4" t="s">
        <v>340</v>
      </c>
      <c r="C21" s="10">
        <v>0</v>
      </c>
      <c r="D21" s="10">
        <v>0</v>
      </c>
      <c r="E21" s="10">
        <v>0</v>
      </c>
      <c r="F21" s="10">
        <v>0</v>
      </c>
      <c r="G21" s="10">
        <v>0</v>
      </c>
      <c r="H21" s="10">
        <v>0</v>
      </c>
      <c r="I21" s="10">
        <v>0</v>
      </c>
      <c r="J21" s="10">
        <v>0</v>
      </c>
      <c r="K21" s="10">
        <v>0</v>
      </c>
      <c r="L21" s="10">
        <v>0</v>
      </c>
      <c r="M21" s="10"/>
      <c r="N21" s="10"/>
      <c r="O21" s="10">
        <f>SUM(C21:L21)</f>
        <v>0</v>
      </c>
      <c r="P21" s="11">
        <f>IFERROR(O21/N12,0)</f>
        <v>0</v>
      </c>
    </row>
    <row r="22" spans="1:16">
      <c r="A22" s="1" t="s">
        <v>331</v>
      </c>
      <c r="B22" s="4" t="s">
        <v>340</v>
      </c>
      <c r="C22" s="10">
        <f>'10 Years Mixed'!D42*-1</f>
        <v>0</v>
      </c>
      <c r="D22" s="10">
        <f>'10 Years Mixed'!E42*-1</f>
        <v>0</v>
      </c>
      <c r="E22" s="10">
        <f>'10 Years Mixed'!F42*-1</f>
        <v>0</v>
      </c>
      <c r="F22" s="10">
        <f>'10 Years Mixed'!G42*-1</f>
        <v>0</v>
      </c>
      <c r="G22" s="10">
        <f>'10 Years Mixed'!H42*-1</f>
        <v>0</v>
      </c>
      <c r="H22" s="10">
        <f>'10 Years Mixed'!I42*-1</f>
        <v>0</v>
      </c>
      <c r="I22" s="10">
        <f>'10 Years Mixed'!J42*-1</f>
        <v>0</v>
      </c>
      <c r="J22" s="10">
        <f>'10 Years Mixed'!K42*-1</f>
        <v>0</v>
      </c>
      <c r="K22" s="10">
        <f>'10 Years Mixed'!L42*-1</f>
        <v>0</v>
      </c>
      <c r="L22" s="10">
        <f>'10 Years Mixed'!M42*-1</f>
        <v>0</v>
      </c>
      <c r="M22" s="10"/>
      <c r="N22" s="10"/>
      <c r="O22" s="10">
        <f>SUM(C22:L22)</f>
        <v>0</v>
      </c>
      <c r="P22" s="11">
        <f>IFERROR(O22/N12,0)</f>
        <v>0</v>
      </c>
    </row>
    <row r="23" spans="1:16">
      <c r="A23" s="1" t="s">
        <v>48</v>
      </c>
      <c r="B23" s="4" t="s">
        <v>43</v>
      </c>
      <c r="C23" s="10">
        <f>-'10 Years Mixed'!D45</f>
        <v>0</v>
      </c>
      <c r="D23" s="10">
        <f>-'10 Years Mixed'!E45</f>
        <v>0</v>
      </c>
      <c r="E23" s="10">
        <f>-'10 Years Mixed'!F45</f>
        <v>0</v>
      </c>
      <c r="F23" s="10">
        <f>-'10 Years Mixed'!G45</f>
        <v>0</v>
      </c>
      <c r="G23" s="10">
        <f>-'10 Years Mixed'!H45</f>
        <v>0</v>
      </c>
      <c r="H23" s="10">
        <f>-'10 Years Mixed'!I45</f>
        <v>0</v>
      </c>
      <c r="I23" s="10">
        <f>-'10 Years Mixed'!J45</f>
        <v>0</v>
      </c>
      <c r="J23" s="10">
        <f>-'10 Years Mixed'!K45</f>
        <v>0</v>
      </c>
      <c r="K23" s="10">
        <f>-'10 Years Mixed'!L45</f>
        <v>0</v>
      </c>
      <c r="L23" s="10">
        <f>-'10 Years Mixed'!M45</f>
        <v>0</v>
      </c>
      <c r="M23" s="10"/>
      <c r="N23" s="10">
        <f>SUM(C23:L23)</f>
        <v>0</v>
      </c>
      <c r="O23" s="10"/>
      <c r="P23" s="11"/>
    </row>
    <row r="24" spans="1:16">
      <c r="A24" s="1" t="s">
        <v>40</v>
      </c>
      <c r="B24" s="4" t="s">
        <v>43</v>
      </c>
      <c r="C24" s="10">
        <f>'10 Years Mixed'!D49</f>
        <v>0</v>
      </c>
      <c r="D24" s="10">
        <f>'10 Years Mixed'!E49</f>
        <v>0</v>
      </c>
      <c r="E24" s="10">
        <f>'10 Years Mixed'!F49</f>
        <v>0</v>
      </c>
      <c r="F24" s="10">
        <f>'10 Years Mixed'!G49</f>
        <v>0</v>
      </c>
      <c r="G24" s="10">
        <f>'10 Years Mixed'!H49</f>
        <v>0</v>
      </c>
      <c r="H24" s="10">
        <f>'10 Years Mixed'!I49</f>
        <v>0</v>
      </c>
      <c r="I24" s="10">
        <f>'10 Years Mixed'!J49</f>
        <v>0</v>
      </c>
      <c r="J24" s="10">
        <f>'10 Years Mixed'!K49</f>
        <v>0</v>
      </c>
      <c r="K24" s="10">
        <f>'10 Years Mixed'!L49</f>
        <v>0</v>
      </c>
      <c r="L24" s="10">
        <f>'10 Years Mixed'!M49</f>
        <v>0</v>
      </c>
      <c r="M24" s="10"/>
      <c r="N24" s="10">
        <f>SUM(C24:L24)</f>
        <v>0</v>
      </c>
      <c r="O24" s="10"/>
      <c r="P24" s="11"/>
    </row>
    <row r="25" spans="1:16">
      <c r="A25" s="1" t="s">
        <v>40</v>
      </c>
      <c r="B25" s="4" t="s">
        <v>334</v>
      </c>
      <c r="C25" s="10">
        <f>'10 Years Mixed'!D50</f>
        <v>0</v>
      </c>
      <c r="D25" s="10">
        <f>'10 Years Mixed'!E50</f>
        <v>0</v>
      </c>
      <c r="E25" s="10">
        <f>'10 Years Mixed'!F50</f>
        <v>0</v>
      </c>
      <c r="F25" s="10">
        <f>'10 Years Mixed'!G50</f>
        <v>0</v>
      </c>
      <c r="G25" s="10">
        <f>'10 Years Mixed'!H50</f>
        <v>0</v>
      </c>
      <c r="H25" s="10">
        <f>'10 Years Mixed'!I50</f>
        <v>0</v>
      </c>
      <c r="I25" s="10">
        <f>'10 Years Mixed'!J50</f>
        <v>0</v>
      </c>
      <c r="J25" s="10">
        <f>'10 Years Mixed'!K50</f>
        <v>0</v>
      </c>
      <c r="K25" s="10">
        <f>'10 Years Mixed'!L50</f>
        <v>0</v>
      </c>
      <c r="L25" s="10">
        <f>'10 Years Mixed'!M50</f>
        <v>0</v>
      </c>
      <c r="M25" s="10"/>
      <c r="N25" s="12"/>
      <c r="O25" s="12">
        <f>SUM(C25:L25)*1</f>
        <v>0</v>
      </c>
      <c r="P25" s="14">
        <f>IFERROR(O25/N12,0)</f>
        <v>0</v>
      </c>
    </row>
    <row r="26" spans="1:16">
      <c r="A26" s="2" t="s">
        <v>4</v>
      </c>
      <c r="B26" s="4"/>
      <c r="C26" s="10"/>
      <c r="D26" s="10"/>
      <c r="E26" s="10"/>
      <c r="F26" s="10"/>
      <c r="G26" s="10"/>
      <c r="H26" s="10"/>
      <c r="I26" s="10"/>
      <c r="J26" s="10"/>
      <c r="K26" s="10"/>
      <c r="L26" s="10"/>
      <c r="M26" s="10"/>
      <c r="N26" s="10">
        <f>SUM(N20:N25)</f>
        <v>0</v>
      </c>
      <c r="O26" s="10">
        <f>SUM(O20:O25)</f>
        <v>0</v>
      </c>
      <c r="P26" s="11">
        <f>SUM(P14:P25)</f>
        <v>0</v>
      </c>
    </row>
    <row r="27" spans="1:16">
      <c r="A27" s="1" t="s">
        <v>75</v>
      </c>
      <c r="B27" s="4" t="s">
        <v>43</v>
      </c>
      <c r="C27" s="10"/>
      <c r="D27" s="10"/>
      <c r="E27" s="10"/>
      <c r="F27" s="10"/>
      <c r="G27" s="10"/>
      <c r="H27" s="10"/>
      <c r="I27" s="10"/>
      <c r="J27" s="10"/>
      <c r="K27" s="10"/>
      <c r="L27" s="10">
        <v>0</v>
      </c>
      <c r="M27" s="10"/>
      <c r="N27" s="10">
        <f>L27</f>
        <v>0</v>
      </c>
      <c r="O27" s="10"/>
      <c r="P27" s="11"/>
    </row>
    <row r="28" spans="1:16">
      <c r="A28" s="1" t="s">
        <v>75</v>
      </c>
      <c r="B28" s="4" t="s">
        <v>334</v>
      </c>
      <c r="C28" s="10"/>
      <c r="D28" s="10"/>
      <c r="E28" s="10"/>
      <c r="F28" s="10"/>
      <c r="G28" s="10"/>
      <c r="H28" s="10"/>
      <c r="I28" s="10"/>
      <c r="J28" s="10"/>
      <c r="K28" s="10"/>
      <c r="L28" s="158">
        <f>'10 Years Mixed'!Q66</f>
        <v>0</v>
      </c>
      <c r="M28" s="10"/>
      <c r="N28" s="12"/>
      <c r="O28" s="12">
        <f>L28</f>
        <v>0</v>
      </c>
      <c r="P28" s="11">
        <f>IFERROR(O28/N12,0)</f>
        <v>0</v>
      </c>
    </row>
    <row r="29" spans="1:16">
      <c r="A29" s="1" t="s">
        <v>4</v>
      </c>
      <c r="B29" s="4"/>
      <c r="C29" s="10"/>
      <c r="D29" s="10"/>
      <c r="E29" s="10"/>
      <c r="F29" s="10"/>
      <c r="G29" s="10"/>
      <c r="H29" s="10"/>
      <c r="I29" s="10"/>
      <c r="J29" s="10"/>
      <c r="K29" s="10"/>
      <c r="L29" s="158"/>
      <c r="M29" s="10"/>
      <c r="N29" s="123">
        <f>SUM(N27:N28)</f>
        <v>0</v>
      </c>
      <c r="O29" s="123">
        <f>SUM(O27:O28)</f>
        <v>0</v>
      </c>
      <c r="P29" s="11"/>
    </row>
    <row r="30" spans="1:16" ht="15" thickBot="1">
      <c r="A30" s="2" t="s">
        <v>87</v>
      </c>
      <c r="C30" s="10"/>
      <c r="D30" s="10"/>
      <c r="E30" s="10"/>
      <c r="F30" s="10"/>
      <c r="G30" s="10"/>
      <c r="H30" s="10"/>
      <c r="I30" s="10"/>
      <c r="J30" s="10"/>
      <c r="K30" s="10"/>
      <c r="L30" s="10"/>
      <c r="M30" s="10"/>
      <c r="N30" s="16">
        <f>N29+N26+N14</f>
        <v>0</v>
      </c>
      <c r="O30" s="16">
        <f>O29+O26+O14</f>
        <v>0</v>
      </c>
      <c r="P30" s="17">
        <f>P28+P26</f>
        <v>0</v>
      </c>
    </row>
    <row r="31" spans="1:16" ht="16" thickTop="1" thickBot="1">
      <c r="N31" s="18">
        <f>IFERROR(N30/SUM(N30:O30),0)</f>
        <v>0</v>
      </c>
      <c r="O31" s="18">
        <f>IFERROR(O30/SUM(N30:O30),0)</f>
        <v>0</v>
      </c>
    </row>
    <row r="32" spans="1:16" ht="15" thickTop="1">
      <c r="O32" s="5"/>
    </row>
  </sheetData>
  <mergeCells count="7">
    <mergeCell ref="O5:P5"/>
    <mergeCell ref="O6:O7"/>
    <mergeCell ref="P6:P7"/>
    <mergeCell ref="A1:P1"/>
    <mergeCell ref="A2:P2"/>
    <mergeCell ref="A3:P3"/>
    <mergeCell ref="A4:P4"/>
  </mergeCells>
  <printOptions horizontalCentered="1"/>
  <pageMargins left="0.25" right="0.25" top="0.75" bottom="0.75" header="0.3" footer="0.3"/>
  <pageSetup scale="63"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341CA6-564C-409D-B0E5-2C1CDC355AAC}">
  <sheetPr>
    <pageSetUpPr fitToPage="1"/>
  </sheetPr>
  <dimension ref="A1:H34"/>
  <sheetViews>
    <sheetView zoomScale="90" zoomScaleNormal="90" workbookViewId="0">
      <selection activeCell="E10" sqref="E10"/>
    </sheetView>
  </sheetViews>
  <sheetFormatPr baseColWidth="10" defaultColWidth="9.33203125" defaultRowHeight="14"/>
  <cols>
    <col min="1" max="1" width="38.6640625" style="1" bestFit="1" customWidth="1"/>
    <col min="2" max="3" width="9.33203125" style="1"/>
    <col min="4" max="4" width="14" style="1" bestFit="1" customWidth="1"/>
    <col min="5" max="5" width="14" style="1" customWidth="1"/>
    <col min="6" max="6" width="1.6640625" style="1" customWidth="1"/>
    <col min="7" max="7" width="17.5" style="1" bestFit="1" customWidth="1"/>
    <col min="8" max="8" width="12" style="1" bestFit="1" customWidth="1"/>
    <col min="9" max="16384" width="9.33203125" style="1"/>
  </cols>
  <sheetData>
    <row r="1" spans="1:8">
      <c r="A1" s="331">
        <f>'Municipality Benefits Analysis'!A1:K1</f>
        <v>0</v>
      </c>
      <c r="B1" s="331"/>
      <c r="C1" s="331"/>
      <c r="D1" s="331"/>
      <c r="E1" s="331"/>
      <c r="F1" s="331"/>
      <c r="G1" s="331"/>
    </row>
    <row r="2" spans="1:8">
      <c r="A2" s="331">
        <f>'Municipality Benefits Analysis'!A2:K2</f>
        <v>0</v>
      </c>
      <c r="B2" s="331"/>
      <c r="C2" s="331"/>
      <c r="D2" s="331"/>
      <c r="E2" s="331"/>
      <c r="F2" s="331"/>
      <c r="G2" s="331"/>
    </row>
    <row r="3" spans="1:8">
      <c r="A3" s="331" t="s">
        <v>88</v>
      </c>
      <c r="B3" s="331"/>
      <c r="C3" s="331"/>
      <c r="D3" s="331"/>
      <c r="E3" s="331"/>
      <c r="F3" s="331"/>
      <c r="G3" s="331"/>
    </row>
    <row r="4" spans="1:8" ht="15" thickBot="1">
      <c r="A4" s="337">
        <f>'Municipality Benefits Analysis'!A4:K4</f>
        <v>46113</v>
      </c>
      <c r="B4" s="337"/>
      <c r="C4" s="337"/>
      <c r="D4" s="337"/>
      <c r="E4" s="337"/>
      <c r="F4" s="337"/>
      <c r="G4" s="337"/>
    </row>
    <row r="5" spans="1:8" ht="15" thickTop="1"/>
    <row r="6" spans="1:8">
      <c r="A6" s="2" t="s">
        <v>125</v>
      </c>
      <c r="D6" s="7" t="s">
        <v>115</v>
      </c>
      <c r="E6" s="7" t="s">
        <v>9</v>
      </c>
      <c r="F6" s="15"/>
      <c r="G6" s="15"/>
    </row>
    <row r="7" spans="1:8">
      <c r="A7" s="1" t="s">
        <v>238</v>
      </c>
      <c r="C7" s="73"/>
      <c r="D7" s="95">
        <f>IFERROR(G7/$E$34,0)</f>
        <v>0</v>
      </c>
      <c r="E7" s="71" t="e">
        <f>G7/$G$27</f>
        <v>#DIV/0!</v>
      </c>
      <c r="F7" s="73"/>
      <c r="G7" s="95">
        <f>'Summary Page'!B5</f>
        <v>0</v>
      </c>
    </row>
    <row r="8" spans="1:8">
      <c r="A8" s="1" t="s">
        <v>220</v>
      </c>
      <c r="C8" s="73"/>
      <c r="D8" s="95"/>
      <c r="E8" s="71"/>
      <c r="F8" s="73"/>
      <c r="G8" s="95"/>
    </row>
    <row r="9" spans="1:8">
      <c r="A9" s="1" t="s">
        <v>235</v>
      </c>
      <c r="C9" s="69">
        <f>'Summary Page'!B6</f>
        <v>0</v>
      </c>
      <c r="D9" s="95">
        <f t="shared" ref="D9:D22" si="0">IFERROR(G9/$E$34,0)</f>
        <v>0</v>
      </c>
      <c r="E9" s="71" t="e">
        <f>G9/$G$27</f>
        <v>#DIV/0!</v>
      </c>
      <c r="F9" s="73"/>
      <c r="G9" s="161">
        <f>C9*G7</f>
        <v>0</v>
      </c>
    </row>
    <row r="10" spans="1:8">
      <c r="A10" s="1" t="s">
        <v>221</v>
      </c>
      <c r="C10" s="69">
        <v>0</v>
      </c>
      <c r="D10" s="95">
        <f t="shared" si="0"/>
        <v>0</v>
      </c>
      <c r="E10" s="71" t="e">
        <f t="shared" ref="E9:E23" si="1">G10/$G$27</f>
        <v>#DIV/0!</v>
      </c>
      <c r="F10" s="73"/>
      <c r="G10" s="161">
        <v>0</v>
      </c>
      <c r="H10" s="13"/>
    </row>
    <row r="11" spans="1:8">
      <c r="A11" s="1" t="s">
        <v>236</v>
      </c>
      <c r="C11" s="69"/>
      <c r="D11" s="95">
        <f t="shared" si="0"/>
        <v>0</v>
      </c>
      <c r="E11" s="71" t="e">
        <f t="shared" si="1"/>
        <v>#DIV/0!</v>
      </c>
      <c r="F11" s="73"/>
      <c r="G11" s="161">
        <v>0</v>
      </c>
    </row>
    <row r="12" spans="1:8">
      <c r="A12" s="1" t="s">
        <v>237</v>
      </c>
      <c r="C12" s="73"/>
      <c r="D12" s="95">
        <f t="shared" si="0"/>
        <v>0</v>
      </c>
      <c r="E12" s="71" t="e">
        <f t="shared" si="1"/>
        <v>#DIV/0!</v>
      </c>
      <c r="F12" s="73"/>
      <c r="G12" s="161">
        <v>0</v>
      </c>
    </row>
    <row r="13" spans="1:8">
      <c r="A13" s="1" t="s">
        <v>341</v>
      </c>
      <c r="C13" s="73"/>
      <c r="D13" s="95">
        <f t="shared" si="0"/>
        <v>0</v>
      </c>
      <c r="E13" s="71" t="e">
        <f t="shared" si="1"/>
        <v>#DIV/0!</v>
      </c>
      <c r="F13" s="73"/>
      <c r="G13" s="161">
        <v>0</v>
      </c>
    </row>
    <row r="14" spans="1:8">
      <c r="A14" s="1" t="s">
        <v>222</v>
      </c>
      <c r="C14" s="73"/>
      <c r="D14" s="95">
        <f t="shared" si="0"/>
        <v>0</v>
      </c>
      <c r="E14" s="71" t="e">
        <f t="shared" si="1"/>
        <v>#DIV/0!</v>
      </c>
      <c r="F14" s="73"/>
      <c r="G14" s="161">
        <v>0</v>
      </c>
    </row>
    <row r="15" spans="1:8">
      <c r="A15" s="1" t="s">
        <v>223</v>
      </c>
      <c r="C15" s="73"/>
      <c r="D15" s="95">
        <f t="shared" si="0"/>
        <v>0</v>
      </c>
      <c r="E15" s="71" t="e">
        <f t="shared" si="1"/>
        <v>#DIV/0!</v>
      </c>
      <c r="F15" s="73"/>
      <c r="G15" s="161">
        <v>0</v>
      </c>
    </row>
    <row r="16" spans="1:8">
      <c r="A16" s="1" t="s">
        <v>224</v>
      </c>
      <c r="C16" s="69">
        <v>0</v>
      </c>
      <c r="D16" s="95">
        <f t="shared" si="0"/>
        <v>0</v>
      </c>
      <c r="E16" s="71" t="e">
        <f t="shared" si="1"/>
        <v>#DIV/0!</v>
      </c>
      <c r="F16" s="73"/>
      <c r="G16" s="161">
        <f>C16*G30</f>
        <v>0</v>
      </c>
    </row>
    <row r="17" spans="1:8">
      <c r="A17" s="1" t="s">
        <v>225</v>
      </c>
      <c r="C17" s="148">
        <v>0</v>
      </c>
      <c r="D17" s="95">
        <f t="shared" si="0"/>
        <v>0</v>
      </c>
      <c r="E17" s="71" t="e">
        <f t="shared" si="1"/>
        <v>#DIV/0!</v>
      </c>
      <c r="F17" s="73"/>
      <c r="G17" s="161">
        <f>C17*'Summary Page'!B25</f>
        <v>0</v>
      </c>
    </row>
    <row r="18" spans="1:8">
      <c r="A18" s="1" t="s">
        <v>305</v>
      </c>
      <c r="C18" s="73"/>
      <c r="D18" s="95">
        <f t="shared" si="0"/>
        <v>0</v>
      </c>
      <c r="E18" s="71" t="e">
        <f t="shared" si="1"/>
        <v>#DIV/0!</v>
      </c>
      <c r="F18" s="73"/>
      <c r="G18" s="161">
        <v>0</v>
      </c>
    </row>
    <row r="19" spans="1:8">
      <c r="A19" s="1" t="s">
        <v>226</v>
      </c>
      <c r="C19" s="73"/>
      <c r="D19" s="95">
        <f t="shared" si="0"/>
        <v>0</v>
      </c>
      <c r="E19" s="71" t="e">
        <f t="shared" si="1"/>
        <v>#DIV/0!</v>
      </c>
      <c r="F19" s="73"/>
      <c r="G19" s="161">
        <v>0</v>
      </c>
    </row>
    <row r="20" spans="1:8">
      <c r="A20" s="1" t="s">
        <v>256</v>
      </c>
      <c r="C20" s="73"/>
      <c r="D20" s="95">
        <f t="shared" si="0"/>
        <v>0</v>
      </c>
      <c r="E20" s="71" t="e">
        <f t="shared" si="1"/>
        <v>#DIV/0!</v>
      </c>
      <c r="F20" s="73"/>
      <c r="G20" s="161">
        <v>0</v>
      </c>
    </row>
    <row r="21" spans="1:8">
      <c r="A21" s="1" t="s">
        <v>227</v>
      </c>
      <c r="C21" s="73"/>
      <c r="D21" s="95">
        <f t="shared" si="0"/>
        <v>0</v>
      </c>
      <c r="E21" s="71" t="e">
        <f t="shared" si="1"/>
        <v>#DIV/0!</v>
      </c>
      <c r="F21" s="73"/>
      <c r="G21" s="161">
        <v>0</v>
      </c>
    </row>
    <row r="22" spans="1:8">
      <c r="A22" s="1" t="s">
        <v>228</v>
      </c>
      <c r="C22" s="73"/>
      <c r="D22" s="95">
        <f t="shared" si="0"/>
        <v>0</v>
      </c>
      <c r="E22" s="71" t="e">
        <f t="shared" si="1"/>
        <v>#DIV/0!</v>
      </c>
      <c r="F22" s="73"/>
      <c r="G22" s="161">
        <v>0</v>
      </c>
    </row>
    <row r="23" spans="1:8">
      <c r="A23" s="1" t="s">
        <v>229</v>
      </c>
      <c r="C23" s="73"/>
      <c r="D23" s="160">
        <f>'P&amp;L'!E48*-1</f>
        <v>0</v>
      </c>
      <c r="E23" s="76" t="e">
        <f t="shared" si="1"/>
        <v>#DIV/0!</v>
      </c>
      <c r="F23" s="75"/>
      <c r="G23" s="160">
        <f>D23*E34</f>
        <v>0</v>
      </c>
    </row>
    <row r="24" spans="1:8">
      <c r="C24" s="73"/>
      <c r="D24" s="160">
        <f>IFERROR(SUM(D9:D23),0)</f>
        <v>0</v>
      </c>
      <c r="E24" s="76" t="e">
        <f>SUM(E9:E23)</f>
        <v>#DIV/0!</v>
      </c>
      <c r="F24" s="75"/>
      <c r="G24" s="160">
        <f>SUM(G7:G23)</f>
        <v>0</v>
      </c>
    </row>
    <row r="25" spans="1:8">
      <c r="C25" s="73"/>
      <c r="D25" s="95"/>
      <c r="E25" s="71"/>
      <c r="F25" s="73"/>
      <c r="G25" s="161"/>
    </row>
    <row r="26" spans="1:8">
      <c r="A26" s="1" t="s">
        <v>258</v>
      </c>
      <c r="C26" s="69">
        <v>0</v>
      </c>
      <c r="D26" s="95">
        <f>IFERROR(G26/$E$34,0)</f>
        <v>0</v>
      </c>
      <c r="E26" s="77" t="e">
        <f>G26/$G$27</f>
        <v>#DIV/0!</v>
      </c>
      <c r="F26" s="73"/>
      <c r="G26" s="95">
        <f>G24*C26</f>
        <v>0</v>
      </c>
    </row>
    <row r="27" spans="1:8">
      <c r="A27" s="2" t="s">
        <v>137</v>
      </c>
      <c r="C27" s="73"/>
      <c r="D27" s="95">
        <f>IFERROR(G27/E34,0)</f>
        <v>0</v>
      </c>
      <c r="E27" s="77" t="e">
        <f>E24+E7</f>
        <v>#DIV/0!</v>
      </c>
      <c r="F27" s="73"/>
      <c r="G27" s="95">
        <f>G24+G26</f>
        <v>0</v>
      </c>
      <c r="H27" s="13"/>
    </row>
    <row r="28" spans="1:8">
      <c r="C28" s="73"/>
      <c r="D28" s="95"/>
      <c r="E28" s="73"/>
      <c r="F28" s="73"/>
      <c r="G28" s="95"/>
    </row>
    <row r="29" spans="1:8">
      <c r="A29" s="2" t="s">
        <v>219</v>
      </c>
      <c r="B29" s="4"/>
      <c r="C29" s="73"/>
      <c r="D29" s="95"/>
      <c r="E29" s="162"/>
      <c r="F29" s="73"/>
      <c r="G29" s="95"/>
    </row>
    <row r="30" spans="1:8">
      <c r="A30" s="1" t="s">
        <v>96</v>
      </c>
      <c r="B30" s="4" t="s">
        <v>217</v>
      </c>
      <c r="C30" s="71"/>
      <c r="D30" s="95">
        <f>IFERROR(G30/'Mixed Rent'!$G$70,0)</f>
        <v>0</v>
      </c>
      <c r="E30" s="71" t="e">
        <f>G30/G32</f>
        <v>#DIV/0!</v>
      </c>
      <c r="F30" s="73"/>
      <c r="G30" s="95">
        <f>'Cash Flow + Debt'!D20</f>
        <v>0</v>
      </c>
    </row>
    <row r="31" spans="1:8">
      <c r="A31" s="1" t="s">
        <v>118</v>
      </c>
      <c r="C31" s="73"/>
      <c r="D31" s="160">
        <f>IFERROR(G31/'Mixed Rent'!$G$70,0)</f>
        <v>0</v>
      </c>
      <c r="E31" s="163" t="e">
        <f>G31/G27</f>
        <v>#DIV/0!</v>
      </c>
      <c r="F31" s="73"/>
      <c r="G31" s="160">
        <f>G27-G30</f>
        <v>0</v>
      </c>
    </row>
    <row r="32" spans="1:8" ht="15" thickBot="1">
      <c r="A32" s="2" t="s">
        <v>97</v>
      </c>
      <c r="C32" s="73"/>
      <c r="D32" s="164">
        <f>IFERROR(G32/'Mixed Rent'!$G$70,0)</f>
        <v>0</v>
      </c>
      <c r="E32" s="165" t="e">
        <f>SUM(E30:E31)</f>
        <v>#DIV/0!</v>
      </c>
      <c r="F32" s="73"/>
      <c r="G32" s="164">
        <f>SUM(G30:G31)</f>
        <v>0</v>
      </c>
    </row>
    <row r="33" spans="1:5" ht="15" thickTop="1"/>
    <row r="34" spans="1:5">
      <c r="A34" s="2" t="s">
        <v>108</v>
      </c>
      <c r="E34" s="9">
        <f>'Mixed Rent'!G70</f>
        <v>0</v>
      </c>
    </row>
  </sheetData>
  <mergeCells count="4">
    <mergeCell ref="A1:G1"/>
    <mergeCell ref="A2:G2"/>
    <mergeCell ref="A3:G3"/>
    <mergeCell ref="A4:G4"/>
  </mergeCells>
  <printOptions horizontalCentered="1"/>
  <pageMargins left="0.7" right="0.7" top="0.75" bottom="0.75" header="0.3" footer="0.3"/>
  <pageSetup scale="86"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FB066C-7A7C-4F92-AC5E-4B3770F82763}">
  <sheetPr>
    <pageSetUpPr fitToPage="1"/>
  </sheetPr>
  <dimension ref="A1:M43"/>
  <sheetViews>
    <sheetView zoomScale="90" zoomScaleNormal="90" workbookViewId="0">
      <selection activeCell="H35" sqref="H35"/>
    </sheetView>
  </sheetViews>
  <sheetFormatPr baseColWidth="10" defaultColWidth="9.33203125" defaultRowHeight="14"/>
  <cols>
    <col min="1" max="1" width="33.33203125" style="1" bestFit="1" customWidth="1"/>
    <col min="2" max="2" width="1.6640625" style="1" customWidth="1"/>
    <col min="3" max="3" width="10.33203125" style="1" bestFit="1" customWidth="1"/>
    <col min="4" max="4" width="15.6640625" style="1" bestFit="1" customWidth="1"/>
    <col min="5" max="5" width="1.6640625" style="1" customWidth="1"/>
    <col min="6" max="6" width="16.5" style="1" bestFit="1" customWidth="1"/>
    <col min="7" max="7" width="9.33203125" style="1"/>
    <col min="8" max="8" width="15.6640625" style="1" customWidth="1"/>
    <col min="9" max="10" width="9.33203125" style="1"/>
    <col min="11" max="11" width="21" style="1" bestFit="1" customWidth="1"/>
    <col min="12" max="12" width="6.6640625" style="1" bestFit="1" customWidth="1"/>
    <col min="13" max="13" width="15" style="1" bestFit="1" customWidth="1"/>
    <col min="14" max="16384" width="9.33203125" style="1"/>
  </cols>
  <sheetData>
    <row r="1" spans="1:8">
      <c r="A1" s="331">
        <f>'Municipality Benefits Analysis'!A1:K1</f>
        <v>0</v>
      </c>
      <c r="B1" s="331"/>
      <c r="C1" s="331"/>
      <c r="D1" s="331"/>
      <c r="E1" s="331"/>
      <c r="F1" s="331"/>
      <c r="G1" s="331"/>
      <c r="H1" s="331"/>
    </row>
    <row r="2" spans="1:8">
      <c r="A2" s="331">
        <f>'Municipality Benefits Analysis'!A2:K2</f>
        <v>0</v>
      </c>
      <c r="B2" s="331"/>
      <c r="C2" s="331"/>
      <c r="D2" s="331"/>
      <c r="E2" s="331"/>
      <c r="F2" s="331"/>
      <c r="G2" s="331"/>
      <c r="H2" s="331"/>
    </row>
    <row r="3" spans="1:8">
      <c r="A3" s="331" t="s">
        <v>89</v>
      </c>
      <c r="B3" s="331"/>
      <c r="C3" s="331"/>
      <c r="D3" s="331"/>
      <c r="E3" s="331"/>
      <c r="F3" s="331"/>
      <c r="G3" s="331"/>
      <c r="H3" s="331"/>
    </row>
    <row r="4" spans="1:8" ht="15" thickBot="1">
      <c r="A4" s="337">
        <f>'Municipality Benefits Analysis'!A4:K4</f>
        <v>46113</v>
      </c>
      <c r="B4" s="337"/>
      <c r="C4" s="337"/>
      <c r="D4" s="337"/>
      <c r="E4" s="337"/>
      <c r="F4" s="337"/>
      <c r="G4" s="337"/>
      <c r="H4" s="337"/>
    </row>
    <row r="5" spans="1:8" ht="15" thickTop="1"/>
    <row r="6" spans="1:8">
      <c r="A6" s="2" t="s">
        <v>30</v>
      </c>
      <c r="F6" s="10">
        <f>'P&amp;L'!D41</f>
        <v>0</v>
      </c>
    </row>
    <row r="7" spans="1:8">
      <c r="A7" s="1" t="s">
        <v>33</v>
      </c>
      <c r="F7" s="10"/>
    </row>
    <row r="8" spans="1:8">
      <c r="A8" s="1" t="s">
        <v>27</v>
      </c>
      <c r="F8" s="12">
        <f>'P&amp;L'!D44</f>
        <v>0</v>
      </c>
    </row>
    <row r="9" spans="1:8">
      <c r="A9" s="2" t="s">
        <v>32</v>
      </c>
      <c r="F9" s="10">
        <f>F6+F8</f>
        <v>0</v>
      </c>
    </row>
    <row r="10" spans="1:8">
      <c r="A10" s="2"/>
      <c r="F10" s="10"/>
    </row>
    <row r="11" spans="1:8">
      <c r="A11" s="2" t="s">
        <v>21</v>
      </c>
      <c r="F11" s="10"/>
    </row>
    <row r="12" spans="1:8">
      <c r="A12" s="1" t="str">
        <f>'P&amp;L'!A49</f>
        <v>Total Other Non-Controllable Expenses</v>
      </c>
      <c r="F12" s="12">
        <f>'P&amp;L'!D49</f>
        <v>0</v>
      </c>
    </row>
    <row r="13" spans="1:8">
      <c r="F13" s="10"/>
    </row>
    <row r="14" spans="1:8" ht="15" thickBot="1">
      <c r="A14" s="46" t="s">
        <v>45</v>
      </c>
      <c r="F14" s="123">
        <f>F9+F12</f>
        <v>0</v>
      </c>
    </row>
    <row r="15" spans="1:8" ht="15" thickTop="1"/>
    <row r="16" spans="1:8">
      <c r="A16" s="2" t="s">
        <v>218</v>
      </c>
    </row>
    <row r="17" spans="1:8">
      <c r="A17" s="1" t="s">
        <v>212</v>
      </c>
      <c r="D17" s="10">
        <f>'SOURCES and USES of FUNDS'!G27</f>
        <v>0</v>
      </c>
      <c r="E17" s="3"/>
    </row>
    <row r="18" spans="1:8">
      <c r="A18" s="1" t="s">
        <v>38</v>
      </c>
      <c r="D18" s="95">
        <f>IFERROR(D17/'Mixed Rent'!G70,0)</f>
        <v>0</v>
      </c>
      <c r="E18" s="10"/>
    </row>
    <row r="19" spans="1:8">
      <c r="A19" s="1" t="s">
        <v>39</v>
      </c>
      <c r="D19" s="77">
        <f>IFERROR(F9/D17,0)</f>
        <v>0</v>
      </c>
      <c r="E19" s="47"/>
      <c r="H19" s="5"/>
    </row>
    <row r="20" spans="1:8">
      <c r="A20" s="1" t="s">
        <v>34</v>
      </c>
      <c r="C20" s="4" t="s">
        <v>217</v>
      </c>
      <c r="D20" s="95">
        <f>D22*'SOURCES and USES of FUNDS'!G7</f>
        <v>0</v>
      </c>
      <c r="E20" s="3"/>
      <c r="F20" s="9"/>
      <c r="H20" s="3"/>
    </row>
    <row r="21" spans="1:8">
      <c r="A21" s="1" t="s">
        <v>38</v>
      </c>
      <c r="C21" s="4"/>
      <c r="D21" s="95">
        <f>IFERROR(D20/'SOURCES and USES of FUNDS'!E34,0)</f>
        <v>0</v>
      </c>
      <c r="E21" s="3"/>
      <c r="F21" s="9"/>
      <c r="H21" s="3"/>
    </row>
    <row r="22" spans="1:8">
      <c r="A22" s="1" t="s">
        <v>230</v>
      </c>
      <c r="D22" s="71">
        <f>'Summary Page'!B24</f>
        <v>0</v>
      </c>
      <c r="E22" s="49"/>
      <c r="G22" s="107"/>
    </row>
    <row r="23" spans="1:8">
      <c r="A23" s="1" t="s">
        <v>35</v>
      </c>
      <c r="D23" s="71">
        <f>'Summary Page'!B26</f>
        <v>0</v>
      </c>
      <c r="E23" s="5"/>
      <c r="G23" s="107"/>
    </row>
    <row r="24" spans="1:8">
      <c r="A24" s="1" t="s">
        <v>36</v>
      </c>
      <c r="D24" s="80">
        <f>'Summary Page'!B27</f>
        <v>0</v>
      </c>
      <c r="G24" s="108"/>
    </row>
    <row r="25" spans="1:8">
      <c r="A25" s="1" t="s">
        <v>44</v>
      </c>
      <c r="D25" s="77">
        <f>IFERROR(PMT(D23/12,D24*12,-1)*12,0)</f>
        <v>0</v>
      </c>
    </row>
    <row r="26" spans="1:8">
      <c r="A26" s="1" t="s">
        <v>114</v>
      </c>
      <c r="D26" s="80">
        <f>IFERROR(F14/D27,0)</f>
        <v>0</v>
      </c>
    </row>
    <row r="27" spans="1:8">
      <c r="A27" s="1" t="s">
        <v>37</v>
      </c>
      <c r="D27" s="160">
        <f>IFERROR((PMT(D23/12,D24*12,D20)*12)*-1,0)</f>
        <v>0</v>
      </c>
      <c r="F27" s="8"/>
    </row>
    <row r="28" spans="1:8">
      <c r="A28" s="73" t="s">
        <v>304</v>
      </c>
      <c r="D28" s="110"/>
      <c r="F28" s="12">
        <f>D23*-D20</f>
        <v>0</v>
      </c>
    </row>
    <row r="29" spans="1:8">
      <c r="A29" s="73"/>
      <c r="D29" s="110"/>
      <c r="F29" s="123"/>
    </row>
    <row r="30" spans="1:8">
      <c r="A30" s="1" t="s">
        <v>331</v>
      </c>
      <c r="D30" s="224">
        <f>'Summary Page'!E37</f>
        <v>0</v>
      </c>
      <c r="F30" s="10">
        <f>'P&amp;L'!D43</f>
        <v>0</v>
      </c>
      <c r="H30" s="50"/>
    </row>
    <row r="31" spans="1:8" ht="15" thickBot="1">
      <c r="A31" s="2" t="s">
        <v>40</v>
      </c>
      <c r="D31" s="73"/>
      <c r="F31" s="78">
        <f>F14+F28+F30</f>
        <v>0</v>
      </c>
      <c r="H31" s="50"/>
    </row>
    <row r="32" spans="1:8" ht="15" thickTop="1">
      <c r="A32" s="2"/>
      <c r="D32" s="73"/>
      <c r="F32" s="3"/>
    </row>
    <row r="33" spans="1:13">
      <c r="A33" s="2" t="s">
        <v>21</v>
      </c>
      <c r="D33" s="73"/>
      <c r="F33" s="3"/>
      <c r="G33" s="3"/>
      <c r="H33" s="3"/>
    </row>
    <row r="34" spans="1:13">
      <c r="A34" s="2" t="s">
        <v>46</v>
      </c>
      <c r="C34" s="4" t="s">
        <v>340</v>
      </c>
      <c r="D34" s="71">
        <v>0</v>
      </c>
      <c r="F34" s="3"/>
      <c r="G34" s="3"/>
      <c r="H34" s="120">
        <v>0</v>
      </c>
    </row>
    <row r="35" spans="1:13">
      <c r="A35" s="2" t="s">
        <v>47</v>
      </c>
      <c r="C35" s="4"/>
      <c r="D35" s="73"/>
      <c r="F35" s="3"/>
      <c r="G35" s="3"/>
      <c r="H35" s="3">
        <f>F31+H34</f>
        <v>0</v>
      </c>
    </row>
    <row r="36" spans="1:13">
      <c r="A36" s="2" t="s">
        <v>21</v>
      </c>
      <c r="C36" s="4"/>
      <c r="D36" s="73"/>
      <c r="F36" s="3"/>
      <c r="G36" s="3"/>
      <c r="H36" s="3"/>
    </row>
    <row r="37" spans="1:13">
      <c r="A37" s="1" t="s">
        <v>48</v>
      </c>
      <c r="C37" s="4" t="s">
        <v>43</v>
      </c>
      <c r="D37" s="73"/>
      <c r="F37" s="3"/>
      <c r="G37" s="3"/>
      <c r="H37" s="3"/>
    </row>
    <row r="38" spans="1:13">
      <c r="A38" s="1" t="s">
        <v>90</v>
      </c>
      <c r="C38" s="4"/>
      <c r="D38" s="93">
        <v>0</v>
      </c>
      <c r="F38" s="3"/>
      <c r="G38" s="3"/>
      <c r="H38" s="3"/>
    </row>
    <row r="39" spans="1:13">
      <c r="A39" s="1" t="s">
        <v>91</v>
      </c>
      <c r="D39" s="169">
        <f>'Summary Page'!B28</f>
        <v>0</v>
      </c>
      <c r="F39" s="3"/>
      <c r="G39" s="3"/>
      <c r="H39" s="51">
        <f>D38*-D39</f>
        <v>0</v>
      </c>
    </row>
    <row r="40" spans="1:13">
      <c r="C40" s="4"/>
      <c r="D40" s="71"/>
      <c r="F40" s="3"/>
      <c r="G40" s="3"/>
      <c r="H40" s="52"/>
    </row>
    <row r="41" spans="1:13">
      <c r="C41" s="4"/>
      <c r="D41" s="5"/>
      <c r="F41" s="3"/>
      <c r="G41" s="3"/>
      <c r="H41" s="52"/>
    </row>
    <row r="42" spans="1:13" ht="15" thickBot="1">
      <c r="A42" s="2" t="s">
        <v>49</v>
      </c>
      <c r="F42" s="3"/>
      <c r="G42" s="3"/>
      <c r="H42" s="53">
        <f>H35+H39</f>
        <v>0</v>
      </c>
    </row>
    <row r="43" spans="1:13" ht="15" thickTop="1">
      <c r="M43" s="6"/>
    </row>
  </sheetData>
  <mergeCells count="4">
    <mergeCell ref="A1:H1"/>
    <mergeCell ref="A2:H2"/>
    <mergeCell ref="A3:H3"/>
    <mergeCell ref="A4:H4"/>
  </mergeCells>
  <printOptions horizontalCentered="1"/>
  <pageMargins left="0.7" right="0.7" top="0.75" bottom="0.75" header="0.3" footer="0.3"/>
  <pageSetup scale="86"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48D76F-E069-4266-A511-1FF1D8A9BC54}">
  <sheetPr>
    <pageSetUpPr fitToPage="1"/>
  </sheetPr>
  <dimension ref="A1:H55"/>
  <sheetViews>
    <sheetView topLeftCell="A18" zoomScale="90" zoomScaleNormal="90" workbookViewId="0">
      <selection activeCell="A34" sqref="A34"/>
    </sheetView>
  </sheetViews>
  <sheetFormatPr baseColWidth="10" defaultColWidth="9.33203125" defaultRowHeight="14"/>
  <cols>
    <col min="1" max="1" width="37.5" style="1" bestFit="1" customWidth="1"/>
    <col min="2" max="2" width="1.6640625" style="1" customWidth="1"/>
    <col min="3" max="3" width="10.5" style="1" bestFit="1" customWidth="1"/>
    <col min="4" max="4" width="15" style="1" bestFit="1" customWidth="1"/>
    <col min="5" max="5" width="11" style="1" bestFit="1" customWidth="1"/>
    <col min="6" max="6" width="9.33203125" style="1"/>
    <col min="7" max="7" width="14.5" style="1" bestFit="1" customWidth="1"/>
    <col min="8" max="16384" width="9.33203125" style="1"/>
  </cols>
  <sheetData>
    <row r="1" spans="1:5">
      <c r="A1" s="331">
        <f>'Municipality Benefits Analysis'!A1:K1</f>
        <v>0</v>
      </c>
      <c r="B1" s="331"/>
      <c r="C1" s="331"/>
      <c r="D1" s="331"/>
      <c r="E1" s="331"/>
    </row>
    <row r="2" spans="1:5">
      <c r="A2" s="331">
        <f>'Municipality Benefits Analysis'!A2:K2</f>
        <v>0</v>
      </c>
      <c r="B2" s="331"/>
      <c r="C2" s="331"/>
      <c r="D2" s="331"/>
      <c r="E2" s="331"/>
    </row>
    <row r="3" spans="1:5">
      <c r="A3" s="331" t="s">
        <v>93</v>
      </c>
      <c r="B3" s="331"/>
      <c r="C3" s="331"/>
      <c r="D3" s="331"/>
      <c r="E3" s="331"/>
    </row>
    <row r="4" spans="1:5">
      <c r="A4" s="331"/>
      <c r="B4" s="331"/>
      <c r="C4" s="331"/>
      <c r="D4" s="331"/>
      <c r="E4" s="331"/>
    </row>
    <row r="5" spans="1:5" ht="15.75" customHeight="1" thickBot="1">
      <c r="A5" s="337">
        <f>'Municipality Benefits Analysis'!A4:K4</f>
        <v>46113</v>
      </c>
      <c r="B5" s="337"/>
      <c r="C5" s="337"/>
      <c r="D5" s="337"/>
      <c r="E5" s="337"/>
    </row>
    <row r="6" spans="1:5" ht="15" thickTop="1"/>
    <row r="7" spans="1:5">
      <c r="A7" s="2" t="s">
        <v>24</v>
      </c>
    </row>
    <row r="8" spans="1:5">
      <c r="A8" s="1" t="s">
        <v>50</v>
      </c>
      <c r="D8" s="10">
        <f>'Mixed Rent'!M148</f>
        <v>0</v>
      </c>
    </row>
    <row r="9" spans="1:5">
      <c r="A9" s="1" t="s">
        <v>52</v>
      </c>
      <c r="D9" s="10">
        <f>'Mixed Rent'!X213</f>
        <v>0</v>
      </c>
    </row>
    <row r="10" spans="1:5">
      <c r="A10" s="1" t="s">
        <v>53</v>
      </c>
      <c r="D10" s="12">
        <f>'Mixed Rent'!X278</f>
        <v>0</v>
      </c>
    </row>
    <row r="11" spans="1:5">
      <c r="A11" s="2" t="s">
        <v>54</v>
      </c>
      <c r="D11" s="10">
        <f>SUM(D8:D10)</f>
        <v>0</v>
      </c>
    </row>
    <row r="12" spans="1:5">
      <c r="A12" s="1" t="s">
        <v>234</v>
      </c>
      <c r="D12" s="95">
        <f>'Summary Page'!B12</f>
        <v>0</v>
      </c>
    </row>
    <row r="13" spans="1:5">
      <c r="A13" s="1" t="s">
        <v>242</v>
      </c>
      <c r="D13" s="160">
        <f>'Summary Page'!B11</f>
        <v>0</v>
      </c>
    </row>
    <row r="14" spans="1:5">
      <c r="A14" s="2" t="s">
        <v>117</v>
      </c>
      <c r="D14" s="10">
        <f>SUM(D11:D13)</f>
        <v>0</v>
      </c>
    </row>
    <row r="15" spans="1:5">
      <c r="A15" s="1" t="s">
        <v>21</v>
      </c>
      <c r="C15" s="73"/>
      <c r="D15" s="10"/>
    </row>
    <row r="16" spans="1:5">
      <c r="A16" s="1" t="s">
        <v>22</v>
      </c>
      <c r="C16" s="69">
        <f>'Summary Page'!E20</f>
        <v>0</v>
      </c>
      <c r="D16" s="10">
        <f>C16*-D11</f>
        <v>0</v>
      </c>
    </row>
    <row r="17" spans="1:7">
      <c r="A17" s="1" t="s">
        <v>241</v>
      </c>
      <c r="C17" s="69">
        <v>0</v>
      </c>
      <c r="D17" s="12">
        <f>D11*-C17</f>
        <v>0</v>
      </c>
    </row>
    <row r="18" spans="1:7">
      <c r="A18" s="2" t="s">
        <v>26</v>
      </c>
      <c r="C18" s="73"/>
      <c r="D18" s="10">
        <f>SUM(D14:D17)</f>
        <v>0</v>
      </c>
    </row>
    <row r="19" spans="1:7">
      <c r="C19" s="73"/>
      <c r="D19" s="10"/>
    </row>
    <row r="20" spans="1:7">
      <c r="A20" s="2" t="s">
        <v>21</v>
      </c>
      <c r="C20" s="73"/>
      <c r="D20" s="10"/>
    </row>
    <row r="21" spans="1:7">
      <c r="A21" s="2" t="s">
        <v>28</v>
      </c>
      <c r="C21" s="73"/>
      <c r="D21" s="10"/>
      <c r="E21" s="7" t="s">
        <v>38</v>
      </c>
    </row>
    <row r="22" spans="1:7">
      <c r="A22" s="2" t="s">
        <v>119</v>
      </c>
      <c r="C22" s="73"/>
      <c r="D22" s="10"/>
    </row>
    <row r="23" spans="1:7">
      <c r="A23" s="1" t="s">
        <v>243</v>
      </c>
      <c r="C23" s="73"/>
      <c r="D23" s="95">
        <v>0</v>
      </c>
      <c r="E23" s="10">
        <f t="shared" ref="E23:E29" si="0">IFERROR(D23/$D$55,0)</f>
        <v>0</v>
      </c>
    </row>
    <row r="24" spans="1:7">
      <c r="A24" s="1" t="s">
        <v>244</v>
      </c>
      <c r="C24" s="73"/>
      <c r="D24" s="95">
        <v>0</v>
      </c>
      <c r="E24" s="10">
        <f t="shared" si="0"/>
        <v>0</v>
      </c>
    </row>
    <row r="25" spans="1:7">
      <c r="A25" s="1" t="s">
        <v>245</v>
      </c>
      <c r="C25" s="73"/>
      <c r="D25" s="95">
        <v>0</v>
      </c>
      <c r="E25" s="10">
        <f t="shared" si="0"/>
        <v>0</v>
      </c>
    </row>
    <row r="26" spans="1:7">
      <c r="A26" s="1" t="s">
        <v>246</v>
      </c>
      <c r="C26" s="73"/>
      <c r="D26" s="161">
        <v>0</v>
      </c>
      <c r="E26" s="123">
        <f t="shared" si="0"/>
        <v>0</v>
      </c>
    </row>
    <row r="27" spans="1:7">
      <c r="A27" s="1" t="s">
        <v>247</v>
      </c>
      <c r="C27" s="73"/>
      <c r="D27" s="161">
        <v>0</v>
      </c>
      <c r="E27" s="123">
        <f t="shared" si="0"/>
        <v>0</v>
      </c>
    </row>
    <row r="28" spans="1:7">
      <c r="A28" s="1" t="s">
        <v>290</v>
      </c>
      <c r="C28" s="73"/>
      <c r="D28" s="161">
        <v>0</v>
      </c>
      <c r="E28" s="123">
        <f t="shared" si="0"/>
        <v>0</v>
      </c>
    </row>
    <row r="29" spans="1:7">
      <c r="A29" s="1" t="s">
        <v>109</v>
      </c>
      <c r="C29" s="73"/>
      <c r="D29" s="166">
        <f>SUM(D23:D28)</f>
        <v>0</v>
      </c>
      <c r="E29" s="167">
        <f t="shared" si="0"/>
        <v>0</v>
      </c>
      <c r="G29" s="94"/>
    </row>
    <row r="30" spans="1:7">
      <c r="A30" s="2" t="s">
        <v>134</v>
      </c>
      <c r="C30" s="73"/>
      <c r="D30" s="161"/>
      <c r="E30" s="123"/>
    </row>
    <row r="31" spans="1:7">
      <c r="A31" s="1" t="s">
        <v>213</v>
      </c>
      <c r="C31" s="148">
        <f>'Summary Page'!E21</f>
        <v>0</v>
      </c>
      <c r="D31" s="95">
        <f>-D18*C31</f>
        <v>0</v>
      </c>
      <c r="E31" s="10">
        <f t="shared" ref="E31:E39" si="1">IFERROR(D31/$D$55,0)</f>
        <v>0</v>
      </c>
    </row>
    <row r="32" spans="1:7">
      <c r="A32" s="1" t="s">
        <v>120</v>
      </c>
      <c r="C32" s="73"/>
      <c r="D32" s="95">
        <v>0</v>
      </c>
      <c r="E32" s="10">
        <f t="shared" si="1"/>
        <v>0</v>
      </c>
    </row>
    <row r="33" spans="1:8">
      <c r="A33" s="1" t="s">
        <v>355</v>
      </c>
      <c r="C33" s="73"/>
      <c r="D33" s="95">
        <v>0</v>
      </c>
      <c r="E33" s="10">
        <f t="shared" si="1"/>
        <v>0</v>
      </c>
    </row>
    <row r="34" spans="1:8">
      <c r="A34" s="1" t="s">
        <v>343</v>
      </c>
      <c r="C34" s="148"/>
      <c r="D34" s="95">
        <v>0</v>
      </c>
      <c r="E34" s="10">
        <f t="shared" si="1"/>
        <v>0</v>
      </c>
    </row>
    <row r="35" spans="1:8">
      <c r="A35" s="1" t="s">
        <v>215</v>
      </c>
      <c r="C35" s="69">
        <v>0</v>
      </c>
      <c r="D35" s="95">
        <f>C35*-D18</f>
        <v>0</v>
      </c>
      <c r="E35" s="10">
        <f t="shared" si="1"/>
        <v>0</v>
      </c>
    </row>
    <row r="36" spans="1:8">
      <c r="A36" s="1" t="s">
        <v>121</v>
      </c>
      <c r="C36" s="103" t="s">
        <v>135</v>
      </c>
      <c r="D36" s="95">
        <v>0</v>
      </c>
      <c r="E36" s="10">
        <f t="shared" si="1"/>
        <v>0</v>
      </c>
    </row>
    <row r="37" spans="1:8">
      <c r="A37" s="1" t="s">
        <v>132</v>
      </c>
      <c r="C37" s="168"/>
      <c r="D37" s="160">
        <v>0</v>
      </c>
      <c r="E37" s="12">
        <f t="shared" si="1"/>
        <v>0</v>
      </c>
    </row>
    <row r="38" spans="1:8">
      <c r="A38" s="1" t="s">
        <v>110</v>
      </c>
      <c r="C38" s="73"/>
      <c r="D38" s="161">
        <f>SUM(D31:D37)</f>
        <v>0</v>
      </c>
      <c r="E38" s="10">
        <f t="shared" si="1"/>
        <v>0</v>
      </c>
    </row>
    <row r="39" spans="1:8">
      <c r="A39" s="2" t="s">
        <v>29</v>
      </c>
      <c r="C39" s="73"/>
      <c r="D39" s="45">
        <f>D38+D29</f>
        <v>0</v>
      </c>
      <c r="E39" s="45">
        <f t="shared" si="1"/>
        <v>0</v>
      </c>
    </row>
    <row r="40" spans="1:8">
      <c r="D40" s="10"/>
      <c r="E40" s="10"/>
    </row>
    <row r="41" spans="1:8">
      <c r="A41" s="2" t="s">
        <v>111</v>
      </c>
      <c r="D41" s="10">
        <f>D18+D39</f>
        <v>0</v>
      </c>
      <c r="E41" s="10">
        <f>IFERROR(D41/$D$55,0)</f>
        <v>0</v>
      </c>
    </row>
    <row r="42" spans="1:8">
      <c r="A42" s="1" t="s">
        <v>33</v>
      </c>
      <c r="D42" s="10"/>
      <c r="E42" s="10"/>
    </row>
    <row r="43" spans="1:8">
      <c r="A43" s="1" t="s">
        <v>331</v>
      </c>
      <c r="C43" s="43">
        <f>'Summary Page'!E37</f>
        <v>0</v>
      </c>
      <c r="D43" s="10">
        <f>(C43*D36)</f>
        <v>0</v>
      </c>
      <c r="E43" s="10">
        <f>IFERROR(D43/$D$55,0)</f>
        <v>0</v>
      </c>
    </row>
    <row r="44" spans="1:8">
      <c r="A44" s="1" t="s">
        <v>27</v>
      </c>
      <c r="D44" s="12">
        <f>-D36</f>
        <v>0</v>
      </c>
      <c r="E44" s="12">
        <f>IFERROR(D44/$D$55,0)</f>
        <v>0</v>
      </c>
      <c r="G44" s="70"/>
    </row>
    <row r="45" spans="1:8">
      <c r="A45" s="2" t="s">
        <v>112</v>
      </c>
      <c r="D45" s="10">
        <f>D41+D44+D43</f>
        <v>0</v>
      </c>
      <c r="E45" s="10">
        <f>E41+E44+E43</f>
        <v>0</v>
      </c>
    </row>
    <row r="46" spans="1:8">
      <c r="A46" s="2"/>
      <c r="D46" s="10"/>
      <c r="E46" s="10"/>
    </row>
    <row r="47" spans="1:8">
      <c r="A47" s="2" t="s">
        <v>21</v>
      </c>
      <c r="D47" s="10"/>
      <c r="E47" s="10"/>
    </row>
    <row r="48" spans="1:8">
      <c r="A48" s="2" t="s">
        <v>138</v>
      </c>
      <c r="D48" s="160">
        <f>E48*D55</f>
        <v>0</v>
      </c>
      <c r="E48" s="160">
        <v>0</v>
      </c>
      <c r="H48" s="9"/>
    </row>
    <row r="49" spans="1:7">
      <c r="A49" s="2" t="s">
        <v>128</v>
      </c>
      <c r="D49" s="160">
        <f>SUM(D48:D48)</f>
        <v>0</v>
      </c>
      <c r="E49" s="160">
        <f>IFERROR(D49/D55,0)</f>
        <v>0</v>
      </c>
    </row>
    <row r="50" spans="1:7">
      <c r="D50" s="10"/>
      <c r="E50" s="10"/>
    </row>
    <row r="51" spans="1:7" ht="15" thickBot="1">
      <c r="A51" s="46" t="s">
        <v>113</v>
      </c>
      <c r="D51" s="78">
        <f>D45+D49</f>
        <v>0</v>
      </c>
      <c r="E51" s="78">
        <f>IFERROR(D51/$D$55,0)</f>
        <v>0</v>
      </c>
      <c r="G51" s="50"/>
    </row>
    <row r="52" spans="1:7" ht="15" thickTop="1"/>
    <row r="53" spans="1:7">
      <c r="D53" s="48"/>
    </row>
    <row r="55" spans="1:7">
      <c r="A55" s="1" t="s">
        <v>108</v>
      </c>
      <c r="D55" s="9">
        <f>'Mixed Rent'!G70</f>
        <v>0</v>
      </c>
    </row>
  </sheetData>
  <mergeCells count="5">
    <mergeCell ref="A1:E1"/>
    <mergeCell ref="A2:E2"/>
    <mergeCell ref="A3:E3"/>
    <mergeCell ref="A5:E5"/>
    <mergeCell ref="A4:E4"/>
  </mergeCells>
  <printOptions horizontalCentered="1"/>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2B693-E14F-43EF-AC72-99787D1DBA4C}">
  <sheetPr>
    <pageSetUpPr fitToPage="1"/>
  </sheetPr>
  <dimension ref="A1:Y284"/>
  <sheetViews>
    <sheetView topLeftCell="A114" zoomScale="90" zoomScaleNormal="90" workbookViewId="0">
      <selection activeCell="Q74" sqref="Q74"/>
    </sheetView>
  </sheetViews>
  <sheetFormatPr baseColWidth="10" defaultColWidth="9.33203125" defaultRowHeight="14"/>
  <cols>
    <col min="1" max="1" width="23.33203125" style="19" bestFit="1" customWidth="1"/>
    <col min="2" max="2" width="10.33203125" style="19" bestFit="1" customWidth="1"/>
    <col min="3" max="3" width="1.6640625" style="19" customWidth="1"/>
    <col min="4" max="4" width="11.5" style="19" bestFit="1" customWidth="1"/>
    <col min="5" max="5" width="10.5" style="174" bestFit="1" customWidth="1"/>
    <col min="6" max="6" width="1.6640625" style="19" customWidth="1"/>
    <col min="7" max="7" width="11.6640625" style="19" customWidth="1"/>
    <col min="8" max="8" width="1.6640625" style="19" customWidth="1"/>
    <col min="9" max="9" width="9.5" style="19" bestFit="1" customWidth="1"/>
    <col min="10" max="10" width="1.6640625" style="19" customWidth="1"/>
    <col min="11" max="11" width="15.6640625" style="19" customWidth="1"/>
    <col min="12" max="12" width="1.6640625" style="19" customWidth="1"/>
    <col min="13" max="13" width="15.6640625" style="19" bestFit="1" customWidth="1"/>
    <col min="14" max="14" width="1.6640625" style="19" customWidth="1"/>
    <col min="15" max="15" width="16.6640625" style="19" customWidth="1"/>
    <col min="16" max="16" width="1.6640625" style="19" customWidth="1"/>
    <col min="17" max="17" width="16.6640625" style="19" customWidth="1"/>
    <col min="18" max="18" width="1.6640625" style="19" customWidth="1"/>
    <col min="19" max="20" width="15.6640625" style="19" customWidth="1"/>
    <col min="21" max="21" width="1.6640625" style="19" customWidth="1"/>
    <col min="22" max="22" width="15.6640625" style="19" customWidth="1"/>
    <col min="23" max="23" width="1.6640625" style="19" customWidth="1"/>
    <col min="24" max="24" width="16.5" style="19" bestFit="1" customWidth="1"/>
    <col min="25" max="25" width="9.5" style="19" bestFit="1" customWidth="1"/>
    <col min="26" max="16384" width="9.33203125" style="19"/>
  </cols>
  <sheetData>
    <row r="1" spans="1:24">
      <c r="A1" s="331">
        <f>'Municipality Benefits Analysis'!A1:K1</f>
        <v>0</v>
      </c>
      <c r="B1" s="331"/>
      <c r="C1" s="331"/>
      <c r="D1" s="331"/>
      <c r="E1" s="331"/>
      <c r="F1" s="331"/>
      <c r="G1" s="331"/>
      <c r="H1" s="331"/>
      <c r="I1" s="331"/>
      <c r="J1" s="331"/>
      <c r="K1" s="331"/>
      <c r="L1" s="331"/>
      <c r="M1" s="331"/>
      <c r="N1" s="331"/>
      <c r="O1" s="331"/>
      <c r="P1" s="331"/>
      <c r="Q1" s="331"/>
      <c r="R1" s="331"/>
      <c r="S1" s="331"/>
      <c r="T1" s="331"/>
      <c r="U1" s="331"/>
      <c r="V1" s="331"/>
      <c r="W1" s="331"/>
      <c r="X1" s="331"/>
    </row>
    <row r="2" spans="1:24">
      <c r="A2" s="331">
        <f>'Municipality Benefits Analysis'!A2:K2</f>
        <v>0</v>
      </c>
      <c r="B2" s="331"/>
      <c r="C2" s="331"/>
      <c r="D2" s="331"/>
      <c r="E2" s="331"/>
      <c r="F2" s="331"/>
      <c r="G2" s="331"/>
      <c r="H2" s="331"/>
      <c r="I2" s="331"/>
      <c r="J2" s="331"/>
      <c r="K2" s="331"/>
      <c r="L2" s="331"/>
      <c r="M2" s="331"/>
      <c r="N2" s="331"/>
      <c r="O2" s="331"/>
      <c r="P2" s="331"/>
      <c r="Q2" s="331"/>
      <c r="R2" s="331"/>
      <c r="S2" s="331"/>
      <c r="T2" s="331"/>
      <c r="U2" s="331"/>
      <c r="V2" s="331"/>
      <c r="W2" s="331"/>
      <c r="X2" s="331"/>
    </row>
    <row r="3" spans="1:24">
      <c r="A3" s="331" t="s">
        <v>116</v>
      </c>
      <c r="B3" s="331"/>
      <c r="C3" s="331"/>
      <c r="D3" s="331"/>
      <c r="E3" s="331"/>
      <c r="F3" s="331"/>
      <c r="G3" s="331"/>
      <c r="H3" s="331"/>
      <c r="I3" s="331"/>
      <c r="J3" s="331"/>
      <c r="K3" s="331"/>
      <c r="L3" s="331"/>
      <c r="M3" s="331"/>
      <c r="N3" s="331"/>
      <c r="O3" s="331"/>
      <c r="P3" s="331"/>
      <c r="Q3" s="331"/>
      <c r="R3" s="331"/>
      <c r="S3" s="331"/>
      <c r="T3" s="331"/>
      <c r="U3" s="331"/>
      <c r="V3" s="331"/>
      <c r="W3" s="331"/>
      <c r="X3" s="331"/>
    </row>
    <row r="4" spans="1:24" ht="15" thickBot="1">
      <c r="A4" s="337">
        <f>'Municipality Benefits Analysis'!A4:K4</f>
        <v>46113</v>
      </c>
      <c r="B4" s="337"/>
      <c r="C4" s="337"/>
      <c r="D4" s="337"/>
      <c r="E4" s="337"/>
      <c r="F4" s="337"/>
      <c r="G4" s="337"/>
      <c r="H4" s="337"/>
      <c r="I4" s="337"/>
      <c r="J4" s="337"/>
      <c r="K4" s="337"/>
      <c r="L4" s="337"/>
      <c r="M4" s="337"/>
      <c r="N4" s="337"/>
      <c r="O4" s="337"/>
      <c r="P4" s="337"/>
      <c r="Q4" s="337"/>
      <c r="R4" s="337"/>
      <c r="S4" s="337"/>
      <c r="T4" s="337"/>
      <c r="U4" s="337"/>
      <c r="V4" s="337"/>
      <c r="W4" s="337"/>
      <c r="X4" s="337"/>
    </row>
    <row r="5" spans="1:24" ht="15" thickTop="1"/>
    <row r="6" spans="1:24">
      <c r="B6" s="20" t="s">
        <v>17</v>
      </c>
      <c r="C6" s="20"/>
      <c r="D6" s="20" t="s">
        <v>17</v>
      </c>
      <c r="E6" s="20" t="s">
        <v>2</v>
      </c>
      <c r="F6" s="21"/>
      <c r="G6" s="20" t="s">
        <v>18</v>
      </c>
      <c r="H6" s="21"/>
      <c r="I6" s="21"/>
      <c r="J6" s="21"/>
      <c r="K6" s="20" t="s">
        <v>98</v>
      </c>
    </row>
    <row r="7" spans="1:24">
      <c r="A7" s="22" t="s">
        <v>3</v>
      </c>
      <c r="B7" s="109"/>
      <c r="C7" s="103"/>
      <c r="D7" s="104"/>
      <c r="E7" s="184"/>
      <c r="F7" s="188"/>
      <c r="G7" s="188"/>
      <c r="H7" s="36"/>
      <c r="I7" s="36">
        <f t="shared" ref="I7:I35" si="0">D85+D151+D216</f>
        <v>0</v>
      </c>
      <c r="J7" s="36"/>
      <c r="K7" s="184">
        <f t="shared" ref="K7:K15" si="1">G7*E7</f>
        <v>0</v>
      </c>
      <c r="L7" s="36"/>
      <c r="M7" s="36"/>
    </row>
    <row r="8" spans="1:24">
      <c r="A8" s="22" t="s">
        <v>3</v>
      </c>
      <c r="B8" s="109"/>
      <c r="C8" s="103"/>
      <c r="D8" s="104"/>
      <c r="E8" s="184"/>
      <c r="F8" s="188"/>
      <c r="G8" s="188"/>
      <c r="H8" s="36"/>
      <c r="I8" s="36">
        <f t="shared" si="0"/>
        <v>0</v>
      </c>
      <c r="J8" s="36"/>
      <c r="K8" s="184">
        <f t="shared" si="1"/>
        <v>0</v>
      </c>
      <c r="L8" s="36"/>
      <c r="M8" s="36"/>
    </row>
    <row r="9" spans="1:24">
      <c r="A9" s="22" t="s">
        <v>3</v>
      </c>
      <c r="B9" s="109"/>
      <c r="C9" s="103"/>
      <c r="D9" s="104"/>
      <c r="E9" s="184"/>
      <c r="F9" s="188"/>
      <c r="G9" s="188"/>
      <c r="H9" s="36"/>
      <c r="I9" s="36">
        <f t="shared" si="0"/>
        <v>0</v>
      </c>
      <c r="J9" s="36"/>
      <c r="K9" s="184">
        <f t="shared" si="1"/>
        <v>0</v>
      </c>
      <c r="L9" s="36"/>
      <c r="M9" s="36"/>
    </row>
    <row r="10" spans="1:24" hidden="1">
      <c r="A10" s="22" t="s">
        <v>3</v>
      </c>
      <c r="B10" s="109"/>
      <c r="C10" s="103"/>
      <c r="D10" s="104"/>
      <c r="E10" s="184"/>
      <c r="F10" s="188"/>
      <c r="G10" s="188"/>
      <c r="H10" s="36"/>
      <c r="I10" s="36">
        <f t="shared" si="0"/>
        <v>0</v>
      </c>
      <c r="J10" s="36"/>
      <c r="K10" s="184">
        <f t="shared" si="1"/>
        <v>0</v>
      </c>
      <c r="L10" s="36"/>
      <c r="M10" s="36"/>
    </row>
    <row r="11" spans="1:24" hidden="1">
      <c r="A11" s="22" t="s">
        <v>3</v>
      </c>
      <c r="B11" s="109"/>
      <c r="C11" s="103"/>
      <c r="D11" s="104"/>
      <c r="E11" s="184"/>
      <c r="F11" s="188"/>
      <c r="G11" s="188"/>
      <c r="H11" s="36"/>
      <c r="I11" s="36">
        <f t="shared" si="0"/>
        <v>0</v>
      </c>
      <c r="J11" s="36"/>
      <c r="K11" s="184">
        <f t="shared" si="1"/>
        <v>0</v>
      </c>
      <c r="L11" s="36"/>
      <c r="M11" s="36"/>
    </row>
    <row r="12" spans="1:24" hidden="1">
      <c r="A12" s="22" t="s">
        <v>3</v>
      </c>
      <c r="B12" s="109"/>
      <c r="C12" s="103"/>
      <c r="D12" s="104"/>
      <c r="E12" s="184"/>
      <c r="F12" s="188"/>
      <c r="G12" s="188"/>
      <c r="H12" s="36"/>
      <c r="I12" s="36">
        <f t="shared" si="0"/>
        <v>0</v>
      </c>
      <c r="J12" s="36"/>
      <c r="K12" s="184">
        <f t="shared" si="1"/>
        <v>0</v>
      </c>
      <c r="L12" s="36"/>
      <c r="M12" s="36"/>
    </row>
    <row r="13" spans="1:24" hidden="1">
      <c r="A13" s="22" t="s">
        <v>3</v>
      </c>
      <c r="B13" s="109"/>
      <c r="C13" s="103"/>
      <c r="D13" s="104"/>
      <c r="E13" s="184"/>
      <c r="F13" s="188"/>
      <c r="G13" s="188"/>
      <c r="H13" s="36"/>
      <c r="I13" s="36">
        <f t="shared" si="0"/>
        <v>0</v>
      </c>
      <c r="J13" s="36"/>
      <c r="K13" s="184">
        <f t="shared" si="1"/>
        <v>0</v>
      </c>
      <c r="L13" s="36"/>
      <c r="M13" s="36"/>
    </row>
    <row r="14" spans="1:24" hidden="1">
      <c r="A14" s="22" t="s">
        <v>3</v>
      </c>
      <c r="B14" s="109"/>
      <c r="C14" s="103"/>
      <c r="D14" s="104"/>
      <c r="E14" s="184"/>
      <c r="F14" s="188"/>
      <c r="G14" s="188"/>
      <c r="H14" s="36"/>
      <c r="I14" s="36">
        <f t="shared" si="0"/>
        <v>0</v>
      </c>
      <c r="J14" s="36"/>
      <c r="K14" s="184">
        <f t="shared" si="1"/>
        <v>0</v>
      </c>
      <c r="L14" s="36"/>
      <c r="M14" s="36"/>
    </row>
    <row r="15" spans="1:24" hidden="1">
      <c r="A15" s="22" t="s">
        <v>3</v>
      </c>
      <c r="B15" s="109"/>
      <c r="C15" s="103"/>
      <c r="D15" s="104"/>
      <c r="E15" s="184"/>
      <c r="F15" s="188"/>
      <c r="G15" s="186"/>
      <c r="H15" s="36"/>
      <c r="I15" s="36">
        <f t="shared" si="0"/>
        <v>0</v>
      </c>
      <c r="J15" s="36"/>
      <c r="K15" s="184">
        <f t="shared" si="1"/>
        <v>0</v>
      </c>
      <c r="L15" s="36"/>
      <c r="M15" s="36"/>
    </row>
    <row r="16" spans="1:24" hidden="1">
      <c r="A16" s="22" t="s">
        <v>3</v>
      </c>
      <c r="B16" s="109"/>
      <c r="C16" s="103"/>
      <c r="D16" s="104"/>
      <c r="E16" s="184"/>
      <c r="F16" s="188"/>
      <c r="G16" s="188"/>
      <c r="H16" s="36"/>
      <c r="I16" s="36">
        <f t="shared" si="0"/>
        <v>0</v>
      </c>
      <c r="J16" s="36"/>
      <c r="K16" s="184">
        <f t="shared" ref="K16:K35" si="2">G16*E16</f>
        <v>0</v>
      </c>
      <c r="L16" s="36"/>
      <c r="M16" s="36"/>
    </row>
    <row r="17" spans="1:13" hidden="1">
      <c r="A17" s="22" t="s">
        <v>3</v>
      </c>
      <c r="B17" s="109"/>
      <c r="C17" s="103"/>
      <c r="D17" s="104"/>
      <c r="E17" s="184"/>
      <c r="F17" s="188"/>
      <c r="G17" s="188"/>
      <c r="H17" s="36"/>
      <c r="I17" s="36">
        <f t="shared" si="0"/>
        <v>0</v>
      </c>
      <c r="J17" s="36"/>
      <c r="K17" s="184">
        <f t="shared" si="2"/>
        <v>0</v>
      </c>
      <c r="L17" s="36"/>
      <c r="M17" s="36"/>
    </row>
    <row r="18" spans="1:13" hidden="1">
      <c r="A18" s="22" t="s">
        <v>3</v>
      </c>
      <c r="B18" s="109"/>
      <c r="C18" s="103"/>
      <c r="D18" s="104"/>
      <c r="E18" s="184"/>
      <c r="F18" s="188"/>
      <c r="G18" s="186"/>
      <c r="H18" s="36"/>
      <c r="I18" s="36">
        <f t="shared" si="0"/>
        <v>0</v>
      </c>
      <c r="J18" s="36"/>
      <c r="K18" s="184">
        <f t="shared" si="2"/>
        <v>0</v>
      </c>
      <c r="L18" s="36"/>
      <c r="M18" s="36"/>
    </row>
    <row r="19" spans="1:13" hidden="1">
      <c r="A19" s="22" t="s">
        <v>3</v>
      </c>
      <c r="B19" s="109"/>
      <c r="C19" s="103"/>
      <c r="D19" s="104"/>
      <c r="E19" s="184"/>
      <c r="F19" s="188"/>
      <c r="G19" s="186"/>
      <c r="H19" s="36"/>
      <c r="I19" s="36">
        <f t="shared" si="0"/>
        <v>0</v>
      </c>
      <c r="J19" s="36"/>
      <c r="K19" s="184">
        <f t="shared" si="2"/>
        <v>0</v>
      </c>
      <c r="L19" s="36"/>
      <c r="M19" s="36"/>
    </row>
    <row r="20" spans="1:13" hidden="1">
      <c r="A20" s="22" t="s">
        <v>3</v>
      </c>
      <c r="B20" s="109"/>
      <c r="C20" s="103"/>
      <c r="D20" s="104"/>
      <c r="E20" s="184"/>
      <c r="F20" s="188"/>
      <c r="G20" s="186"/>
      <c r="H20" s="36"/>
      <c r="I20" s="36">
        <f t="shared" si="0"/>
        <v>0</v>
      </c>
      <c r="J20" s="36"/>
      <c r="K20" s="184">
        <f t="shared" si="2"/>
        <v>0</v>
      </c>
      <c r="L20" s="36"/>
      <c r="M20" s="36"/>
    </row>
    <row r="21" spans="1:13" hidden="1">
      <c r="A21" s="22" t="s">
        <v>3</v>
      </c>
      <c r="B21" s="109"/>
      <c r="C21" s="103"/>
      <c r="D21" s="104"/>
      <c r="E21" s="184"/>
      <c r="F21" s="188"/>
      <c r="G21" s="186"/>
      <c r="H21" s="36"/>
      <c r="I21" s="36">
        <f t="shared" si="0"/>
        <v>0</v>
      </c>
      <c r="J21" s="36"/>
      <c r="K21" s="184">
        <f t="shared" si="2"/>
        <v>0</v>
      </c>
      <c r="L21" s="36"/>
      <c r="M21" s="36"/>
    </row>
    <row r="22" spans="1:13" hidden="1">
      <c r="A22" s="22" t="s">
        <v>3</v>
      </c>
      <c r="B22" s="109"/>
      <c r="C22" s="103"/>
      <c r="D22" s="104"/>
      <c r="E22" s="184"/>
      <c r="F22" s="188"/>
      <c r="G22" s="188"/>
      <c r="H22" s="36"/>
      <c r="I22" s="36">
        <f t="shared" si="0"/>
        <v>0</v>
      </c>
      <c r="J22" s="36"/>
      <c r="K22" s="184">
        <f t="shared" si="2"/>
        <v>0</v>
      </c>
      <c r="L22" s="36"/>
      <c r="M22" s="36"/>
    </row>
    <row r="23" spans="1:13" hidden="1">
      <c r="A23" s="22" t="s">
        <v>3</v>
      </c>
      <c r="B23" s="109"/>
      <c r="C23" s="103"/>
      <c r="D23" s="104"/>
      <c r="E23" s="184"/>
      <c r="F23" s="188"/>
      <c r="G23" s="188"/>
      <c r="H23" s="36"/>
      <c r="I23" s="36">
        <f t="shared" si="0"/>
        <v>0</v>
      </c>
      <c r="J23" s="36"/>
      <c r="K23" s="184">
        <f t="shared" si="2"/>
        <v>0</v>
      </c>
      <c r="L23" s="36"/>
      <c r="M23" s="36"/>
    </row>
    <row r="24" spans="1:13" hidden="1">
      <c r="A24" s="22" t="s">
        <v>3</v>
      </c>
      <c r="B24" s="109"/>
      <c r="C24" s="103"/>
      <c r="D24" s="104"/>
      <c r="E24" s="184"/>
      <c r="F24" s="188"/>
      <c r="G24" s="188"/>
      <c r="H24" s="36"/>
      <c r="I24" s="36">
        <f t="shared" si="0"/>
        <v>0</v>
      </c>
      <c r="J24" s="36"/>
      <c r="K24" s="184">
        <f t="shared" si="2"/>
        <v>0</v>
      </c>
      <c r="L24" s="36"/>
      <c r="M24" s="36"/>
    </row>
    <row r="25" spans="1:13" hidden="1">
      <c r="A25" s="22" t="s">
        <v>3</v>
      </c>
      <c r="B25" s="109"/>
      <c r="C25" s="103"/>
      <c r="D25" s="104"/>
      <c r="E25" s="184"/>
      <c r="F25" s="188"/>
      <c r="G25" s="188"/>
      <c r="H25" s="36"/>
      <c r="I25" s="36">
        <f t="shared" si="0"/>
        <v>0</v>
      </c>
      <c r="J25" s="36"/>
      <c r="K25" s="184">
        <f t="shared" si="2"/>
        <v>0</v>
      </c>
      <c r="L25" s="36"/>
      <c r="M25" s="36"/>
    </row>
    <row r="26" spans="1:13" hidden="1">
      <c r="A26" s="22" t="s">
        <v>3</v>
      </c>
      <c r="B26" s="109"/>
      <c r="C26" s="103"/>
      <c r="D26" s="104"/>
      <c r="E26" s="184"/>
      <c r="F26" s="188"/>
      <c r="G26" s="188"/>
      <c r="H26" s="36"/>
      <c r="I26" s="36">
        <f t="shared" si="0"/>
        <v>0</v>
      </c>
      <c r="J26" s="36"/>
      <c r="K26" s="184">
        <f t="shared" si="2"/>
        <v>0</v>
      </c>
      <c r="L26" s="36"/>
      <c r="M26" s="36"/>
    </row>
    <row r="27" spans="1:13" hidden="1">
      <c r="A27" s="22" t="s">
        <v>3</v>
      </c>
      <c r="B27" s="109"/>
      <c r="C27" s="103"/>
      <c r="D27" s="104"/>
      <c r="E27" s="184"/>
      <c r="F27" s="188"/>
      <c r="G27" s="188"/>
      <c r="H27" s="36"/>
      <c r="I27" s="36">
        <f t="shared" si="0"/>
        <v>0</v>
      </c>
      <c r="J27" s="36"/>
      <c r="K27" s="184">
        <f t="shared" si="2"/>
        <v>0</v>
      </c>
      <c r="L27" s="36"/>
      <c r="M27" s="36"/>
    </row>
    <row r="28" spans="1:13" hidden="1">
      <c r="A28" s="22" t="s">
        <v>3</v>
      </c>
      <c r="B28" s="109"/>
      <c r="C28" s="103"/>
      <c r="D28" s="104"/>
      <c r="E28" s="184"/>
      <c r="F28" s="188"/>
      <c r="G28" s="188"/>
      <c r="H28" s="36"/>
      <c r="I28" s="36">
        <f t="shared" si="0"/>
        <v>0</v>
      </c>
      <c r="J28" s="36"/>
      <c r="K28" s="184">
        <f t="shared" si="2"/>
        <v>0</v>
      </c>
      <c r="L28" s="36"/>
      <c r="M28" s="36"/>
    </row>
    <row r="29" spans="1:13" hidden="1">
      <c r="A29" s="22" t="s">
        <v>3</v>
      </c>
      <c r="B29" s="109"/>
      <c r="C29" s="103"/>
      <c r="D29" s="104"/>
      <c r="E29" s="184"/>
      <c r="F29" s="188"/>
      <c r="G29" s="186"/>
      <c r="H29" s="36"/>
      <c r="I29" s="36">
        <f t="shared" si="0"/>
        <v>0</v>
      </c>
      <c r="J29" s="36"/>
      <c r="K29" s="184">
        <f t="shared" si="2"/>
        <v>0</v>
      </c>
      <c r="L29" s="36"/>
      <c r="M29" s="36"/>
    </row>
    <row r="30" spans="1:13" hidden="1">
      <c r="A30" s="22" t="s">
        <v>3</v>
      </c>
      <c r="B30" s="109"/>
      <c r="C30" s="103"/>
      <c r="D30" s="104"/>
      <c r="E30" s="184"/>
      <c r="F30" s="188"/>
      <c r="G30" s="188"/>
      <c r="H30" s="36"/>
      <c r="I30" s="36">
        <f t="shared" si="0"/>
        <v>0</v>
      </c>
      <c r="J30" s="36"/>
      <c r="K30" s="184">
        <f t="shared" si="2"/>
        <v>0</v>
      </c>
      <c r="L30" s="36"/>
      <c r="M30" s="36"/>
    </row>
    <row r="31" spans="1:13" hidden="1">
      <c r="A31" s="22" t="s">
        <v>3</v>
      </c>
      <c r="B31" s="109"/>
      <c r="C31" s="103"/>
      <c r="D31" s="104"/>
      <c r="E31" s="184"/>
      <c r="F31" s="188"/>
      <c r="G31" s="188"/>
      <c r="H31" s="36"/>
      <c r="I31" s="36">
        <f t="shared" si="0"/>
        <v>0</v>
      </c>
      <c r="J31" s="36"/>
      <c r="K31" s="184">
        <f t="shared" si="2"/>
        <v>0</v>
      </c>
      <c r="L31" s="36"/>
      <c r="M31" s="36"/>
    </row>
    <row r="32" spans="1:13" hidden="1">
      <c r="A32" s="22" t="s">
        <v>3</v>
      </c>
      <c r="B32" s="109"/>
      <c r="C32" s="103"/>
      <c r="D32" s="104"/>
      <c r="E32" s="184"/>
      <c r="F32" s="188"/>
      <c r="G32" s="186"/>
      <c r="H32" s="36"/>
      <c r="I32" s="36">
        <f t="shared" si="0"/>
        <v>0</v>
      </c>
      <c r="J32" s="36"/>
      <c r="K32" s="184">
        <f t="shared" si="2"/>
        <v>0</v>
      </c>
      <c r="L32" s="36"/>
      <c r="M32" s="36"/>
    </row>
    <row r="33" spans="1:13" hidden="1">
      <c r="A33" s="22" t="s">
        <v>3</v>
      </c>
      <c r="B33" s="109"/>
      <c r="C33" s="103"/>
      <c r="D33" s="104"/>
      <c r="E33" s="184"/>
      <c r="F33" s="188"/>
      <c r="G33" s="186"/>
      <c r="H33" s="36"/>
      <c r="I33" s="36">
        <f t="shared" si="0"/>
        <v>0</v>
      </c>
      <c r="J33" s="36"/>
      <c r="K33" s="184">
        <f t="shared" si="2"/>
        <v>0</v>
      </c>
      <c r="L33" s="36"/>
      <c r="M33" s="36"/>
    </row>
    <row r="34" spans="1:13" hidden="1">
      <c r="A34" s="22" t="s">
        <v>3</v>
      </c>
      <c r="B34" s="109"/>
      <c r="C34" s="103"/>
      <c r="D34" s="104"/>
      <c r="E34" s="184"/>
      <c r="F34" s="188"/>
      <c r="G34" s="186"/>
      <c r="H34" s="36"/>
      <c r="I34" s="36">
        <f t="shared" si="0"/>
        <v>0</v>
      </c>
      <c r="J34" s="36"/>
      <c r="K34" s="184">
        <f t="shared" si="2"/>
        <v>0</v>
      </c>
      <c r="L34" s="36"/>
      <c r="M34" s="36"/>
    </row>
    <row r="35" spans="1:13" hidden="1">
      <c r="A35" s="22" t="s">
        <v>3</v>
      </c>
      <c r="B35" s="109"/>
      <c r="C35" s="103"/>
      <c r="D35" s="104"/>
      <c r="E35" s="184"/>
      <c r="F35" s="188"/>
      <c r="G35" s="186"/>
      <c r="H35" s="36"/>
      <c r="I35" s="36">
        <f t="shared" si="0"/>
        <v>0</v>
      </c>
      <c r="J35" s="36"/>
      <c r="K35" s="184">
        <f t="shared" si="2"/>
        <v>0</v>
      </c>
      <c r="L35" s="36"/>
      <c r="M35" s="36"/>
    </row>
    <row r="36" spans="1:13">
      <c r="A36" s="22" t="s">
        <v>126</v>
      </c>
      <c r="B36" s="109"/>
      <c r="C36" s="103"/>
      <c r="D36" s="103"/>
      <c r="E36" s="184"/>
      <c r="F36" s="188"/>
      <c r="G36" s="189">
        <f>SUM(G7:G35)</f>
        <v>0</v>
      </c>
      <c r="H36" s="36"/>
      <c r="I36" s="189">
        <f>SUM(I7:I35)</f>
        <v>0</v>
      </c>
      <c r="J36" s="36"/>
      <c r="K36" s="190">
        <f>SUM(K7:K35)</f>
        <v>0</v>
      </c>
      <c r="L36" s="36"/>
      <c r="M36" s="36">
        <f>IFERROR(K36/G36,0)</f>
        <v>0</v>
      </c>
    </row>
    <row r="37" spans="1:13">
      <c r="A37" s="22"/>
      <c r="B37" s="109"/>
      <c r="C37" s="103"/>
      <c r="D37" s="103"/>
      <c r="E37" s="184"/>
      <c r="F37" s="188"/>
      <c r="G37" s="188"/>
      <c r="H37" s="36"/>
      <c r="I37" s="36"/>
      <c r="J37" s="36"/>
      <c r="K37" s="184"/>
      <c r="L37" s="36"/>
      <c r="M37" s="36"/>
    </row>
    <row r="38" spans="1:13">
      <c r="A38" s="22"/>
      <c r="B38" s="109"/>
      <c r="C38" s="103"/>
      <c r="D38" s="103"/>
      <c r="E38" s="184"/>
      <c r="F38" s="188"/>
      <c r="G38" s="188"/>
      <c r="H38" s="36"/>
      <c r="I38" s="36"/>
      <c r="J38" s="36"/>
      <c r="K38" s="184"/>
      <c r="L38" s="36"/>
      <c r="M38" s="36"/>
    </row>
    <row r="39" spans="1:13">
      <c r="A39" s="22" t="s">
        <v>3</v>
      </c>
      <c r="B39" s="109"/>
      <c r="C39" s="103"/>
      <c r="D39" s="104"/>
      <c r="E39" s="184">
        <v>0</v>
      </c>
      <c r="F39" s="191"/>
      <c r="G39" s="186">
        <v>0</v>
      </c>
      <c r="H39" s="36"/>
      <c r="I39" s="36">
        <f>D116+D182+D247</f>
        <v>0</v>
      </c>
      <c r="J39" s="36"/>
      <c r="K39" s="184">
        <f>G39*E39</f>
        <v>0</v>
      </c>
      <c r="L39" s="36"/>
      <c r="M39" s="184"/>
    </row>
    <row r="40" spans="1:13">
      <c r="A40" s="22" t="s">
        <v>3</v>
      </c>
      <c r="B40" s="109"/>
      <c r="C40" s="103"/>
      <c r="D40" s="104"/>
      <c r="E40" s="184"/>
      <c r="F40" s="191"/>
      <c r="G40" s="186"/>
      <c r="H40" s="36"/>
      <c r="I40" s="36">
        <f t="shared" ref="I40:I58" si="3">D117+D183+D248</f>
        <v>0</v>
      </c>
      <c r="J40" s="36"/>
      <c r="K40" s="184">
        <f t="shared" ref="K40:K58" si="4">G40*E40</f>
        <v>0</v>
      </c>
      <c r="L40" s="36"/>
      <c r="M40" s="184"/>
    </row>
    <row r="41" spans="1:13" hidden="1">
      <c r="A41" s="22" t="s">
        <v>3</v>
      </c>
      <c r="B41" s="109"/>
      <c r="C41" s="103"/>
      <c r="D41" s="104"/>
      <c r="E41" s="184"/>
      <c r="F41" s="191"/>
      <c r="G41" s="186"/>
      <c r="H41" s="36"/>
      <c r="I41" s="36">
        <f t="shared" si="3"/>
        <v>0</v>
      </c>
      <c r="J41" s="36"/>
      <c r="K41" s="184">
        <f t="shared" si="4"/>
        <v>0</v>
      </c>
      <c r="L41" s="36"/>
      <c r="M41" s="184"/>
    </row>
    <row r="42" spans="1:13" hidden="1">
      <c r="A42" s="22" t="s">
        <v>3</v>
      </c>
      <c r="B42" s="109"/>
      <c r="C42" s="103"/>
      <c r="D42" s="104"/>
      <c r="E42" s="184"/>
      <c r="F42" s="191"/>
      <c r="G42" s="186"/>
      <c r="H42" s="36"/>
      <c r="I42" s="36">
        <f t="shared" si="3"/>
        <v>0</v>
      </c>
      <c r="J42" s="36"/>
      <c r="K42" s="184">
        <f t="shared" si="4"/>
        <v>0</v>
      </c>
      <c r="L42" s="36"/>
      <c r="M42" s="184"/>
    </row>
    <row r="43" spans="1:13" hidden="1">
      <c r="A43" s="22" t="s">
        <v>3</v>
      </c>
      <c r="B43" s="109"/>
      <c r="C43" s="103"/>
      <c r="D43" s="104"/>
      <c r="E43" s="184"/>
      <c r="F43" s="191"/>
      <c r="G43" s="186"/>
      <c r="H43" s="36"/>
      <c r="I43" s="36">
        <f t="shared" si="3"/>
        <v>0</v>
      </c>
      <c r="J43" s="36"/>
      <c r="K43" s="184">
        <f t="shared" si="4"/>
        <v>0</v>
      </c>
      <c r="L43" s="36"/>
      <c r="M43" s="184"/>
    </row>
    <row r="44" spans="1:13" hidden="1">
      <c r="A44" s="22" t="s">
        <v>3</v>
      </c>
      <c r="B44" s="109"/>
      <c r="C44" s="103"/>
      <c r="D44" s="104"/>
      <c r="E44" s="184"/>
      <c r="F44" s="191"/>
      <c r="G44" s="186"/>
      <c r="H44" s="36"/>
      <c r="I44" s="36">
        <f t="shared" si="3"/>
        <v>0</v>
      </c>
      <c r="J44" s="36"/>
      <c r="K44" s="184">
        <f t="shared" si="4"/>
        <v>0</v>
      </c>
      <c r="L44" s="36"/>
      <c r="M44" s="184"/>
    </row>
    <row r="45" spans="1:13" hidden="1">
      <c r="A45" s="22" t="s">
        <v>3</v>
      </c>
      <c r="B45" s="109"/>
      <c r="C45" s="103"/>
      <c r="D45" s="104"/>
      <c r="E45" s="184"/>
      <c r="F45" s="191"/>
      <c r="G45" s="186"/>
      <c r="H45" s="36"/>
      <c r="I45" s="36">
        <f t="shared" si="3"/>
        <v>0</v>
      </c>
      <c r="J45" s="36"/>
      <c r="K45" s="184">
        <f t="shared" si="4"/>
        <v>0</v>
      </c>
      <c r="L45" s="36"/>
      <c r="M45" s="184"/>
    </row>
    <row r="46" spans="1:13" hidden="1">
      <c r="A46" s="22" t="s">
        <v>3</v>
      </c>
      <c r="B46" s="109"/>
      <c r="C46" s="103"/>
      <c r="D46" s="104"/>
      <c r="E46" s="184"/>
      <c r="F46" s="191"/>
      <c r="G46" s="186"/>
      <c r="H46" s="36"/>
      <c r="I46" s="36">
        <f t="shared" si="3"/>
        <v>0</v>
      </c>
      <c r="J46" s="36"/>
      <c r="K46" s="184">
        <f t="shared" si="4"/>
        <v>0</v>
      </c>
      <c r="L46" s="36"/>
      <c r="M46" s="184"/>
    </row>
    <row r="47" spans="1:13" hidden="1">
      <c r="A47" s="22" t="s">
        <v>3</v>
      </c>
      <c r="B47" s="109"/>
      <c r="C47" s="103"/>
      <c r="D47" s="104"/>
      <c r="E47" s="184"/>
      <c r="F47" s="191"/>
      <c r="G47" s="186"/>
      <c r="H47" s="36"/>
      <c r="I47" s="36">
        <f t="shared" si="3"/>
        <v>0</v>
      </c>
      <c r="J47" s="36"/>
      <c r="K47" s="184">
        <f t="shared" si="4"/>
        <v>0</v>
      </c>
      <c r="L47" s="36"/>
      <c r="M47" s="184"/>
    </row>
    <row r="48" spans="1:13" hidden="1">
      <c r="A48" s="22" t="s">
        <v>3</v>
      </c>
      <c r="B48" s="109"/>
      <c r="C48" s="103"/>
      <c r="D48" s="104"/>
      <c r="E48" s="184"/>
      <c r="F48" s="191"/>
      <c r="G48" s="186"/>
      <c r="H48" s="36"/>
      <c r="I48" s="36">
        <f t="shared" si="3"/>
        <v>0</v>
      </c>
      <c r="J48" s="36"/>
      <c r="K48" s="184">
        <f t="shared" si="4"/>
        <v>0</v>
      </c>
      <c r="L48" s="36"/>
      <c r="M48" s="184"/>
    </row>
    <row r="49" spans="1:13" hidden="1">
      <c r="A49" s="22" t="s">
        <v>3</v>
      </c>
      <c r="B49" s="109"/>
      <c r="C49" s="103"/>
      <c r="D49" s="104"/>
      <c r="E49" s="184"/>
      <c r="F49" s="191"/>
      <c r="G49" s="186"/>
      <c r="H49" s="36"/>
      <c r="I49" s="36">
        <f t="shared" si="3"/>
        <v>0</v>
      </c>
      <c r="J49" s="36"/>
      <c r="K49" s="184">
        <f t="shared" si="4"/>
        <v>0</v>
      </c>
      <c r="L49" s="36"/>
      <c r="M49" s="184"/>
    </row>
    <row r="50" spans="1:13" hidden="1">
      <c r="A50" s="22" t="s">
        <v>3</v>
      </c>
      <c r="B50" s="109"/>
      <c r="C50" s="103"/>
      <c r="D50" s="104"/>
      <c r="E50" s="184"/>
      <c r="F50" s="191"/>
      <c r="G50" s="186"/>
      <c r="H50" s="36"/>
      <c r="I50" s="36">
        <f t="shared" si="3"/>
        <v>0</v>
      </c>
      <c r="J50" s="36"/>
      <c r="K50" s="184">
        <f t="shared" si="4"/>
        <v>0</v>
      </c>
      <c r="L50" s="36"/>
      <c r="M50" s="184"/>
    </row>
    <row r="51" spans="1:13" hidden="1">
      <c r="A51" s="22" t="s">
        <v>3</v>
      </c>
      <c r="B51" s="109"/>
      <c r="C51" s="103"/>
      <c r="D51" s="104"/>
      <c r="E51" s="184"/>
      <c r="F51" s="191"/>
      <c r="G51" s="186"/>
      <c r="H51" s="36"/>
      <c r="I51" s="36">
        <f t="shared" si="3"/>
        <v>0</v>
      </c>
      <c r="J51" s="36"/>
      <c r="K51" s="184">
        <f t="shared" si="4"/>
        <v>0</v>
      </c>
      <c r="L51" s="36"/>
      <c r="M51" s="184"/>
    </row>
    <row r="52" spans="1:13" hidden="1">
      <c r="A52" s="22" t="s">
        <v>3</v>
      </c>
      <c r="B52" s="109"/>
      <c r="C52" s="103"/>
      <c r="D52" s="104"/>
      <c r="E52" s="184"/>
      <c r="F52" s="191"/>
      <c r="G52" s="186"/>
      <c r="H52" s="36"/>
      <c r="I52" s="36">
        <f t="shared" si="3"/>
        <v>0</v>
      </c>
      <c r="J52" s="36"/>
      <c r="K52" s="184">
        <f t="shared" si="4"/>
        <v>0</v>
      </c>
      <c r="L52" s="36"/>
      <c r="M52" s="184"/>
    </row>
    <row r="53" spans="1:13" hidden="1">
      <c r="A53" s="22" t="s">
        <v>3</v>
      </c>
      <c r="B53" s="109"/>
      <c r="C53" s="103"/>
      <c r="D53" s="104"/>
      <c r="E53" s="184"/>
      <c r="F53" s="191"/>
      <c r="G53" s="186"/>
      <c r="H53" s="36"/>
      <c r="I53" s="36">
        <f t="shared" si="3"/>
        <v>0</v>
      </c>
      <c r="J53" s="36"/>
      <c r="K53" s="184">
        <f t="shared" si="4"/>
        <v>0</v>
      </c>
      <c r="L53" s="36"/>
      <c r="M53" s="184"/>
    </row>
    <row r="54" spans="1:13" hidden="1">
      <c r="A54" s="22" t="s">
        <v>3</v>
      </c>
      <c r="B54" s="109"/>
      <c r="C54" s="103"/>
      <c r="D54" s="104"/>
      <c r="E54" s="184"/>
      <c r="F54" s="191"/>
      <c r="G54" s="186"/>
      <c r="H54" s="36"/>
      <c r="I54" s="36">
        <f t="shared" si="3"/>
        <v>0</v>
      </c>
      <c r="J54" s="36"/>
      <c r="K54" s="184">
        <f t="shared" si="4"/>
        <v>0</v>
      </c>
      <c r="L54" s="36"/>
      <c r="M54" s="184"/>
    </row>
    <row r="55" spans="1:13" hidden="1">
      <c r="A55" s="22" t="s">
        <v>3</v>
      </c>
      <c r="B55" s="109"/>
      <c r="C55" s="103"/>
      <c r="D55" s="104"/>
      <c r="E55" s="184"/>
      <c r="F55" s="191"/>
      <c r="G55" s="186"/>
      <c r="H55" s="36"/>
      <c r="I55" s="36">
        <f t="shared" si="3"/>
        <v>0</v>
      </c>
      <c r="J55" s="36"/>
      <c r="K55" s="184">
        <f t="shared" si="4"/>
        <v>0</v>
      </c>
      <c r="L55" s="36"/>
      <c r="M55" s="184"/>
    </row>
    <row r="56" spans="1:13" hidden="1">
      <c r="A56" s="22" t="s">
        <v>3</v>
      </c>
      <c r="B56" s="109"/>
      <c r="C56" s="103"/>
      <c r="D56" s="104"/>
      <c r="E56" s="184"/>
      <c r="F56" s="191"/>
      <c r="G56" s="186"/>
      <c r="H56" s="36"/>
      <c r="I56" s="36">
        <f t="shared" si="3"/>
        <v>0</v>
      </c>
      <c r="J56" s="36"/>
      <c r="K56" s="184">
        <f t="shared" si="4"/>
        <v>0</v>
      </c>
      <c r="L56" s="36"/>
      <c r="M56" s="184"/>
    </row>
    <row r="57" spans="1:13" hidden="1">
      <c r="A57" s="22" t="s">
        <v>3</v>
      </c>
      <c r="B57" s="109"/>
      <c r="C57" s="103"/>
      <c r="D57" s="104"/>
      <c r="E57" s="184"/>
      <c r="F57" s="191"/>
      <c r="G57" s="186"/>
      <c r="H57" s="36"/>
      <c r="I57" s="36">
        <f t="shared" si="3"/>
        <v>0</v>
      </c>
      <c r="J57" s="36"/>
      <c r="K57" s="184">
        <f t="shared" si="4"/>
        <v>0</v>
      </c>
      <c r="L57" s="36"/>
      <c r="M57" s="184"/>
    </row>
    <row r="58" spans="1:13" hidden="1">
      <c r="A58" s="22" t="s">
        <v>3</v>
      </c>
      <c r="B58" s="109"/>
      <c r="C58" s="103"/>
      <c r="D58" s="104"/>
      <c r="E58" s="184"/>
      <c r="F58" s="191"/>
      <c r="G58" s="186"/>
      <c r="H58" s="36"/>
      <c r="I58" s="36">
        <f t="shared" si="3"/>
        <v>0</v>
      </c>
      <c r="J58" s="36"/>
      <c r="K58" s="184">
        <f t="shared" si="4"/>
        <v>0</v>
      </c>
      <c r="L58" s="36"/>
      <c r="M58" s="184"/>
    </row>
    <row r="59" spans="1:13">
      <c r="A59" s="22" t="s">
        <v>127</v>
      </c>
      <c r="B59" s="109"/>
      <c r="C59" s="103"/>
      <c r="D59" s="103"/>
      <c r="E59" s="192"/>
      <c r="F59" s="188"/>
      <c r="G59" s="190">
        <f>SUM(G39:G58)</f>
        <v>0</v>
      </c>
      <c r="H59" s="36"/>
      <c r="I59" s="190">
        <f>SUM(I39:I58)</f>
        <v>0</v>
      </c>
      <c r="J59" s="36"/>
      <c r="K59" s="190">
        <f>SUM(K39:K58)</f>
        <v>0</v>
      </c>
      <c r="L59" s="36"/>
      <c r="M59" s="36">
        <f>IFERROR(K59/G59,0)</f>
        <v>0</v>
      </c>
    </row>
    <row r="60" spans="1:13">
      <c r="A60" s="22"/>
      <c r="B60" s="109"/>
      <c r="C60" s="103"/>
      <c r="D60" s="104"/>
      <c r="E60" s="192"/>
      <c r="F60" s="188"/>
      <c r="G60" s="186"/>
      <c r="H60" s="36"/>
      <c r="I60" s="36"/>
      <c r="J60" s="36"/>
      <c r="K60" s="184"/>
      <c r="L60" s="36"/>
      <c r="M60" s="184"/>
    </row>
    <row r="61" spans="1:13">
      <c r="A61" s="22" t="s">
        <v>3</v>
      </c>
      <c r="B61" s="109"/>
      <c r="C61" s="103"/>
      <c r="D61" s="104"/>
      <c r="E61" s="192">
        <v>0</v>
      </c>
      <c r="F61" s="188"/>
      <c r="G61" s="186">
        <v>0</v>
      </c>
      <c r="H61" s="36"/>
      <c r="I61" s="36">
        <f t="shared" ref="I61:I68" si="5">D204+D138+D269</f>
        <v>0</v>
      </c>
      <c r="J61" s="36"/>
      <c r="K61" s="184">
        <f t="shared" ref="K61:K68" si="6">G61*E61</f>
        <v>0</v>
      </c>
      <c r="L61" s="36"/>
      <c r="M61" s="184"/>
    </row>
    <row r="62" spans="1:13" hidden="1">
      <c r="A62" s="22" t="s">
        <v>3</v>
      </c>
      <c r="B62" s="109"/>
      <c r="C62" s="103"/>
      <c r="D62" s="104"/>
      <c r="E62" s="192"/>
      <c r="F62" s="188"/>
      <c r="G62" s="186"/>
      <c r="H62" s="36"/>
      <c r="I62" s="36">
        <f t="shared" si="5"/>
        <v>0</v>
      </c>
      <c r="J62" s="36"/>
      <c r="K62" s="184">
        <f t="shared" si="6"/>
        <v>0</v>
      </c>
      <c r="L62" s="36"/>
      <c r="M62" s="184"/>
    </row>
    <row r="63" spans="1:13" hidden="1">
      <c r="A63" s="22" t="s">
        <v>3</v>
      </c>
      <c r="B63" s="109"/>
      <c r="C63" s="103"/>
      <c r="D63" s="104"/>
      <c r="E63" s="192"/>
      <c r="F63" s="188"/>
      <c r="G63" s="186"/>
      <c r="H63" s="36"/>
      <c r="I63" s="36">
        <f t="shared" si="5"/>
        <v>0</v>
      </c>
      <c r="J63" s="36"/>
      <c r="K63" s="184">
        <f t="shared" si="6"/>
        <v>0</v>
      </c>
      <c r="L63" s="36"/>
      <c r="M63" s="185"/>
    </row>
    <row r="64" spans="1:13" hidden="1">
      <c r="A64" s="22" t="s">
        <v>3</v>
      </c>
      <c r="B64" s="109"/>
      <c r="C64" s="103"/>
      <c r="D64" s="104"/>
      <c r="E64" s="192"/>
      <c r="F64" s="188"/>
      <c r="G64" s="186"/>
      <c r="H64" s="36"/>
      <c r="I64" s="36">
        <f t="shared" si="5"/>
        <v>0</v>
      </c>
      <c r="J64" s="36"/>
      <c r="K64" s="184">
        <f t="shared" si="6"/>
        <v>0</v>
      </c>
      <c r="L64" s="36"/>
      <c r="M64" s="185"/>
    </row>
    <row r="65" spans="1:22" hidden="1">
      <c r="A65" s="22" t="s">
        <v>3</v>
      </c>
      <c r="B65" s="109"/>
      <c r="C65" s="103"/>
      <c r="D65" s="104"/>
      <c r="E65" s="184"/>
      <c r="F65" s="188"/>
      <c r="G65" s="186"/>
      <c r="H65" s="36"/>
      <c r="I65" s="36">
        <f t="shared" si="5"/>
        <v>0</v>
      </c>
      <c r="J65" s="36"/>
      <c r="K65" s="184">
        <f t="shared" si="6"/>
        <v>0</v>
      </c>
      <c r="L65" s="36"/>
      <c r="M65" s="36"/>
    </row>
    <row r="66" spans="1:22" hidden="1">
      <c r="A66" s="22" t="s">
        <v>3</v>
      </c>
      <c r="B66" s="109"/>
      <c r="C66" s="103"/>
      <c r="D66" s="104"/>
      <c r="E66" s="184"/>
      <c r="F66" s="188"/>
      <c r="G66" s="186"/>
      <c r="H66" s="36"/>
      <c r="I66" s="36">
        <f t="shared" si="5"/>
        <v>0</v>
      </c>
      <c r="J66" s="36"/>
      <c r="K66" s="184">
        <f t="shared" si="6"/>
        <v>0</v>
      </c>
      <c r="L66" s="36"/>
      <c r="M66" s="36"/>
    </row>
    <row r="67" spans="1:22" hidden="1">
      <c r="A67" s="22" t="s">
        <v>3</v>
      </c>
      <c r="B67" s="109"/>
      <c r="C67" s="103"/>
      <c r="D67" s="104"/>
      <c r="E67" s="184"/>
      <c r="F67" s="188"/>
      <c r="G67" s="186"/>
      <c r="H67" s="36"/>
      <c r="I67" s="36">
        <f t="shared" si="5"/>
        <v>0</v>
      </c>
      <c r="J67" s="36"/>
      <c r="K67" s="184">
        <f t="shared" si="6"/>
        <v>0</v>
      </c>
      <c r="L67" s="36"/>
      <c r="M67" s="36"/>
    </row>
    <row r="68" spans="1:22" hidden="1">
      <c r="A68" s="22" t="s">
        <v>3</v>
      </c>
      <c r="B68" s="109"/>
      <c r="C68" s="103"/>
      <c r="D68" s="104"/>
      <c r="E68" s="184"/>
      <c r="F68" s="188"/>
      <c r="G68" s="194"/>
      <c r="H68" s="36"/>
      <c r="I68" s="36">
        <f t="shared" si="5"/>
        <v>0</v>
      </c>
      <c r="J68" s="36"/>
      <c r="K68" s="193">
        <f t="shared" si="6"/>
        <v>0</v>
      </c>
      <c r="L68" s="36"/>
      <c r="M68" s="36"/>
    </row>
    <row r="69" spans="1:22">
      <c r="A69" s="22" t="s">
        <v>255</v>
      </c>
      <c r="B69" s="109"/>
      <c r="C69" s="23"/>
      <c r="D69" s="59"/>
      <c r="E69" s="195"/>
      <c r="F69" s="191"/>
      <c r="G69" s="196">
        <f>SUM(G61:G68)</f>
        <v>0</v>
      </c>
      <c r="H69" s="36"/>
      <c r="I69" s="196">
        <f>SUM(I61:I68)</f>
        <v>0</v>
      </c>
      <c r="J69" s="36"/>
      <c r="K69" s="197">
        <f>SUM(K61:K64)</f>
        <v>0</v>
      </c>
      <c r="L69" s="36"/>
      <c r="M69" s="36">
        <f>IFERROR(K69/G69,0)</f>
        <v>0</v>
      </c>
    </row>
    <row r="70" spans="1:22" ht="15" thickBot="1">
      <c r="A70" s="341" t="s">
        <v>103</v>
      </c>
      <c r="B70" s="341"/>
      <c r="C70" s="25"/>
      <c r="E70" s="198">
        <f>IFERROR(K70/G70,0)</f>
        <v>0</v>
      </c>
      <c r="F70" s="199"/>
      <c r="G70" s="26">
        <f>G36+G59+G69</f>
        <v>0</v>
      </c>
      <c r="H70" s="36"/>
      <c r="I70" s="26">
        <f>I36+I59+I69</f>
        <v>0</v>
      </c>
      <c r="J70" s="36"/>
      <c r="K70" s="26">
        <f>K59+K36+K69</f>
        <v>0</v>
      </c>
      <c r="L70" s="36"/>
      <c r="M70" s="200"/>
    </row>
    <row r="71" spans="1:22" ht="15" thickTop="1">
      <c r="A71" s="25"/>
      <c r="B71" s="25"/>
      <c r="C71" s="25"/>
      <c r="E71" s="175"/>
      <c r="F71" s="22"/>
      <c r="G71" s="22"/>
      <c r="S71" s="27"/>
      <c r="T71" s="27"/>
      <c r="U71" s="27"/>
      <c r="V71" s="27"/>
    </row>
    <row r="72" spans="1:22">
      <c r="A72" s="25"/>
      <c r="B72" s="25"/>
      <c r="C72" s="25"/>
      <c r="E72" s="175"/>
      <c r="F72" s="22"/>
      <c r="G72" s="22"/>
      <c r="Q72" s="338" t="s">
        <v>342</v>
      </c>
      <c r="R72" s="338"/>
      <c r="S72" s="338"/>
      <c r="T72" s="338"/>
    </row>
    <row r="73" spans="1:22">
      <c r="K73" s="338" t="s">
        <v>99</v>
      </c>
      <c r="L73" s="338"/>
      <c r="M73" s="338"/>
      <c r="N73" s="22"/>
      <c r="Q73" s="99">
        <f>VALUE(RIGHT(A2,5))</f>
        <v>0</v>
      </c>
      <c r="R73" s="74"/>
      <c r="S73" s="344" t="str">
        <f>IFERROR(_xlfn.XLOOKUP(Q73,'New Orleans Standards'!A:A,'New Orleans Standards'!B:B),"")</f>
        <v/>
      </c>
      <c r="T73" s="344"/>
    </row>
    <row r="74" spans="1:22">
      <c r="K74" s="28" t="s">
        <v>19</v>
      </c>
      <c r="L74" s="28"/>
      <c r="M74" s="28" t="s">
        <v>20</v>
      </c>
      <c r="O74" s="28" t="s">
        <v>129</v>
      </c>
      <c r="Q74" s="28" t="s">
        <v>19</v>
      </c>
      <c r="R74" s="28"/>
      <c r="S74" s="28" t="s">
        <v>20</v>
      </c>
      <c r="T74" s="28" t="s">
        <v>129</v>
      </c>
    </row>
    <row r="75" spans="1:22">
      <c r="A75" s="339" t="s">
        <v>13</v>
      </c>
      <c r="B75" s="339"/>
      <c r="G75" s="155">
        <f>'Summary Page'!E31</f>
        <v>0</v>
      </c>
    </row>
    <row r="76" spans="1:22">
      <c r="A76" s="339" t="s">
        <v>0</v>
      </c>
      <c r="B76" s="339"/>
      <c r="G76" s="155">
        <f>'Summary Page'!E32</f>
        <v>0</v>
      </c>
      <c r="H76" s="73"/>
      <c r="I76" s="73"/>
      <c r="J76" s="73"/>
      <c r="K76" s="102">
        <v>0</v>
      </c>
      <c r="L76" s="73"/>
      <c r="M76" s="102">
        <v>0</v>
      </c>
      <c r="N76" s="73"/>
      <c r="O76" s="102">
        <v>0</v>
      </c>
    </row>
    <row r="77" spans="1:22">
      <c r="A77" s="339" t="s">
        <v>1</v>
      </c>
      <c r="B77" s="339"/>
      <c r="G77" s="155">
        <f>'Summary Page'!E33</f>
        <v>0</v>
      </c>
      <c r="H77" s="73"/>
      <c r="I77" s="73"/>
      <c r="J77" s="73"/>
      <c r="K77" s="102">
        <v>0</v>
      </c>
      <c r="L77" s="73"/>
      <c r="M77" s="102">
        <v>0</v>
      </c>
      <c r="N77" s="73"/>
      <c r="O77" s="102">
        <v>0</v>
      </c>
      <c r="Q77" s="29"/>
      <c r="S77" s="29"/>
    </row>
    <row r="78" spans="1:22">
      <c r="A78" s="22" t="s">
        <v>104</v>
      </c>
      <c r="G78" s="61"/>
      <c r="Q78" s="102" cm="1">
        <f t="array" ref="Q78">IFERROR(_xlfn.XLOOKUP($S$73,'New Orleans Standards'!$E$5:$I$5,_xlfn.XLOOKUP('Mixed Rent'!Q74,'New Orleans Standards'!$D$6:$D$14,'New Orleans Standards'!$E$6:$I$14)),0)</f>
        <v>0</v>
      </c>
      <c r="R78" s="73"/>
      <c r="S78" s="102" cm="1">
        <f t="array" ref="S78">IFERROR(_xlfn.XLOOKUP($S$73,'New Orleans Standards'!$E$5:$I$5,_xlfn.XLOOKUP('Mixed Rent'!S74,'New Orleans Standards'!$D$6:$D$14,'New Orleans Standards'!$E$6:$I$14)),0)</f>
        <v>0</v>
      </c>
      <c r="T78" s="102" cm="1">
        <f t="array" ref="T78">IFERROR(_xlfn.XLOOKUP($S$73,'New Orleans Standards'!$E$5:$I$5,_xlfn.XLOOKUP('Mixed Rent'!T74,'New Orleans Standards'!$D$6:$D$14,'New Orleans Standards'!$E$6:$I$14)),0)</f>
        <v>0</v>
      </c>
    </row>
    <row r="79" spans="1:22">
      <c r="A79" s="22" t="s">
        <v>105</v>
      </c>
      <c r="Q79" s="37">
        <f>IFERROR(Q78-K77,0)</f>
        <v>0</v>
      </c>
      <c r="S79" s="37">
        <f>IFERROR(S78-M77,0)</f>
        <v>0</v>
      </c>
      <c r="T79" s="37">
        <f>IFERROR(T78-O77,0)</f>
        <v>0</v>
      </c>
    </row>
    <row r="80" spans="1:22">
      <c r="A80" s="22"/>
    </row>
    <row r="81" spans="1:16">
      <c r="I81" s="331" t="s">
        <v>101</v>
      </c>
      <c r="J81" s="331"/>
      <c r="K81" s="331"/>
    </row>
    <row r="82" spans="1:16">
      <c r="A82" s="22" t="s">
        <v>101</v>
      </c>
      <c r="D82" s="27" t="s">
        <v>7</v>
      </c>
      <c r="E82" s="176"/>
      <c r="F82" s="27"/>
      <c r="G82" s="27" t="s">
        <v>10</v>
      </c>
      <c r="H82" s="22"/>
      <c r="I82" s="338" t="s">
        <v>11</v>
      </c>
      <c r="J82" s="338"/>
      <c r="K82" s="338"/>
      <c r="L82" s="27"/>
      <c r="M82" s="27" t="s">
        <v>5</v>
      </c>
      <c r="N82" s="23"/>
    </row>
    <row r="83" spans="1:16">
      <c r="A83" s="343" t="s">
        <v>102</v>
      </c>
      <c r="B83" s="343"/>
      <c r="D83" s="20" t="s">
        <v>8</v>
      </c>
      <c r="E83" s="20" t="s">
        <v>9</v>
      </c>
      <c r="F83" s="20"/>
      <c r="G83" s="20" t="s">
        <v>2</v>
      </c>
      <c r="H83" s="22"/>
      <c r="I83" s="28" t="s">
        <v>12</v>
      </c>
      <c r="J83" s="28"/>
      <c r="K83" s="28" t="s">
        <v>5</v>
      </c>
      <c r="L83" s="27"/>
      <c r="M83" s="30" t="s">
        <v>6</v>
      </c>
      <c r="N83" s="23"/>
    </row>
    <row r="84" spans="1:16">
      <c r="A84" s="25"/>
      <c r="B84" s="25"/>
      <c r="D84" s="27"/>
      <c r="E84" s="176"/>
      <c r="F84" s="27"/>
      <c r="G84" s="27"/>
      <c r="H84" s="22"/>
      <c r="I84" s="27"/>
      <c r="J84" s="27"/>
      <c r="K84" s="27"/>
      <c r="L84" s="27"/>
      <c r="M84" s="97"/>
      <c r="N84" s="23"/>
    </row>
    <row r="85" spans="1:16">
      <c r="A85" s="73" t="s">
        <v>3</v>
      </c>
      <c r="B85" s="109">
        <f t="shared" ref="B85:B113" si="7">B7</f>
        <v>0</v>
      </c>
      <c r="C85" s="31"/>
      <c r="D85" s="186">
        <f t="shared" ref="D85:D112" si="8">ROUND(G7*E85,-0.1)</f>
        <v>0</v>
      </c>
      <c r="E85" s="177">
        <f>$G$75</f>
        <v>0</v>
      </c>
      <c r="F85" s="57"/>
      <c r="G85" s="184">
        <f t="shared" ref="G85:G113" si="9">E7</f>
        <v>0</v>
      </c>
      <c r="I85" s="113">
        <f>IFERROR(K85/G85,0)</f>
        <v>0</v>
      </c>
      <c r="J85" s="114"/>
      <c r="K85" s="114"/>
      <c r="L85" s="115"/>
      <c r="M85" s="115">
        <f>(K85*D85)*12</f>
        <v>0</v>
      </c>
      <c r="N85" s="23"/>
    </row>
    <row r="86" spans="1:16">
      <c r="A86" s="73" t="s">
        <v>3</v>
      </c>
      <c r="B86" s="109">
        <f t="shared" si="7"/>
        <v>0</v>
      </c>
      <c r="C86" s="31"/>
      <c r="D86" s="186">
        <f t="shared" si="8"/>
        <v>0</v>
      </c>
      <c r="E86" s="177">
        <f t="shared" ref="E86:E113" si="10">$G$75</f>
        <v>0</v>
      </c>
      <c r="F86" s="57"/>
      <c r="G86" s="184">
        <f t="shared" si="9"/>
        <v>0</v>
      </c>
      <c r="I86" s="113">
        <f t="shared" ref="I86:I113" si="11">IFERROR(K86/G86,0)</f>
        <v>0</v>
      </c>
      <c r="J86" s="114"/>
      <c r="K86" s="114"/>
      <c r="L86" s="115"/>
      <c r="M86" s="115">
        <f t="shared" ref="M86:M113" si="12">(K86*D86)*12</f>
        <v>0</v>
      </c>
      <c r="N86" s="23"/>
    </row>
    <row r="87" spans="1:16" hidden="1">
      <c r="A87" s="73" t="s">
        <v>3</v>
      </c>
      <c r="B87" s="109">
        <f t="shared" si="7"/>
        <v>0</v>
      </c>
      <c r="C87" s="31"/>
      <c r="D87" s="186">
        <f t="shared" si="8"/>
        <v>0</v>
      </c>
      <c r="E87" s="177">
        <f t="shared" si="10"/>
        <v>0</v>
      </c>
      <c r="F87" s="57"/>
      <c r="G87" s="184">
        <f t="shared" si="9"/>
        <v>0</v>
      </c>
      <c r="I87" s="113">
        <f t="shared" si="11"/>
        <v>0</v>
      </c>
      <c r="J87" s="114"/>
      <c r="K87" s="114"/>
      <c r="L87" s="115"/>
      <c r="M87" s="115">
        <f t="shared" si="12"/>
        <v>0</v>
      </c>
      <c r="N87" s="23"/>
    </row>
    <row r="88" spans="1:16" hidden="1">
      <c r="A88" s="73" t="s">
        <v>3</v>
      </c>
      <c r="B88" s="109">
        <f t="shared" si="7"/>
        <v>0</v>
      </c>
      <c r="C88" s="31"/>
      <c r="D88" s="186">
        <f t="shared" si="8"/>
        <v>0</v>
      </c>
      <c r="E88" s="177">
        <f t="shared" si="10"/>
        <v>0</v>
      </c>
      <c r="F88" s="57"/>
      <c r="G88" s="184">
        <f t="shared" si="9"/>
        <v>0</v>
      </c>
      <c r="I88" s="113">
        <f t="shared" si="11"/>
        <v>0</v>
      </c>
      <c r="J88" s="114"/>
      <c r="K88" s="114"/>
      <c r="L88" s="115"/>
      <c r="M88" s="115">
        <f t="shared" si="12"/>
        <v>0</v>
      </c>
      <c r="N88" s="23"/>
    </row>
    <row r="89" spans="1:16" hidden="1">
      <c r="A89" s="73" t="s">
        <v>3</v>
      </c>
      <c r="B89" s="109">
        <f t="shared" si="7"/>
        <v>0</v>
      </c>
      <c r="C89" s="31"/>
      <c r="D89" s="186">
        <f t="shared" si="8"/>
        <v>0</v>
      </c>
      <c r="E89" s="177">
        <f t="shared" si="10"/>
        <v>0</v>
      </c>
      <c r="F89" s="57"/>
      <c r="G89" s="184">
        <f t="shared" si="9"/>
        <v>0</v>
      </c>
      <c r="I89" s="113">
        <f t="shared" si="11"/>
        <v>0</v>
      </c>
      <c r="J89" s="114"/>
      <c r="K89" s="114"/>
      <c r="L89" s="115"/>
      <c r="M89" s="115">
        <f t="shared" si="12"/>
        <v>0</v>
      </c>
      <c r="N89" s="23"/>
    </row>
    <row r="90" spans="1:16" hidden="1">
      <c r="A90" s="73" t="s">
        <v>3</v>
      </c>
      <c r="B90" s="109">
        <f t="shared" si="7"/>
        <v>0</v>
      </c>
      <c r="C90" s="31"/>
      <c r="D90" s="186">
        <f t="shared" si="8"/>
        <v>0</v>
      </c>
      <c r="E90" s="177">
        <f t="shared" si="10"/>
        <v>0</v>
      </c>
      <c r="F90" s="57"/>
      <c r="G90" s="184">
        <f t="shared" si="9"/>
        <v>0</v>
      </c>
      <c r="I90" s="113">
        <f t="shared" si="11"/>
        <v>0</v>
      </c>
      <c r="J90" s="114"/>
      <c r="K90" s="114"/>
      <c r="L90" s="115"/>
      <c r="M90" s="115">
        <f t="shared" si="12"/>
        <v>0</v>
      </c>
      <c r="N90" s="23"/>
    </row>
    <row r="91" spans="1:16" hidden="1">
      <c r="A91" s="73" t="s">
        <v>3</v>
      </c>
      <c r="B91" s="109">
        <f t="shared" si="7"/>
        <v>0</v>
      </c>
      <c r="C91" s="31"/>
      <c r="D91" s="186">
        <f t="shared" si="8"/>
        <v>0</v>
      </c>
      <c r="E91" s="177">
        <f t="shared" si="10"/>
        <v>0</v>
      </c>
      <c r="F91" s="57"/>
      <c r="G91" s="184">
        <f t="shared" si="9"/>
        <v>0</v>
      </c>
      <c r="I91" s="113">
        <f t="shared" si="11"/>
        <v>0</v>
      </c>
      <c r="J91" s="114"/>
      <c r="K91" s="114"/>
      <c r="L91" s="115"/>
      <c r="M91" s="115">
        <f t="shared" si="12"/>
        <v>0</v>
      </c>
      <c r="N91" s="23"/>
    </row>
    <row r="92" spans="1:16" hidden="1">
      <c r="A92" s="73" t="s">
        <v>3</v>
      </c>
      <c r="B92" s="109">
        <f t="shared" si="7"/>
        <v>0</v>
      </c>
      <c r="C92" s="31"/>
      <c r="D92" s="186">
        <f t="shared" si="8"/>
        <v>0</v>
      </c>
      <c r="E92" s="177">
        <f t="shared" si="10"/>
        <v>0</v>
      </c>
      <c r="F92" s="57"/>
      <c r="G92" s="184">
        <f t="shared" si="9"/>
        <v>0</v>
      </c>
      <c r="I92" s="113">
        <f t="shared" si="11"/>
        <v>0</v>
      </c>
      <c r="J92" s="114"/>
      <c r="K92" s="114"/>
      <c r="L92" s="115"/>
      <c r="M92" s="115">
        <f t="shared" si="12"/>
        <v>0</v>
      </c>
      <c r="N92" s="23"/>
    </row>
    <row r="93" spans="1:16" hidden="1">
      <c r="A93" s="73" t="s">
        <v>3</v>
      </c>
      <c r="B93" s="109">
        <f t="shared" si="7"/>
        <v>0</v>
      </c>
      <c r="C93" s="31"/>
      <c r="D93" s="186">
        <f t="shared" si="8"/>
        <v>0</v>
      </c>
      <c r="E93" s="177">
        <f t="shared" si="10"/>
        <v>0</v>
      </c>
      <c r="F93" s="57"/>
      <c r="G93" s="184">
        <f t="shared" si="9"/>
        <v>0</v>
      </c>
      <c r="I93" s="113">
        <f t="shared" si="11"/>
        <v>0</v>
      </c>
      <c r="J93" s="114"/>
      <c r="K93" s="114"/>
      <c r="L93" s="115"/>
      <c r="M93" s="115">
        <f t="shared" si="12"/>
        <v>0</v>
      </c>
      <c r="N93" s="23"/>
    </row>
    <row r="94" spans="1:16" hidden="1">
      <c r="A94" s="73" t="s">
        <v>3</v>
      </c>
      <c r="B94" s="109">
        <f t="shared" si="7"/>
        <v>0</v>
      </c>
      <c r="C94" s="31"/>
      <c r="D94" s="186">
        <f t="shared" si="8"/>
        <v>0</v>
      </c>
      <c r="E94" s="177">
        <f t="shared" si="10"/>
        <v>0</v>
      </c>
      <c r="F94" s="57"/>
      <c r="G94" s="184">
        <f t="shared" si="9"/>
        <v>0</v>
      </c>
      <c r="I94" s="113">
        <f t="shared" si="11"/>
        <v>0</v>
      </c>
      <c r="J94" s="114"/>
      <c r="K94" s="114"/>
      <c r="L94" s="115"/>
      <c r="M94" s="115">
        <f t="shared" si="12"/>
        <v>0</v>
      </c>
      <c r="N94" s="23"/>
    </row>
    <row r="95" spans="1:16" hidden="1">
      <c r="A95" s="73" t="s">
        <v>3</v>
      </c>
      <c r="B95" s="109">
        <f t="shared" si="7"/>
        <v>0</v>
      </c>
      <c r="C95" s="31"/>
      <c r="D95" s="186">
        <f t="shared" si="8"/>
        <v>0</v>
      </c>
      <c r="E95" s="177">
        <f t="shared" si="10"/>
        <v>0</v>
      </c>
      <c r="F95" s="57"/>
      <c r="G95" s="184">
        <f t="shared" si="9"/>
        <v>0</v>
      </c>
      <c r="I95" s="113">
        <f t="shared" si="11"/>
        <v>0</v>
      </c>
      <c r="J95" s="114"/>
      <c r="K95" s="114"/>
      <c r="L95" s="115"/>
      <c r="M95" s="115">
        <f t="shared" si="12"/>
        <v>0</v>
      </c>
      <c r="N95" s="23"/>
    </row>
    <row r="96" spans="1:16" hidden="1">
      <c r="A96" s="73" t="s">
        <v>3</v>
      </c>
      <c r="B96" s="109">
        <f t="shared" si="7"/>
        <v>0</v>
      </c>
      <c r="C96" s="31"/>
      <c r="D96" s="186">
        <f t="shared" si="8"/>
        <v>0</v>
      </c>
      <c r="E96" s="177">
        <f t="shared" si="10"/>
        <v>0</v>
      </c>
      <c r="F96" s="57"/>
      <c r="G96" s="184">
        <f t="shared" si="9"/>
        <v>0</v>
      </c>
      <c r="I96" s="113">
        <f t="shared" si="11"/>
        <v>0</v>
      </c>
      <c r="J96" s="114"/>
      <c r="K96" s="114"/>
      <c r="L96" s="115"/>
      <c r="M96" s="115">
        <f t="shared" si="12"/>
        <v>0</v>
      </c>
      <c r="N96" s="31"/>
      <c r="P96" s="31"/>
    </row>
    <row r="97" spans="1:16" hidden="1">
      <c r="A97" s="73" t="s">
        <v>3</v>
      </c>
      <c r="B97" s="109">
        <f t="shared" si="7"/>
        <v>0</v>
      </c>
      <c r="C97" s="31"/>
      <c r="D97" s="186">
        <f t="shared" si="8"/>
        <v>0</v>
      </c>
      <c r="E97" s="177">
        <f t="shared" si="10"/>
        <v>0</v>
      </c>
      <c r="F97" s="57"/>
      <c r="G97" s="184">
        <f t="shared" si="9"/>
        <v>0</v>
      </c>
      <c r="I97" s="113">
        <f t="shared" si="11"/>
        <v>0</v>
      </c>
      <c r="J97" s="114"/>
      <c r="K97" s="114"/>
      <c r="L97" s="115"/>
      <c r="M97" s="115">
        <f t="shared" si="12"/>
        <v>0</v>
      </c>
      <c r="N97" s="31"/>
      <c r="P97" s="31"/>
    </row>
    <row r="98" spans="1:16" hidden="1">
      <c r="A98" s="73" t="s">
        <v>3</v>
      </c>
      <c r="B98" s="109">
        <f t="shared" si="7"/>
        <v>0</v>
      </c>
      <c r="C98" s="31"/>
      <c r="D98" s="186">
        <f t="shared" si="8"/>
        <v>0</v>
      </c>
      <c r="E98" s="177">
        <f t="shared" si="10"/>
        <v>0</v>
      </c>
      <c r="F98" s="57"/>
      <c r="G98" s="184">
        <f t="shared" si="9"/>
        <v>0</v>
      </c>
      <c r="I98" s="113">
        <f t="shared" si="11"/>
        <v>0</v>
      </c>
      <c r="J98" s="114"/>
      <c r="K98" s="114"/>
      <c r="L98" s="115"/>
      <c r="M98" s="115">
        <f t="shared" si="12"/>
        <v>0</v>
      </c>
      <c r="N98" s="31"/>
      <c r="P98" s="31"/>
    </row>
    <row r="99" spans="1:16" hidden="1">
      <c r="A99" s="73" t="s">
        <v>3</v>
      </c>
      <c r="B99" s="109">
        <f t="shared" si="7"/>
        <v>0</v>
      </c>
      <c r="C99" s="31"/>
      <c r="D99" s="186">
        <f t="shared" si="8"/>
        <v>0</v>
      </c>
      <c r="E99" s="177">
        <f t="shared" si="10"/>
        <v>0</v>
      </c>
      <c r="F99" s="57"/>
      <c r="G99" s="184">
        <f t="shared" si="9"/>
        <v>0</v>
      </c>
      <c r="I99" s="113">
        <f t="shared" si="11"/>
        <v>0</v>
      </c>
      <c r="J99" s="114"/>
      <c r="K99" s="114"/>
      <c r="L99" s="115"/>
      <c r="M99" s="115">
        <f t="shared" si="12"/>
        <v>0</v>
      </c>
      <c r="N99" s="31"/>
      <c r="P99" s="31"/>
    </row>
    <row r="100" spans="1:16" hidden="1">
      <c r="A100" s="73" t="s">
        <v>3</v>
      </c>
      <c r="B100" s="109">
        <f t="shared" si="7"/>
        <v>0</v>
      </c>
      <c r="C100" s="31"/>
      <c r="D100" s="186">
        <f t="shared" si="8"/>
        <v>0</v>
      </c>
      <c r="E100" s="177">
        <f t="shared" si="10"/>
        <v>0</v>
      </c>
      <c r="F100" s="57"/>
      <c r="G100" s="184">
        <f t="shared" si="9"/>
        <v>0</v>
      </c>
      <c r="I100" s="113">
        <f t="shared" si="11"/>
        <v>0</v>
      </c>
      <c r="J100" s="114"/>
      <c r="K100" s="114"/>
      <c r="L100" s="115"/>
      <c r="M100" s="115">
        <f t="shared" si="12"/>
        <v>0</v>
      </c>
      <c r="N100" s="23"/>
    </row>
    <row r="101" spans="1:16" hidden="1">
      <c r="A101" s="73" t="s">
        <v>3</v>
      </c>
      <c r="B101" s="109">
        <f t="shared" si="7"/>
        <v>0</v>
      </c>
      <c r="C101" s="31"/>
      <c r="D101" s="186">
        <f t="shared" si="8"/>
        <v>0</v>
      </c>
      <c r="E101" s="177">
        <f t="shared" si="10"/>
        <v>0</v>
      </c>
      <c r="F101" s="57"/>
      <c r="G101" s="184">
        <f t="shared" si="9"/>
        <v>0</v>
      </c>
      <c r="I101" s="113">
        <f t="shared" si="11"/>
        <v>0</v>
      </c>
      <c r="J101" s="114"/>
      <c r="K101" s="114"/>
      <c r="L101" s="115"/>
      <c r="M101" s="115">
        <f t="shared" si="12"/>
        <v>0</v>
      </c>
      <c r="N101" s="23"/>
    </row>
    <row r="102" spans="1:16" hidden="1">
      <c r="A102" s="73" t="s">
        <v>3</v>
      </c>
      <c r="B102" s="109">
        <f t="shared" si="7"/>
        <v>0</v>
      </c>
      <c r="C102" s="31"/>
      <c r="D102" s="186">
        <f t="shared" si="8"/>
        <v>0</v>
      </c>
      <c r="E102" s="177">
        <f t="shared" si="10"/>
        <v>0</v>
      </c>
      <c r="F102" s="57"/>
      <c r="G102" s="184">
        <f t="shared" si="9"/>
        <v>0</v>
      </c>
      <c r="I102" s="113">
        <f t="shared" si="11"/>
        <v>0</v>
      </c>
      <c r="J102" s="114"/>
      <c r="K102" s="114"/>
      <c r="L102" s="115"/>
      <c r="M102" s="115">
        <f t="shared" si="12"/>
        <v>0</v>
      </c>
      <c r="N102" s="23"/>
    </row>
    <row r="103" spans="1:16" hidden="1">
      <c r="A103" s="73" t="s">
        <v>3</v>
      </c>
      <c r="B103" s="109">
        <f t="shared" si="7"/>
        <v>0</v>
      </c>
      <c r="C103" s="31"/>
      <c r="D103" s="186">
        <f t="shared" si="8"/>
        <v>0</v>
      </c>
      <c r="E103" s="177">
        <f t="shared" si="10"/>
        <v>0</v>
      </c>
      <c r="F103" s="57"/>
      <c r="G103" s="184">
        <f t="shared" si="9"/>
        <v>0</v>
      </c>
      <c r="I103" s="113">
        <f t="shared" si="11"/>
        <v>0</v>
      </c>
      <c r="J103" s="114"/>
      <c r="K103" s="114"/>
      <c r="L103" s="115"/>
      <c r="M103" s="115">
        <f t="shared" si="12"/>
        <v>0</v>
      </c>
      <c r="N103" s="23"/>
    </row>
    <row r="104" spans="1:16" hidden="1">
      <c r="A104" s="73" t="s">
        <v>3</v>
      </c>
      <c r="B104" s="109">
        <f t="shared" si="7"/>
        <v>0</v>
      </c>
      <c r="C104" s="31"/>
      <c r="D104" s="186">
        <f t="shared" si="8"/>
        <v>0</v>
      </c>
      <c r="E104" s="177">
        <f t="shared" si="10"/>
        <v>0</v>
      </c>
      <c r="F104" s="57"/>
      <c r="G104" s="184">
        <f t="shared" si="9"/>
        <v>0</v>
      </c>
      <c r="I104" s="113">
        <f t="shared" si="11"/>
        <v>0</v>
      </c>
      <c r="J104" s="114"/>
      <c r="K104" s="114"/>
      <c r="L104" s="115"/>
      <c r="M104" s="115">
        <f t="shared" si="12"/>
        <v>0</v>
      </c>
      <c r="N104" s="23"/>
    </row>
    <row r="105" spans="1:16" hidden="1">
      <c r="A105" s="73" t="s">
        <v>3</v>
      </c>
      <c r="B105" s="109">
        <f t="shared" si="7"/>
        <v>0</v>
      </c>
      <c r="C105" s="31"/>
      <c r="D105" s="186">
        <f t="shared" si="8"/>
        <v>0</v>
      </c>
      <c r="E105" s="177">
        <f t="shared" si="10"/>
        <v>0</v>
      </c>
      <c r="F105" s="57"/>
      <c r="G105" s="184">
        <f t="shared" si="9"/>
        <v>0</v>
      </c>
      <c r="I105" s="113">
        <f t="shared" si="11"/>
        <v>0</v>
      </c>
      <c r="J105" s="114"/>
      <c r="K105" s="114"/>
      <c r="L105" s="115"/>
      <c r="M105" s="115">
        <f t="shared" si="12"/>
        <v>0</v>
      </c>
      <c r="N105" s="23"/>
    </row>
    <row r="106" spans="1:16" hidden="1">
      <c r="A106" s="73" t="s">
        <v>3</v>
      </c>
      <c r="B106" s="109">
        <f t="shared" si="7"/>
        <v>0</v>
      </c>
      <c r="C106" s="31"/>
      <c r="D106" s="186">
        <f t="shared" si="8"/>
        <v>0</v>
      </c>
      <c r="E106" s="177">
        <f t="shared" si="10"/>
        <v>0</v>
      </c>
      <c r="F106" s="57"/>
      <c r="G106" s="184">
        <f t="shared" si="9"/>
        <v>0</v>
      </c>
      <c r="I106" s="113">
        <f t="shared" si="11"/>
        <v>0</v>
      </c>
      <c r="J106" s="114"/>
      <c r="K106" s="114"/>
      <c r="L106" s="115"/>
      <c r="M106" s="115">
        <f t="shared" si="12"/>
        <v>0</v>
      </c>
      <c r="N106" s="23"/>
    </row>
    <row r="107" spans="1:16" hidden="1">
      <c r="A107" s="73" t="s">
        <v>3</v>
      </c>
      <c r="B107" s="109">
        <f t="shared" si="7"/>
        <v>0</v>
      </c>
      <c r="C107" s="31"/>
      <c r="D107" s="186">
        <f t="shared" si="8"/>
        <v>0</v>
      </c>
      <c r="E107" s="177">
        <f t="shared" si="10"/>
        <v>0</v>
      </c>
      <c r="F107" s="57"/>
      <c r="G107" s="184">
        <f t="shared" si="9"/>
        <v>0</v>
      </c>
      <c r="I107" s="113">
        <f t="shared" si="11"/>
        <v>0</v>
      </c>
      <c r="J107" s="114"/>
      <c r="K107" s="114"/>
      <c r="L107" s="115"/>
      <c r="M107" s="115">
        <f t="shared" si="12"/>
        <v>0</v>
      </c>
      <c r="N107" s="23"/>
    </row>
    <row r="108" spans="1:16" hidden="1">
      <c r="A108" s="73" t="s">
        <v>3</v>
      </c>
      <c r="B108" s="109">
        <f t="shared" si="7"/>
        <v>0</v>
      </c>
      <c r="C108" s="31"/>
      <c r="D108" s="186">
        <f t="shared" si="8"/>
        <v>0</v>
      </c>
      <c r="E108" s="177">
        <f t="shared" si="10"/>
        <v>0</v>
      </c>
      <c r="F108" s="57"/>
      <c r="G108" s="184">
        <f t="shared" si="9"/>
        <v>0</v>
      </c>
      <c r="I108" s="113">
        <f t="shared" si="11"/>
        <v>0</v>
      </c>
      <c r="J108" s="114"/>
      <c r="K108" s="114"/>
      <c r="L108" s="115"/>
      <c r="M108" s="115">
        <f t="shared" si="12"/>
        <v>0</v>
      </c>
      <c r="N108" s="23"/>
    </row>
    <row r="109" spans="1:16" hidden="1">
      <c r="A109" s="73" t="s">
        <v>3</v>
      </c>
      <c r="B109" s="109">
        <f t="shared" si="7"/>
        <v>0</v>
      </c>
      <c r="C109" s="31"/>
      <c r="D109" s="186">
        <f t="shared" si="8"/>
        <v>0</v>
      </c>
      <c r="E109" s="177">
        <f t="shared" si="10"/>
        <v>0</v>
      </c>
      <c r="F109" s="57"/>
      <c r="G109" s="184">
        <f t="shared" si="9"/>
        <v>0</v>
      </c>
      <c r="I109" s="113">
        <f t="shared" si="11"/>
        <v>0</v>
      </c>
      <c r="J109" s="114"/>
      <c r="K109" s="114"/>
      <c r="L109" s="115"/>
      <c r="M109" s="115">
        <f t="shared" si="12"/>
        <v>0</v>
      </c>
      <c r="N109" s="23"/>
    </row>
    <row r="110" spans="1:16" hidden="1">
      <c r="A110" s="73" t="s">
        <v>3</v>
      </c>
      <c r="B110" s="109">
        <f t="shared" si="7"/>
        <v>0</v>
      </c>
      <c r="C110" s="31"/>
      <c r="D110" s="186">
        <f t="shared" si="8"/>
        <v>0</v>
      </c>
      <c r="E110" s="177">
        <f t="shared" si="10"/>
        <v>0</v>
      </c>
      <c r="F110" s="57"/>
      <c r="G110" s="184">
        <f t="shared" si="9"/>
        <v>0</v>
      </c>
      <c r="I110" s="113">
        <f t="shared" si="11"/>
        <v>0</v>
      </c>
      <c r="J110" s="114"/>
      <c r="K110" s="114"/>
      <c r="L110" s="115"/>
      <c r="M110" s="115">
        <f t="shared" si="12"/>
        <v>0</v>
      </c>
      <c r="N110" s="23"/>
    </row>
    <row r="111" spans="1:16" hidden="1">
      <c r="A111" s="73" t="s">
        <v>3</v>
      </c>
      <c r="B111" s="109">
        <f t="shared" si="7"/>
        <v>0</v>
      </c>
      <c r="C111" s="31"/>
      <c r="D111" s="186">
        <f t="shared" si="8"/>
        <v>0</v>
      </c>
      <c r="E111" s="177">
        <f t="shared" si="10"/>
        <v>0</v>
      </c>
      <c r="F111" s="57"/>
      <c r="G111" s="184">
        <f t="shared" si="9"/>
        <v>0</v>
      </c>
      <c r="I111" s="113">
        <f t="shared" si="11"/>
        <v>0</v>
      </c>
      <c r="J111" s="114"/>
      <c r="K111" s="114"/>
      <c r="L111" s="115"/>
      <c r="M111" s="115">
        <f t="shared" si="12"/>
        <v>0</v>
      </c>
      <c r="N111" s="31"/>
      <c r="P111" s="31"/>
    </row>
    <row r="112" spans="1:16" hidden="1">
      <c r="A112" s="73" t="s">
        <v>3</v>
      </c>
      <c r="B112" s="109">
        <f t="shared" si="7"/>
        <v>0</v>
      </c>
      <c r="C112" s="31"/>
      <c r="D112" s="186">
        <f t="shared" si="8"/>
        <v>0</v>
      </c>
      <c r="E112" s="177">
        <f t="shared" si="10"/>
        <v>0</v>
      </c>
      <c r="F112" s="57"/>
      <c r="G112" s="184">
        <f t="shared" si="9"/>
        <v>0</v>
      </c>
      <c r="I112" s="113">
        <f t="shared" si="11"/>
        <v>0</v>
      </c>
      <c r="J112" s="114"/>
      <c r="K112" s="114"/>
      <c r="L112" s="115"/>
      <c r="M112" s="115">
        <f t="shared" si="12"/>
        <v>0</v>
      </c>
      <c r="N112" s="31"/>
      <c r="P112" s="31"/>
    </row>
    <row r="113" spans="1:16" hidden="1">
      <c r="A113" s="73" t="s">
        <v>3</v>
      </c>
      <c r="B113" s="109">
        <f t="shared" si="7"/>
        <v>0</v>
      </c>
      <c r="C113" s="31"/>
      <c r="D113" s="186">
        <f>ROUND(G35*E113,-0.1)</f>
        <v>0</v>
      </c>
      <c r="E113" s="177">
        <f t="shared" si="10"/>
        <v>0</v>
      </c>
      <c r="F113" s="57"/>
      <c r="G113" s="184">
        <f t="shared" si="9"/>
        <v>0</v>
      </c>
      <c r="I113" s="113">
        <f t="shared" si="11"/>
        <v>0</v>
      </c>
      <c r="J113" s="114"/>
      <c r="K113" s="114"/>
      <c r="L113" s="115"/>
      <c r="M113" s="115">
        <f t="shared" si="12"/>
        <v>0</v>
      </c>
      <c r="N113" s="31"/>
      <c r="P113" s="31"/>
    </row>
    <row r="114" spans="1:16">
      <c r="A114" s="73" t="s">
        <v>317</v>
      </c>
      <c r="B114" s="109"/>
      <c r="C114" s="31"/>
      <c r="D114" s="98">
        <f>SUM(D85:D113)</f>
        <v>0</v>
      </c>
      <c r="E114" s="178">
        <f>IFERROR(D114/G36,0)</f>
        <v>0</v>
      </c>
      <c r="F114" s="152"/>
      <c r="G114" s="190"/>
      <c r="H114" s="149"/>
      <c r="I114" s="171"/>
      <c r="J114" s="171"/>
      <c r="K114" s="171"/>
      <c r="L114" s="150"/>
      <c r="M114" s="150">
        <f>SUM(M85:M113)</f>
        <v>0</v>
      </c>
      <c r="N114" s="31"/>
    </row>
    <row r="115" spans="1:16">
      <c r="A115" s="73"/>
      <c r="B115" s="109"/>
      <c r="C115" s="31"/>
      <c r="D115" s="36"/>
      <c r="E115" s="177"/>
      <c r="F115" s="32"/>
      <c r="G115" s="184"/>
      <c r="I115" s="33"/>
      <c r="J115" s="34"/>
      <c r="K115" s="35"/>
      <c r="M115" s="36"/>
      <c r="N115" s="31"/>
    </row>
    <row r="116" spans="1:16">
      <c r="A116" s="19" t="s">
        <v>3</v>
      </c>
      <c r="B116" s="109">
        <f>B39</f>
        <v>0</v>
      </c>
      <c r="C116" s="59"/>
      <c r="D116" s="186">
        <f>ROUND(G39*E116,-0.1)</f>
        <v>0</v>
      </c>
      <c r="E116" s="177">
        <f t="shared" ref="E116:E135" si="13">$G$75</f>
        <v>0</v>
      </c>
      <c r="F116" s="60"/>
      <c r="G116" s="186">
        <f>E39</f>
        <v>0</v>
      </c>
      <c r="I116" s="116">
        <f>IFERROR(K116/G116,0)</f>
        <v>0</v>
      </c>
      <c r="J116" s="115"/>
      <c r="K116" s="114">
        <v>0</v>
      </c>
      <c r="L116" s="114"/>
      <c r="M116" s="115">
        <f>(K116*D116)*12</f>
        <v>0</v>
      </c>
      <c r="N116" s="31"/>
      <c r="O116" s="114"/>
    </row>
    <row r="117" spans="1:16">
      <c r="A117" s="19" t="s">
        <v>3</v>
      </c>
      <c r="B117" s="109">
        <f t="shared" ref="B117:B135" si="14">B40</f>
        <v>0</v>
      </c>
      <c r="C117" s="59"/>
      <c r="D117" s="186">
        <f t="shared" ref="D117:D135" si="15">ROUND(G40*E117,-0.1)</f>
        <v>0</v>
      </c>
      <c r="E117" s="177">
        <f t="shared" si="13"/>
        <v>0</v>
      </c>
      <c r="F117" s="60"/>
      <c r="G117" s="186">
        <f t="shared" ref="G117:G135" si="16">E40</f>
        <v>0</v>
      </c>
      <c r="I117" s="116">
        <f t="shared" ref="I117:I135" si="17">IFERROR(K117/G117,0)</f>
        <v>0</v>
      </c>
      <c r="J117" s="115"/>
      <c r="K117" s="114"/>
      <c r="L117" s="114"/>
      <c r="M117" s="115">
        <f t="shared" ref="M117:M135" si="18">(K117*D117)*12</f>
        <v>0</v>
      </c>
      <c r="N117" s="31"/>
      <c r="O117" s="114"/>
    </row>
    <row r="118" spans="1:16" hidden="1">
      <c r="A118" s="19" t="s">
        <v>3</v>
      </c>
      <c r="B118" s="109">
        <f t="shared" si="14"/>
        <v>0</v>
      </c>
      <c r="C118" s="59"/>
      <c r="D118" s="186">
        <f t="shared" si="15"/>
        <v>0</v>
      </c>
      <c r="E118" s="177">
        <f t="shared" si="13"/>
        <v>0</v>
      </c>
      <c r="F118" s="60"/>
      <c r="G118" s="186">
        <f t="shared" si="16"/>
        <v>0</v>
      </c>
      <c r="I118" s="116">
        <f t="shared" si="17"/>
        <v>0</v>
      </c>
      <c r="J118" s="115"/>
      <c r="K118" s="114"/>
      <c r="L118" s="114"/>
      <c r="M118" s="115">
        <f t="shared" si="18"/>
        <v>0</v>
      </c>
      <c r="N118" s="31"/>
      <c r="O118" s="114"/>
    </row>
    <row r="119" spans="1:16" hidden="1">
      <c r="A119" s="19" t="s">
        <v>3</v>
      </c>
      <c r="B119" s="109">
        <f t="shared" si="14"/>
        <v>0</v>
      </c>
      <c r="C119" s="59"/>
      <c r="D119" s="186">
        <f t="shared" si="15"/>
        <v>0</v>
      </c>
      <c r="E119" s="177">
        <f t="shared" si="13"/>
        <v>0</v>
      </c>
      <c r="F119" s="60"/>
      <c r="G119" s="186">
        <f t="shared" si="16"/>
        <v>0</v>
      </c>
      <c r="I119" s="116">
        <f t="shared" si="17"/>
        <v>0</v>
      </c>
      <c r="J119" s="115"/>
      <c r="K119" s="114"/>
      <c r="L119" s="114"/>
      <c r="M119" s="115">
        <f t="shared" si="18"/>
        <v>0</v>
      </c>
      <c r="N119" s="31"/>
      <c r="O119" s="114"/>
    </row>
    <row r="120" spans="1:16" hidden="1">
      <c r="A120" s="19" t="s">
        <v>3</v>
      </c>
      <c r="B120" s="109">
        <f t="shared" si="14"/>
        <v>0</v>
      </c>
      <c r="C120" s="59"/>
      <c r="D120" s="186">
        <f t="shared" si="15"/>
        <v>0</v>
      </c>
      <c r="E120" s="177">
        <f t="shared" si="13"/>
        <v>0</v>
      </c>
      <c r="F120" s="60"/>
      <c r="G120" s="186">
        <f t="shared" si="16"/>
        <v>0</v>
      </c>
      <c r="I120" s="116">
        <f t="shared" si="17"/>
        <v>0</v>
      </c>
      <c r="J120" s="115"/>
      <c r="K120" s="114"/>
      <c r="L120" s="114"/>
      <c r="M120" s="115">
        <f t="shared" si="18"/>
        <v>0</v>
      </c>
      <c r="N120" s="31"/>
      <c r="O120" s="114"/>
    </row>
    <row r="121" spans="1:16" hidden="1">
      <c r="A121" s="19" t="s">
        <v>3</v>
      </c>
      <c r="B121" s="109">
        <f t="shared" si="14"/>
        <v>0</v>
      </c>
      <c r="C121" s="59"/>
      <c r="D121" s="186">
        <f t="shared" si="15"/>
        <v>0</v>
      </c>
      <c r="E121" s="177">
        <f t="shared" si="13"/>
        <v>0</v>
      </c>
      <c r="F121" s="60"/>
      <c r="G121" s="186">
        <f t="shared" si="16"/>
        <v>0</v>
      </c>
      <c r="I121" s="116">
        <f t="shared" si="17"/>
        <v>0</v>
      </c>
      <c r="J121" s="115"/>
      <c r="K121" s="114"/>
      <c r="L121" s="114"/>
      <c r="M121" s="115">
        <f t="shared" si="18"/>
        <v>0</v>
      </c>
      <c r="N121" s="31"/>
      <c r="O121" s="114"/>
    </row>
    <row r="122" spans="1:16" hidden="1">
      <c r="A122" s="19" t="s">
        <v>3</v>
      </c>
      <c r="B122" s="109">
        <f t="shared" si="14"/>
        <v>0</v>
      </c>
      <c r="C122" s="59"/>
      <c r="D122" s="186">
        <f t="shared" si="15"/>
        <v>0</v>
      </c>
      <c r="E122" s="177">
        <f t="shared" si="13"/>
        <v>0</v>
      </c>
      <c r="F122" s="60"/>
      <c r="G122" s="186">
        <f t="shared" si="16"/>
        <v>0</v>
      </c>
      <c r="I122" s="116">
        <f t="shared" si="17"/>
        <v>0</v>
      </c>
      <c r="J122" s="115"/>
      <c r="K122" s="114"/>
      <c r="L122" s="114"/>
      <c r="M122" s="115">
        <f t="shared" si="18"/>
        <v>0</v>
      </c>
      <c r="N122" s="31"/>
      <c r="O122" s="114"/>
    </row>
    <row r="123" spans="1:16" hidden="1">
      <c r="A123" s="19" t="s">
        <v>3</v>
      </c>
      <c r="B123" s="109">
        <f t="shared" si="14"/>
        <v>0</v>
      </c>
      <c r="C123" s="59"/>
      <c r="D123" s="186">
        <f t="shared" si="15"/>
        <v>0</v>
      </c>
      <c r="E123" s="177">
        <f t="shared" si="13"/>
        <v>0</v>
      </c>
      <c r="F123" s="60"/>
      <c r="G123" s="186">
        <f t="shared" si="16"/>
        <v>0</v>
      </c>
      <c r="I123" s="116">
        <f t="shared" si="17"/>
        <v>0</v>
      </c>
      <c r="J123" s="115"/>
      <c r="K123" s="114"/>
      <c r="L123" s="114"/>
      <c r="M123" s="115">
        <f t="shared" si="18"/>
        <v>0</v>
      </c>
      <c r="N123" s="31"/>
      <c r="O123" s="114"/>
    </row>
    <row r="124" spans="1:16" hidden="1">
      <c r="A124" s="19" t="s">
        <v>3</v>
      </c>
      <c r="B124" s="109">
        <f t="shared" si="14"/>
        <v>0</v>
      </c>
      <c r="C124" s="59"/>
      <c r="D124" s="186">
        <f t="shared" si="15"/>
        <v>0</v>
      </c>
      <c r="E124" s="177">
        <f t="shared" si="13"/>
        <v>0</v>
      </c>
      <c r="F124" s="60"/>
      <c r="G124" s="186">
        <f t="shared" si="16"/>
        <v>0</v>
      </c>
      <c r="I124" s="116">
        <f t="shared" si="17"/>
        <v>0</v>
      </c>
      <c r="J124" s="115"/>
      <c r="K124" s="114"/>
      <c r="L124" s="114"/>
      <c r="M124" s="115">
        <f t="shared" si="18"/>
        <v>0</v>
      </c>
      <c r="N124" s="31"/>
      <c r="O124" s="114"/>
    </row>
    <row r="125" spans="1:16" hidden="1">
      <c r="A125" s="19" t="s">
        <v>3</v>
      </c>
      <c r="B125" s="109">
        <f t="shared" si="14"/>
        <v>0</v>
      </c>
      <c r="C125" s="59"/>
      <c r="D125" s="186">
        <f t="shared" si="15"/>
        <v>0</v>
      </c>
      <c r="E125" s="177">
        <f t="shared" si="13"/>
        <v>0</v>
      </c>
      <c r="F125" s="60"/>
      <c r="G125" s="186">
        <f t="shared" si="16"/>
        <v>0</v>
      </c>
      <c r="I125" s="116">
        <f t="shared" si="17"/>
        <v>0</v>
      </c>
      <c r="J125" s="115"/>
      <c r="K125" s="114"/>
      <c r="L125" s="114"/>
      <c r="M125" s="115">
        <f t="shared" si="18"/>
        <v>0</v>
      </c>
      <c r="N125" s="31"/>
      <c r="O125" s="114"/>
    </row>
    <row r="126" spans="1:16" hidden="1">
      <c r="A126" s="19" t="s">
        <v>3</v>
      </c>
      <c r="B126" s="109">
        <f t="shared" si="14"/>
        <v>0</v>
      </c>
      <c r="C126" s="59"/>
      <c r="D126" s="186">
        <f t="shared" si="15"/>
        <v>0</v>
      </c>
      <c r="E126" s="177">
        <f t="shared" si="13"/>
        <v>0</v>
      </c>
      <c r="F126" s="60"/>
      <c r="G126" s="186">
        <f t="shared" si="16"/>
        <v>0</v>
      </c>
      <c r="I126" s="116">
        <f t="shared" si="17"/>
        <v>0</v>
      </c>
      <c r="J126" s="115"/>
      <c r="K126" s="114"/>
      <c r="L126" s="114"/>
      <c r="M126" s="115">
        <f t="shared" si="18"/>
        <v>0</v>
      </c>
      <c r="N126" s="31"/>
      <c r="O126" s="114"/>
    </row>
    <row r="127" spans="1:16" hidden="1">
      <c r="A127" s="19" t="s">
        <v>3</v>
      </c>
      <c r="B127" s="109">
        <f t="shared" si="14"/>
        <v>0</v>
      </c>
      <c r="C127" s="59"/>
      <c r="D127" s="186">
        <f t="shared" si="15"/>
        <v>0</v>
      </c>
      <c r="E127" s="177">
        <f t="shared" si="13"/>
        <v>0</v>
      </c>
      <c r="F127" s="60"/>
      <c r="G127" s="186">
        <f t="shared" si="16"/>
        <v>0</v>
      </c>
      <c r="I127" s="116">
        <f t="shared" si="17"/>
        <v>0</v>
      </c>
      <c r="J127" s="115"/>
      <c r="K127" s="114"/>
      <c r="L127" s="114"/>
      <c r="M127" s="115">
        <f t="shared" si="18"/>
        <v>0</v>
      </c>
      <c r="N127" s="31"/>
      <c r="O127" s="114"/>
    </row>
    <row r="128" spans="1:16" hidden="1">
      <c r="A128" s="19" t="s">
        <v>3</v>
      </c>
      <c r="B128" s="109">
        <f t="shared" si="14"/>
        <v>0</v>
      </c>
      <c r="C128" s="59"/>
      <c r="D128" s="186">
        <f t="shared" si="15"/>
        <v>0</v>
      </c>
      <c r="E128" s="177">
        <f t="shared" si="13"/>
        <v>0</v>
      </c>
      <c r="F128" s="60"/>
      <c r="G128" s="186">
        <f t="shared" si="16"/>
        <v>0</v>
      </c>
      <c r="I128" s="116">
        <f t="shared" si="17"/>
        <v>0</v>
      </c>
      <c r="J128" s="115"/>
      <c r="K128" s="114"/>
      <c r="L128" s="114"/>
      <c r="M128" s="115">
        <f t="shared" si="18"/>
        <v>0</v>
      </c>
      <c r="N128" s="31"/>
      <c r="O128" s="114"/>
    </row>
    <row r="129" spans="1:15" hidden="1">
      <c r="A129" s="19" t="s">
        <v>3</v>
      </c>
      <c r="B129" s="109">
        <f t="shared" si="14"/>
        <v>0</v>
      </c>
      <c r="C129" s="59"/>
      <c r="D129" s="186">
        <f t="shared" si="15"/>
        <v>0</v>
      </c>
      <c r="E129" s="177">
        <f t="shared" si="13"/>
        <v>0</v>
      </c>
      <c r="F129" s="60"/>
      <c r="G129" s="186">
        <f t="shared" si="16"/>
        <v>0</v>
      </c>
      <c r="I129" s="116">
        <f t="shared" si="17"/>
        <v>0</v>
      </c>
      <c r="J129" s="115"/>
      <c r="K129" s="114"/>
      <c r="L129" s="114"/>
      <c r="M129" s="115">
        <f t="shared" si="18"/>
        <v>0</v>
      </c>
      <c r="N129" s="31"/>
      <c r="O129" s="114"/>
    </row>
    <row r="130" spans="1:15" hidden="1">
      <c r="A130" s="19" t="s">
        <v>3</v>
      </c>
      <c r="B130" s="109">
        <f t="shared" si="14"/>
        <v>0</v>
      </c>
      <c r="C130" s="59"/>
      <c r="D130" s="186">
        <f t="shared" si="15"/>
        <v>0</v>
      </c>
      <c r="E130" s="177">
        <f t="shared" si="13"/>
        <v>0</v>
      </c>
      <c r="F130" s="60"/>
      <c r="G130" s="186">
        <f t="shared" si="16"/>
        <v>0</v>
      </c>
      <c r="I130" s="116">
        <f t="shared" si="17"/>
        <v>0</v>
      </c>
      <c r="J130" s="115"/>
      <c r="K130" s="114"/>
      <c r="L130" s="114"/>
      <c r="M130" s="115">
        <f t="shared" si="18"/>
        <v>0</v>
      </c>
      <c r="N130" s="31"/>
      <c r="O130" s="114"/>
    </row>
    <row r="131" spans="1:15" hidden="1">
      <c r="A131" s="19" t="s">
        <v>3</v>
      </c>
      <c r="B131" s="109">
        <f t="shared" si="14"/>
        <v>0</v>
      </c>
      <c r="C131" s="59"/>
      <c r="D131" s="186">
        <f t="shared" si="15"/>
        <v>0</v>
      </c>
      <c r="E131" s="177">
        <f t="shared" si="13"/>
        <v>0</v>
      </c>
      <c r="F131" s="60"/>
      <c r="G131" s="186">
        <f t="shared" si="16"/>
        <v>0</v>
      </c>
      <c r="I131" s="116">
        <f t="shared" si="17"/>
        <v>0</v>
      </c>
      <c r="J131" s="115"/>
      <c r="K131" s="114"/>
      <c r="L131" s="114"/>
      <c r="M131" s="115">
        <f t="shared" si="18"/>
        <v>0</v>
      </c>
      <c r="N131" s="31"/>
      <c r="O131" s="114"/>
    </row>
    <row r="132" spans="1:15" hidden="1">
      <c r="A132" s="19" t="s">
        <v>3</v>
      </c>
      <c r="B132" s="109">
        <f t="shared" si="14"/>
        <v>0</v>
      </c>
      <c r="C132" s="59"/>
      <c r="D132" s="186">
        <f t="shared" si="15"/>
        <v>0</v>
      </c>
      <c r="E132" s="177">
        <f t="shared" si="13"/>
        <v>0</v>
      </c>
      <c r="F132" s="60"/>
      <c r="G132" s="186">
        <f t="shared" si="16"/>
        <v>0</v>
      </c>
      <c r="I132" s="116">
        <f t="shared" si="17"/>
        <v>0</v>
      </c>
      <c r="J132" s="115"/>
      <c r="K132" s="114"/>
      <c r="L132" s="114"/>
      <c r="M132" s="115">
        <f t="shared" si="18"/>
        <v>0</v>
      </c>
      <c r="N132" s="31"/>
      <c r="O132" s="114"/>
    </row>
    <row r="133" spans="1:15" hidden="1">
      <c r="A133" s="19" t="s">
        <v>3</v>
      </c>
      <c r="B133" s="109">
        <f t="shared" si="14"/>
        <v>0</v>
      </c>
      <c r="C133" s="59"/>
      <c r="D133" s="186">
        <f t="shared" si="15"/>
        <v>0</v>
      </c>
      <c r="E133" s="177">
        <f t="shared" si="13"/>
        <v>0</v>
      </c>
      <c r="F133" s="60"/>
      <c r="G133" s="186">
        <f t="shared" si="16"/>
        <v>0</v>
      </c>
      <c r="I133" s="116">
        <f t="shared" si="17"/>
        <v>0</v>
      </c>
      <c r="J133" s="115"/>
      <c r="K133" s="114"/>
      <c r="L133" s="114"/>
      <c r="M133" s="115">
        <f t="shared" si="18"/>
        <v>0</v>
      </c>
      <c r="N133" s="31"/>
      <c r="O133" s="114"/>
    </row>
    <row r="134" spans="1:15" hidden="1">
      <c r="A134" s="19" t="s">
        <v>3</v>
      </c>
      <c r="B134" s="109">
        <f t="shared" si="14"/>
        <v>0</v>
      </c>
      <c r="C134" s="59"/>
      <c r="D134" s="186">
        <f t="shared" si="15"/>
        <v>0</v>
      </c>
      <c r="E134" s="177">
        <f t="shared" si="13"/>
        <v>0</v>
      </c>
      <c r="F134" s="60"/>
      <c r="G134" s="186">
        <f t="shared" si="16"/>
        <v>0</v>
      </c>
      <c r="I134" s="116">
        <f t="shared" si="17"/>
        <v>0</v>
      </c>
      <c r="J134" s="115"/>
      <c r="K134" s="114"/>
      <c r="L134" s="114"/>
      <c r="M134" s="115">
        <f t="shared" si="18"/>
        <v>0</v>
      </c>
      <c r="N134" s="31"/>
      <c r="O134" s="114"/>
    </row>
    <row r="135" spans="1:15" hidden="1">
      <c r="A135" s="19" t="s">
        <v>3</v>
      </c>
      <c r="B135" s="109">
        <f t="shared" si="14"/>
        <v>0</v>
      </c>
      <c r="C135" s="59"/>
      <c r="D135" s="186">
        <f t="shared" si="15"/>
        <v>0</v>
      </c>
      <c r="E135" s="177">
        <f t="shared" si="13"/>
        <v>0</v>
      </c>
      <c r="F135" s="60"/>
      <c r="G135" s="186">
        <f t="shared" si="16"/>
        <v>0</v>
      </c>
      <c r="I135" s="116">
        <f t="shared" si="17"/>
        <v>0</v>
      </c>
      <c r="J135" s="115"/>
      <c r="K135" s="114"/>
      <c r="L135" s="114"/>
      <c r="M135" s="115">
        <f t="shared" si="18"/>
        <v>0</v>
      </c>
      <c r="N135" s="31"/>
    </row>
    <row r="136" spans="1:15">
      <c r="A136" s="73" t="s">
        <v>318</v>
      </c>
      <c r="B136" s="109"/>
      <c r="D136" s="196">
        <f>SUM(D116:D135)</f>
        <v>0</v>
      </c>
      <c r="E136" s="179">
        <f>IFERROR(D136/G59,0)</f>
        <v>0</v>
      </c>
      <c r="F136" s="152"/>
      <c r="G136" s="190"/>
      <c r="H136" s="149"/>
      <c r="I136" s="150"/>
      <c r="J136" s="150"/>
      <c r="K136" s="171"/>
      <c r="L136" s="171"/>
      <c r="M136" s="117">
        <f>SUM(M116:M135)</f>
        <v>0</v>
      </c>
      <c r="N136" s="31"/>
    </row>
    <row r="137" spans="1:15">
      <c r="B137" s="109"/>
      <c r="D137" s="36"/>
      <c r="G137" s="36"/>
      <c r="I137" s="29"/>
      <c r="J137" s="29"/>
      <c r="K137" s="102"/>
      <c r="L137" s="29"/>
      <c r="M137" s="29"/>
      <c r="N137" s="31"/>
    </row>
    <row r="138" spans="1:15">
      <c r="A138" s="73" t="s">
        <v>3</v>
      </c>
      <c r="B138" s="109">
        <f t="shared" ref="B138:B145" si="19">B61</f>
        <v>0</v>
      </c>
      <c r="D138" s="188">
        <f t="shared" ref="D138:D145" si="20">ROUND(G61*E138,-0.1)</f>
        <v>0</v>
      </c>
      <c r="E138" s="177">
        <f>$G$75</f>
        <v>0</v>
      </c>
      <c r="F138" s="57"/>
      <c r="G138" s="184">
        <f t="shared" ref="G138:G145" si="21">E61</f>
        <v>0</v>
      </c>
      <c r="I138" s="116">
        <f>IFERROR(K138/G138,0)</f>
        <v>0</v>
      </c>
      <c r="J138" s="115"/>
      <c r="K138" s="114">
        <v>0</v>
      </c>
      <c r="L138" s="114"/>
      <c r="M138" s="115">
        <f>(K138*D138)*12</f>
        <v>0</v>
      </c>
      <c r="N138" s="31"/>
    </row>
    <row r="139" spans="1:15" hidden="1">
      <c r="A139" s="73" t="s">
        <v>3</v>
      </c>
      <c r="B139" s="109">
        <f t="shared" si="19"/>
        <v>0</v>
      </c>
      <c r="D139" s="188">
        <f t="shared" si="20"/>
        <v>0</v>
      </c>
      <c r="E139" s="177">
        <f t="shared" ref="E139:E145" si="22">$G$75</f>
        <v>0</v>
      </c>
      <c r="F139" s="57"/>
      <c r="G139" s="184">
        <f t="shared" si="21"/>
        <v>0</v>
      </c>
      <c r="I139" s="116">
        <f t="shared" ref="I139:I145" si="23">IFERROR(K139/G139,0)</f>
        <v>0</v>
      </c>
      <c r="J139" s="115"/>
      <c r="K139" s="114"/>
      <c r="L139" s="114"/>
      <c r="M139" s="115">
        <f t="shared" ref="M139:M145" si="24">(K139*D139)*12</f>
        <v>0</v>
      </c>
      <c r="N139" s="31"/>
    </row>
    <row r="140" spans="1:15" hidden="1">
      <c r="A140" s="73" t="s">
        <v>3</v>
      </c>
      <c r="B140" s="109">
        <f t="shared" si="19"/>
        <v>0</v>
      </c>
      <c r="D140" s="188">
        <f t="shared" si="20"/>
        <v>0</v>
      </c>
      <c r="E140" s="177">
        <f t="shared" si="22"/>
        <v>0</v>
      </c>
      <c r="F140" s="57"/>
      <c r="G140" s="184">
        <f t="shared" si="21"/>
        <v>0</v>
      </c>
      <c r="I140" s="116">
        <f t="shared" si="23"/>
        <v>0</v>
      </c>
      <c r="J140" s="115"/>
      <c r="K140" s="114"/>
      <c r="L140" s="114"/>
      <c r="M140" s="115">
        <f t="shared" si="24"/>
        <v>0</v>
      </c>
      <c r="N140" s="31"/>
    </row>
    <row r="141" spans="1:15" hidden="1">
      <c r="A141" s="73" t="s">
        <v>3</v>
      </c>
      <c r="B141" s="109">
        <f t="shared" si="19"/>
        <v>0</v>
      </c>
      <c r="D141" s="188">
        <f t="shared" si="20"/>
        <v>0</v>
      </c>
      <c r="E141" s="177">
        <f t="shared" si="22"/>
        <v>0</v>
      </c>
      <c r="F141" s="57"/>
      <c r="G141" s="184">
        <f t="shared" si="21"/>
        <v>0</v>
      </c>
      <c r="I141" s="116">
        <f t="shared" si="23"/>
        <v>0</v>
      </c>
      <c r="J141" s="115"/>
      <c r="K141" s="114"/>
      <c r="L141" s="114"/>
      <c r="M141" s="115">
        <f t="shared" si="24"/>
        <v>0</v>
      </c>
      <c r="N141" s="31"/>
    </row>
    <row r="142" spans="1:15" hidden="1">
      <c r="A142" s="73" t="s">
        <v>3</v>
      </c>
      <c r="B142" s="109">
        <f t="shared" si="19"/>
        <v>0</v>
      </c>
      <c r="D142" s="188">
        <f t="shared" si="20"/>
        <v>0</v>
      </c>
      <c r="E142" s="177">
        <f t="shared" si="22"/>
        <v>0</v>
      </c>
      <c r="F142" s="57"/>
      <c r="G142" s="184">
        <f t="shared" si="21"/>
        <v>0</v>
      </c>
      <c r="I142" s="116">
        <f t="shared" si="23"/>
        <v>0</v>
      </c>
      <c r="J142" s="115"/>
      <c r="K142" s="114"/>
      <c r="L142" s="114"/>
      <c r="M142" s="115">
        <f t="shared" si="24"/>
        <v>0</v>
      </c>
      <c r="N142" s="31"/>
    </row>
    <row r="143" spans="1:15" hidden="1">
      <c r="A143" s="73" t="s">
        <v>3</v>
      </c>
      <c r="B143" s="109">
        <f t="shared" si="19"/>
        <v>0</v>
      </c>
      <c r="D143" s="188">
        <f t="shared" si="20"/>
        <v>0</v>
      </c>
      <c r="E143" s="177">
        <f t="shared" si="22"/>
        <v>0</v>
      </c>
      <c r="F143" s="57"/>
      <c r="G143" s="184">
        <f t="shared" si="21"/>
        <v>0</v>
      </c>
      <c r="I143" s="116">
        <f t="shared" si="23"/>
        <v>0</v>
      </c>
      <c r="J143" s="115"/>
      <c r="K143" s="114"/>
      <c r="L143" s="114"/>
      <c r="M143" s="115">
        <f t="shared" si="24"/>
        <v>0</v>
      </c>
      <c r="N143" s="31"/>
    </row>
    <row r="144" spans="1:15" hidden="1">
      <c r="A144" s="73" t="s">
        <v>3</v>
      </c>
      <c r="B144" s="109">
        <f t="shared" si="19"/>
        <v>0</v>
      </c>
      <c r="D144" s="188">
        <f t="shared" si="20"/>
        <v>0</v>
      </c>
      <c r="E144" s="177">
        <f t="shared" si="22"/>
        <v>0</v>
      </c>
      <c r="F144" s="57"/>
      <c r="G144" s="184">
        <f t="shared" si="21"/>
        <v>0</v>
      </c>
      <c r="I144" s="116">
        <f t="shared" si="23"/>
        <v>0</v>
      </c>
      <c r="J144" s="115"/>
      <c r="K144" s="114"/>
      <c r="L144" s="114"/>
      <c r="M144" s="115">
        <f t="shared" si="24"/>
        <v>0</v>
      </c>
      <c r="N144" s="31"/>
    </row>
    <row r="145" spans="1:24" hidden="1">
      <c r="A145" s="73" t="s">
        <v>3</v>
      </c>
      <c r="B145" s="109">
        <f t="shared" si="19"/>
        <v>0</v>
      </c>
      <c r="D145" s="188">
        <f t="shared" si="20"/>
        <v>0</v>
      </c>
      <c r="E145" s="177">
        <f t="shared" si="22"/>
        <v>0</v>
      </c>
      <c r="F145" s="57"/>
      <c r="G145" s="184">
        <f t="shared" si="21"/>
        <v>0</v>
      </c>
      <c r="I145" s="116">
        <f t="shared" si="23"/>
        <v>0</v>
      </c>
      <c r="J145" s="115"/>
      <c r="K145" s="114"/>
      <c r="L145" s="114"/>
      <c r="M145" s="115">
        <f t="shared" si="24"/>
        <v>0</v>
      </c>
      <c r="N145" s="31"/>
    </row>
    <row r="146" spans="1:24">
      <c r="A146" s="73" t="s">
        <v>319</v>
      </c>
      <c r="B146" s="109"/>
      <c r="D146" s="196">
        <f>SUM(D138:D145)</f>
        <v>0</v>
      </c>
      <c r="E146" s="179">
        <f>IFERROR(D146/G69,0)</f>
        <v>0</v>
      </c>
      <c r="F146" s="152"/>
      <c r="G146" s="190"/>
      <c r="H146" s="149"/>
      <c r="I146" s="150"/>
      <c r="J146" s="150"/>
      <c r="K146" s="171"/>
      <c r="L146" s="171"/>
      <c r="M146" s="117">
        <f>SUM(M138:M145)</f>
        <v>0</v>
      </c>
      <c r="N146" s="31"/>
      <c r="O146" s="338" t="s">
        <v>99</v>
      </c>
      <c r="P146" s="338"/>
      <c r="Q146" s="338"/>
      <c r="S146" s="331" t="s">
        <v>11</v>
      </c>
      <c r="T146" s="331"/>
      <c r="V146" s="27" t="s">
        <v>16</v>
      </c>
    </row>
    <row r="147" spans="1:24">
      <c r="A147" s="73"/>
      <c r="B147" s="73"/>
      <c r="D147" s="188"/>
      <c r="E147" s="177"/>
      <c r="F147" s="32"/>
      <c r="G147" s="184"/>
      <c r="I147" s="29"/>
      <c r="J147" s="29"/>
      <c r="K147" s="35"/>
      <c r="L147" s="35"/>
      <c r="M147" s="35"/>
      <c r="N147" s="31"/>
      <c r="O147" s="338" t="s">
        <v>11</v>
      </c>
      <c r="P147" s="338"/>
      <c r="Q147" s="338"/>
      <c r="S147" s="338" t="s">
        <v>107</v>
      </c>
      <c r="T147" s="338"/>
      <c r="V147" s="27" t="s">
        <v>100</v>
      </c>
      <c r="X147" s="27" t="s">
        <v>5</v>
      </c>
    </row>
    <row r="148" spans="1:24">
      <c r="A148" s="73" t="s">
        <v>314</v>
      </c>
      <c r="B148" s="73"/>
      <c r="D148" s="188">
        <f>D136+D114+D146</f>
        <v>0</v>
      </c>
      <c r="E148" s="177">
        <f>IFERROR(D148/G70,0)</f>
        <v>0</v>
      </c>
      <c r="F148" s="32"/>
      <c r="G148" s="184"/>
      <c r="I148" s="29"/>
      <c r="J148" s="29"/>
      <c r="K148" s="35">
        <f>IFERROR((M148/12)/D148,0)</f>
        <v>0</v>
      </c>
      <c r="L148" s="35"/>
      <c r="M148" s="102">
        <f>M136+M114+M146</f>
        <v>0</v>
      </c>
      <c r="N148" s="31"/>
      <c r="O148" s="28" t="s">
        <v>12</v>
      </c>
      <c r="P148" s="28"/>
      <c r="Q148" s="28" t="s">
        <v>5</v>
      </c>
      <c r="R148" s="21"/>
      <c r="S148" s="20" t="s">
        <v>5</v>
      </c>
      <c r="T148" s="20" t="s">
        <v>9</v>
      </c>
      <c r="U148" s="21"/>
      <c r="V148" s="20" t="s">
        <v>15</v>
      </c>
      <c r="W148" s="21"/>
      <c r="X148" s="30" t="s">
        <v>6</v>
      </c>
    </row>
    <row r="149" spans="1:24">
      <c r="A149" s="73"/>
      <c r="B149" s="73"/>
      <c r="D149" s="201"/>
      <c r="E149" s="180"/>
      <c r="F149" s="32"/>
      <c r="G149" s="184"/>
      <c r="K149" s="35"/>
      <c r="L149" s="34"/>
      <c r="M149" s="31"/>
      <c r="N149" s="31"/>
      <c r="O149" s="31"/>
      <c r="P149" s="31"/>
    </row>
    <row r="150" spans="1:24">
      <c r="A150" s="342" t="s">
        <v>0</v>
      </c>
      <c r="B150" s="342"/>
      <c r="D150" s="188"/>
      <c r="E150" s="177"/>
      <c r="F150" s="32"/>
      <c r="G150" s="184"/>
      <c r="K150" s="35"/>
      <c r="L150" s="34"/>
      <c r="M150" s="31"/>
      <c r="N150" s="31"/>
      <c r="O150" s="31"/>
      <c r="P150" s="31"/>
    </row>
    <row r="151" spans="1:24">
      <c r="A151" s="73" t="s">
        <v>3</v>
      </c>
      <c r="B151" s="109">
        <f t="shared" ref="B151:B179" si="25">B85</f>
        <v>0</v>
      </c>
      <c r="D151" s="188">
        <f t="shared" ref="D151:D179" si="26">ROUND(G7*E151,-0.1)</f>
        <v>0</v>
      </c>
      <c r="E151" s="177">
        <f t="shared" ref="E151:E179" si="27">$G$76</f>
        <v>0</v>
      </c>
      <c r="F151" s="57"/>
      <c r="G151" s="184">
        <f t="shared" ref="G151:G179" si="28">E7</f>
        <v>0</v>
      </c>
      <c r="I151" s="114">
        <f>IFERROR(K151/G151,0)</f>
        <v>0</v>
      </c>
      <c r="K151" s="35">
        <f>VALUE(K85)</f>
        <v>0</v>
      </c>
      <c r="L151" s="34"/>
      <c r="M151" s="115">
        <f>(K151*D151)*12</f>
        <v>0</v>
      </c>
      <c r="N151" s="206"/>
      <c r="O151" s="114">
        <f>IFERROR(Q151/G151,0)</f>
        <v>0</v>
      </c>
      <c r="P151" s="29"/>
      <c r="Q151" s="35">
        <v>0</v>
      </c>
      <c r="R151" s="35"/>
      <c r="S151" s="114">
        <f>K151-Q151</f>
        <v>0</v>
      </c>
      <c r="T151" s="81">
        <f>IFERROR((K151-Q151)/K151,0)</f>
        <v>0</v>
      </c>
      <c r="V151" s="102">
        <f>IF(Q151&lt;K151,Q151,K151)</f>
        <v>0</v>
      </c>
      <c r="W151" s="29"/>
      <c r="X151" s="29">
        <f>(V151*D151)*12</f>
        <v>0</v>
      </c>
    </row>
    <row r="152" spans="1:24">
      <c r="A152" s="73" t="s">
        <v>3</v>
      </c>
      <c r="B152" s="109">
        <f t="shared" si="25"/>
        <v>0</v>
      </c>
      <c r="D152" s="188">
        <f t="shared" si="26"/>
        <v>0</v>
      </c>
      <c r="E152" s="177">
        <f t="shared" si="27"/>
        <v>0</v>
      </c>
      <c r="F152" s="57"/>
      <c r="G152" s="184">
        <f t="shared" si="28"/>
        <v>0</v>
      </c>
      <c r="I152" s="114">
        <f t="shared" ref="I152:I179" si="29">IFERROR(K152/G152,0)</f>
        <v>0</v>
      </c>
      <c r="K152" s="35">
        <f t="shared" ref="K152:K179" si="30">VALUE(K86)</f>
        <v>0</v>
      </c>
      <c r="L152" s="34"/>
      <c r="M152" s="115">
        <f t="shared" ref="M152:M179" si="31">(K152*D152)*12</f>
        <v>0</v>
      </c>
      <c r="N152" s="206"/>
      <c r="O152" s="114">
        <f t="shared" ref="O152:O179" si="32">IFERROR(Q152/G152,0)</f>
        <v>0</v>
      </c>
      <c r="P152" s="29"/>
      <c r="Q152" s="35">
        <f>$K$76</f>
        <v>0</v>
      </c>
      <c r="R152" s="35"/>
      <c r="S152" s="114">
        <f t="shared" ref="S152:S179" si="33">K152-Q152</f>
        <v>0</v>
      </c>
      <c r="T152" s="81">
        <f t="shared" ref="T152:T179" si="34">IFERROR((K152-Q152)/K152,0)</f>
        <v>0</v>
      </c>
      <c r="V152" s="102">
        <f t="shared" ref="V152:V179" si="35">IF(Q152&lt;K152,Q152,K152)</f>
        <v>0</v>
      </c>
      <c r="W152" s="29"/>
      <c r="X152" s="29">
        <f t="shared" ref="X152:X179" si="36">(V152*D152)*12</f>
        <v>0</v>
      </c>
    </row>
    <row r="153" spans="1:24" hidden="1">
      <c r="A153" s="73" t="s">
        <v>3</v>
      </c>
      <c r="B153" s="109">
        <f t="shared" si="25"/>
        <v>0</v>
      </c>
      <c r="D153" s="188">
        <f t="shared" si="26"/>
        <v>0</v>
      </c>
      <c r="E153" s="177">
        <f t="shared" si="27"/>
        <v>0</v>
      </c>
      <c r="F153" s="57"/>
      <c r="G153" s="184">
        <f t="shared" si="28"/>
        <v>0</v>
      </c>
      <c r="I153" s="114">
        <f t="shared" si="29"/>
        <v>0</v>
      </c>
      <c r="K153" s="35">
        <f t="shared" si="30"/>
        <v>0</v>
      </c>
      <c r="L153" s="34"/>
      <c r="M153" s="115">
        <f t="shared" si="31"/>
        <v>0</v>
      </c>
      <c r="N153" s="206"/>
      <c r="O153" s="114">
        <f t="shared" si="32"/>
        <v>0</v>
      </c>
      <c r="P153" s="29"/>
      <c r="Q153" s="35">
        <f>$K$76</f>
        <v>0</v>
      </c>
      <c r="R153" s="35"/>
      <c r="S153" s="114">
        <f t="shared" si="33"/>
        <v>0</v>
      </c>
      <c r="T153" s="81">
        <f t="shared" si="34"/>
        <v>0</v>
      </c>
      <c r="V153" s="102">
        <f t="shared" si="35"/>
        <v>0</v>
      </c>
      <c r="W153" s="29"/>
      <c r="X153" s="29">
        <f t="shared" si="36"/>
        <v>0</v>
      </c>
    </row>
    <row r="154" spans="1:24" hidden="1">
      <c r="A154" s="73" t="s">
        <v>3</v>
      </c>
      <c r="B154" s="109">
        <f t="shared" si="25"/>
        <v>0</v>
      </c>
      <c r="D154" s="188">
        <f t="shared" si="26"/>
        <v>0</v>
      </c>
      <c r="E154" s="177">
        <f t="shared" si="27"/>
        <v>0</v>
      </c>
      <c r="F154" s="57"/>
      <c r="G154" s="184">
        <f t="shared" si="28"/>
        <v>0</v>
      </c>
      <c r="I154" s="114">
        <f t="shared" si="29"/>
        <v>0</v>
      </c>
      <c r="K154" s="35">
        <f t="shared" si="30"/>
        <v>0</v>
      </c>
      <c r="L154" s="34"/>
      <c r="M154" s="115">
        <f t="shared" si="31"/>
        <v>0</v>
      </c>
      <c r="N154" s="206"/>
      <c r="O154" s="114">
        <f t="shared" si="32"/>
        <v>0</v>
      </c>
      <c r="P154" s="29"/>
      <c r="Q154" s="35">
        <f t="shared" ref="Q154:Q179" si="37">$K$76</f>
        <v>0</v>
      </c>
      <c r="R154" s="35"/>
      <c r="S154" s="114">
        <f t="shared" si="33"/>
        <v>0</v>
      </c>
      <c r="T154" s="81">
        <f t="shared" si="34"/>
        <v>0</v>
      </c>
      <c r="V154" s="102">
        <f t="shared" si="35"/>
        <v>0</v>
      </c>
      <c r="W154" s="29"/>
      <c r="X154" s="29">
        <f t="shared" si="36"/>
        <v>0</v>
      </c>
    </row>
    <row r="155" spans="1:24" hidden="1">
      <c r="A155" s="73" t="s">
        <v>3</v>
      </c>
      <c r="B155" s="109">
        <f t="shared" si="25"/>
        <v>0</v>
      </c>
      <c r="D155" s="188">
        <f t="shared" si="26"/>
        <v>0</v>
      </c>
      <c r="E155" s="177">
        <f t="shared" si="27"/>
        <v>0</v>
      </c>
      <c r="F155" s="57"/>
      <c r="G155" s="184">
        <f t="shared" si="28"/>
        <v>0</v>
      </c>
      <c r="I155" s="114">
        <f t="shared" si="29"/>
        <v>0</v>
      </c>
      <c r="K155" s="35">
        <f t="shared" si="30"/>
        <v>0</v>
      </c>
      <c r="L155" s="34"/>
      <c r="M155" s="115">
        <f t="shared" si="31"/>
        <v>0</v>
      </c>
      <c r="N155" s="206"/>
      <c r="O155" s="114">
        <f t="shared" si="32"/>
        <v>0</v>
      </c>
      <c r="P155" s="29"/>
      <c r="Q155" s="35">
        <f t="shared" si="37"/>
        <v>0</v>
      </c>
      <c r="R155" s="35"/>
      <c r="S155" s="114">
        <f t="shared" si="33"/>
        <v>0</v>
      </c>
      <c r="T155" s="81">
        <f t="shared" si="34"/>
        <v>0</v>
      </c>
      <c r="V155" s="102">
        <f t="shared" si="35"/>
        <v>0</v>
      </c>
      <c r="W155" s="29"/>
      <c r="X155" s="29">
        <f t="shared" si="36"/>
        <v>0</v>
      </c>
    </row>
    <row r="156" spans="1:24" hidden="1">
      <c r="A156" s="73" t="s">
        <v>3</v>
      </c>
      <c r="B156" s="109">
        <f t="shared" si="25"/>
        <v>0</v>
      </c>
      <c r="D156" s="188">
        <f t="shared" si="26"/>
        <v>0</v>
      </c>
      <c r="E156" s="177">
        <f t="shared" si="27"/>
        <v>0</v>
      </c>
      <c r="F156" s="57"/>
      <c r="G156" s="184">
        <f t="shared" si="28"/>
        <v>0</v>
      </c>
      <c r="I156" s="114">
        <f t="shared" si="29"/>
        <v>0</v>
      </c>
      <c r="K156" s="35">
        <f t="shared" si="30"/>
        <v>0</v>
      </c>
      <c r="L156" s="34"/>
      <c r="M156" s="115">
        <f t="shared" si="31"/>
        <v>0</v>
      </c>
      <c r="N156" s="206"/>
      <c r="O156" s="114">
        <f t="shared" si="32"/>
        <v>0</v>
      </c>
      <c r="P156" s="29"/>
      <c r="Q156" s="35">
        <f t="shared" si="37"/>
        <v>0</v>
      </c>
      <c r="R156" s="35"/>
      <c r="S156" s="114">
        <f t="shared" si="33"/>
        <v>0</v>
      </c>
      <c r="T156" s="81">
        <f t="shared" si="34"/>
        <v>0</v>
      </c>
      <c r="V156" s="102">
        <f t="shared" si="35"/>
        <v>0</v>
      </c>
      <c r="W156" s="29"/>
      <c r="X156" s="29">
        <f t="shared" si="36"/>
        <v>0</v>
      </c>
    </row>
    <row r="157" spans="1:24" hidden="1">
      <c r="A157" s="73" t="s">
        <v>3</v>
      </c>
      <c r="B157" s="109">
        <f t="shared" si="25"/>
        <v>0</v>
      </c>
      <c r="D157" s="188">
        <f t="shared" si="26"/>
        <v>0</v>
      </c>
      <c r="E157" s="177">
        <f t="shared" si="27"/>
        <v>0</v>
      </c>
      <c r="F157" s="57"/>
      <c r="G157" s="184">
        <f t="shared" si="28"/>
        <v>0</v>
      </c>
      <c r="I157" s="114">
        <f t="shared" si="29"/>
        <v>0</v>
      </c>
      <c r="K157" s="35">
        <f t="shared" si="30"/>
        <v>0</v>
      </c>
      <c r="L157" s="34"/>
      <c r="M157" s="115">
        <f t="shared" si="31"/>
        <v>0</v>
      </c>
      <c r="N157" s="206"/>
      <c r="O157" s="114">
        <f t="shared" si="32"/>
        <v>0</v>
      </c>
      <c r="P157" s="29"/>
      <c r="Q157" s="35">
        <f t="shared" si="37"/>
        <v>0</v>
      </c>
      <c r="R157" s="35"/>
      <c r="S157" s="114">
        <f t="shared" si="33"/>
        <v>0</v>
      </c>
      <c r="T157" s="81">
        <f t="shared" si="34"/>
        <v>0</v>
      </c>
      <c r="V157" s="102">
        <f t="shared" si="35"/>
        <v>0</v>
      </c>
      <c r="W157" s="29"/>
      <c r="X157" s="29">
        <f t="shared" si="36"/>
        <v>0</v>
      </c>
    </row>
    <row r="158" spans="1:24" hidden="1">
      <c r="A158" s="73" t="s">
        <v>3</v>
      </c>
      <c r="B158" s="109">
        <f t="shared" si="25"/>
        <v>0</v>
      </c>
      <c r="D158" s="188">
        <f t="shared" si="26"/>
        <v>0</v>
      </c>
      <c r="E158" s="177">
        <f t="shared" si="27"/>
        <v>0</v>
      </c>
      <c r="F158" s="57"/>
      <c r="G158" s="184">
        <f t="shared" si="28"/>
        <v>0</v>
      </c>
      <c r="I158" s="114">
        <f t="shared" si="29"/>
        <v>0</v>
      </c>
      <c r="K158" s="35">
        <f t="shared" si="30"/>
        <v>0</v>
      </c>
      <c r="L158" s="34"/>
      <c r="M158" s="115">
        <f t="shared" si="31"/>
        <v>0</v>
      </c>
      <c r="N158" s="206"/>
      <c r="O158" s="114">
        <f t="shared" si="32"/>
        <v>0</v>
      </c>
      <c r="P158" s="29"/>
      <c r="Q158" s="35">
        <f t="shared" si="37"/>
        <v>0</v>
      </c>
      <c r="R158" s="35"/>
      <c r="S158" s="114">
        <f t="shared" si="33"/>
        <v>0</v>
      </c>
      <c r="T158" s="81">
        <f t="shared" si="34"/>
        <v>0</v>
      </c>
      <c r="V158" s="102">
        <f t="shared" si="35"/>
        <v>0</v>
      </c>
      <c r="W158" s="29"/>
      <c r="X158" s="29">
        <f t="shared" si="36"/>
        <v>0</v>
      </c>
    </row>
    <row r="159" spans="1:24" hidden="1">
      <c r="A159" s="73" t="s">
        <v>3</v>
      </c>
      <c r="B159" s="109">
        <f t="shared" si="25"/>
        <v>0</v>
      </c>
      <c r="D159" s="188">
        <f t="shared" si="26"/>
        <v>0</v>
      </c>
      <c r="E159" s="177">
        <f t="shared" si="27"/>
        <v>0</v>
      </c>
      <c r="F159" s="57"/>
      <c r="G159" s="184">
        <f t="shared" si="28"/>
        <v>0</v>
      </c>
      <c r="I159" s="114">
        <f t="shared" si="29"/>
        <v>0</v>
      </c>
      <c r="K159" s="35">
        <f t="shared" si="30"/>
        <v>0</v>
      </c>
      <c r="L159" s="34"/>
      <c r="M159" s="115">
        <f t="shared" si="31"/>
        <v>0</v>
      </c>
      <c r="N159" s="206"/>
      <c r="O159" s="114">
        <f t="shared" si="32"/>
        <v>0</v>
      </c>
      <c r="P159" s="29"/>
      <c r="Q159" s="35">
        <f t="shared" si="37"/>
        <v>0</v>
      </c>
      <c r="R159" s="35"/>
      <c r="S159" s="114">
        <f t="shared" si="33"/>
        <v>0</v>
      </c>
      <c r="T159" s="81">
        <f t="shared" si="34"/>
        <v>0</v>
      </c>
      <c r="V159" s="102">
        <f t="shared" si="35"/>
        <v>0</v>
      </c>
      <c r="W159" s="29"/>
      <c r="X159" s="29">
        <f t="shared" si="36"/>
        <v>0</v>
      </c>
    </row>
    <row r="160" spans="1:24" hidden="1">
      <c r="A160" s="73" t="s">
        <v>3</v>
      </c>
      <c r="B160" s="109">
        <f t="shared" si="25"/>
        <v>0</v>
      </c>
      <c r="D160" s="188">
        <f t="shared" si="26"/>
        <v>0</v>
      </c>
      <c r="E160" s="177">
        <f t="shared" si="27"/>
        <v>0</v>
      </c>
      <c r="F160" s="57"/>
      <c r="G160" s="184">
        <f t="shared" si="28"/>
        <v>0</v>
      </c>
      <c r="I160" s="114">
        <f t="shared" si="29"/>
        <v>0</v>
      </c>
      <c r="K160" s="35">
        <f t="shared" si="30"/>
        <v>0</v>
      </c>
      <c r="L160" s="34"/>
      <c r="M160" s="115">
        <f t="shared" si="31"/>
        <v>0</v>
      </c>
      <c r="N160" s="206"/>
      <c r="O160" s="114">
        <f t="shared" si="32"/>
        <v>0</v>
      </c>
      <c r="P160" s="29"/>
      <c r="Q160" s="35">
        <f t="shared" si="37"/>
        <v>0</v>
      </c>
      <c r="R160" s="35"/>
      <c r="S160" s="114">
        <f t="shared" si="33"/>
        <v>0</v>
      </c>
      <c r="T160" s="81">
        <f t="shared" si="34"/>
        <v>0</v>
      </c>
      <c r="V160" s="102">
        <f t="shared" si="35"/>
        <v>0</v>
      </c>
      <c r="W160" s="29"/>
      <c r="X160" s="29">
        <f t="shared" si="36"/>
        <v>0</v>
      </c>
    </row>
    <row r="161" spans="1:24" hidden="1">
      <c r="A161" s="73" t="s">
        <v>3</v>
      </c>
      <c r="B161" s="109">
        <f t="shared" si="25"/>
        <v>0</v>
      </c>
      <c r="D161" s="188">
        <f t="shared" si="26"/>
        <v>0</v>
      </c>
      <c r="E161" s="177">
        <f t="shared" si="27"/>
        <v>0</v>
      </c>
      <c r="F161" s="57"/>
      <c r="G161" s="184">
        <f t="shared" si="28"/>
        <v>0</v>
      </c>
      <c r="I161" s="114">
        <f t="shared" si="29"/>
        <v>0</v>
      </c>
      <c r="K161" s="35">
        <f t="shared" si="30"/>
        <v>0</v>
      </c>
      <c r="L161" s="34"/>
      <c r="M161" s="115">
        <f t="shared" si="31"/>
        <v>0</v>
      </c>
      <c r="N161" s="206"/>
      <c r="O161" s="114">
        <f t="shared" si="32"/>
        <v>0</v>
      </c>
      <c r="P161" s="29"/>
      <c r="Q161" s="35">
        <f t="shared" si="37"/>
        <v>0</v>
      </c>
      <c r="R161" s="35"/>
      <c r="S161" s="114">
        <f t="shared" si="33"/>
        <v>0</v>
      </c>
      <c r="T161" s="81">
        <f t="shared" si="34"/>
        <v>0</v>
      </c>
      <c r="V161" s="102">
        <f t="shared" si="35"/>
        <v>0</v>
      </c>
      <c r="W161" s="29"/>
      <c r="X161" s="29">
        <f t="shared" si="36"/>
        <v>0</v>
      </c>
    </row>
    <row r="162" spans="1:24" hidden="1">
      <c r="A162" s="73" t="s">
        <v>3</v>
      </c>
      <c r="B162" s="109">
        <f t="shared" si="25"/>
        <v>0</v>
      </c>
      <c r="D162" s="188">
        <f t="shared" si="26"/>
        <v>0</v>
      </c>
      <c r="E162" s="177">
        <f t="shared" si="27"/>
        <v>0</v>
      </c>
      <c r="F162" s="57"/>
      <c r="G162" s="184">
        <f t="shared" si="28"/>
        <v>0</v>
      </c>
      <c r="I162" s="114">
        <f t="shared" si="29"/>
        <v>0</v>
      </c>
      <c r="K162" s="35">
        <f t="shared" si="30"/>
        <v>0</v>
      </c>
      <c r="L162" s="34"/>
      <c r="M162" s="115">
        <f t="shared" si="31"/>
        <v>0</v>
      </c>
      <c r="N162" s="206"/>
      <c r="O162" s="114">
        <f t="shared" si="32"/>
        <v>0</v>
      </c>
      <c r="P162" s="29"/>
      <c r="Q162" s="35">
        <f t="shared" si="37"/>
        <v>0</v>
      </c>
      <c r="R162" s="35"/>
      <c r="S162" s="114">
        <f t="shared" si="33"/>
        <v>0</v>
      </c>
      <c r="T162" s="81">
        <f t="shared" si="34"/>
        <v>0</v>
      </c>
      <c r="V162" s="102">
        <f t="shared" si="35"/>
        <v>0</v>
      </c>
      <c r="W162" s="29"/>
      <c r="X162" s="29">
        <f t="shared" si="36"/>
        <v>0</v>
      </c>
    </row>
    <row r="163" spans="1:24" hidden="1">
      <c r="A163" s="73" t="s">
        <v>3</v>
      </c>
      <c r="B163" s="109">
        <f t="shared" si="25"/>
        <v>0</v>
      </c>
      <c r="D163" s="188">
        <f t="shared" si="26"/>
        <v>0</v>
      </c>
      <c r="E163" s="177">
        <f t="shared" si="27"/>
        <v>0</v>
      </c>
      <c r="F163" s="57"/>
      <c r="G163" s="184">
        <f t="shared" si="28"/>
        <v>0</v>
      </c>
      <c r="I163" s="114">
        <f t="shared" si="29"/>
        <v>0</v>
      </c>
      <c r="K163" s="35">
        <f t="shared" si="30"/>
        <v>0</v>
      </c>
      <c r="L163" s="34"/>
      <c r="M163" s="115">
        <f t="shared" si="31"/>
        <v>0</v>
      </c>
      <c r="N163" s="206"/>
      <c r="O163" s="114">
        <f t="shared" si="32"/>
        <v>0</v>
      </c>
      <c r="P163" s="29"/>
      <c r="Q163" s="35">
        <f t="shared" si="37"/>
        <v>0</v>
      </c>
      <c r="R163" s="35"/>
      <c r="S163" s="114">
        <f t="shared" si="33"/>
        <v>0</v>
      </c>
      <c r="T163" s="81">
        <f t="shared" si="34"/>
        <v>0</v>
      </c>
      <c r="V163" s="102">
        <f t="shared" si="35"/>
        <v>0</v>
      </c>
      <c r="W163" s="29"/>
      <c r="X163" s="29">
        <f t="shared" si="36"/>
        <v>0</v>
      </c>
    </row>
    <row r="164" spans="1:24" hidden="1">
      <c r="A164" s="73" t="s">
        <v>3</v>
      </c>
      <c r="B164" s="109">
        <f t="shared" si="25"/>
        <v>0</v>
      </c>
      <c r="D164" s="188">
        <f t="shared" si="26"/>
        <v>0</v>
      </c>
      <c r="E164" s="177">
        <f t="shared" si="27"/>
        <v>0</v>
      </c>
      <c r="F164" s="57"/>
      <c r="G164" s="184">
        <f t="shared" si="28"/>
        <v>0</v>
      </c>
      <c r="I164" s="114">
        <f t="shared" si="29"/>
        <v>0</v>
      </c>
      <c r="K164" s="35">
        <f t="shared" si="30"/>
        <v>0</v>
      </c>
      <c r="L164" s="34"/>
      <c r="M164" s="115">
        <f t="shared" si="31"/>
        <v>0</v>
      </c>
      <c r="N164" s="206"/>
      <c r="O164" s="114">
        <f t="shared" si="32"/>
        <v>0</v>
      </c>
      <c r="P164" s="29"/>
      <c r="Q164" s="35">
        <f t="shared" si="37"/>
        <v>0</v>
      </c>
      <c r="R164" s="35"/>
      <c r="S164" s="114">
        <f t="shared" si="33"/>
        <v>0</v>
      </c>
      <c r="T164" s="81">
        <f t="shared" si="34"/>
        <v>0</v>
      </c>
      <c r="V164" s="102">
        <f t="shared" si="35"/>
        <v>0</v>
      </c>
      <c r="W164" s="29"/>
      <c r="X164" s="29">
        <f t="shared" si="36"/>
        <v>0</v>
      </c>
    </row>
    <row r="165" spans="1:24" hidden="1">
      <c r="A165" s="73" t="s">
        <v>3</v>
      </c>
      <c r="B165" s="109">
        <f t="shared" si="25"/>
        <v>0</v>
      </c>
      <c r="D165" s="188">
        <f t="shared" si="26"/>
        <v>0</v>
      </c>
      <c r="E165" s="177">
        <f t="shared" si="27"/>
        <v>0</v>
      </c>
      <c r="F165" s="57"/>
      <c r="G165" s="184">
        <f t="shared" si="28"/>
        <v>0</v>
      </c>
      <c r="I165" s="114">
        <f t="shared" si="29"/>
        <v>0</v>
      </c>
      <c r="K165" s="35">
        <f t="shared" si="30"/>
        <v>0</v>
      </c>
      <c r="L165" s="34"/>
      <c r="M165" s="115">
        <f t="shared" si="31"/>
        <v>0</v>
      </c>
      <c r="N165" s="206"/>
      <c r="O165" s="114">
        <f t="shared" si="32"/>
        <v>0</v>
      </c>
      <c r="P165" s="29"/>
      <c r="Q165" s="35">
        <f t="shared" si="37"/>
        <v>0</v>
      </c>
      <c r="R165" s="35"/>
      <c r="S165" s="114">
        <f t="shared" si="33"/>
        <v>0</v>
      </c>
      <c r="T165" s="81">
        <f t="shared" si="34"/>
        <v>0</v>
      </c>
      <c r="V165" s="102">
        <f t="shared" si="35"/>
        <v>0</v>
      </c>
      <c r="W165" s="29"/>
      <c r="X165" s="29">
        <f t="shared" si="36"/>
        <v>0</v>
      </c>
    </row>
    <row r="166" spans="1:24" hidden="1">
      <c r="A166" s="73" t="s">
        <v>3</v>
      </c>
      <c r="B166" s="109">
        <f t="shared" si="25"/>
        <v>0</v>
      </c>
      <c r="D166" s="188">
        <f t="shared" si="26"/>
        <v>0</v>
      </c>
      <c r="E166" s="177">
        <f t="shared" si="27"/>
        <v>0</v>
      </c>
      <c r="F166" s="57"/>
      <c r="G166" s="184">
        <f t="shared" si="28"/>
        <v>0</v>
      </c>
      <c r="I166" s="114">
        <f t="shared" si="29"/>
        <v>0</v>
      </c>
      <c r="K166" s="35">
        <f t="shared" si="30"/>
        <v>0</v>
      </c>
      <c r="L166" s="34"/>
      <c r="M166" s="115">
        <f t="shared" si="31"/>
        <v>0</v>
      </c>
      <c r="N166" s="206"/>
      <c r="O166" s="114">
        <f t="shared" si="32"/>
        <v>0</v>
      </c>
      <c r="P166" s="29"/>
      <c r="Q166" s="35">
        <f t="shared" si="37"/>
        <v>0</v>
      </c>
      <c r="R166" s="35"/>
      <c r="S166" s="114">
        <f t="shared" si="33"/>
        <v>0</v>
      </c>
      <c r="T166" s="81">
        <f t="shared" si="34"/>
        <v>0</v>
      </c>
      <c r="V166" s="102">
        <f t="shared" si="35"/>
        <v>0</v>
      </c>
      <c r="W166" s="29"/>
      <c r="X166" s="29">
        <f t="shared" si="36"/>
        <v>0</v>
      </c>
    </row>
    <row r="167" spans="1:24" hidden="1">
      <c r="A167" s="73" t="s">
        <v>3</v>
      </c>
      <c r="B167" s="109">
        <f t="shared" si="25"/>
        <v>0</v>
      </c>
      <c r="D167" s="188">
        <f t="shared" si="26"/>
        <v>0</v>
      </c>
      <c r="E167" s="177">
        <f t="shared" si="27"/>
        <v>0</v>
      </c>
      <c r="F167" s="57"/>
      <c r="G167" s="184">
        <f t="shared" si="28"/>
        <v>0</v>
      </c>
      <c r="I167" s="114">
        <f t="shared" si="29"/>
        <v>0</v>
      </c>
      <c r="K167" s="35">
        <f t="shared" si="30"/>
        <v>0</v>
      </c>
      <c r="L167" s="34"/>
      <c r="M167" s="115">
        <f t="shared" si="31"/>
        <v>0</v>
      </c>
      <c r="N167" s="206"/>
      <c r="O167" s="114">
        <f t="shared" si="32"/>
        <v>0</v>
      </c>
      <c r="P167" s="29"/>
      <c r="Q167" s="35">
        <f t="shared" si="37"/>
        <v>0</v>
      </c>
      <c r="R167" s="35"/>
      <c r="S167" s="114">
        <f t="shared" si="33"/>
        <v>0</v>
      </c>
      <c r="T167" s="81">
        <f t="shared" si="34"/>
        <v>0</v>
      </c>
      <c r="V167" s="102">
        <f t="shared" si="35"/>
        <v>0</v>
      </c>
      <c r="W167" s="29"/>
      <c r="X167" s="29">
        <f t="shared" si="36"/>
        <v>0</v>
      </c>
    </row>
    <row r="168" spans="1:24" hidden="1">
      <c r="A168" s="73" t="s">
        <v>3</v>
      </c>
      <c r="B168" s="109">
        <f t="shared" si="25"/>
        <v>0</v>
      </c>
      <c r="D168" s="188">
        <f t="shared" si="26"/>
        <v>0</v>
      </c>
      <c r="E168" s="177">
        <f t="shared" si="27"/>
        <v>0</v>
      </c>
      <c r="F168" s="57"/>
      <c r="G168" s="184">
        <f t="shared" si="28"/>
        <v>0</v>
      </c>
      <c r="I168" s="114">
        <f t="shared" si="29"/>
        <v>0</v>
      </c>
      <c r="K168" s="35">
        <f t="shared" si="30"/>
        <v>0</v>
      </c>
      <c r="L168" s="34"/>
      <c r="M168" s="115">
        <f t="shared" si="31"/>
        <v>0</v>
      </c>
      <c r="N168" s="206"/>
      <c r="O168" s="114">
        <f t="shared" si="32"/>
        <v>0</v>
      </c>
      <c r="P168" s="29"/>
      <c r="Q168" s="35">
        <f t="shared" si="37"/>
        <v>0</v>
      </c>
      <c r="R168" s="35"/>
      <c r="S168" s="114">
        <f t="shared" si="33"/>
        <v>0</v>
      </c>
      <c r="T168" s="81">
        <f t="shared" si="34"/>
        <v>0</v>
      </c>
      <c r="V168" s="102">
        <f t="shared" si="35"/>
        <v>0</v>
      </c>
      <c r="W168" s="29"/>
      <c r="X168" s="29">
        <f t="shared" si="36"/>
        <v>0</v>
      </c>
    </row>
    <row r="169" spans="1:24" hidden="1">
      <c r="A169" s="73" t="s">
        <v>3</v>
      </c>
      <c r="B169" s="109">
        <f t="shared" si="25"/>
        <v>0</v>
      </c>
      <c r="D169" s="188">
        <f t="shared" si="26"/>
        <v>0</v>
      </c>
      <c r="E169" s="177">
        <f t="shared" si="27"/>
        <v>0</v>
      </c>
      <c r="F169" s="57"/>
      <c r="G169" s="184">
        <f t="shared" si="28"/>
        <v>0</v>
      </c>
      <c r="I169" s="114">
        <f t="shared" si="29"/>
        <v>0</v>
      </c>
      <c r="K169" s="35">
        <f t="shared" si="30"/>
        <v>0</v>
      </c>
      <c r="L169" s="34"/>
      <c r="M169" s="115">
        <f t="shared" si="31"/>
        <v>0</v>
      </c>
      <c r="N169" s="206"/>
      <c r="O169" s="114">
        <f t="shared" si="32"/>
        <v>0</v>
      </c>
      <c r="P169" s="29"/>
      <c r="Q169" s="35">
        <f t="shared" si="37"/>
        <v>0</v>
      </c>
      <c r="R169" s="35"/>
      <c r="S169" s="114">
        <f t="shared" si="33"/>
        <v>0</v>
      </c>
      <c r="T169" s="81">
        <f t="shared" si="34"/>
        <v>0</v>
      </c>
      <c r="V169" s="102">
        <f t="shared" si="35"/>
        <v>0</v>
      </c>
      <c r="W169" s="29"/>
      <c r="X169" s="29">
        <f t="shared" si="36"/>
        <v>0</v>
      </c>
    </row>
    <row r="170" spans="1:24" hidden="1">
      <c r="A170" s="73" t="s">
        <v>3</v>
      </c>
      <c r="B170" s="109">
        <f t="shared" si="25"/>
        <v>0</v>
      </c>
      <c r="D170" s="188">
        <f t="shared" si="26"/>
        <v>0</v>
      </c>
      <c r="E170" s="177">
        <f t="shared" si="27"/>
        <v>0</v>
      </c>
      <c r="F170" s="57"/>
      <c r="G170" s="184">
        <f t="shared" si="28"/>
        <v>0</v>
      </c>
      <c r="I170" s="114">
        <f t="shared" si="29"/>
        <v>0</v>
      </c>
      <c r="K170" s="35">
        <f t="shared" si="30"/>
        <v>0</v>
      </c>
      <c r="L170" s="34"/>
      <c r="M170" s="115">
        <f t="shared" si="31"/>
        <v>0</v>
      </c>
      <c r="N170" s="206"/>
      <c r="O170" s="114">
        <f t="shared" si="32"/>
        <v>0</v>
      </c>
      <c r="P170" s="29"/>
      <c r="Q170" s="35">
        <f t="shared" si="37"/>
        <v>0</v>
      </c>
      <c r="R170" s="35"/>
      <c r="S170" s="114">
        <f t="shared" si="33"/>
        <v>0</v>
      </c>
      <c r="T170" s="81">
        <f t="shared" si="34"/>
        <v>0</v>
      </c>
      <c r="V170" s="102">
        <f t="shared" si="35"/>
        <v>0</v>
      </c>
      <c r="W170" s="29"/>
      <c r="X170" s="29">
        <f t="shared" si="36"/>
        <v>0</v>
      </c>
    </row>
    <row r="171" spans="1:24" hidden="1">
      <c r="A171" s="73" t="s">
        <v>3</v>
      </c>
      <c r="B171" s="109">
        <f t="shared" si="25"/>
        <v>0</v>
      </c>
      <c r="D171" s="188">
        <f t="shared" si="26"/>
        <v>0</v>
      </c>
      <c r="E171" s="177">
        <f t="shared" si="27"/>
        <v>0</v>
      </c>
      <c r="F171" s="57"/>
      <c r="G171" s="184">
        <f t="shared" si="28"/>
        <v>0</v>
      </c>
      <c r="I171" s="114">
        <f t="shared" si="29"/>
        <v>0</v>
      </c>
      <c r="K171" s="35">
        <f t="shared" si="30"/>
        <v>0</v>
      </c>
      <c r="L171" s="34"/>
      <c r="M171" s="115">
        <f t="shared" si="31"/>
        <v>0</v>
      </c>
      <c r="N171" s="206"/>
      <c r="O171" s="114">
        <f t="shared" si="32"/>
        <v>0</v>
      </c>
      <c r="P171" s="29"/>
      <c r="Q171" s="35">
        <f t="shared" si="37"/>
        <v>0</v>
      </c>
      <c r="R171" s="35"/>
      <c r="S171" s="114">
        <f t="shared" si="33"/>
        <v>0</v>
      </c>
      <c r="T171" s="81">
        <f t="shared" si="34"/>
        <v>0</v>
      </c>
      <c r="V171" s="102">
        <f t="shared" si="35"/>
        <v>0</v>
      </c>
      <c r="W171" s="29"/>
      <c r="X171" s="29">
        <f t="shared" si="36"/>
        <v>0</v>
      </c>
    </row>
    <row r="172" spans="1:24" hidden="1">
      <c r="A172" s="73" t="s">
        <v>3</v>
      </c>
      <c r="B172" s="109">
        <f t="shared" si="25"/>
        <v>0</v>
      </c>
      <c r="D172" s="188">
        <f t="shared" si="26"/>
        <v>0</v>
      </c>
      <c r="E172" s="177">
        <f t="shared" si="27"/>
        <v>0</v>
      </c>
      <c r="F172" s="57"/>
      <c r="G172" s="184">
        <f t="shared" si="28"/>
        <v>0</v>
      </c>
      <c r="I172" s="114">
        <f t="shared" si="29"/>
        <v>0</v>
      </c>
      <c r="K172" s="35">
        <f t="shared" si="30"/>
        <v>0</v>
      </c>
      <c r="L172" s="34"/>
      <c r="M172" s="115">
        <f t="shared" si="31"/>
        <v>0</v>
      </c>
      <c r="N172" s="206"/>
      <c r="O172" s="114">
        <f t="shared" si="32"/>
        <v>0</v>
      </c>
      <c r="P172" s="29"/>
      <c r="Q172" s="35">
        <f t="shared" si="37"/>
        <v>0</v>
      </c>
      <c r="R172" s="35"/>
      <c r="S172" s="114">
        <f t="shared" si="33"/>
        <v>0</v>
      </c>
      <c r="T172" s="81">
        <f t="shared" si="34"/>
        <v>0</v>
      </c>
      <c r="V172" s="102">
        <f t="shared" si="35"/>
        <v>0</v>
      </c>
      <c r="W172" s="29"/>
      <c r="X172" s="29">
        <f t="shared" si="36"/>
        <v>0</v>
      </c>
    </row>
    <row r="173" spans="1:24" hidden="1">
      <c r="A173" s="73" t="s">
        <v>3</v>
      </c>
      <c r="B173" s="109">
        <f t="shared" si="25"/>
        <v>0</v>
      </c>
      <c r="D173" s="188">
        <f t="shared" si="26"/>
        <v>0</v>
      </c>
      <c r="E173" s="177">
        <f t="shared" si="27"/>
        <v>0</v>
      </c>
      <c r="F173" s="57"/>
      <c r="G173" s="184">
        <f t="shared" si="28"/>
        <v>0</v>
      </c>
      <c r="I173" s="114">
        <f t="shared" si="29"/>
        <v>0</v>
      </c>
      <c r="K173" s="35">
        <f t="shared" si="30"/>
        <v>0</v>
      </c>
      <c r="L173" s="34"/>
      <c r="M173" s="115">
        <f t="shared" si="31"/>
        <v>0</v>
      </c>
      <c r="N173" s="206"/>
      <c r="O173" s="114">
        <f t="shared" si="32"/>
        <v>0</v>
      </c>
      <c r="P173" s="29"/>
      <c r="Q173" s="35">
        <f t="shared" si="37"/>
        <v>0</v>
      </c>
      <c r="R173" s="35"/>
      <c r="S173" s="114">
        <f t="shared" si="33"/>
        <v>0</v>
      </c>
      <c r="T173" s="81">
        <f t="shared" si="34"/>
        <v>0</v>
      </c>
      <c r="V173" s="102">
        <f t="shared" si="35"/>
        <v>0</v>
      </c>
      <c r="W173" s="29"/>
      <c r="X173" s="29">
        <f t="shared" si="36"/>
        <v>0</v>
      </c>
    </row>
    <row r="174" spans="1:24" hidden="1">
      <c r="A174" s="73" t="s">
        <v>3</v>
      </c>
      <c r="B174" s="109">
        <f t="shared" si="25"/>
        <v>0</v>
      </c>
      <c r="D174" s="188">
        <f t="shared" si="26"/>
        <v>0</v>
      </c>
      <c r="E174" s="177">
        <f t="shared" si="27"/>
        <v>0</v>
      </c>
      <c r="F174" s="57"/>
      <c r="G174" s="184">
        <f t="shared" si="28"/>
        <v>0</v>
      </c>
      <c r="I174" s="114">
        <f t="shared" si="29"/>
        <v>0</v>
      </c>
      <c r="K174" s="35">
        <f t="shared" si="30"/>
        <v>0</v>
      </c>
      <c r="L174" s="34"/>
      <c r="M174" s="115">
        <f t="shared" si="31"/>
        <v>0</v>
      </c>
      <c r="N174" s="206"/>
      <c r="O174" s="114">
        <f t="shared" si="32"/>
        <v>0</v>
      </c>
      <c r="P174" s="29"/>
      <c r="Q174" s="35">
        <f t="shared" si="37"/>
        <v>0</v>
      </c>
      <c r="R174" s="35"/>
      <c r="S174" s="114">
        <f t="shared" si="33"/>
        <v>0</v>
      </c>
      <c r="T174" s="81">
        <f t="shared" si="34"/>
        <v>0</v>
      </c>
      <c r="V174" s="102">
        <f t="shared" si="35"/>
        <v>0</v>
      </c>
      <c r="W174" s="29"/>
      <c r="X174" s="29">
        <f t="shared" si="36"/>
        <v>0</v>
      </c>
    </row>
    <row r="175" spans="1:24" hidden="1">
      <c r="A175" s="73" t="s">
        <v>3</v>
      </c>
      <c r="B175" s="109">
        <f t="shared" si="25"/>
        <v>0</v>
      </c>
      <c r="D175" s="188">
        <f t="shared" si="26"/>
        <v>0</v>
      </c>
      <c r="E175" s="177">
        <f t="shared" si="27"/>
        <v>0</v>
      </c>
      <c r="F175" s="57"/>
      <c r="G175" s="184">
        <f t="shared" si="28"/>
        <v>0</v>
      </c>
      <c r="I175" s="114">
        <f t="shared" si="29"/>
        <v>0</v>
      </c>
      <c r="K175" s="35">
        <f t="shared" si="30"/>
        <v>0</v>
      </c>
      <c r="L175" s="34"/>
      <c r="M175" s="115">
        <f t="shared" si="31"/>
        <v>0</v>
      </c>
      <c r="N175" s="206"/>
      <c r="O175" s="114">
        <f t="shared" si="32"/>
        <v>0</v>
      </c>
      <c r="P175" s="29"/>
      <c r="Q175" s="35">
        <f t="shared" si="37"/>
        <v>0</v>
      </c>
      <c r="R175" s="35"/>
      <c r="S175" s="114">
        <f t="shared" si="33"/>
        <v>0</v>
      </c>
      <c r="T175" s="81">
        <f t="shared" si="34"/>
        <v>0</v>
      </c>
      <c r="V175" s="102">
        <f t="shared" si="35"/>
        <v>0</v>
      </c>
      <c r="W175" s="29"/>
      <c r="X175" s="29">
        <f t="shared" si="36"/>
        <v>0</v>
      </c>
    </row>
    <row r="176" spans="1:24" hidden="1">
      <c r="A176" s="73" t="s">
        <v>3</v>
      </c>
      <c r="B176" s="109">
        <f t="shared" si="25"/>
        <v>0</v>
      </c>
      <c r="D176" s="188">
        <f t="shared" si="26"/>
        <v>0</v>
      </c>
      <c r="E176" s="177">
        <f t="shared" si="27"/>
        <v>0</v>
      </c>
      <c r="F176" s="57"/>
      <c r="G176" s="184">
        <f t="shared" si="28"/>
        <v>0</v>
      </c>
      <c r="I176" s="114">
        <f t="shared" si="29"/>
        <v>0</v>
      </c>
      <c r="K176" s="35">
        <f t="shared" si="30"/>
        <v>0</v>
      </c>
      <c r="L176" s="34"/>
      <c r="M176" s="115">
        <f t="shared" si="31"/>
        <v>0</v>
      </c>
      <c r="N176" s="206"/>
      <c r="O176" s="114">
        <f t="shared" si="32"/>
        <v>0</v>
      </c>
      <c r="P176" s="29"/>
      <c r="Q176" s="35">
        <f t="shared" si="37"/>
        <v>0</v>
      </c>
      <c r="R176" s="35"/>
      <c r="S176" s="114">
        <f t="shared" si="33"/>
        <v>0</v>
      </c>
      <c r="T176" s="81">
        <f t="shared" si="34"/>
        <v>0</v>
      </c>
      <c r="V176" s="102">
        <f t="shared" si="35"/>
        <v>0</v>
      </c>
      <c r="W176" s="29"/>
      <c r="X176" s="29">
        <f t="shared" si="36"/>
        <v>0</v>
      </c>
    </row>
    <row r="177" spans="1:24" hidden="1">
      <c r="A177" s="73" t="s">
        <v>3</v>
      </c>
      <c r="B177" s="109">
        <f t="shared" si="25"/>
        <v>0</v>
      </c>
      <c r="D177" s="188">
        <f t="shared" si="26"/>
        <v>0</v>
      </c>
      <c r="E177" s="177">
        <f t="shared" si="27"/>
        <v>0</v>
      </c>
      <c r="F177" s="57"/>
      <c r="G177" s="184">
        <f t="shared" si="28"/>
        <v>0</v>
      </c>
      <c r="I177" s="114">
        <f t="shared" si="29"/>
        <v>0</v>
      </c>
      <c r="K177" s="35">
        <f t="shared" si="30"/>
        <v>0</v>
      </c>
      <c r="L177" s="34"/>
      <c r="M177" s="115">
        <f t="shared" si="31"/>
        <v>0</v>
      </c>
      <c r="N177" s="206"/>
      <c r="O177" s="114">
        <f t="shared" si="32"/>
        <v>0</v>
      </c>
      <c r="P177" s="29"/>
      <c r="Q177" s="35">
        <f t="shared" si="37"/>
        <v>0</v>
      </c>
      <c r="R177" s="35"/>
      <c r="S177" s="114">
        <f t="shared" si="33"/>
        <v>0</v>
      </c>
      <c r="T177" s="81">
        <f t="shared" si="34"/>
        <v>0</v>
      </c>
      <c r="V177" s="102">
        <f t="shared" si="35"/>
        <v>0</v>
      </c>
      <c r="W177" s="29"/>
      <c r="X177" s="29">
        <f t="shared" si="36"/>
        <v>0</v>
      </c>
    </row>
    <row r="178" spans="1:24" hidden="1">
      <c r="A178" s="73" t="s">
        <v>3</v>
      </c>
      <c r="B178" s="109">
        <f t="shared" si="25"/>
        <v>0</v>
      </c>
      <c r="D178" s="188">
        <f t="shared" si="26"/>
        <v>0</v>
      </c>
      <c r="E178" s="177">
        <f t="shared" si="27"/>
        <v>0</v>
      </c>
      <c r="F178" s="57"/>
      <c r="G178" s="184">
        <f t="shared" si="28"/>
        <v>0</v>
      </c>
      <c r="I178" s="114">
        <f t="shared" si="29"/>
        <v>0</v>
      </c>
      <c r="K178" s="35">
        <f t="shared" si="30"/>
        <v>0</v>
      </c>
      <c r="L178" s="34"/>
      <c r="M178" s="115">
        <f t="shared" si="31"/>
        <v>0</v>
      </c>
      <c r="N178" s="206"/>
      <c r="O178" s="114">
        <f t="shared" si="32"/>
        <v>0</v>
      </c>
      <c r="P178" s="29"/>
      <c r="Q178" s="35">
        <f t="shared" si="37"/>
        <v>0</v>
      </c>
      <c r="R178" s="35"/>
      <c r="S178" s="114">
        <f t="shared" si="33"/>
        <v>0</v>
      </c>
      <c r="T178" s="81">
        <f t="shared" si="34"/>
        <v>0</v>
      </c>
      <c r="V178" s="102">
        <f t="shared" si="35"/>
        <v>0</v>
      </c>
      <c r="W178" s="29"/>
      <c r="X178" s="29">
        <f t="shared" si="36"/>
        <v>0</v>
      </c>
    </row>
    <row r="179" spans="1:24" hidden="1">
      <c r="A179" s="73" t="s">
        <v>3</v>
      </c>
      <c r="B179" s="109">
        <f t="shared" si="25"/>
        <v>0</v>
      </c>
      <c r="D179" s="188">
        <f t="shared" si="26"/>
        <v>0</v>
      </c>
      <c r="E179" s="177">
        <f t="shared" si="27"/>
        <v>0</v>
      </c>
      <c r="F179" s="57"/>
      <c r="G179" s="184">
        <f t="shared" si="28"/>
        <v>0</v>
      </c>
      <c r="I179" s="114">
        <f t="shared" si="29"/>
        <v>0</v>
      </c>
      <c r="K179" s="35">
        <f t="shared" si="30"/>
        <v>0</v>
      </c>
      <c r="L179" s="34"/>
      <c r="M179" s="115">
        <f t="shared" si="31"/>
        <v>0</v>
      </c>
      <c r="N179" s="206"/>
      <c r="O179" s="114">
        <f t="shared" si="32"/>
        <v>0</v>
      </c>
      <c r="P179" s="29"/>
      <c r="Q179" s="35">
        <f t="shared" si="37"/>
        <v>0</v>
      </c>
      <c r="R179" s="35"/>
      <c r="S179" s="114">
        <f t="shared" si="33"/>
        <v>0</v>
      </c>
      <c r="T179" s="81">
        <f t="shared" si="34"/>
        <v>0</v>
      </c>
      <c r="V179" s="102">
        <f t="shared" si="35"/>
        <v>0</v>
      </c>
      <c r="W179" s="29"/>
      <c r="X179" s="29">
        <f t="shared" si="36"/>
        <v>0</v>
      </c>
    </row>
    <row r="180" spans="1:24">
      <c r="A180" s="73" t="s">
        <v>320</v>
      </c>
      <c r="B180" s="109"/>
      <c r="C180" s="151"/>
      <c r="D180" s="196">
        <f>SUM(D151:D179)</f>
        <v>0</v>
      </c>
      <c r="E180" s="179">
        <f>IFERROR(D180/G36,0)</f>
        <v>0</v>
      </c>
      <c r="F180" s="152"/>
      <c r="G180" s="190"/>
      <c r="H180" s="149"/>
      <c r="I180" s="171"/>
      <c r="J180" s="149"/>
      <c r="K180" s="56">
        <f>IFERROR((M180/D180)/12,0)</f>
        <v>0</v>
      </c>
      <c r="L180" s="154"/>
      <c r="M180" s="117">
        <f>SUM(M151:M179)</f>
        <v>0</v>
      </c>
      <c r="N180" s="207"/>
      <c r="O180" s="171"/>
      <c r="P180" s="150"/>
      <c r="Q180" s="171"/>
      <c r="R180" s="171"/>
      <c r="S180" s="171"/>
      <c r="T180" s="153"/>
      <c r="U180" s="149"/>
      <c r="V180" s="205">
        <f>IFERROR((X180/D180)/12,0)</f>
        <v>0</v>
      </c>
      <c r="W180" s="150"/>
      <c r="X180" s="117">
        <f>SUM(X151:X179)</f>
        <v>0</v>
      </c>
    </row>
    <row r="181" spans="1:24">
      <c r="A181" s="73"/>
      <c r="B181" s="109"/>
      <c r="C181" s="31"/>
      <c r="D181" s="188"/>
      <c r="E181" s="177"/>
      <c r="F181" s="32"/>
      <c r="G181" s="184"/>
      <c r="I181" s="35"/>
      <c r="K181" s="35"/>
      <c r="L181" s="34"/>
      <c r="M181" s="29"/>
      <c r="N181" s="206"/>
      <c r="O181" s="35"/>
      <c r="P181" s="29"/>
      <c r="Q181" s="35"/>
      <c r="R181" s="35"/>
      <c r="S181" s="35"/>
      <c r="T181" s="33"/>
      <c r="V181" s="102"/>
      <c r="W181" s="29"/>
      <c r="X181" s="29"/>
    </row>
    <row r="182" spans="1:24">
      <c r="A182" s="19" t="s">
        <v>3</v>
      </c>
      <c r="B182" s="109">
        <f>B116</f>
        <v>0</v>
      </c>
      <c r="C182" s="31"/>
      <c r="D182" s="188">
        <f>ROUND(G39*E182,-0.1)</f>
        <v>0</v>
      </c>
      <c r="E182" s="177">
        <f t="shared" ref="E182:E201" si="38">$G$76</f>
        <v>0</v>
      </c>
      <c r="F182" s="57"/>
      <c r="G182" s="184">
        <f>G116</f>
        <v>0</v>
      </c>
      <c r="I182" s="114">
        <f>IFERROR(K182/G182,0)</f>
        <v>0</v>
      </c>
      <c r="K182" s="114">
        <f>VALUE(K116)</f>
        <v>0</v>
      </c>
      <c r="L182" s="34"/>
      <c r="M182" s="115">
        <f>(K182*D182)*12</f>
        <v>0</v>
      </c>
      <c r="N182" s="206"/>
      <c r="O182" s="114">
        <f>IFERROR(Q182/G182,0)</f>
        <v>0</v>
      </c>
      <c r="P182" s="29"/>
      <c r="Q182" s="35">
        <f t="shared" ref="Q182:Q201" si="39">$M$76</f>
        <v>0</v>
      </c>
      <c r="R182" s="35"/>
      <c r="S182" s="114">
        <f>K182-Q182</f>
        <v>0</v>
      </c>
      <c r="T182" s="81">
        <f>IFERROR((K182-Q182)/K182,0)</f>
        <v>0</v>
      </c>
      <c r="V182" s="102">
        <f>IF(Q182&lt;K182,Q182,K182)</f>
        <v>0</v>
      </c>
      <c r="W182" s="29"/>
      <c r="X182" s="29">
        <f>(V182*D182)*12</f>
        <v>0</v>
      </c>
    </row>
    <row r="183" spans="1:24">
      <c r="A183" s="19" t="s">
        <v>3</v>
      </c>
      <c r="B183" s="109">
        <f t="shared" ref="B183:B201" si="40">B117</f>
        <v>0</v>
      </c>
      <c r="C183" s="31"/>
      <c r="D183" s="188">
        <f t="shared" ref="D183:D201" si="41">ROUND(G40*E183,-0.1)</f>
        <v>0</v>
      </c>
      <c r="E183" s="177">
        <f t="shared" si="38"/>
        <v>0</v>
      </c>
      <c r="F183" s="57"/>
      <c r="G183" s="184">
        <f t="shared" ref="G183:G201" si="42">G117</f>
        <v>0</v>
      </c>
      <c r="I183" s="114">
        <f t="shared" ref="I183:I201" si="43">IFERROR(K183/G183,0)</f>
        <v>0</v>
      </c>
      <c r="K183" s="114">
        <f t="shared" ref="K183:K201" si="44">VALUE(K117)</f>
        <v>0</v>
      </c>
      <c r="L183" s="34"/>
      <c r="M183" s="115">
        <f t="shared" ref="M183:M201" si="45">(K183*D183)*12</f>
        <v>0</v>
      </c>
      <c r="N183" s="206"/>
      <c r="O183" s="114">
        <f t="shared" ref="O183:O201" si="46">IFERROR(Q183/G183,0)</f>
        <v>0</v>
      </c>
      <c r="P183" s="29"/>
      <c r="Q183" s="35">
        <f t="shared" si="39"/>
        <v>0</v>
      </c>
      <c r="R183" s="35"/>
      <c r="S183" s="114">
        <f t="shared" ref="S183:S201" si="47">K183-Q183</f>
        <v>0</v>
      </c>
      <c r="T183" s="81">
        <f t="shared" ref="T183:T201" si="48">IFERROR((K183-Q183)/K183,0)</f>
        <v>0</v>
      </c>
      <c r="V183" s="102">
        <f t="shared" ref="V183:V201" si="49">IF(Q183&lt;K183,Q183,K183)</f>
        <v>0</v>
      </c>
      <c r="W183" s="29"/>
      <c r="X183" s="29">
        <f t="shared" ref="X183:X201" si="50">(V183*D183)*12</f>
        <v>0</v>
      </c>
    </row>
    <row r="184" spans="1:24" hidden="1">
      <c r="A184" s="19" t="s">
        <v>3</v>
      </c>
      <c r="B184" s="109">
        <f t="shared" si="40"/>
        <v>0</v>
      </c>
      <c r="C184" s="31"/>
      <c r="D184" s="188">
        <f t="shared" si="41"/>
        <v>0</v>
      </c>
      <c r="E184" s="177">
        <f t="shared" si="38"/>
        <v>0</v>
      </c>
      <c r="F184" s="57"/>
      <c r="G184" s="184">
        <f t="shared" si="42"/>
        <v>0</v>
      </c>
      <c r="I184" s="114">
        <f t="shared" si="43"/>
        <v>0</v>
      </c>
      <c r="K184" s="114">
        <f t="shared" si="44"/>
        <v>0</v>
      </c>
      <c r="L184" s="34"/>
      <c r="M184" s="115">
        <f t="shared" si="45"/>
        <v>0</v>
      </c>
      <c r="N184" s="206"/>
      <c r="O184" s="114">
        <f t="shared" si="46"/>
        <v>0</v>
      </c>
      <c r="P184" s="29"/>
      <c r="Q184" s="35">
        <f t="shared" si="39"/>
        <v>0</v>
      </c>
      <c r="R184" s="35"/>
      <c r="S184" s="114">
        <f t="shared" si="47"/>
        <v>0</v>
      </c>
      <c r="T184" s="81">
        <f t="shared" si="48"/>
        <v>0</v>
      </c>
      <c r="V184" s="102">
        <f t="shared" si="49"/>
        <v>0</v>
      </c>
      <c r="W184" s="29"/>
      <c r="X184" s="29">
        <f t="shared" si="50"/>
        <v>0</v>
      </c>
    </row>
    <row r="185" spans="1:24" hidden="1">
      <c r="A185" s="19" t="s">
        <v>3</v>
      </c>
      <c r="B185" s="109">
        <f t="shared" si="40"/>
        <v>0</v>
      </c>
      <c r="C185" s="31"/>
      <c r="D185" s="188">
        <f t="shared" si="41"/>
        <v>0</v>
      </c>
      <c r="E185" s="177">
        <f t="shared" si="38"/>
        <v>0</v>
      </c>
      <c r="F185" s="57"/>
      <c r="G185" s="184">
        <f t="shared" si="42"/>
        <v>0</v>
      </c>
      <c r="I185" s="114">
        <f t="shared" si="43"/>
        <v>0</v>
      </c>
      <c r="K185" s="114">
        <f t="shared" si="44"/>
        <v>0</v>
      </c>
      <c r="L185" s="34"/>
      <c r="M185" s="115">
        <f t="shared" si="45"/>
        <v>0</v>
      </c>
      <c r="N185" s="206"/>
      <c r="O185" s="114">
        <f t="shared" si="46"/>
        <v>0</v>
      </c>
      <c r="P185" s="29"/>
      <c r="Q185" s="35">
        <f t="shared" si="39"/>
        <v>0</v>
      </c>
      <c r="R185" s="35"/>
      <c r="S185" s="114">
        <f t="shared" si="47"/>
        <v>0</v>
      </c>
      <c r="T185" s="81">
        <f t="shared" si="48"/>
        <v>0</v>
      </c>
      <c r="V185" s="102">
        <f t="shared" si="49"/>
        <v>0</v>
      </c>
      <c r="W185" s="29"/>
      <c r="X185" s="29">
        <f t="shared" si="50"/>
        <v>0</v>
      </c>
    </row>
    <row r="186" spans="1:24" hidden="1">
      <c r="A186" s="19" t="s">
        <v>3</v>
      </c>
      <c r="B186" s="109">
        <f t="shared" si="40"/>
        <v>0</v>
      </c>
      <c r="C186" s="31"/>
      <c r="D186" s="188">
        <f t="shared" si="41"/>
        <v>0</v>
      </c>
      <c r="E186" s="177">
        <f t="shared" si="38"/>
        <v>0</v>
      </c>
      <c r="F186" s="57"/>
      <c r="G186" s="184">
        <f t="shared" si="42"/>
        <v>0</v>
      </c>
      <c r="I186" s="114">
        <f t="shared" si="43"/>
        <v>0</v>
      </c>
      <c r="K186" s="114">
        <f t="shared" si="44"/>
        <v>0</v>
      </c>
      <c r="L186" s="34"/>
      <c r="M186" s="115">
        <f t="shared" si="45"/>
        <v>0</v>
      </c>
      <c r="N186" s="206"/>
      <c r="O186" s="114">
        <f t="shared" si="46"/>
        <v>0</v>
      </c>
      <c r="P186" s="29"/>
      <c r="Q186" s="35">
        <f t="shared" si="39"/>
        <v>0</v>
      </c>
      <c r="R186" s="35"/>
      <c r="S186" s="114">
        <f t="shared" si="47"/>
        <v>0</v>
      </c>
      <c r="T186" s="81">
        <f t="shared" si="48"/>
        <v>0</v>
      </c>
      <c r="V186" s="102">
        <f t="shared" si="49"/>
        <v>0</v>
      </c>
      <c r="W186" s="29"/>
      <c r="X186" s="29">
        <f t="shared" si="50"/>
        <v>0</v>
      </c>
    </row>
    <row r="187" spans="1:24" hidden="1">
      <c r="A187" s="19" t="s">
        <v>3</v>
      </c>
      <c r="B187" s="109">
        <f t="shared" si="40"/>
        <v>0</v>
      </c>
      <c r="C187" s="31"/>
      <c r="D187" s="188">
        <f t="shared" si="41"/>
        <v>0</v>
      </c>
      <c r="E187" s="177">
        <f t="shared" si="38"/>
        <v>0</v>
      </c>
      <c r="F187" s="57"/>
      <c r="G187" s="184">
        <f t="shared" si="42"/>
        <v>0</v>
      </c>
      <c r="I187" s="114">
        <f t="shared" si="43"/>
        <v>0</v>
      </c>
      <c r="K187" s="114">
        <f t="shared" si="44"/>
        <v>0</v>
      </c>
      <c r="L187" s="34"/>
      <c r="M187" s="115">
        <f t="shared" si="45"/>
        <v>0</v>
      </c>
      <c r="N187" s="206"/>
      <c r="O187" s="114">
        <f t="shared" si="46"/>
        <v>0</v>
      </c>
      <c r="P187" s="29"/>
      <c r="Q187" s="35">
        <f t="shared" si="39"/>
        <v>0</v>
      </c>
      <c r="R187" s="35"/>
      <c r="S187" s="114">
        <f t="shared" si="47"/>
        <v>0</v>
      </c>
      <c r="T187" s="81">
        <f t="shared" si="48"/>
        <v>0</v>
      </c>
      <c r="V187" s="102">
        <f t="shared" si="49"/>
        <v>0</v>
      </c>
      <c r="W187" s="29"/>
      <c r="X187" s="29">
        <f t="shared" si="50"/>
        <v>0</v>
      </c>
    </row>
    <row r="188" spans="1:24" hidden="1">
      <c r="A188" s="19" t="s">
        <v>3</v>
      </c>
      <c r="B188" s="109">
        <f t="shared" si="40"/>
        <v>0</v>
      </c>
      <c r="C188" s="31"/>
      <c r="D188" s="188">
        <f t="shared" si="41"/>
        <v>0</v>
      </c>
      <c r="E188" s="177">
        <f t="shared" si="38"/>
        <v>0</v>
      </c>
      <c r="F188" s="57"/>
      <c r="G188" s="184">
        <f t="shared" si="42"/>
        <v>0</v>
      </c>
      <c r="I188" s="114">
        <f t="shared" si="43"/>
        <v>0</v>
      </c>
      <c r="K188" s="114">
        <f t="shared" si="44"/>
        <v>0</v>
      </c>
      <c r="L188" s="34"/>
      <c r="M188" s="115">
        <f t="shared" si="45"/>
        <v>0</v>
      </c>
      <c r="N188" s="206"/>
      <c r="O188" s="114">
        <f t="shared" si="46"/>
        <v>0</v>
      </c>
      <c r="P188" s="29"/>
      <c r="Q188" s="35">
        <f t="shared" si="39"/>
        <v>0</v>
      </c>
      <c r="R188" s="35"/>
      <c r="S188" s="114">
        <f t="shared" si="47"/>
        <v>0</v>
      </c>
      <c r="T188" s="81">
        <f t="shared" si="48"/>
        <v>0</v>
      </c>
      <c r="V188" s="102">
        <f t="shared" si="49"/>
        <v>0</v>
      </c>
      <c r="W188" s="29"/>
      <c r="X188" s="29">
        <f t="shared" si="50"/>
        <v>0</v>
      </c>
    </row>
    <row r="189" spans="1:24" hidden="1">
      <c r="A189" s="19" t="s">
        <v>3</v>
      </c>
      <c r="B189" s="109">
        <f t="shared" si="40"/>
        <v>0</v>
      </c>
      <c r="C189" s="31"/>
      <c r="D189" s="188">
        <f t="shared" si="41"/>
        <v>0</v>
      </c>
      <c r="E189" s="177">
        <f t="shared" si="38"/>
        <v>0</v>
      </c>
      <c r="F189" s="57"/>
      <c r="G189" s="184">
        <f t="shared" si="42"/>
        <v>0</v>
      </c>
      <c r="I189" s="114">
        <f t="shared" si="43"/>
        <v>0</v>
      </c>
      <c r="K189" s="114">
        <f t="shared" si="44"/>
        <v>0</v>
      </c>
      <c r="L189" s="34"/>
      <c r="M189" s="115">
        <f t="shared" si="45"/>
        <v>0</v>
      </c>
      <c r="N189" s="206"/>
      <c r="O189" s="114">
        <f t="shared" si="46"/>
        <v>0</v>
      </c>
      <c r="P189" s="29"/>
      <c r="Q189" s="35">
        <f t="shared" si="39"/>
        <v>0</v>
      </c>
      <c r="R189" s="35"/>
      <c r="S189" s="114">
        <f t="shared" si="47"/>
        <v>0</v>
      </c>
      <c r="T189" s="81">
        <f t="shared" si="48"/>
        <v>0</v>
      </c>
      <c r="V189" s="102">
        <f t="shared" si="49"/>
        <v>0</v>
      </c>
      <c r="W189" s="29"/>
      <c r="X189" s="29">
        <f t="shared" si="50"/>
        <v>0</v>
      </c>
    </row>
    <row r="190" spans="1:24" hidden="1">
      <c r="A190" s="19" t="s">
        <v>3</v>
      </c>
      <c r="B190" s="109">
        <f t="shared" si="40"/>
        <v>0</v>
      </c>
      <c r="C190" s="31"/>
      <c r="D190" s="188">
        <f t="shared" si="41"/>
        <v>0</v>
      </c>
      <c r="E190" s="177">
        <f t="shared" si="38"/>
        <v>0</v>
      </c>
      <c r="F190" s="57"/>
      <c r="G190" s="184">
        <f t="shared" si="42"/>
        <v>0</v>
      </c>
      <c r="I190" s="114">
        <f t="shared" si="43"/>
        <v>0</v>
      </c>
      <c r="K190" s="114">
        <f t="shared" si="44"/>
        <v>0</v>
      </c>
      <c r="L190" s="34"/>
      <c r="M190" s="115">
        <f t="shared" si="45"/>
        <v>0</v>
      </c>
      <c r="N190" s="206"/>
      <c r="O190" s="114">
        <f t="shared" si="46"/>
        <v>0</v>
      </c>
      <c r="P190" s="29"/>
      <c r="Q190" s="35">
        <f t="shared" si="39"/>
        <v>0</v>
      </c>
      <c r="R190" s="35"/>
      <c r="S190" s="114">
        <f t="shared" si="47"/>
        <v>0</v>
      </c>
      <c r="T190" s="81">
        <f t="shared" si="48"/>
        <v>0</v>
      </c>
      <c r="V190" s="102">
        <f t="shared" si="49"/>
        <v>0</v>
      </c>
      <c r="W190" s="29"/>
      <c r="X190" s="29">
        <f t="shared" si="50"/>
        <v>0</v>
      </c>
    </row>
    <row r="191" spans="1:24" hidden="1">
      <c r="A191" s="19" t="s">
        <v>3</v>
      </c>
      <c r="B191" s="109">
        <f t="shared" si="40"/>
        <v>0</v>
      </c>
      <c r="C191" s="31"/>
      <c r="D191" s="188">
        <f t="shared" si="41"/>
        <v>0</v>
      </c>
      <c r="E191" s="177">
        <f t="shared" si="38"/>
        <v>0</v>
      </c>
      <c r="F191" s="57"/>
      <c r="G191" s="184">
        <f t="shared" si="42"/>
        <v>0</v>
      </c>
      <c r="I191" s="114">
        <f t="shared" si="43"/>
        <v>0</v>
      </c>
      <c r="K191" s="114">
        <f t="shared" si="44"/>
        <v>0</v>
      </c>
      <c r="L191" s="34"/>
      <c r="M191" s="115">
        <f t="shared" si="45"/>
        <v>0</v>
      </c>
      <c r="N191" s="206"/>
      <c r="O191" s="114">
        <f t="shared" si="46"/>
        <v>0</v>
      </c>
      <c r="P191" s="29"/>
      <c r="Q191" s="35">
        <f t="shared" si="39"/>
        <v>0</v>
      </c>
      <c r="R191" s="35"/>
      <c r="S191" s="114">
        <f t="shared" si="47"/>
        <v>0</v>
      </c>
      <c r="T191" s="81">
        <f t="shared" si="48"/>
        <v>0</v>
      </c>
      <c r="V191" s="102">
        <f t="shared" si="49"/>
        <v>0</v>
      </c>
      <c r="W191" s="29"/>
      <c r="X191" s="29">
        <f t="shared" si="50"/>
        <v>0</v>
      </c>
    </row>
    <row r="192" spans="1:24" hidden="1">
      <c r="A192" s="19" t="s">
        <v>3</v>
      </c>
      <c r="B192" s="109">
        <f t="shared" si="40"/>
        <v>0</v>
      </c>
      <c r="C192" s="31"/>
      <c r="D192" s="188">
        <f t="shared" si="41"/>
        <v>0</v>
      </c>
      <c r="E192" s="177">
        <f t="shared" si="38"/>
        <v>0</v>
      </c>
      <c r="F192" s="57"/>
      <c r="G192" s="184">
        <f t="shared" si="42"/>
        <v>0</v>
      </c>
      <c r="I192" s="114">
        <f t="shared" si="43"/>
        <v>0</v>
      </c>
      <c r="K192" s="114">
        <f t="shared" si="44"/>
        <v>0</v>
      </c>
      <c r="L192" s="34"/>
      <c r="M192" s="115">
        <f t="shared" si="45"/>
        <v>0</v>
      </c>
      <c r="N192" s="206"/>
      <c r="O192" s="114">
        <f t="shared" si="46"/>
        <v>0</v>
      </c>
      <c r="P192" s="29"/>
      <c r="Q192" s="35">
        <f t="shared" si="39"/>
        <v>0</v>
      </c>
      <c r="R192" s="35"/>
      <c r="S192" s="114">
        <f t="shared" si="47"/>
        <v>0</v>
      </c>
      <c r="T192" s="81">
        <f t="shared" si="48"/>
        <v>0</v>
      </c>
      <c r="V192" s="102">
        <f t="shared" si="49"/>
        <v>0</v>
      </c>
      <c r="W192" s="29"/>
      <c r="X192" s="29">
        <f t="shared" si="50"/>
        <v>0</v>
      </c>
    </row>
    <row r="193" spans="1:24" hidden="1">
      <c r="A193" s="19" t="s">
        <v>3</v>
      </c>
      <c r="B193" s="109">
        <f t="shared" si="40"/>
        <v>0</v>
      </c>
      <c r="C193" s="31"/>
      <c r="D193" s="188">
        <f t="shared" si="41"/>
        <v>0</v>
      </c>
      <c r="E193" s="177">
        <f t="shared" si="38"/>
        <v>0</v>
      </c>
      <c r="F193" s="57"/>
      <c r="G193" s="184">
        <f t="shared" si="42"/>
        <v>0</v>
      </c>
      <c r="I193" s="114">
        <f t="shared" si="43"/>
        <v>0</v>
      </c>
      <c r="K193" s="114">
        <f t="shared" si="44"/>
        <v>0</v>
      </c>
      <c r="L193" s="34"/>
      <c r="M193" s="115">
        <f t="shared" si="45"/>
        <v>0</v>
      </c>
      <c r="N193" s="206"/>
      <c r="O193" s="114">
        <f t="shared" si="46"/>
        <v>0</v>
      </c>
      <c r="P193" s="29"/>
      <c r="Q193" s="35">
        <f t="shared" si="39"/>
        <v>0</v>
      </c>
      <c r="R193" s="35"/>
      <c r="S193" s="114">
        <f t="shared" si="47"/>
        <v>0</v>
      </c>
      <c r="T193" s="81">
        <f t="shared" si="48"/>
        <v>0</v>
      </c>
      <c r="V193" s="102">
        <f t="shared" si="49"/>
        <v>0</v>
      </c>
      <c r="W193" s="29"/>
      <c r="X193" s="29">
        <f t="shared" si="50"/>
        <v>0</v>
      </c>
    </row>
    <row r="194" spans="1:24" hidden="1">
      <c r="A194" s="19" t="s">
        <v>3</v>
      </c>
      <c r="B194" s="109">
        <f t="shared" si="40"/>
        <v>0</v>
      </c>
      <c r="C194" s="31"/>
      <c r="D194" s="188">
        <f t="shared" si="41"/>
        <v>0</v>
      </c>
      <c r="E194" s="177">
        <f t="shared" si="38"/>
        <v>0</v>
      </c>
      <c r="F194" s="57"/>
      <c r="G194" s="184">
        <f t="shared" si="42"/>
        <v>0</v>
      </c>
      <c r="I194" s="114">
        <f t="shared" si="43"/>
        <v>0</v>
      </c>
      <c r="K194" s="114">
        <f t="shared" si="44"/>
        <v>0</v>
      </c>
      <c r="L194" s="34"/>
      <c r="M194" s="115">
        <f t="shared" si="45"/>
        <v>0</v>
      </c>
      <c r="N194" s="206"/>
      <c r="O194" s="114">
        <f t="shared" si="46"/>
        <v>0</v>
      </c>
      <c r="P194" s="29"/>
      <c r="Q194" s="35">
        <f t="shared" si="39"/>
        <v>0</v>
      </c>
      <c r="R194" s="35"/>
      <c r="S194" s="114">
        <f t="shared" si="47"/>
        <v>0</v>
      </c>
      <c r="T194" s="81">
        <f t="shared" si="48"/>
        <v>0</v>
      </c>
      <c r="V194" s="102">
        <f t="shared" si="49"/>
        <v>0</v>
      </c>
      <c r="W194" s="29"/>
      <c r="X194" s="29">
        <f t="shared" si="50"/>
        <v>0</v>
      </c>
    </row>
    <row r="195" spans="1:24" hidden="1">
      <c r="A195" s="19" t="s">
        <v>3</v>
      </c>
      <c r="B195" s="109">
        <f t="shared" si="40"/>
        <v>0</v>
      </c>
      <c r="C195" s="31"/>
      <c r="D195" s="188">
        <f t="shared" si="41"/>
        <v>0</v>
      </c>
      <c r="E195" s="177">
        <f t="shared" si="38"/>
        <v>0</v>
      </c>
      <c r="F195" s="57"/>
      <c r="G195" s="184">
        <f t="shared" si="42"/>
        <v>0</v>
      </c>
      <c r="I195" s="114">
        <f t="shared" si="43"/>
        <v>0</v>
      </c>
      <c r="K195" s="114">
        <f t="shared" si="44"/>
        <v>0</v>
      </c>
      <c r="L195" s="34"/>
      <c r="M195" s="115">
        <f t="shared" si="45"/>
        <v>0</v>
      </c>
      <c r="N195" s="206"/>
      <c r="O195" s="114">
        <f t="shared" si="46"/>
        <v>0</v>
      </c>
      <c r="P195" s="29"/>
      <c r="Q195" s="35">
        <f t="shared" si="39"/>
        <v>0</v>
      </c>
      <c r="R195" s="35"/>
      <c r="S195" s="114">
        <f t="shared" si="47"/>
        <v>0</v>
      </c>
      <c r="T195" s="81">
        <f t="shared" si="48"/>
        <v>0</v>
      </c>
      <c r="V195" s="102">
        <f t="shared" si="49"/>
        <v>0</v>
      </c>
      <c r="W195" s="29"/>
      <c r="X195" s="29">
        <f t="shared" si="50"/>
        <v>0</v>
      </c>
    </row>
    <row r="196" spans="1:24" hidden="1">
      <c r="A196" s="19" t="s">
        <v>3</v>
      </c>
      <c r="B196" s="109">
        <f t="shared" si="40"/>
        <v>0</v>
      </c>
      <c r="C196" s="31"/>
      <c r="D196" s="188">
        <f t="shared" si="41"/>
        <v>0</v>
      </c>
      <c r="E196" s="177">
        <f t="shared" si="38"/>
        <v>0</v>
      </c>
      <c r="F196" s="57"/>
      <c r="G196" s="184">
        <f t="shared" si="42"/>
        <v>0</v>
      </c>
      <c r="I196" s="114">
        <f t="shared" si="43"/>
        <v>0</v>
      </c>
      <c r="K196" s="114">
        <f t="shared" si="44"/>
        <v>0</v>
      </c>
      <c r="L196" s="34"/>
      <c r="M196" s="115">
        <f t="shared" si="45"/>
        <v>0</v>
      </c>
      <c r="N196" s="206"/>
      <c r="O196" s="114">
        <f t="shared" si="46"/>
        <v>0</v>
      </c>
      <c r="P196" s="29"/>
      <c r="Q196" s="35">
        <f t="shared" si="39"/>
        <v>0</v>
      </c>
      <c r="R196" s="35"/>
      <c r="S196" s="114">
        <f t="shared" si="47"/>
        <v>0</v>
      </c>
      <c r="T196" s="81">
        <f t="shared" si="48"/>
        <v>0</v>
      </c>
      <c r="V196" s="102">
        <f t="shared" si="49"/>
        <v>0</v>
      </c>
      <c r="W196" s="29"/>
      <c r="X196" s="29">
        <f t="shared" si="50"/>
        <v>0</v>
      </c>
    </row>
    <row r="197" spans="1:24" hidden="1">
      <c r="A197" s="19" t="s">
        <v>3</v>
      </c>
      <c r="B197" s="109">
        <f t="shared" si="40"/>
        <v>0</v>
      </c>
      <c r="C197" s="31"/>
      <c r="D197" s="188">
        <f t="shared" si="41"/>
        <v>0</v>
      </c>
      <c r="E197" s="177">
        <f t="shared" si="38"/>
        <v>0</v>
      </c>
      <c r="F197" s="57"/>
      <c r="G197" s="184">
        <f t="shared" si="42"/>
        <v>0</v>
      </c>
      <c r="I197" s="114">
        <f t="shared" si="43"/>
        <v>0</v>
      </c>
      <c r="K197" s="114">
        <f t="shared" si="44"/>
        <v>0</v>
      </c>
      <c r="L197" s="34"/>
      <c r="M197" s="115">
        <f t="shared" si="45"/>
        <v>0</v>
      </c>
      <c r="N197" s="206"/>
      <c r="O197" s="114">
        <f t="shared" si="46"/>
        <v>0</v>
      </c>
      <c r="P197" s="29"/>
      <c r="Q197" s="35">
        <f t="shared" si="39"/>
        <v>0</v>
      </c>
      <c r="R197" s="35"/>
      <c r="S197" s="114">
        <f t="shared" si="47"/>
        <v>0</v>
      </c>
      <c r="T197" s="81">
        <f t="shared" si="48"/>
        <v>0</v>
      </c>
      <c r="V197" s="102">
        <f t="shared" si="49"/>
        <v>0</v>
      </c>
      <c r="W197" s="29"/>
      <c r="X197" s="29">
        <f t="shared" si="50"/>
        <v>0</v>
      </c>
    </row>
    <row r="198" spans="1:24" hidden="1">
      <c r="A198" s="19" t="s">
        <v>3</v>
      </c>
      <c r="B198" s="109">
        <f t="shared" si="40"/>
        <v>0</v>
      </c>
      <c r="C198" s="31"/>
      <c r="D198" s="188">
        <f t="shared" si="41"/>
        <v>0</v>
      </c>
      <c r="E198" s="177">
        <f t="shared" si="38"/>
        <v>0</v>
      </c>
      <c r="F198" s="57"/>
      <c r="G198" s="184">
        <f t="shared" si="42"/>
        <v>0</v>
      </c>
      <c r="I198" s="114">
        <f t="shared" si="43"/>
        <v>0</v>
      </c>
      <c r="K198" s="114">
        <f t="shared" si="44"/>
        <v>0</v>
      </c>
      <c r="L198" s="34"/>
      <c r="M198" s="115">
        <f t="shared" si="45"/>
        <v>0</v>
      </c>
      <c r="N198" s="206"/>
      <c r="O198" s="114">
        <f t="shared" si="46"/>
        <v>0</v>
      </c>
      <c r="P198" s="29"/>
      <c r="Q198" s="35">
        <f t="shared" si="39"/>
        <v>0</v>
      </c>
      <c r="R198" s="35"/>
      <c r="S198" s="114">
        <f t="shared" si="47"/>
        <v>0</v>
      </c>
      <c r="T198" s="81">
        <f t="shared" si="48"/>
        <v>0</v>
      </c>
      <c r="V198" s="102">
        <f t="shared" si="49"/>
        <v>0</v>
      </c>
      <c r="W198" s="29"/>
      <c r="X198" s="29">
        <f t="shared" si="50"/>
        <v>0</v>
      </c>
    </row>
    <row r="199" spans="1:24" hidden="1">
      <c r="A199" s="19" t="s">
        <v>3</v>
      </c>
      <c r="B199" s="109">
        <f t="shared" si="40"/>
        <v>0</v>
      </c>
      <c r="C199" s="31"/>
      <c r="D199" s="188">
        <f t="shared" si="41"/>
        <v>0</v>
      </c>
      <c r="E199" s="177">
        <f t="shared" si="38"/>
        <v>0</v>
      </c>
      <c r="F199" s="57"/>
      <c r="G199" s="184">
        <f t="shared" si="42"/>
        <v>0</v>
      </c>
      <c r="I199" s="114">
        <f t="shared" si="43"/>
        <v>0</v>
      </c>
      <c r="K199" s="114">
        <f t="shared" si="44"/>
        <v>0</v>
      </c>
      <c r="L199" s="34"/>
      <c r="M199" s="115">
        <f t="shared" si="45"/>
        <v>0</v>
      </c>
      <c r="N199" s="206"/>
      <c r="O199" s="114">
        <f t="shared" si="46"/>
        <v>0</v>
      </c>
      <c r="P199" s="29"/>
      <c r="Q199" s="35">
        <f t="shared" si="39"/>
        <v>0</v>
      </c>
      <c r="R199" s="35"/>
      <c r="S199" s="114">
        <f t="shared" si="47"/>
        <v>0</v>
      </c>
      <c r="T199" s="81">
        <f t="shared" si="48"/>
        <v>0</v>
      </c>
      <c r="V199" s="102">
        <f t="shared" si="49"/>
        <v>0</v>
      </c>
      <c r="W199" s="29"/>
      <c r="X199" s="29">
        <f t="shared" si="50"/>
        <v>0</v>
      </c>
    </row>
    <row r="200" spans="1:24" hidden="1">
      <c r="A200" s="19" t="s">
        <v>3</v>
      </c>
      <c r="B200" s="109">
        <f t="shared" si="40"/>
        <v>0</v>
      </c>
      <c r="C200" s="31"/>
      <c r="D200" s="188">
        <f t="shared" si="41"/>
        <v>0</v>
      </c>
      <c r="E200" s="177">
        <f t="shared" si="38"/>
        <v>0</v>
      </c>
      <c r="F200" s="57"/>
      <c r="G200" s="184">
        <f t="shared" si="42"/>
        <v>0</v>
      </c>
      <c r="I200" s="114">
        <f t="shared" si="43"/>
        <v>0</v>
      </c>
      <c r="K200" s="114">
        <f t="shared" si="44"/>
        <v>0</v>
      </c>
      <c r="L200" s="34"/>
      <c r="M200" s="115">
        <f t="shared" si="45"/>
        <v>0</v>
      </c>
      <c r="N200" s="206"/>
      <c r="O200" s="114">
        <f t="shared" si="46"/>
        <v>0</v>
      </c>
      <c r="P200" s="29"/>
      <c r="Q200" s="35">
        <f t="shared" si="39"/>
        <v>0</v>
      </c>
      <c r="R200" s="35"/>
      <c r="S200" s="114">
        <f t="shared" si="47"/>
        <v>0</v>
      </c>
      <c r="T200" s="81">
        <f t="shared" si="48"/>
        <v>0</v>
      </c>
      <c r="V200" s="102">
        <f t="shared" si="49"/>
        <v>0</v>
      </c>
      <c r="W200" s="29"/>
      <c r="X200" s="29">
        <f t="shared" si="50"/>
        <v>0</v>
      </c>
    </row>
    <row r="201" spans="1:24" hidden="1">
      <c r="A201" s="19" t="s">
        <v>3</v>
      </c>
      <c r="B201" s="109">
        <f t="shared" si="40"/>
        <v>0</v>
      </c>
      <c r="C201" s="31"/>
      <c r="D201" s="188">
        <f t="shared" si="41"/>
        <v>0</v>
      </c>
      <c r="E201" s="177">
        <f t="shared" si="38"/>
        <v>0</v>
      </c>
      <c r="F201" s="57"/>
      <c r="G201" s="184">
        <f t="shared" si="42"/>
        <v>0</v>
      </c>
      <c r="I201" s="114">
        <f t="shared" si="43"/>
        <v>0</v>
      </c>
      <c r="K201" s="114">
        <f t="shared" si="44"/>
        <v>0</v>
      </c>
      <c r="L201" s="34"/>
      <c r="M201" s="115">
        <f t="shared" si="45"/>
        <v>0</v>
      </c>
      <c r="N201" s="206"/>
      <c r="O201" s="114">
        <f t="shared" si="46"/>
        <v>0</v>
      </c>
      <c r="P201" s="29"/>
      <c r="Q201" s="35">
        <f t="shared" si="39"/>
        <v>0</v>
      </c>
      <c r="R201" s="35"/>
      <c r="S201" s="114">
        <f t="shared" si="47"/>
        <v>0</v>
      </c>
      <c r="T201" s="81">
        <f t="shared" si="48"/>
        <v>0</v>
      </c>
      <c r="V201" s="102">
        <f t="shared" si="49"/>
        <v>0</v>
      </c>
      <c r="W201" s="29"/>
      <c r="X201" s="29">
        <f t="shared" si="50"/>
        <v>0</v>
      </c>
    </row>
    <row r="202" spans="1:24">
      <c r="A202" s="73" t="s">
        <v>321</v>
      </c>
      <c r="B202" s="109"/>
      <c r="D202" s="196">
        <f>SUM(D182:D201)</f>
        <v>0</v>
      </c>
      <c r="E202" s="179">
        <f>IFERROR(D202/G59,0)</f>
        <v>0</v>
      </c>
      <c r="F202" s="152"/>
      <c r="G202" s="190"/>
      <c r="H202" s="149"/>
      <c r="I202" s="150"/>
      <c r="J202" s="149"/>
      <c r="K202" s="56">
        <f>IFERROR((M202/D202)/12,0)</f>
        <v>0</v>
      </c>
      <c r="L202" s="154"/>
      <c r="M202" s="117">
        <f>SUM(M182:M201)</f>
        <v>0</v>
      </c>
      <c r="N202" s="207"/>
      <c r="O202" s="171"/>
      <c r="P202" s="150"/>
      <c r="Q202" s="171"/>
      <c r="R202" s="171"/>
      <c r="S202" s="171"/>
      <c r="T202" s="153"/>
      <c r="U202" s="149"/>
      <c r="V202" s="205">
        <f>IFERROR((X202/D202)/12,0)</f>
        <v>0</v>
      </c>
      <c r="W202" s="150"/>
      <c r="X202" s="117">
        <f>SUM(X182:X201)</f>
        <v>0</v>
      </c>
    </row>
    <row r="203" spans="1:24">
      <c r="A203" s="73"/>
      <c r="B203" s="109"/>
      <c r="D203" s="188"/>
      <c r="E203" s="177"/>
      <c r="F203" s="32"/>
      <c r="G203" s="184"/>
      <c r="I203" s="115"/>
      <c r="K203" s="114"/>
      <c r="L203" s="34"/>
      <c r="M203" s="115"/>
      <c r="N203" s="206"/>
      <c r="O203" s="35"/>
      <c r="P203" s="29"/>
      <c r="Q203" s="35"/>
      <c r="R203" s="35"/>
      <c r="S203" s="35"/>
      <c r="T203" s="33"/>
      <c r="V203" s="102"/>
      <c r="W203" s="29"/>
      <c r="X203" s="29"/>
    </row>
    <row r="204" spans="1:24">
      <c r="A204" s="73" t="s">
        <v>3</v>
      </c>
      <c r="B204" s="109">
        <f t="shared" ref="B204:B211" si="51">B138</f>
        <v>0</v>
      </c>
      <c r="D204" s="188">
        <f t="shared" ref="D204:D211" si="52">ROUND(G61*E204,-0.1)</f>
        <v>0</v>
      </c>
      <c r="E204" s="177">
        <f>$G$76</f>
        <v>0</v>
      </c>
      <c r="F204" s="57"/>
      <c r="G204" s="184">
        <f t="shared" ref="G204:G211" si="53">G138</f>
        <v>0</v>
      </c>
      <c r="I204" s="114">
        <f>IFERROR(K204/G204,0)</f>
        <v>0</v>
      </c>
      <c r="K204" s="114">
        <f>VALUE(K138)</f>
        <v>0</v>
      </c>
      <c r="L204" s="34"/>
      <c r="M204" s="115">
        <f>(K204*D204)*12</f>
        <v>0</v>
      </c>
      <c r="N204" s="206"/>
      <c r="O204" s="114">
        <f>IFERROR(Q204/G204,0)</f>
        <v>0</v>
      </c>
      <c r="P204" s="29"/>
      <c r="Q204" s="35">
        <f>$O$76</f>
        <v>0</v>
      </c>
      <c r="R204" s="35"/>
      <c r="S204" s="114">
        <f>K204-Q204</f>
        <v>0</v>
      </c>
      <c r="T204" s="81">
        <f>IFERROR((K204-Q204)/K204,0)</f>
        <v>0</v>
      </c>
      <c r="V204" s="102">
        <f>IF(Q204&lt;K204,Q204,K204)</f>
        <v>0</v>
      </c>
      <c r="W204" s="29"/>
      <c r="X204" s="29">
        <f>(V204*D204)*12</f>
        <v>0</v>
      </c>
    </row>
    <row r="205" spans="1:24" hidden="1">
      <c r="A205" s="73" t="s">
        <v>3</v>
      </c>
      <c r="B205" s="109">
        <f t="shared" si="51"/>
        <v>0</v>
      </c>
      <c r="D205" s="188">
        <f t="shared" si="52"/>
        <v>0</v>
      </c>
      <c r="E205" s="177">
        <f t="shared" ref="E205:E211" si="54">$G$76</f>
        <v>0</v>
      </c>
      <c r="F205" s="57"/>
      <c r="G205" s="184">
        <f t="shared" si="53"/>
        <v>0</v>
      </c>
      <c r="I205" s="114">
        <f t="shared" ref="I205:I211" si="55">IFERROR(K205/G205,0)</f>
        <v>0</v>
      </c>
      <c r="K205" s="114">
        <f t="shared" ref="K205:K211" si="56">VALUE(K139)</f>
        <v>0</v>
      </c>
      <c r="L205" s="34"/>
      <c r="M205" s="115">
        <f t="shared" ref="M205:M211" si="57">(K205*D205)*12</f>
        <v>0</v>
      </c>
      <c r="N205" s="206"/>
      <c r="O205" s="114">
        <f t="shared" ref="O205:O211" si="58">IFERROR(Q205/G205,0)</f>
        <v>0</v>
      </c>
      <c r="P205" s="29"/>
      <c r="Q205" s="35">
        <f t="shared" ref="Q205:Q211" si="59">$O$76</f>
        <v>0</v>
      </c>
      <c r="R205" s="35"/>
      <c r="S205" s="114">
        <f t="shared" ref="S205:S211" si="60">K205-Q205</f>
        <v>0</v>
      </c>
      <c r="T205" s="81">
        <f t="shared" ref="T205:T211" si="61">IFERROR((K205-Q205)/K205,0)</f>
        <v>0</v>
      </c>
      <c r="V205" s="102">
        <f t="shared" ref="V205:V211" si="62">IF(Q205&lt;K205,Q205,K205)</f>
        <v>0</v>
      </c>
      <c r="W205" s="29"/>
      <c r="X205" s="29">
        <f t="shared" ref="X205:X211" si="63">(V205*D205)*12</f>
        <v>0</v>
      </c>
    </row>
    <row r="206" spans="1:24" hidden="1">
      <c r="A206" s="73" t="s">
        <v>3</v>
      </c>
      <c r="B206" s="109">
        <f t="shared" si="51"/>
        <v>0</v>
      </c>
      <c r="D206" s="188">
        <f t="shared" si="52"/>
        <v>0</v>
      </c>
      <c r="E206" s="177">
        <f t="shared" si="54"/>
        <v>0</v>
      </c>
      <c r="F206" s="57"/>
      <c r="G206" s="184">
        <f t="shared" si="53"/>
        <v>0</v>
      </c>
      <c r="I206" s="114">
        <f t="shared" si="55"/>
        <v>0</v>
      </c>
      <c r="K206" s="114">
        <f t="shared" si="56"/>
        <v>0</v>
      </c>
      <c r="L206" s="34"/>
      <c r="M206" s="115">
        <f t="shared" si="57"/>
        <v>0</v>
      </c>
      <c r="N206" s="206"/>
      <c r="O206" s="114">
        <f t="shared" si="58"/>
        <v>0</v>
      </c>
      <c r="P206" s="29"/>
      <c r="Q206" s="35">
        <f t="shared" si="59"/>
        <v>0</v>
      </c>
      <c r="R206" s="35"/>
      <c r="S206" s="114">
        <f t="shared" si="60"/>
        <v>0</v>
      </c>
      <c r="T206" s="81">
        <f t="shared" si="61"/>
        <v>0</v>
      </c>
      <c r="V206" s="102">
        <f t="shared" si="62"/>
        <v>0</v>
      </c>
      <c r="W206" s="29"/>
      <c r="X206" s="29">
        <f t="shared" si="63"/>
        <v>0</v>
      </c>
    </row>
    <row r="207" spans="1:24" hidden="1">
      <c r="A207" s="73" t="s">
        <v>3</v>
      </c>
      <c r="B207" s="109">
        <f t="shared" si="51"/>
        <v>0</v>
      </c>
      <c r="D207" s="188">
        <f t="shared" si="52"/>
        <v>0</v>
      </c>
      <c r="E207" s="177">
        <f t="shared" si="54"/>
        <v>0</v>
      </c>
      <c r="F207" s="57"/>
      <c r="G207" s="184">
        <f t="shared" si="53"/>
        <v>0</v>
      </c>
      <c r="I207" s="114">
        <f t="shared" si="55"/>
        <v>0</v>
      </c>
      <c r="K207" s="114">
        <f t="shared" si="56"/>
        <v>0</v>
      </c>
      <c r="L207" s="34"/>
      <c r="M207" s="115">
        <f t="shared" si="57"/>
        <v>0</v>
      </c>
      <c r="N207" s="206"/>
      <c r="O207" s="114">
        <f t="shared" si="58"/>
        <v>0</v>
      </c>
      <c r="P207" s="29"/>
      <c r="Q207" s="35">
        <f t="shared" si="59"/>
        <v>0</v>
      </c>
      <c r="R207" s="35"/>
      <c r="S207" s="114">
        <f t="shared" si="60"/>
        <v>0</v>
      </c>
      <c r="T207" s="81">
        <f t="shared" si="61"/>
        <v>0</v>
      </c>
      <c r="V207" s="102">
        <f t="shared" si="62"/>
        <v>0</v>
      </c>
      <c r="W207" s="29"/>
      <c r="X207" s="29">
        <f t="shared" si="63"/>
        <v>0</v>
      </c>
    </row>
    <row r="208" spans="1:24" hidden="1">
      <c r="A208" s="73" t="s">
        <v>3</v>
      </c>
      <c r="B208" s="109">
        <f t="shared" si="51"/>
        <v>0</v>
      </c>
      <c r="D208" s="188">
        <f t="shared" si="52"/>
        <v>0</v>
      </c>
      <c r="E208" s="177">
        <f t="shared" si="54"/>
        <v>0</v>
      </c>
      <c r="F208" s="57"/>
      <c r="G208" s="184">
        <f t="shared" si="53"/>
        <v>0</v>
      </c>
      <c r="I208" s="114">
        <f t="shared" si="55"/>
        <v>0</v>
      </c>
      <c r="K208" s="114">
        <f t="shared" si="56"/>
        <v>0</v>
      </c>
      <c r="L208" s="34"/>
      <c r="M208" s="115">
        <f t="shared" si="57"/>
        <v>0</v>
      </c>
      <c r="N208" s="206"/>
      <c r="O208" s="114">
        <f t="shared" si="58"/>
        <v>0</v>
      </c>
      <c r="P208" s="29"/>
      <c r="Q208" s="35">
        <f t="shared" si="59"/>
        <v>0</v>
      </c>
      <c r="R208" s="35"/>
      <c r="S208" s="114">
        <f t="shared" si="60"/>
        <v>0</v>
      </c>
      <c r="T208" s="81">
        <f t="shared" si="61"/>
        <v>0</v>
      </c>
      <c r="V208" s="102">
        <f t="shared" si="62"/>
        <v>0</v>
      </c>
      <c r="W208" s="29"/>
      <c r="X208" s="29">
        <f t="shared" si="63"/>
        <v>0</v>
      </c>
    </row>
    <row r="209" spans="1:24" hidden="1">
      <c r="A209" s="73" t="s">
        <v>3</v>
      </c>
      <c r="B209" s="109">
        <f t="shared" si="51"/>
        <v>0</v>
      </c>
      <c r="D209" s="188">
        <f t="shared" si="52"/>
        <v>0</v>
      </c>
      <c r="E209" s="177">
        <f t="shared" si="54"/>
        <v>0</v>
      </c>
      <c r="F209" s="57"/>
      <c r="G209" s="184">
        <f t="shared" si="53"/>
        <v>0</v>
      </c>
      <c r="I209" s="114">
        <f t="shared" si="55"/>
        <v>0</v>
      </c>
      <c r="K209" s="114">
        <f t="shared" si="56"/>
        <v>0</v>
      </c>
      <c r="L209" s="34"/>
      <c r="M209" s="115">
        <f t="shared" si="57"/>
        <v>0</v>
      </c>
      <c r="N209" s="206"/>
      <c r="O209" s="114">
        <f t="shared" si="58"/>
        <v>0</v>
      </c>
      <c r="P209" s="29"/>
      <c r="Q209" s="35">
        <f t="shared" si="59"/>
        <v>0</v>
      </c>
      <c r="R209" s="35"/>
      <c r="S209" s="114">
        <f t="shared" si="60"/>
        <v>0</v>
      </c>
      <c r="T209" s="81">
        <f t="shared" si="61"/>
        <v>0</v>
      </c>
      <c r="V209" s="102">
        <f t="shared" si="62"/>
        <v>0</v>
      </c>
      <c r="W209" s="29"/>
      <c r="X209" s="29">
        <f t="shared" si="63"/>
        <v>0</v>
      </c>
    </row>
    <row r="210" spans="1:24" hidden="1">
      <c r="A210" s="73" t="s">
        <v>3</v>
      </c>
      <c r="B210" s="109">
        <f t="shared" si="51"/>
        <v>0</v>
      </c>
      <c r="D210" s="188">
        <f t="shared" si="52"/>
        <v>0</v>
      </c>
      <c r="E210" s="177">
        <f t="shared" si="54"/>
        <v>0</v>
      </c>
      <c r="F210" s="57"/>
      <c r="G210" s="184">
        <f t="shared" si="53"/>
        <v>0</v>
      </c>
      <c r="I210" s="114">
        <f t="shared" si="55"/>
        <v>0</v>
      </c>
      <c r="K210" s="114">
        <f t="shared" si="56"/>
        <v>0</v>
      </c>
      <c r="L210" s="34"/>
      <c r="M210" s="115">
        <f t="shared" si="57"/>
        <v>0</v>
      </c>
      <c r="N210" s="206"/>
      <c r="O210" s="114">
        <f t="shared" si="58"/>
        <v>0</v>
      </c>
      <c r="P210" s="29"/>
      <c r="Q210" s="35">
        <f t="shared" si="59"/>
        <v>0</v>
      </c>
      <c r="R210" s="35"/>
      <c r="S210" s="114">
        <f t="shared" si="60"/>
        <v>0</v>
      </c>
      <c r="T210" s="81">
        <f t="shared" si="61"/>
        <v>0</v>
      </c>
      <c r="V210" s="102">
        <f t="shared" si="62"/>
        <v>0</v>
      </c>
      <c r="W210" s="29"/>
      <c r="X210" s="29">
        <f t="shared" si="63"/>
        <v>0</v>
      </c>
    </row>
    <row r="211" spans="1:24" hidden="1">
      <c r="A211" s="73" t="s">
        <v>3</v>
      </c>
      <c r="B211" s="109">
        <f t="shared" si="51"/>
        <v>0</v>
      </c>
      <c r="D211" s="188">
        <f t="shared" si="52"/>
        <v>0</v>
      </c>
      <c r="E211" s="177">
        <f t="shared" si="54"/>
        <v>0</v>
      </c>
      <c r="F211" s="57"/>
      <c r="G211" s="184">
        <f t="shared" si="53"/>
        <v>0</v>
      </c>
      <c r="I211" s="114">
        <f t="shared" si="55"/>
        <v>0</v>
      </c>
      <c r="K211" s="114">
        <f t="shared" si="56"/>
        <v>0</v>
      </c>
      <c r="L211" s="34"/>
      <c r="M211" s="115">
        <f t="shared" si="57"/>
        <v>0</v>
      </c>
      <c r="N211" s="206"/>
      <c r="O211" s="114">
        <f t="shared" si="58"/>
        <v>0</v>
      </c>
      <c r="P211" s="29"/>
      <c r="Q211" s="35">
        <f t="shared" si="59"/>
        <v>0</v>
      </c>
      <c r="R211" s="35"/>
      <c r="S211" s="114">
        <f t="shared" si="60"/>
        <v>0</v>
      </c>
      <c r="T211" s="81">
        <f t="shared" si="61"/>
        <v>0</v>
      </c>
      <c r="V211" s="102">
        <f t="shared" si="62"/>
        <v>0</v>
      </c>
      <c r="W211" s="29"/>
      <c r="X211" s="29">
        <f t="shared" si="63"/>
        <v>0</v>
      </c>
    </row>
    <row r="212" spans="1:24">
      <c r="A212" s="73" t="s">
        <v>322</v>
      </c>
      <c r="B212" s="73"/>
      <c r="D212" s="196">
        <f>SUM(D204:D211)</f>
        <v>0</v>
      </c>
      <c r="E212" s="179">
        <f>IFERROR(D212/G69,0)</f>
        <v>0</v>
      </c>
      <c r="F212" s="152"/>
      <c r="G212" s="190"/>
      <c r="H212" s="149"/>
      <c r="I212" s="150"/>
      <c r="J212" s="149"/>
      <c r="K212" s="56">
        <f>IFERROR((M212/D212)/12,0)</f>
        <v>0</v>
      </c>
      <c r="L212" s="154"/>
      <c r="M212" s="117">
        <f>SUM(M204:M211)</f>
        <v>0</v>
      </c>
      <c r="N212" s="207"/>
      <c r="O212" s="150"/>
      <c r="P212" s="150"/>
      <c r="Q212" s="150"/>
      <c r="R212" s="150"/>
      <c r="S212" s="150"/>
      <c r="T212" s="149"/>
      <c r="U212" s="149"/>
      <c r="V212" s="205">
        <f>IFERROR((X212/D212)/12,0)</f>
        <v>0</v>
      </c>
      <c r="W212" s="117"/>
      <c r="X212" s="117">
        <f>SUM(X204:X211)</f>
        <v>0</v>
      </c>
    </row>
    <row r="213" spans="1:24">
      <c r="A213" s="73" t="s">
        <v>315</v>
      </c>
      <c r="B213" s="73"/>
      <c r="D213" s="188">
        <f>D202+D180+D212</f>
        <v>0</v>
      </c>
      <c r="E213" s="177">
        <f>IFERROR(D213/G70,0)</f>
        <v>0</v>
      </c>
      <c r="F213" s="57"/>
      <c r="G213" s="184"/>
      <c r="I213" s="29"/>
      <c r="K213" s="114">
        <f>IFERROR((M213/12)/D213,0)</f>
        <v>0</v>
      </c>
      <c r="L213" s="34"/>
      <c r="M213" s="116">
        <f>M202+M180+M212</f>
        <v>0</v>
      </c>
      <c r="N213" s="206"/>
      <c r="O213" s="114"/>
      <c r="P213" s="29"/>
      <c r="Q213" s="35"/>
      <c r="R213" s="35"/>
      <c r="S213" s="114"/>
      <c r="T213" s="81"/>
      <c r="V213" s="116">
        <f>IFERROR((X213/D213)/12,0)</f>
        <v>0</v>
      </c>
      <c r="W213" s="29"/>
      <c r="X213" s="116">
        <f>X202+X180+X212</f>
        <v>0</v>
      </c>
    </row>
    <row r="214" spans="1:24">
      <c r="A214" s="73"/>
      <c r="B214" s="73"/>
      <c r="D214" s="201"/>
      <c r="E214" s="180"/>
      <c r="F214" s="32"/>
      <c r="G214" s="184"/>
      <c r="I214" s="29"/>
      <c r="K214" s="35"/>
      <c r="L214" s="34"/>
      <c r="M214" s="206"/>
      <c r="N214" s="206"/>
      <c r="O214" s="29"/>
      <c r="P214" s="29"/>
      <c r="Q214" s="35"/>
      <c r="R214" s="35"/>
      <c r="S214" s="206"/>
      <c r="T214" s="31"/>
      <c r="V214" s="102"/>
      <c r="W214" s="29"/>
      <c r="X214" s="29"/>
    </row>
    <row r="215" spans="1:24">
      <c r="A215" s="342" t="s">
        <v>1</v>
      </c>
      <c r="B215" s="342"/>
      <c r="D215" s="188"/>
      <c r="E215" s="177"/>
      <c r="F215" s="32"/>
      <c r="G215" s="184"/>
      <c r="I215" s="29"/>
      <c r="K215" s="35"/>
      <c r="L215" s="34"/>
      <c r="M215" s="206"/>
      <c r="N215" s="206"/>
      <c r="O215" s="29"/>
      <c r="P215" s="29"/>
      <c r="Q215" s="35"/>
      <c r="R215" s="35"/>
      <c r="S215" s="206"/>
      <c r="T215" s="31"/>
      <c r="V215" s="102"/>
      <c r="W215" s="29"/>
      <c r="X215" s="29"/>
    </row>
    <row r="216" spans="1:24">
      <c r="A216" s="73" t="s">
        <v>3</v>
      </c>
      <c r="B216" s="109">
        <f t="shared" ref="B216:B244" si="64">B151</f>
        <v>0</v>
      </c>
      <c r="D216" s="188">
        <f t="shared" ref="D216:D244" si="65">ROUND(G7*E216,-0.1)</f>
        <v>0</v>
      </c>
      <c r="E216" s="177">
        <f t="shared" ref="E216:E244" si="66">$G$77</f>
        <v>0</v>
      </c>
      <c r="F216" s="57"/>
      <c r="G216" s="184">
        <f t="shared" ref="G216:G244" si="67">E7</f>
        <v>0</v>
      </c>
      <c r="I216" s="114">
        <f>IFERROR(K216/G216,0)</f>
        <v>0</v>
      </c>
      <c r="K216" s="114">
        <f>VALUE(K85)</f>
        <v>0</v>
      </c>
      <c r="L216" s="34"/>
      <c r="M216" s="115">
        <f>(K216*D216)*12</f>
        <v>0</v>
      </c>
      <c r="N216" s="206"/>
      <c r="O216" s="114">
        <f>IFERROR(Q216/G216,0)</f>
        <v>0</v>
      </c>
      <c r="P216" s="29"/>
      <c r="Q216" s="35">
        <v>0</v>
      </c>
      <c r="R216" s="35"/>
      <c r="S216" s="114">
        <f>K216-Q216</f>
        <v>0</v>
      </c>
      <c r="T216" s="81">
        <f>IFERROR((K216-Q216)/K216,0)</f>
        <v>0</v>
      </c>
      <c r="V216" s="102">
        <f>IF(Q216&lt;K216,Q216,K216)</f>
        <v>0</v>
      </c>
      <c r="W216" s="29"/>
      <c r="X216" s="29">
        <f>(V216*D216)*12</f>
        <v>0</v>
      </c>
    </row>
    <row r="217" spans="1:24">
      <c r="A217" s="73" t="s">
        <v>3</v>
      </c>
      <c r="B217" s="109">
        <f t="shared" si="64"/>
        <v>0</v>
      </c>
      <c r="D217" s="188">
        <f t="shared" si="65"/>
        <v>0</v>
      </c>
      <c r="E217" s="177">
        <f t="shared" si="66"/>
        <v>0</v>
      </c>
      <c r="F217" s="57"/>
      <c r="G217" s="184">
        <f t="shared" si="67"/>
        <v>0</v>
      </c>
      <c r="I217" s="114">
        <f>IFERROR(K217/G217,0)</f>
        <v>0</v>
      </c>
      <c r="K217" s="114">
        <f t="shared" ref="K217:K244" si="68">VALUE(K86)</f>
        <v>0</v>
      </c>
      <c r="L217" s="34"/>
      <c r="M217" s="115">
        <f>(K217*D217)*12</f>
        <v>0</v>
      </c>
      <c r="N217" s="206"/>
      <c r="O217" s="114">
        <f>IFERROR(Q217/G217,0)</f>
        <v>0</v>
      </c>
      <c r="P217" s="29"/>
      <c r="Q217" s="35">
        <f>$K$77</f>
        <v>0</v>
      </c>
      <c r="R217" s="35"/>
      <c r="S217" s="114">
        <f>K217-Q217</f>
        <v>0</v>
      </c>
      <c r="T217" s="81">
        <f>IFERROR((K217-Q217)/K217,0)</f>
        <v>0</v>
      </c>
      <c r="V217" s="102">
        <f>IF(Q217&lt;K217,Q217,K217)</f>
        <v>0</v>
      </c>
      <c r="W217" s="29"/>
      <c r="X217" s="29">
        <f>(V217*D217)*12</f>
        <v>0</v>
      </c>
    </row>
    <row r="218" spans="1:24" hidden="1">
      <c r="A218" s="73" t="s">
        <v>3</v>
      </c>
      <c r="B218" s="109">
        <f t="shared" si="64"/>
        <v>0</v>
      </c>
      <c r="D218" s="188">
        <f t="shared" si="65"/>
        <v>0</v>
      </c>
      <c r="E218" s="177">
        <f t="shared" si="66"/>
        <v>0</v>
      </c>
      <c r="F218" s="57"/>
      <c r="G218" s="184">
        <f t="shared" si="67"/>
        <v>0</v>
      </c>
      <c r="I218" s="114">
        <f t="shared" ref="I218:I244" si="69">IFERROR(K218/G218,0)</f>
        <v>0</v>
      </c>
      <c r="K218" s="114">
        <f t="shared" si="68"/>
        <v>0</v>
      </c>
      <c r="L218" s="34"/>
      <c r="M218" s="115">
        <f t="shared" ref="M218:M244" si="70">(K218*D218)*12</f>
        <v>0</v>
      </c>
      <c r="N218" s="206"/>
      <c r="O218" s="114">
        <f t="shared" ref="O218:O244" si="71">IFERROR(Q218/G218,0)</f>
        <v>0</v>
      </c>
      <c r="P218" s="29"/>
      <c r="Q218" s="35">
        <f>$K$77</f>
        <v>0</v>
      </c>
      <c r="R218" s="35"/>
      <c r="S218" s="114">
        <f t="shared" ref="S218:S244" si="72">K218-Q218</f>
        <v>0</v>
      </c>
      <c r="T218" s="81">
        <f t="shared" ref="T218:T244" si="73">IFERROR((K218-Q218)/K218,0)</f>
        <v>0</v>
      </c>
      <c r="V218" s="102">
        <f t="shared" ref="V218:V244" si="74">IF(Q218&lt;K218,Q218,K218)</f>
        <v>0</v>
      </c>
      <c r="W218" s="29"/>
      <c r="X218" s="29">
        <f t="shared" ref="X218:X244" si="75">(V218*D218)*12</f>
        <v>0</v>
      </c>
    </row>
    <row r="219" spans="1:24" hidden="1">
      <c r="A219" s="73" t="s">
        <v>3</v>
      </c>
      <c r="B219" s="109">
        <f t="shared" si="64"/>
        <v>0</v>
      </c>
      <c r="D219" s="188">
        <f t="shared" si="65"/>
        <v>0</v>
      </c>
      <c r="E219" s="177">
        <f t="shared" si="66"/>
        <v>0</v>
      </c>
      <c r="F219" s="57"/>
      <c r="G219" s="184">
        <f t="shared" si="67"/>
        <v>0</v>
      </c>
      <c r="I219" s="114">
        <f t="shared" si="69"/>
        <v>0</v>
      </c>
      <c r="K219" s="114">
        <f t="shared" si="68"/>
        <v>0</v>
      </c>
      <c r="L219" s="34"/>
      <c r="M219" s="115">
        <f t="shared" si="70"/>
        <v>0</v>
      </c>
      <c r="N219" s="206"/>
      <c r="O219" s="114">
        <f t="shared" si="71"/>
        <v>0</v>
      </c>
      <c r="P219" s="29"/>
      <c r="Q219" s="35">
        <f t="shared" ref="Q219:Q244" si="76">$K$77</f>
        <v>0</v>
      </c>
      <c r="R219" s="35"/>
      <c r="S219" s="114">
        <f t="shared" si="72"/>
        <v>0</v>
      </c>
      <c r="T219" s="81">
        <f t="shared" si="73"/>
        <v>0</v>
      </c>
      <c r="V219" s="102">
        <f t="shared" si="74"/>
        <v>0</v>
      </c>
      <c r="W219" s="29"/>
      <c r="X219" s="29">
        <f t="shared" si="75"/>
        <v>0</v>
      </c>
    </row>
    <row r="220" spans="1:24" hidden="1">
      <c r="A220" s="73" t="s">
        <v>3</v>
      </c>
      <c r="B220" s="109">
        <f t="shared" si="64"/>
        <v>0</v>
      </c>
      <c r="D220" s="188">
        <f t="shared" si="65"/>
        <v>0</v>
      </c>
      <c r="E220" s="177">
        <f t="shared" si="66"/>
        <v>0</v>
      </c>
      <c r="F220" s="57"/>
      <c r="G220" s="184">
        <f t="shared" si="67"/>
        <v>0</v>
      </c>
      <c r="I220" s="114">
        <f t="shared" si="69"/>
        <v>0</v>
      </c>
      <c r="K220" s="114">
        <f t="shared" si="68"/>
        <v>0</v>
      </c>
      <c r="L220" s="34"/>
      <c r="M220" s="115">
        <f t="shared" si="70"/>
        <v>0</v>
      </c>
      <c r="N220" s="206"/>
      <c r="O220" s="114">
        <f t="shared" si="71"/>
        <v>0</v>
      </c>
      <c r="P220" s="29"/>
      <c r="Q220" s="35">
        <f t="shared" si="76"/>
        <v>0</v>
      </c>
      <c r="R220" s="35"/>
      <c r="S220" s="114">
        <f t="shared" si="72"/>
        <v>0</v>
      </c>
      <c r="T220" s="81">
        <f t="shared" si="73"/>
        <v>0</v>
      </c>
      <c r="V220" s="102">
        <f t="shared" si="74"/>
        <v>0</v>
      </c>
      <c r="W220" s="29"/>
      <c r="X220" s="29">
        <f t="shared" si="75"/>
        <v>0</v>
      </c>
    </row>
    <row r="221" spans="1:24" hidden="1">
      <c r="A221" s="73" t="s">
        <v>3</v>
      </c>
      <c r="B221" s="109">
        <f t="shared" si="64"/>
        <v>0</v>
      </c>
      <c r="D221" s="188">
        <f t="shared" si="65"/>
        <v>0</v>
      </c>
      <c r="E221" s="177">
        <f t="shared" si="66"/>
        <v>0</v>
      </c>
      <c r="F221" s="57"/>
      <c r="G221" s="184">
        <f t="shared" si="67"/>
        <v>0</v>
      </c>
      <c r="I221" s="114">
        <f t="shared" si="69"/>
        <v>0</v>
      </c>
      <c r="K221" s="114">
        <f t="shared" si="68"/>
        <v>0</v>
      </c>
      <c r="L221" s="34"/>
      <c r="M221" s="115">
        <f t="shared" si="70"/>
        <v>0</v>
      </c>
      <c r="N221" s="206"/>
      <c r="O221" s="114">
        <f t="shared" si="71"/>
        <v>0</v>
      </c>
      <c r="P221" s="29"/>
      <c r="Q221" s="35">
        <f t="shared" si="76"/>
        <v>0</v>
      </c>
      <c r="R221" s="35"/>
      <c r="S221" s="114">
        <f t="shared" si="72"/>
        <v>0</v>
      </c>
      <c r="T221" s="81">
        <f t="shared" si="73"/>
        <v>0</v>
      </c>
      <c r="V221" s="102">
        <f t="shared" si="74"/>
        <v>0</v>
      </c>
      <c r="W221" s="29"/>
      <c r="X221" s="29">
        <f t="shared" si="75"/>
        <v>0</v>
      </c>
    </row>
    <row r="222" spans="1:24" hidden="1">
      <c r="A222" s="73" t="s">
        <v>3</v>
      </c>
      <c r="B222" s="109">
        <f t="shared" si="64"/>
        <v>0</v>
      </c>
      <c r="D222" s="188">
        <f t="shared" si="65"/>
        <v>0</v>
      </c>
      <c r="E222" s="177">
        <f t="shared" si="66"/>
        <v>0</v>
      </c>
      <c r="F222" s="57"/>
      <c r="G222" s="184">
        <f t="shared" si="67"/>
        <v>0</v>
      </c>
      <c r="I222" s="114">
        <f t="shared" si="69"/>
        <v>0</v>
      </c>
      <c r="K222" s="114">
        <f t="shared" si="68"/>
        <v>0</v>
      </c>
      <c r="L222" s="34"/>
      <c r="M222" s="115">
        <f t="shared" si="70"/>
        <v>0</v>
      </c>
      <c r="N222" s="206"/>
      <c r="O222" s="114">
        <f t="shared" si="71"/>
        <v>0</v>
      </c>
      <c r="P222" s="29"/>
      <c r="Q222" s="35">
        <f t="shared" si="76"/>
        <v>0</v>
      </c>
      <c r="R222" s="35"/>
      <c r="S222" s="114">
        <f t="shared" si="72"/>
        <v>0</v>
      </c>
      <c r="T222" s="81">
        <f t="shared" si="73"/>
        <v>0</v>
      </c>
      <c r="V222" s="102">
        <f t="shared" si="74"/>
        <v>0</v>
      </c>
      <c r="W222" s="29"/>
      <c r="X222" s="29">
        <f t="shared" si="75"/>
        <v>0</v>
      </c>
    </row>
    <row r="223" spans="1:24" hidden="1">
      <c r="A223" s="73" t="s">
        <v>3</v>
      </c>
      <c r="B223" s="109">
        <f t="shared" si="64"/>
        <v>0</v>
      </c>
      <c r="D223" s="188">
        <f t="shared" si="65"/>
        <v>0</v>
      </c>
      <c r="E223" s="177">
        <f t="shared" si="66"/>
        <v>0</v>
      </c>
      <c r="F223" s="57"/>
      <c r="G223" s="184">
        <f t="shared" si="67"/>
        <v>0</v>
      </c>
      <c r="I223" s="114">
        <f t="shared" si="69"/>
        <v>0</v>
      </c>
      <c r="K223" s="114">
        <f t="shared" si="68"/>
        <v>0</v>
      </c>
      <c r="L223" s="34"/>
      <c r="M223" s="115">
        <f t="shared" si="70"/>
        <v>0</v>
      </c>
      <c r="N223" s="206"/>
      <c r="O223" s="114">
        <f t="shared" si="71"/>
        <v>0</v>
      </c>
      <c r="P223" s="29"/>
      <c r="Q223" s="35">
        <f t="shared" si="76"/>
        <v>0</v>
      </c>
      <c r="R223" s="35"/>
      <c r="S223" s="114">
        <f t="shared" si="72"/>
        <v>0</v>
      </c>
      <c r="T223" s="81">
        <f t="shared" si="73"/>
        <v>0</v>
      </c>
      <c r="V223" s="102">
        <f t="shared" si="74"/>
        <v>0</v>
      </c>
      <c r="W223" s="29"/>
      <c r="X223" s="29">
        <f t="shared" si="75"/>
        <v>0</v>
      </c>
    </row>
    <row r="224" spans="1:24" hidden="1">
      <c r="A224" s="73" t="s">
        <v>3</v>
      </c>
      <c r="B224" s="109">
        <f t="shared" si="64"/>
        <v>0</v>
      </c>
      <c r="D224" s="188">
        <f t="shared" si="65"/>
        <v>0</v>
      </c>
      <c r="E224" s="177">
        <f t="shared" si="66"/>
        <v>0</v>
      </c>
      <c r="F224" s="57"/>
      <c r="G224" s="184">
        <f t="shared" si="67"/>
        <v>0</v>
      </c>
      <c r="I224" s="114">
        <f t="shared" si="69"/>
        <v>0</v>
      </c>
      <c r="K224" s="114">
        <f t="shared" si="68"/>
        <v>0</v>
      </c>
      <c r="L224" s="34"/>
      <c r="M224" s="115">
        <f t="shared" si="70"/>
        <v>0</v>
      </c>
      <c r="N224" s="206"/>
      <c r="O224" s="114">
        <f t="shared" si="71"/>
        <v>0</v>
      </c>
      <c r="P224" s="29"/>
      <c r="Q224" s="35">
        <f t="shared" si="76"/>
        <v>0</v>
      </c>
      <c r="R224" s="35"/>
      <c r="S224" s="114">
        <f t="shared" si="72"/>
        <v>0</v>
      </c>
      <c r="T224" s="81">
        <f t="shared" si="73"/>
        <v>0</v>
      </c>
      <c r="V224" s="102">
        <f t="shared" si="74"/>
        <v>0</v>
      </c>
      <c r="W224" s="29"/>
      <c r="X224" s="29">
        <f t="shared" si="75"/>
        <v>0</v>
      </c>
    </row>
    <row r="225" spans="1:24" hidden="1">
      <c r="A225" s="73" t="s">
        <v>3</v>
      </c>
      <c r="B225" s="109">
        <f t="shared" si="64"/>
        <v>0</v>
      </c>
      <c r="D225" s="188">
        <f t="shared" si="65"/>
        <v>0</v>
      </c>
      <c r="E225" s="177">
        <f t="shared" si="66"/>
        <v>0</v>
      </c>
      <c r="F225" s="57"/>
      <c r="G225" s="184">
        <f t="shared" si="67"/>
        <v>0</v>
      </c>
      <c r="I225" s="114">
        <f t="shared" si="69"/>
        <v>0</v>
      </c>
      <c r="K225" s="114">
        <f t="shared" si="68"/>
        <v>0</v>
      </c>
      <c r="L225" s="34"/>
      <c r="M225" s="115">
        <f t="shared" si="70"/>
        <v>0</v>
      </c>
      <c r="N225" s="206"/>
      <c r="O225" s="114">
        <f t="shared" si="71"/>
        <v>0</v>
      </c>
      <c r="P225" s="29"/>
      <c r="Q225" s="35">
        <f t="shared" si="76"/>
        <v>0</v>
      </c>
      <c r="R225" s="35"/>
      <c r="S225" s="114">
        <f t="shared" si="72"/>
        <v>0</v>
      </c>
      <c r="T225" s="81">
        <f t="shared" si="73"/>
        <v>0</v>
      </c>
      <c r="V225" s="102">
        <f t="shared" si="74"/>
        <v>0</v>
      </c>
      <c r="W225" s="29"/>
      <c r="X225" s="29">
        <f t="shared" si="75"/>
        <v>0</v>
      </c>
    </row>
    <row r="226" spans="1:24" hidden="1">
      <c r="A226" s="73" t="s">
        <v>3</v>
      </c>
      <c r="B226" s="109">
        <f t="shared" si="64"/>
        <v>0</v>
      </c>
      <c r="D226" s="188">
        <f t="shared" si="65"/>
        <v>0</v>
      </c>
      <c r="E226" s="177">
        <f t="shared" si="66"/>
        <v>0</v>
      </c>
      <c r="F226" s="57"/>
      <c r="G226" s="184">
        <f t="shared" si="67"/>
        <v>0</v>
      </c>
      <c r="I226" s="114">
        <f t="shared" si="69"/>
        <v>0</v>
      </c>
      <c r="K226" s="114">
        <f t="shared" si="68"/>
        <v>0</v>
      </c>
      <c r="L226" s="34"/>
      <c r="M226" s="115">
        <f t="shared" si="70"/>
        <v>0</v>
      </c>
      <c r="N226" s="206"/>
      <c r="O226" s="114">
        <f t="shared" si="71"/>
        <v>0</v>
      </c>
      <c r="P226" s="29"/>
      <c r="Q226" s="35">
        <f t="shared" si="76"/>
        <v>0</v>
      </c>
      <c r="R226" s="35"/>
      <c r="S226" s="114">
        <f t="shared" si="72"/>
        <v>0</v>
      </c>
      <c r="T226" s="81">
        <f t="shared" si="73"/>
        <v>0</v>
      </c>
      <c r="V226" s="102">
        <f t="shared" si="74"/>
        <v>0</v>
      </c>
      <c r="W226" s="29"/>
      <c r="X226" s="29">
        <f t="shared" si="75"/>
        <v>0</v>
      </c>
    </row>
    <row r="227" spans="1:24" hidden="1">
      <c r="A227" s="73" t="s">
        <v>3</v>
      </c>
      <c r="B227" s="109">
        <f t="shared" si="64"/>
        <v>0</v>
      </c>
      <c r="D227" s="188">
        <f t="shared" si="65"/>
        <v>0</v>
      </c>
      <c r="E227" s="177">
        <f t="shared" si="66"/>
        <v>0</v>
      </c>
      <c r="F227" s="57"/>
      <c r="G227" s="184">
        <f t="shared" si="67"/>
        <v>0</v>
      </c>
      <c r="I227" s="114">
        <f t="shared" si="69"/>
        <v>0</v>
      </c>
      <c r="K227" s="114">
        <f t="shared" si="68"/>
        <v>0</v>
      </c>
      <c r="L227" s="34"/>
      <c r="M227" s="115">
        <f t="shared" si="70"/>
        <v>0</v>
      </c>
      <c r="N227" s="206"/>
      <c r="O227" s="114">
        <f t="shared" si="71"/>
        <v>0</v>
      </c>
      <c r="P227" s="29"/>
      <c r="Q227" s="35">
        <f t="shared" si="76"/>
        <v>0</v>
      </c>
      <c r="R227" s="35"/>
      <c r="S227" s="114">
        <f t="shared" si="72"/>
        <v>0</v>
      </c>
      <c r="T227" s="81">
        <f t="shared" si="73"/>
        <v>0</v>
      </c>
      <c r="V227" s="102">
        <f t="shared" si="74"/>
        <v>0</v>
      </c>
      <c r="W227" s="29"/>
      <c r="X227" s="29">
        <f t="shared" si="75"/>
        <v>0</v>
      </c>
    </row>
    <row r="228" spans="1:24" hidden="1">
      <c r="A228" s="73" t="s">
        <v>3</v>
      </c>
      <c r="B228" s="109">
        <f t="shared" si="64"/>
        <v>0</v>
      </c>
      <c r="D228" s="188">
        <f t="shared" si="65"/>
        <v>0</v>
      </c>
      <c r="E228" s="177">
        <f t="shared" si="66"/>
        <v>0</v>
      </c>
      <c r="F228" s="57"/>
      <c r="G228" s="184">
        <f t="shared" si="67"/>
        <v>0</v>
      </c>
      <c r="I228" s="114">
        <f t="shared" si="69"/>
        <v>0</v>
      </c>
      <c r="K228" s="114">
        <f t="shared" si="68"/>
        <v>0</v>
      </c>
      <c r="L228" s="34"/>
      <c r="M228" s="115">
        <f t="shared" si="70"/>
        <v>0</v>
      </c>
      <c r="N228" s="206"/>
      <c r="O228" s="114">
        <f t="shared" si="71"/>
        <v>0</v>
      </c>
      <c r="P228" s="29"/>
      <c r="Q228" s="35">
        <f t="shared" si="76"/>
        <v>0</v>
      </c>
      <c r="R228" s="35"/>
      <c r="S228" s="114">
        <f t="shared" si="72"/>
        <v>0</v>
      </c>
      <c r="T228" s="81">
        <f t="shared" si="73"/>
        <v>0</v>
      </c>
      <c r="V228" s="102">
        <f t="shared" si="74"/>
        <v>0</v>
      </c>
      <c r="W228" s="29"/>
      <c r="X228" s="29">
        <f t="shared" si="75"/>
        <v>0</v>
      </c>
    </row>
    <row r="229" spans="1:24" hidden="1">
      <c r="A229" s="73" t="s">
        <v>3</v>
      </c>
      <c r="B229" s="109">
        <f t="shared" si="64"/>
        <v>0</v>
      </c>
      <c r="D229" s="188">
        <f t="shared" si="65"/>
        <v>0</v>
      </c>
      <c r="E229" s="177">
        <f t="shared" si="66"/>
        <v>0</v>
      </c>
      <c r="F229" s="57"/>
      <c r="G229" s="184">
        <f t="shared" si="67"/>
        <v>0</v>
      </c>
      <c r="I229" s="114">
        <f t="shared" si="69"/>
        <v>0</v>
      </c>
      <c r="K229" s="114">
        <f t="shared" si="68"/>
        <v>0</v>
      </c>
      <c r="L229" s="34"/>
      <c r="M229" s="115">
        <f t="shared" si="70"/>
        <v>0</v>
      </c>
      <c r="N229" s="206"/>
      <c r="O229" s="114">
        <f t="shared" si="71"/>
        <v>0</v>
      </c>
      <c r="P229" s="29"/>
      <c r="Q229" s="35">
        <f t="shared" si="76"/>
        <v>0</v>
      </c>
      <c r="R229" s="35"/>
      <c r="S229" s="114">
        <f t="shared" si="72"/>
        <v>0</v>
      </c>
      <c r="T229" s="81">
        <f t="shared" si="73"/>
        <v>0</v>
      </c>
      <c r="V229" s="102">
        <f t="shared" si="74"/>
        <v>0</v>
      </c>
      <c r="W229" s="29"/>
      <c r="X229" s="29">
        <f t="shared" si="75"/>
        <v>0</v>
      </c>
    </row>
    <row r="230" spans="1:24" hidden="1">
      <c r="A230" s="73" t="s">
        <v>3</v>
      </c>
      <c r="B230" s="109">
        <f t="shared" si="64"/>
        <v>0</v>
      </c>
      <c r="D230" s="188">
        <f t="shared" si="65"/>
        <v>0</v>
      </c>
      <c r="E230" s="177">
        <f t="shared" si="66"/>
        <v>0</v>
      </c>
      <c r="F230" s="57"/>
      <c r="G230" s="184">
        <f t="shared" si="67"/>
        <v>0</v>
      </c>
      <c r="I230" s="114">
        <f t="shared" si="69"/>
        <v>0</v>
      </c>
      <c r="K230" s="114">
        <f t="shared" si="68"/>
        <v>0</v>
      </c>
      <c r="L230" s="34"/>
      <c r="M230" s="115">
        <f t="shared" si="70"/>
        <v>0</v>
      </c>
      <c r="N230" s="206"/>
      <c r="O230" s="114">
        <f t="shared" si="71"/>
        <v>0</v>
      </c>
      <c r="P230" s="29"/>
      <c r="Q230" s="35">
        <f t="shared" si="76"/>
        <v>0</v>
      </c>
      <c r="R230" s="35"/>
      <c r="S230" s="114">
        <f t="shared" si="72"/>
        <v>0</v>
      </c>
      <c r="T230" s="81">
        <f t="shared" si="73"/>
        <v>0</v>
      </c>
      <c r="V230" s="102">
        <f t="shared" si="74"/>
        <v>0</v>
      </c>
      <c r="W230" s="29"/>
      <c r="X230" s="29">
        <f t="shared" si="75"/>
        <v>0</v>
      </c>
    </row>
    <row r="231" spans="1:24" hidden="1">
      <c r="A231" s="73" t="s">
        <v>3</v>
      </c>
      <c r="B231" s="109">
        <f t="shared" si="64"/>
        <v>0</v>
      </c>
      <c r="D231" s="188">
        <f t="shared" si="65"/>
        <v>0</v>
      </c>
      <c r="E231" s="177">
        <f t="shared" si="66"/>
        <v>0</v>
      </c>
      <c r="F231" s="57"/>
      <c r="G231" s="184">
        <f t="shared" si="67"/>
        <v>0</v>
      </c>
      <c r="I231" s="114">
        <f t="shared" si="69"/>
        <v>0</v>
      </c>
      <c r="K231" s="114">
        <f t="shared" si="68"/>
        <v>0</v>
      </c>
      <c r="L231" s="34"/>
      <c r="M231" s="115">
        <f t="shared" si="70"/>
        <v>0</v>
      </c>
      <c r="N231" s="206"/>
      <c r="O231" s="114">
        <f t="shared" si="71"/>
        <v>0</v>
      </c>
      <c r="P231" s="29"/>
      <c r="Q231" s="35">
        <f t="shared" si="76"/>
        <v>0</v>
      </c>
      <c r="R231" s="35"/>
      <c r="S231" s="114">
        <f t="shared" si="72"/>
        <v>0</v>
      </c>
      <c r="T231" s="81">
        <f t="shared" si="73"/>
        <v>0</v>
      </c>
      <c r="V231" s="102">
        <f t="shared" si="74"/>
        <v>0</v>
      </c>
      <c r="W231" s="29"/>
      <c r="X231" s="29">
        <f t="shared" si="75"/>
        <v>0</v>
      </c>
    </row>
    <row r="232" spans="1:24" hidden="1">
      <c r="A232" s="73" t="s">
        <v>3</v>
      </c>
      <c r="B232" s="109">
        <f t="shared" si="64"/>
        <v>0</v>
      </c>
      <c r="D232" s="188">
        <f t="shared" si="65"/>
        <v>0</v>
      </c>
      <c r="E232" s="177">
        <f t="shared" si="66"/>
        <v>0</v>
      </c>
      <c r="F232" s="57"/>
      <c r="G232" s="184">
        <f t="shared" si="67"/>
        <v>0</v>
      </c>
      <c r="I232" s="114">
        <f t="shared" si="69"/>
        <v>0</v>
      </c>
      <c r="K232" s="114">
        <f t="shared" si="68"/>
        <v>0</v>
      </c>
      <c r="L232" s="34"/>
      <c r="M232" s="115">
        <f t="shared" si="70"/>
        <v>0</v>
      </c>
      <c r="N232" s="206"/>
      <c r="O232" s="114">
        <f t="shared" si="71"/>
        <v>0</v>
      </c>
      <c r="P232" s="29"/>
      <c r="Q232" s="35">
        <f t="shared" si="76"/>
        <v>0</v>
      </c>
      <c r="R232" s="35"/>
      <c r="S232" s="114">
        <f t="shared" si="72"/>
        <v>0</v>
      </c>
      <c r="T232" s="81">
        <f t="shared" si="73"/>
        <v>0</v>
      </c>
      <c r="V232" s="102">
        <f t="shared" si="74"/>
        <v>0</v>
      </c>
      <c r="W232" s="29"/>
      <c r="X232" s="29">
        <f t="shared" si="75"/>
        <v>0</v>
      </c>
    </row>
    <row r="233" spans="1:24" hidden="1">
      <c r="A233" s="73" t="s">
        <v>3</v>
      </c>
      <c r="B233" s="109">
        <f t="shared" si="64"/>
        <v>0</v>
      </c>
      <c r="D233" s="188">
        <f t="shared" si="65"/>
        <v>0</v>
      </c>
      <c r="E233" s="177">
        <f t="shared" si="66"/>
        <v>0</v>
      </c>
      <c r="F233" s="57"/>
      <c r="G233" s="184">
        <f t="shared" si="67"/>
        <v>0</v>
      </c>
      <c r="I233" s="114">
        <f t="shared" si="69"/>
        <v>0</v>
      </c>
      <c r="K233" s="114">
        <f t="shared" si="68"/>
        <v>0</v>
      </c>
      <c r="L233" s="34"/>
      <c r="M233" s="115">
        <f t="shared" si="70"/>
        <v>0</v>
      </c>
      <c r="N233" s="206"/>
      <c r="O233" s="114">
        <f t="shared" si="71"/>
        <v>0</v>
      </c>
      <c r="P233" s="29"/>
      <c r="Q233" s="35">
        <f t="shared" si="76"/>
        <v>0</v>
      </c>
      <c r="R233" s="35"/>
      <c r="S233" s="114">
        <f t="shared" si="72"/>
        <v>0</v>
      </c>
      <c r="T233" s="81">
        <f t="shared" si="73"/>
        <v>0</v>
      </c>
      <c r="V233" s="102">
        <f t="shared" si="74"/>
        <v>0</v>
      </c>
      <c r="W233" s="29"/>
      <c r="X233" s="29">
        <f t="shared" si="75"/>
        <v>0</v>
      </c>
    </row>
    <row r="234" spans="1:24" hidden="1">
      <c r="A234" s="73" t="s">
        <v>3</v>
      </c>
      <c r="B234" s="109">
        <f t="shared" si="64"/>
        <v>0</v>
      </c>
      <c r="D234" s="188">
        <f t="shared" si="65"/>
        <v>0</v>
      </c>
      <c r="E234" s="177">
        <f t="shared" si="66"/>
        <v>0</v>
      </c>
      <c r="F234" s="57"/>
      <c r="G234" s="184">
        <f t="shared" si="67"/>
        <v>0</v>
      </c>
      <c r="I234" s="114">
        <f t="shared" si="69"/>
        <v>0</v>
      </c>
      <c r="K234" s="114">
        <f t="shared" si="68"/>
        <v>0</v>
      </c>
      <c r="L234" s="34"/>
      <c r="M234" s="115">
        <f t="shared" si="70"/>
        <v>0</v>
      </c>
      <c r="N234" s="206"/>
      <c r="O234" s="114">
        <f t="shared" si="71"/>
        <v>0</v>
      </c>
      <c r="P234" s="29"/>
      <c r="Q234" s="35">
        <f t="shared" si="76"/>
        <v>0</v>
      </c>
      <c r="R234" s="35"/>
      <c r="S234" s="114">
        <f t="shared" si="72"/>
        <v>0</v>
      </c>
      <c r="T234" s="81">
        <f t="shared" si="73"/>
        <v>0</v>
      </c>
      <c r="V234" s="102">
        <f t="shared" si="74"/>
        <v>0</v>
      </c>
      <c r="W234" s="29"/>
      <c r="X234" s="29">
        <f t="shared" si="75"/>
        <v>0</v>
      </c>
    </row>
    <row r="235" spans="1:24" hidden="1">
      <c r="A235" s="73" t="s">
        <v>3</v>
      </c>
      <c r="B235" s="109">
        <f t="shared" si="64"/>
        <v>0</v>
      </c>
      <c r="D235" s="188">
        <f t="shared" si="65"/>
        <v>0</v>
      </c>
      <c r="E235" s="177">
        <f t="shared" si="66"/>
        <v>0</v>
      </c>
      <c r="F235" s="57"/>
      <c r="G235" s="184">
        <f t="shared" si="67"/>
        <v>0</v>
      </c>
      <c r="I235" s="114">
        <f t="shared" si="69"/>
        <v>0</v>
      </c>
      <c r="K235" s="114">
        <f t="shared" si="68"/>
        <v>0</v>
      </c>
      <c r="L235" s="34"/>
      <c r="M235" s="115">
        <f t="shared" si="70"/>
        <v>0</v>
      </c>
      <c r="N235" s="206"/>
      <c r="O235" s="114">
        <f t="shared" si="71"/>
        <v>0</v>
      </c>
      <c r="P235" s="29"/>
      <c r="Q235" s="35">
        <f t="shared" si="76"/>
        <v>0</v>
      </c>
      <c r="R235" s="35"/>
      <c r="S235" s="114">
        <f t="shared" si="72"/>
        <v>0</v>
      </c>
      <c r="T235" s="81">
        <f t="shared" si="73"/>
        <v>0</v>
      </c>
      <c r="V235" s="102">
        <f t="shared" si="74"/>
        <v>0</v>
      </c>
      <c r="W235" s="29"/>
      <c r="X235" s="29">
        <f t="shared" si="75"/>
        <v>0</v>
      </c>
    </row>
    <row r="236" spans="1:24" hidden="1">
      <c r="A236" s="73" t="s">
        <v>3</v>
      </c>
      <c r="B236" s="109">
        <f t="shared" si="64"/>
        <v>0</v>
      </c>
      <c r="D236" s="188">
        <f t="shared" si="65"/>
        <v>0</v>
      </c>
      <c r="E236" s="177">
        <f t="shared" si="66"/>
        <v>0</v>
      </c>
      <c r="F236" s="57"/>
      <c r="G236" s="184">
        <f t="shared" si="67"/>
        <v>0</v>
      </c>
      <c r="I236" s="114">
        <f t="shared" si="69"/>
        <v>0</v>
      </c>
      <c r="K236" s="114">
        <f t="shared" si="68"/>
        <v>0</v>
      </c>
      <c r="L236" s="34"/>
      <c r="M236" s="115">
        <f t="shared" si="70"/>
        <v>0</v>
      </c>
      <c r="N236" s="206"/>
      <c r="O236" s="114">
        <f t="shared" si="71"/>
        <v>0</v>
      </c>
      <c r="P236" s="29"/>
      <c r="Q236" s="35">
        <f t="shared" si="76"/>
        <v>0</v>
      </c>
      <c r="R236" s="35"/>
      <c r="S236" s="114">
        <f t="shared" si="72"/>
        <v>0</v>
      </c>
      <c r="T236" s="81">
        <f t="shared" si="73"/>
        <v>0</v>
      </c>
      <c r="V236" s="102">
        <f t="shared" si="74"/>
        <v>0</v>
      </c>
      <c r="W236" s="29"/>
      <c r="X236" s="29">
        <f t="shared" si="75"/>
        <v>0</v>
      </c>
    </row>
    <row r="237" spans="1:24" hidden="1">
      <c r="A237" s="73" t="s">
        <v>3</v>
      </c>
      <c r="B237" s="109">
        <f t="shared" si="64"/>
        <v>0</v>
      </c>
      <c r="D237" s="188">
        <f t="shared" si="65"/>
        <v>0</v>
      </c>
      <c r="E237" s="177">
        <f t="shared" si="66"/>
        <v>0</v>
      </c>
      <c r="F237" s="57"/>
      <c r="G237" s="184">
        <f t="shared" si="67"/>
        <v>0</v>
      </c>
      <c r="I237" s="114">
        <f t="shared" si="69"/>
        <v>0</v>
      </c>
      <c r="K237" s="114">
        <f t="shared" si="68"/>
        <v>0</v>
      </c>
      <c r="L237" s="34"/>
      <c r="M237" s="115">
        <f t="shared" si="70"/>
        <v>0</v>
      </c>
      <c r="N237" s="206"/>
      <c r="O237" s="114">
        <f t="shared" si="71"/>
        <v>0</v>
      </c>
      <c r="P237" s="29"/>
      <c r="Q237" s="35">
        <f t="shared" si="76"/>
        <v>0</v>
      </c>
      <c r="R237" s="35"/>
      <c r="S237" s="114">
        <f t="shared" si="72"/>
        <v>0</v>
      </c>
      <c r="T237" s="81">
        <f t="shared" si="73"/>
        <v>0</v>
      </c>
      <c r="V237" s="102">
        <f t="shared" si="74"/>
        <v>0</v>
      </c>
      <c r="W237" s="29"/>
      <c r="X237" s="29">
        <f t="shared" si="75"/>
        <v>0</v>
      </c>
    </row>
    <row r="238" spans="1:24" hidden="1">
      <c r="A238" s="73" t="s">
        <v>3</v>
      </c>
      <c r="B238" s="109">
        <f t="shared" si="64"/>
        <v>0</v>
      </c>
      <c r="D238" s="188">
        <f t="shared" si="65"/>
        <v>0</v>
      </c>
      <c r="E238" s="177">
        <f t="shared" si="66"/>
        <v>0</v>
      </c>
      <c r="F238" s="57"/>
      <c r="G238" s="184">
        <f t="shared" si="67"/>
        <v>0</v>
      </c>
      <c r="I238" s="114">
        <f t="shared" si="69"/>
        <v>0</v>
      </c>
      <c r="K238" s="114">
        <f t="shared" si="68"/>
        <v>0</v>
      </c>
      <c r="L238" s="34"/>
      <c r="M238" s="115">
        <f t="shared" si="70"/>
        <v>0</v>
      </c>
      <c r="N238" s="206"/>
      <c r="O238" s="114">
        <f t="shared" si="71"/>
        <v>0</v>
      </c>
      <c r="P238" s="29"/>
      <c r="Q238" s="35">
        <f t="shared" si="76"/>
        <v>0</v>
      </c>
      <c r="R238" s="35"/>
      <c r="S238" s="114">
        <f t="shared" si="72"/>
        <v>0</v>
      </c>
      <c r="T238" s="81">
        <f t="shared" si="73"/>
        <v>0</v>
      </c>
      <c r="V238" s="102">
        <f t="shared" si="74"/>
        <v>0</v>
      </c>
      <c r="W238" s="29"/>
      <c r="X238" s="29">
        <f t="shared" si="75"/>
        <v>0</v>
      </c>
    </row>
    <row r="239" spans="1:24" hidden="1">
      <c r="A239" s="73" t="s">
        <v>3</v>
      </c>
      <c r="B239" s="109">
        <f t="shared" si="64"/>
        <v>0</v>
      </c>
      <c r="D239" s="188">
        <f t="shared" si="65"/>
        <v>0</v>
      </c>
      <c r="E239" s="177">
        <f t="shared" si="66"/>
        <v>0</v>
      </c>
      <c r="F239" s="57"/>
      <c r="G239" s="184">
        <f t="shared" si="67"/>
        <v>0</v>
      </c>
      <c r="I239" s="114">
        <f t="shared" si="69"/>
        <v>0</v>
      </c>
      <c r="K239" s="114">
        <f t="shared" si="68"/>
        <v>0</v>
      </c>
      <c r="L239" s="34"/>
      <c r="M239" s="115">
        <f t="shared" si="70"/>
        <v>0</v>
      </c>
      <c r="N239" s="206"/>
      <c r="O239" s="114">
        <f t="shared" si="71"/>
        <v>0</v>
      </c>
      <c r="P239" s="29"/>
      <c r="Q239" s="35">
        <f t="shared" si="76"/>
        <v>0</v>
      </c>
      <c r="R239" s="35"/>
      <c r="S239" s="114">
        <f t="shared" si="72"/>
        <v>0</v>
      </c>
      <c r="T239" s="81">
        <f t="shared" si="73"/>
        <v>0</v>
      </c>
      <c r="V239" s="102">
        <f t="shared" si="74"/>
        <v>0</v>
      </c>
      <c r="W239" s="29"/>
      <c r="X239" s="29">
        <f t="shared" si="75"/>
        <v>0</v>
      </c>
    </row>
    <row r="240" spans="1:24" hidden="1">
      <c r="A240" s="73" t="s">
        <v>3</v>
      </c>
      <c r="B240" s="109">
        <f t="shared" si="64"/>
        <v>0</v>
      </c>
      <c r="D240" s="188">
        <f t="shared" si="65"/>
        <v>0</v>
      </c>
      <c r="E240" s="177">
        <f t="shared" si="66"/>
        <v>0</v>
      </c>
      <c r="F240" s="57"/>
      <c r="G240" s="184">
        <f t="shared" si="67"/>
        <v>0</v>
      </c>
      <c r="I240" s="114">
        <f t="shared" si="69"/>
        <v>0</v>
      </c>
      <c r="K240" s="114">
        <f t="shared" si="68"/>
        <v>0</v>
      </c>
      <c r="L240" s="34"/>
      <c r="M240" s="115">
        <f t="shared" si="70"/>
        <v>0</v>
      </c>
      <c r="N240" s="206"/>
      <c r="O240" s="114">
        <f t="shared" si="71"/>
        <v>0</v>
      </c>
      <c r="P240" s="29"/>
      <c r="Q240" s="35">
        <f t="shared" si="76"/>
        <v>0</v>
      </c>
      <c r="R240" s="35"/>
      <c r="S240" s="114">
        <f t="shared" si="72"/>
        <v>0</v>
      </c>
      <c r="T240" s="81">
        <f t="shared" si="73"/>
        <v>0</v>
      </c>
      <c r="V240" s="102">
        <f t="shared" si="74"/>
        <v>0</v>
      </c>
      <c r="W240" s="29"/>
      <c r="X240" s="29">
        <f t="shared" si="75"/>
        <v>0</v>
      </c>
    </row>
    <row r="241" spans="1:25" hidden="1">
      <c r="A241" s="73" t="s">
        <v>3</v>
      </c>
      <c r="B241" s="109">
        <f t="shared" si="64"/>
        <v>0</v>
      </c>
      <c r="D241" s="188">
        <f t="shared" si="65"/>
        <v>0</v>
      </c>
      <c r="E241" s="177">
        <f t="shared" si="66"/>
        <v>0</v>
      </c>
      <c r="F241" s="57"/>
      <c r="G241" s="184">
        <f t="shared" si="67"/>
        <v>0</v>
      </c>
      <c r="I241" s="114">
        <f t="shared" si="69"/>
        <v>0</v>
      </c>
      <c r="K241" s="114">
        <f t="shared" si="68"/>
        <v>0</v>
      </c>
      <c r="L241" s="34"/>
      <c r="M241" s="115">
        <f t="shared" si="70"/>
        <v>0</v>
      </c>
      <c r="N241" s="206"/>
      <c r="O241" s="114">
        <f t="shared" si="71"/>
        <v>0</v>
      </c>
      <c r="P241" s="29"/>
      <c r="Q241" s="35">
        <f t="shared" si="76"/>
        <v>0</v>
      </c>
      <c r="R241" s="35"/>
      <c r="S241" s="114">
        <f t="shared" si="72"/>
        <v>0</v>
      </c>
      <c r="T241" s="81">
        <f t="shared" si="73"/>
        <v>0</v>
      </c>
      <c r="V241" s="102">
        <f t="shared" si="74"/>
        <v>0</v>
      </c>
      <c r="W241" s="29"/>
      <c r="X241" s="29">
        <f t="shared" si="75"/>
        <v>0</v>
      </c>
    </row>
    <row r="242" spans="1:25" hidden="1">
      <c r="A242" s="73" t="s">
        <v>3</v>
      </c>
      <c r="B242" s="109">
        <f t="shared" si="64"/>
        <v>0</v>
      </c>
      <c r="D242" s="188">
        <f t="shared" si="65"/>
        <v>0</v>
      </c>
      <c r="E242" s="177">
        <f t="shared" si="66"/>
        <v>0</v>
      </c>
      <c r="F242" s="57"/>
      <c r="G242" s="184">
        <f t="shared" si="67"/>
        <v>0</v>
      </c>
      <c r="I242" s="114">
        <f t="shared" si="69"/>
        <v>0</v>
      </c>
      <c r="K242" s="114">
        <f t="shared" si="68"/>
        <v>0</v>
      </c>
      <c r="L242" s="34"/>
      <c r="M242" s="115">
        <f t="shared" si="70"/>
        <v>0</v>
      </c>
      <c r="N242" s="206"/>
      <c r="O242" s="114">
        <f t="shared" si="71"/>
        <v>0</v>
      </c>
      <c r="P242" s="29"/>
      <c r="Q242" s="35">
        <f t="shared" si="76"/>
        <v>0</v>
      </c>
      <c r="R242" s="35"/>
      <c r="S242" s="114">
        <f t="shared" si="72"/>
        <v>0</v>
      </c>
      <c r="T242" s="81">
        <f t="shared" si="73"/>
        <v>0</v>
      </c>
      <c r="V242" s="102">
        <f t="shared" si="74"/>
        <v>0</v>
      </c>
      <c r="W242" s="29"/>
      <c r="X242" s="29">
        <f t="shared" si="75"/>
        <v>0</v>
      </c>
    </row>
    <row r="243" spans="1:25" hidden="1">
      <c r="A243" s="73" t="s">
        <v>3</v>
      </c>
      <c r="B243" s="109">
        <f t="shared" si="64"/>
        <v>0</v>
      </c>
      <c r="D243" s="188">
        <f t="shared" si="65"/>
        <v>0</v>
      </c>
      <c r="E243" s="177">
        <f t="shared" si="66"/>
        <v>0</v>
      </c>
      <c r="F243" s="57"/>
      <c r="G243" s="184">
        <f t="shared" si="67"/>
        <v>0</v>
      </c>
      <c r="I243" s="114">
        <f t="shared" si="69"/>
        <v>0</v>
      </c>
      <c r="K243" s="114">
        <f t="shared" si="68"/>
        <v>0</v>
      </c>
      <c r="L243" s="34"/>
      <c r="M243" s="115">
        <f t="shared" si="70"/>
        <v>0</v>
      </c>
      <c r="N243" s="206"/>
      <c r="O243" s="114">
        <f t="shared" si="71"/>
        <v>0</v>
      </c>
      <c r="P243" s="29"/>
      <c r="Q243" s="35">
        <f t="shared" si="76"/>
        <v>0</v>
      </c>
      <c r="R243" s="35"/>
      <c r="S243" s="114">
        <f t="shared" si="72"/>
        <v>0</v>
      </c>
      <c r="T243" s="81">
        <f t="shared" si="73"/>
        <v>0</v>
      </c>
      <c r="V243" s="102">
        <f t="shared" si="74"/>
        <v>0</v>
      </c>
      <c r="W243" s="29"/>
      <c r="X243" s="29">
        <f t="shared" si="75"/>
        <v>0</v>
      </c>
    </row>
    <row r="244" spans="1:25" hidden="1">
      <c r="A244" s="73" t="s">
        <v>3</v>
      </c>
      <c r="B244" s="109">
        <f t="shared" si="64"/>
        <v>0</v>
      </c>
      <c r="D244" s="188">
        <f t="shared" si="65"/>
        <v>0</v>
      </c>
      <c r="E244" s="177">
        <f t="shared" si="66"/>
        <v>0</v>
      </c>
      <c r="F244" s="57"/>
      <c r="G244" s="184">
        <f t="shared" si="67"/>
        <v>0</v>
      </c>
      <c r="I244" s="114">
        <f t="shared" si="69"/>
        <v>0</v>
      </c>
      <c r="K244" s="114">
        <f t="shared" si="68"/>
        <v>0</v>
      </c>
      <c r="L244" s="34"/>
      <c r="M244" s="115">
        <f t="shared" si="70"/>
        <v>0</v>
      </c>
      <c r="N244" s="206"/>
      <c r="O244" s="114">
        <f t="shared" si="71"/>
        <v>0</v>
      </c>
      <c r="P244" s="29"/>
      <c r="Q244" s="35">
        <f t="shared" si="76"/>
        <v>0</v>
      </c>
      <c r="R244" s="35"/>
      <c r="S244" s="114">
        <f t="shared" si="72"/>
        <v>0</v>
      </c>
      <c r="T244" s="81">
        <f t="shared" si="73"/>
        <v>0</v>
      </c>
      <c r="V244" s="102">
        <f t="shared" si="74"/>
        <v>0</v>
      </c>
      <c r="W244" s="29"/>
      <c r="X244" s="29">
        <f t="shared" si="75"/>
        <v>0</v>
      </c>
    </row>
    <row r="245" spans="1:25">
      <c r="A245" s="73" t="s">
        <v>323</v>
      </c>
      <c r="B245" s="109"/>
      <c r="C245" s="31"/>
      <c r="D245" s="196">
        <f>SUM(D216:D244)</f>
        <v>0</v>
      </c>
      <c r="E245" s="179">
        <f>IFERROR(D245/G36,0)</f>
        <v>0</v>
      </c>
      <c r="F245" s="152"/>
      <c r="G245" s="190"/>
      <c r="H245" s="149"/>
      <c r="I245" s="171"/>
      <c r="J245" s="149"/>
      <c r="K245" s="171">
        <f>IFERROR((M245/D245)/12,0)</f>
        <v>0</v>
      </c>
      <c r="L245" s="154"/>
      <c r="M245" s="117">
        <f>SUM(M216:M244)</f>
        <v>0</v>
      </c>
      <c r="N245" s="207"/>
      <c r="O245" s="171"/>
      <c r="P245" s="150"/>
      <c r="Q245" s="171"/>
      <c r="R245" s="171"/>
      <c r="S245" s="171"/>
      <c r="T245" s="153"/>
      <c r="U245" s="149"/>
      <c r="V245" s="205">
        <f>IFERROR((X245/D245)/12,0)</f>
        <v>0</v>
      </c>
      <c r="W245" s="150"/>
      <c r="X245" s="117">
        <f>SUM(X216:X244)</f>
        <v>0</v>
      </c>
    </row>
    <row r="246" spans="1:25">
      <c r="A246" s="73"/>
      <c r="B246" s="109"/>
      <c r="C246" s="31"/>
      <c r="D246" s="188"/>
      <c r="E246" s="177"/>
      <c r="F246" s="32"/>
      <c r="G246" s="184"/>
      <c r="I246" s="35"/>
      <c r="K246" s="171"/>
      <c r="L246" s="34"/>
      <c r="M246" s="29"/>
      <c r="N246" s="206"/>
      <c r="O246" s="114"/>
      <c r="P246" s="29"/>
      <c r="Q246" s="35"/>
      <c r="R246" s="35"/>
      <c r="S246" s="114"/>
      <c r="T246" s="58"/>
      <c r="V246" s="102"/>
      <c r="W246" s="29"/>
      <c r="X246" s="29"/>
    </row>
    <row r="247" spans="1:25">
      <c r="A247" s="19" t="s">
        <v>3</v>
      </c>
      <c r="B247" s="109">
        <f>B182</f>
        <v>0</v>
      </c>
      <c r="C247" s="31"/>
      <c r="D247" s="188">
        <f>ROUND(G39*E247,-0.1)</f>
        <v>0</v>
      </c>
      <c r="E247" s="177">
        <f t="shared" ref="E247:E266" si="77">$G$77</f>
        <v>0</v>
      </c>
      <c r="F247" s="57"/>
      <c r="G247" s="79">
        <f>G116</f>
        <v>0</v>
      </c>
      <c r="I247" s="114">
        <f>IFERROR(K247/G247,0)</f>
        <v>0</v>
      </c>
      <c r="K247" s="35">
        <f>VALUE(K116)</f>
        <v>0</v>
      </c>
      <c r="L247" s="34"/>
      <c r="M247" s="115">
        <f>(K247*D247)*12</f>
        <v>0</v>
      </c>
      <c r="N247" s="206"/>
      <c r="O247" s="114">
        <f>IFERROR(Q247/G247,0)</f>
        <v>0</v>
      </c>
      <c r="P247" s="29"/>
      <c r="Q247" s="35">
        <f t="shared" ref="Q247:Q266" si="78">$M$77</f>
        <v>0</v>
      </c>
      <c r="R247" s="35"/>
      <c r="S247" s="114">
        <f>K247-Q247</f>
        <v>0</v>
      </c>
      <c r="T247" s="81">
        <f>IFERROR((K247-Q247)/K247,0)</f>
        <v>0</v>
      </c>
      <c r="V247" s="102">
        <f>IF(Q247&lt;K247,Q247,K247)</f>
        <v>0</v>
      </c>
      <c r="W247" s="29"/>
      <c r="X247" s="29">
        <f>(V247*D247)*12</f>
        <v>0</v>
      </c>
    </row>
    <row r="248" spans="1:25">
      <c r="A248" s="19" t="s">
        <v>3</v>
      </c>
      <c r="B248" s="109">
        <f t="shared" ref="B248:B266" si="79">B183</f>
        <v>0</v>
      </c>
      <c r="C248" s="31"/>
      <c r="D248" s="188">
        <f t="shared" ref="D248:D266" si="80">ROUND(G40*E248,-0.1)</f>
        <v>0</v>
      </c>
      <c r="E248" s="177">
        <f t="shared" si="77"/>
        <v>0</v>
      </c>
      <c r="F248" s="57"/>
      <c r="G248" s="79">
        <f t="shared" ref="G248:G266" si="81">G117</f>
        <v>0</v>
      </c>
      <c r="I248" s="114">
        <f t="shared" ref="I248:I266" si="82">IFERROR(K248/G248,0)</f>
        <v>0</v>
      </c>
      <c r="K248" s="35">
        <f t="shared" ref="K248:K266" si="83">VALUE(K117)</f>
        <v>0</v>
      </c>
      <c r="L248" s="34"/>
      <c r="M248" s="115">
        <f t="shared" ref="M248:M266" si="84">(K248*D248)*12</f>
        <v>0</v>
      </c>
      <c r="N248" s="206"/>
      <c r="O248" s="114">
        <f t="shared" ref="O248:O266" si="85">IFERROR(Q248/G248,0)</f>
        <v>0</v>
      </c>
      <c r="P248" s="29"/>
      <c r="Q248" s="35">
        <f t="shared" si="78"/>
        <v>0</v>
      </c>
      <c r="R248" s="35"/>
      <c r="S248" s="114">
        <f t="shared" ref="S248:S266" si="86">K248-Q248</f>
        <v>0</v>
      </c>
      <c r="T248" s="81">
        <f t="shared" ref="T248:T266" si="87">IFERROR((K248-Q248)/K248,0)</f>
        <v>0</v>
      </c>
      <c r="V248" s="102">
        <f t="shared" ref="V248:V266" si="88">IF(Q248&lt;K248,Q248,K248)</f>
        <v>0</v>
      </c>
      <c r="W248" s="29"/>
      <c r="X248" s="29">
        <f t="shared" ref="X248:X266" si="89">(V248*D248)*12</f>
        <v>0</v>
      </c>
    </row>
    <row r="249" spans="1:25" hidden="1">
      <c r="A249" s="19" t="s">
        <v>3</v>
      </c>
      <c r="B249" s="109">
        <f t="shared" si="79"/>
        <v>0</v>
      </c>
      <c r="C249" s="31"/>
      <c r="D249" s="188">
        <f t="shared" si="80"/>
        <v>0</v>
      </c>
      <c r="E249" s="177">
        <f t="shared" si="77"/>
        <v>0</v>
      </c>
      <c r="F249" s="57"/>
      <c r="G249" s="79">
        <f t="shared" si="81"/>
        <v>0</v>
      </c>
      <c r="I249" s="114">
        <f t="shared" si="82"/>
        <v>0</v>
      </c>
      <c r="K249" s="35">
        <f t="shared" si="83"/>
        <v>0</v>
      </c>
      <c r="L249" s="34"/>
      <c r="M249" s="115">
        <f t="shared" si="84"/>
        <v>0</v>
      </c>
      <c r="N249" s="206"/>
      <c r="O249" s="114">
        <f t="shared" si="85"/>
        <v>0</v>
      </c>
      <c r="P249" s="29"/>
      <c r="Q249" s="35">
        <f t="shared" si="78"/>
        <v>0</v>
      </c>
      <c r="R249" s="35"/>
      <c r="S249" s="114">
        <f t="shared" si="86"/>
        <v>0</v>
      </c>
      <c r="T249" s="81">
        <f t="shared" si="87"/>
        <v>0</v>
      </c>
      <c r="V249" s="102">
        <f t="shared" si="88"/>
        <v>0</v>
      </c>
      <c r="W249" s="29"/>
      <c r="X249" s="29">
        <f t="shared" si="89"/>
        <v>0</v>
      </c>
    </row>
    <row r="250" spans="1:25" hidden="1">
      <c r="A250" s="19" t="s">
        <v>3</v>
      </c>
      <c r="B250" s="109">
        <f t="shared" si="79"/>
        <v>0</v>
      </c>
      <c r="C250" s="31"/>
      <c r="D250" s="188">
        <f t="shared" si="80"/>
        <v>0</v>
      </c>
      <c r="E250" s="177">
        <f t="shared" si="77"/>
        <v>0</v>
      </c>
      <c r="F250" s="57"/>
      <c r="G250" s="79">
        <f t="shared" si="81"/>
        <v>0</v>
      </c>
      <c r="I250" s="114">
        <f t="shared" si="82"/>
        <v>0</v>
      </c>
      <c r="K250" s="35">
        <f t="shared" si="83"/>
        <v>0</v>
      </c>
      <c r="L250" s="34"/>
      <c r="M250" s="115">
        <f t="shared" si="84"/>
        <v>0</v>
      </c>
      <c r="N250" s="206"/>
      <c r="O250" s="114">
        <f t="shared" si="85"/>
        <v>0</v>
      </c>
      <c r="P250" s="29"/>
      <c r="Q250" s="35">
        <f t="shared" si="78"/>
        <v>0</v>
      </c>
      <c r="R250" s="35"/>
      <c r="S250" s="114">
        <f t="shared" si="86"/>
        <v>0</v>
      </c>
      <c r="T250" s="81">
        <f t="shared" si="87"/>
        <v>0</v>
      </c>
      <c r="V250" s="102">
        <f t="shared" si="88"/>
        <v>0</v>
      </c>
      <c r="W250" s="29"/>
      <c r="X250" s="29">
        <f t="shared" si="89"/>
        <v>0</v>
      </c>
    </row>
    <row r="251" spans="1:25" hidden="1">
      <c r="A251" s="19" t="s">
        <v>3</v>
      </c>
      <c r="B251" s="109">
        <f t="shared" si="79"/>
        <v>0</v>
      </c>
      <c r="C251" s="31"/>
      <c r="D251" s="188">
        <f t="shared" si="80"/>
        <v>0</v>
      </c>
      <c r="E251" s="177">
        <f t="shared" si="77"/>
        <v>0</v>
      </c>
      <c r="F251" s="57"/>
      <c r="G251" s="79">
        <f t="shared" si="81"/>
        <v>0</v>
      </c>
      <c r="I251" s="114">
        <f t="shared" si="82"/>
        <v>0</v>
      </c>
      <c r="K251" s="35">
        <f t="shared" si="83"/>
        <v>0</v>
      </c>
      <c r="L251" s="34"/>
      <c r="M251" s="115">
        <f t="shared" si="84"/>
        <v>0</v>
      </c>
      <c r="N251" s="206"/>
      <c r="O251" s="114">
        <f t="shared" si="85"/>
        <v>0</v>
      </c>
      <c r="P251" s="29"/>
      <c r="Q251" s="35">
        <f t="shared" si="78"/>
        <v>0</v>
      </c>
      <c r="R251" s="35"/>
      <c r="S251" s="114">
        <f t="shared" si="86"/>
        <v>0</v>
      </c>
      <c r="T251" s="81">
        <f t="shared" si="87"/>
        <v>0</v>
      </c>
      <c r="V251" s="102">
        <f t="shared" si="88"/>
        <v>0</v>
      </c>
      <c r="W251" s="29"/>
      <c r="X251" s="29">
        <f t="shared" si="89"/>
        <v>0</v>
      </c>
    </row>
    <row r="252" spans="1:25" hidden="1">
      <c r="A252" s="19" t="s">
        <v>3</v>
      </c>
      <c r="B252" s="109">
        <f t="shared" si="79"/>
        <v>0</v>
      </c>
      <c r="C252" s="31"/>
      <c r="D252" s="188">
        <f t="shared" si="80"/>
        <v>0</v>
      </c>
      <c r="E252" s="177">
        <f t="shared" si="77"/>
        <v>0</v>
      </c>
      <c r="F252" s="57"/>
      <c r="G252" s="79">
        <f t="shared" si="81"/>
        <v>0</v>
      </c>
      <c r="I252" s="114">
        <f t="shared" si="82"/>
        <v>0</v>
      </c>
      <c r="K252" s="35">
        <f t="shared" si="83"/>
        <v>0</v>
      </c>
      <c r="L252" s="34"/>
      <c r="M252" s="115">
        <f t="shared" si="84"/>
        <v>0</v>
      </c>
      <c r="N252" s="206"/>
      <c r="O252" s="114">
        <f t="shared" si="85"/>
        <v>0</v>
      </c>
      <c r="P252" s="29"/>
      <c r="Q252" s="35">
        <f t="shared" si="78"/>
        <v>0</v>
      </c>
      <c r="R252" s="35"/>
      <c r="S252" s="114">
        <f t="shared" si="86"/>
        <v>0</v>
      </c>
      <c r="T252" s="81">
        <f t="shared" si="87"/>
        <v>0</v>
      </c>
      <c r="V252" s="102">
        <f t="shared" si="88"/>
        <v>0</v>
      </c>
      <c r="W252" s="29"/>
      <c r="X252" s="29">
        <f t="shared" si="89"/>
        <v>0</v>
      </c>
      <c r="Y252" s="63"/>
    </row>
    <row r="253" spans="1:25" hidden="1">
      <c r="A253" s="19" t="s">
        <v>3</v>
      </c>
      <c r="B253" s="109">
        <f t="shared" si="79"/>
        <v>0</v>
      </c>
      <c r="C253" s="31"/>
      <c r="D253" s="188">
        <f t="shared" si="80"/>
        <v>0</v>
      </c>
      <c r="E253" s="177">
        <f t="shared" si="77"/>
        <v>0</v>
      </c>
      <c r="F253" s="57"/>
      <c r="G253" s="79">
        <f t="shared" si="81"/>
        <v>0</v>
      </c>
      <c r="I253" s="114">
        <f t="shared" si="82"/>
        <v>0</v>
      </c>
      <c r="K253" s="35">
        <f t="shared" si="83"/>
        <v>0</v>
      </c>
      <c r="L253" s="34"/>
      <c r="M253" s="115">
        <f t="shared" si="84"/>
        <v>0</v>
      </c>
      <c r="N253" s="206"/>
      <c r="O253" s="114">
        <f t="shared" si="85"/>
        <v>0</v>
      </c>
      <c r="P253" s="29"/>
      <c r="Q253" s="35">
        <f t="shared" si="78"/>
        <v>0</v>
      </c>
      <c r="R253" s="35"/>
      <c r="S253" s="114">
        <f t="shared" si="86"/>
        <v>0</v>
      </c>
      <c r="T253" s="81">
        <f t="shared" si="87"/>
        <v>0</v>
      </c>
      <c r="V253" s="102">
        <f t="shared" si="88"/>
        <v>0</v>
      </c>
      <c r="W253" s="29"/>
      <c r="X253" s="29">
        <f t="shared" si="89"/>
        <v>0</v>
      </c>
    </row>
    <row r="254" spans="1:25" hidden="1">
      <c r="A254" s="19" t="s">
        <v>3</v>
      </c>
      <c r="B254" s="109">
        <f t="shared" si="79"/>
        <v>0</v>
      </c>
      <c r="C254" s="31"/>
      <c r="D254" s="188">
        <f t="shared" si="80"/>
        <v>0</v>
      </c>
      <c r="E254" s="177">
        <f t="shared" si="77"/>
        <v>0</v>
      </c>
      <c r="F254" s="57"/>
      <c r="G254" s="79">
        <f t="shared" si="81"/>
        <v>0</v>
      </c>
      <c r="I254" s="114">
        <f t="shared" si="82"/>
        <v>0</v>
      </c>
      <c r="K254" s="35">
        <f t="shared" si="83"/>
        <v>0</v>
      </c>
      <c r="L254" s="34"/>
      <c r="M254" s="115">
        <f t="shared" si="84"/>
        <v>0</v>
      </c>
      <c r="N254" s="206"/>
      <c r="O254" s="114">
        <f t="shared" si="85"/>
        <v>0</v>
      </c>
      <c r="P254" s="29"/>
      <c r="Q254" s="35">
        <f t="shared" si="78"/>
        <v>0</v>
      </c>
      <c r="R254" s="35"/>
      <c r="S254" s="114">
        <f t="shared" si="86"/>
        <v>0</v>
      </c>
      <c r="T254" s="81">
        <f t="shared" si="87"/>
        <v>0</v>
      </c>
      <c r="V254" s="102">
        <f t="shared" si="88"/>
        <v>0</v>
      </c>
      <c r="W254" s="29"/>
      <c r="X254" s="29">
        <f t="shared" si="89"/>
        <v>0</v>
      </c>
      <c r="Y254" s="63"/>
    </row>
    <row r="255" spans="1:25" hidden="1">
      <c r="A255" s="19" t="s">
        <v>3</v>
      </c>
      <c r="B255" s="109">
        <f t="shared" si="79"/>
        <v>0</v>
      </c>
      <c r="C255" s="31"/>
      <c r="D255" s="188">
        <f t="shared" si="80"/>
        <v>0</v>
      </c>
      <c r="E255" s="177">
        <f t="shared" si="77"/>
        <v>0</v>
      </c>
      <c r="F255" s="57"/>
      <c r="G255" s="79">
        <f t="shared" si="81"/>
        <v>0</v>
      </c>
      <c r="I255" s="114">
        <f t="shared" si="82"/>
        <v>0</v>
      </c>
      <c r="K255" s="35">
        <f t="shared" si="83"/>
        <v>0</v>
      </c>
      <c r="L255" s="34"/>
      <c r="M255" s="115">
        <f t="shared" si="84"/>
        <v>0</v>
      </c>
      <c r="N255" s="206"/>
      <c r="O255" s="114">
        <f t="shared" si="85"/>
        <v>0</v>
      </c>
      <c r="P255" s="29"/>
      <c r="Q255" s="35">
        <f t="shared" si="78"/>
        <v>0</v>
      </c>
      <c r="R255" s="35"/>
      <c r="S255" s="114">
        <f t="shared" si="86"/>
        <v>0</v>
      </c>
      <c r="T255" s="81">
        <f t="shared" si="87"/>
        <v>0</v>
      </c>
      <c r="V255" s="102">
        <f t="shared" si="88"/>
        <v>0</v>
      </c>
      <c r="W255" s="29"/>
      <c r="X255" s="29">
        <f t="shared" si="89"/>
        <v>0</v>
      </c>
    </row>
    <row r="256" spans="1:25" hidden="1">
      <c r="A256" s="19" t="s">
        <v>3</v>
      </c>
      <c r="B256" s="109">
        <f t="shared" si="79"/>
        <v>0</v>
      </c>
      <c r="C256" s="31"/>
      <c r="D256" s="188">
        <f t="shared" si="80"/>
        <v>0</v>
      </c>
      <c r="E256" s="177">
        <f t="shared" si="77"/>
        <v>0</v>
      </c>
      <c r="F256" s="57"/>
      <c r="G256" s="79">
        <f t="shared" si="81"/>
        <v>0</v>
      </c>
      <c r="I256" s="114">
        <f t="shared" si="82"/>
        <v>0</v>
      </c>
      <c r="K256" s="35">
        <f t="shared" si="83"/>
        <v>0</v>
      </c>
      <c r="L256" s="34"/>
      <c r="M256" s="115">
        <f t="shared" si="84"/>
        <v>0</v>
      </c>
      <c r="N256" s="206"/>
      <c r="O256" s="114">
        <f t="shared" si="85"/>
        <v>0</v>
      </c>
      <c r="P256" s="29"/>
      <c r="Q256" s="35">
        <f t="shared" si="78"/>
        <v>0</v>
      </c>
      <c r="R256" s="35"/>
      <c r="S256" s="114">
        <f t="shared" si="86"/>
        <v>0</v>
      </c>
      <c r="T256" s="81">
        <f t="shared" si="87"/>
        <v>0</v>
      </c>
      <c r="V256" s="102">
        <f t="shared" si="88"/>
        <v>0</v>
      </c>
      <c r="W256" s="29"/>
      <c r="X256" s="29">
        <f t="shared" si="89"/>
        <v>0</v>
      </c>
    </row>
    <row r="257" spans="1:25" hidden="1">
      <c r="A257" s="19" t="s">
        <v>3</v>
      </c>
      <c r="B257" s="109">
        <f t="shared" si="79"/>
        <v>0</v>
      </c>
      <c r="C257" s="31"/>
      <c r="D257" s="188">
        <f t="shared" si="80"/>
        <v>0</v>
      </c>
      <c r="E257" s="177">
        <f t="shared" si="77"/>
        <v>0</v>
      </c>
      <c r="F257" s="57"/>
      <c r="G257" s="79">
        <f t="shared" si="81"/>
        <v>0</v>
      </c>
      <c r="I257" s="114">
        <f t="shared" si="82"/>
        <v>0</v>
      </c>
      <c r="K257" s="35">
        <f t="shared" si="83"/>
        <v>0</v>
      </c>
      <c r="L257" s="34"/>
      <c r="M257" s="115">
        <f t="shared" si="84"/>
        <v>0</v>
      </c>
      <c r="N257" s="206"/>
      <c r="O257" s="114">
        <f t="shared" si="85"/>
        <v>0</v>
      </c>
      <c r="P257" s="29"/>
      <c r="Q257" s="35">
        <f t="shared" si="78"/>
        <v>0</v>
      </c>
      <c r="R257" s="35"/>
      <c r="S257" s="114">
        <f t="shared" si="86"/>
        <v>0</v>
      </c>
      <c r="T257" s="81">
        <f t="shared" si="87"/>
        <v>0</v>
      </c>
      <c r="V257" s="102">
        <f t="shared" si="88"/>
        <v>0</v>
      </c>
      <c r="W257" s="29"/>
      <c r="X257" s="29">
        <f t="shared" si="89"/>
        <v>0</v>
      </c>
    </row>
    <row r="258" spans="1:25" hidden="1">
      <c r="A258" s="19" t="s">
        <v>3</v>
      </c>
      <c r="B258" s="109">
        <f t="shared" si="79"/>
        <v>0</v>
      </c>
      <c r="C258" s="31"/>
      <c r="D258" s="188">
        <f t="shared" si="80"/>
        <v>0</v>
      </c>
      <c r="E258" s="177">
        <f t="shared" si="77"/>
        <v>0</v>
      </c>
      <c r="F258" s="57"/>
      <c r="G258" s="79">
        <f t="shared" si="81"/>
        <v>0</v>
      </c>
      <c r="I258" s="114">
        <f t="shared" si="82"/>
        <v>0</v>
      </c>
      <c r="K258" s="35">
        <f t="shared" si="83"/>
        <v>0</v>
      </c>
      <c r="L258" s="34"/>
      <c r="M258" s="115">
        <f t="shared" si="84"/>
        <v>0</v>
      </c>
      <c r="N258" s="206"/>
      <c r="O258" s="114">
        <f t="shared" si="85"/>
        <v>0</v>
      </c>
      <c r="P258" s="29"/>
      <c r="Q258" s="35">
        <f t="shared" si="78"/>
        <v>0</v>
      </c>
      <c r="R258" s="35"/>
      <c r="S258" s="114">
        <f t="shared" si="86"/>
        <v>0</v>
      </c>
      <c r="T258" s="81">
        <f t="shared" si="87"/>
        <v>0</v>
      </c>
      <c r="V258" s="102">
        <f t="shared" si="88"/>
        <v>0</v>
      </c>
      <c r="W258" s="29"/>
      <c r="X258" s="29">
        <f t="shared" si="89"/>
        <v>0</v>
      </c>
    </row>
    <row r="259" spans="1:25" hidden="1">
      <c r="A259" s="19" t="s">
        <v>3</v>
      </c>
      <c r="B259" s="109">
        <f t="shared" si="79"/>
        <v>0</v>
      </c>
      <c r="C259" s="31"/>
      <c r="D259" s="188">
        <f t="shared" si="80"/>
        <v>0</v>
      </c>
      <c r="E259" s="177">
        <f t="shared" si="77"/>
        <v>0</v>
      </c>
      <c r="F259" s="57"/>
      <c r="G259" s="79">
        <f t="shared" si="81"/>
        <v>0</v>
      </c>
      <c r="I259" s="114">
        <f t="shared" si="82"/>
        <v>0</v>
      </c>
      <c r="K259" s="35">
        <f t="shared" si="83"/>
        <v>0</v>
      </c>
      <c r="L259" s="34"/>
      <c r="M259" s="115">
        <f t="shared" si="84"/>
        <v>0</v>
      </c>
      <c r="N259" s="206"/>
      <c r="O259" s="114">
        <f t="shared" si="85"/>
        <v>0</v>
      </c>
      <c r="P259" s="29"/>
      <c r="Q259" s="35">
        <f t="shared" si="78"/>
        <v>0</v>
      </c>
      <c r="R259" s="35"/>
      <c r="S259" s="114">
        <f t="shared" si="86"/>
        <v>0</v>
      </c>
      <c r="T259" s="81">
        <f t="shared" si="87"/>
        <v>0</v>
      </c>
      <c r="V259" s="102">
        <f t="shared" si="88"/>
        <v>0</v>
      </c>
      <c r="W259" s="29"/>
      <c r="X259" s="29">
        <f t="shared" si="89"/>
        <v>0</v>
      </c>
    </row>
    <row r="260" spans="1:25" hidden="1">
      <c r="A260" s="19" t="s">
        <v>3</v>
      </c>
      <c r="B260" s="109">
        <f t="shared" si="79"/>
        <v>0</v>
      </c>
      <c r="C260" s="31"/>
      <c r="D260" s="188">
        <f t="shared" si="80"/>
        <v>0</v>
      </c>
      <c r="E260" s="177">
        <f t="shared" si="77"/>
        <v>0</v>
      </c>
      <c r="F260" s="57"/>
      <c r="G260" s="79">
        <f t="shared" si="81"/>
        <v>0</v>
      </c>
      <c r="I260" s="114">
        <f t="shared" si="82"/>
        <v>0</v>
      </c>
      <c r="K260" s="35">
        <f t="shared" si="83"/>
        <v>0</v>
      </c>
      <c r="L260" s="34"/>
      <c r="M260" s="115">
        <f t="shared" si="84"/>
        <v>0</v>
      </c>
      <c r="N260" s="206"/>
      <c r="O260" s="114">
        <f t="shared" si="85"/>
        <v>0</v>
      </c>
      <c r="P260" s="29"/>
      <c r="Q260" s="35">
        <f t="shared" si="78"/>
        <v>0</v>
      </c>
      <c r="R260" s="35"/>
      <c r="S260" s="114">
        <f t="shared" si="86"/>
        <v>0</v>
      </c>
      <c r="T260" s="81">
        <f t="shared" si="87"/>
        <v>0</v>
      </c>
      <c r="V260" s="102">
        <f t="shared" si="88"/>
        <v>0</v>
      </c>
      <c r="W260" s="29"/>
      <c r="X260" s="29">
        <f t="shared" si="89"/>
        <v>0</v>
      </c>
    </row>
    <row r="261" spans="1:25" hidden="1">
      <c r="A261" s="19" t="s">
        <v>3</v>
      </c>
      <c r="B261" s="109">
        <f t="shared" si="79"/>
        <v>0</v>
      </c>
      <c r="C261" s="31"/>
      <c r="D261" s="188">
        <f t="shared" si="80"/>
        <v>0</v>
      </c>
      <c r="E261" s="177">
        <f t="shared" si="77"/>
        <v>0</v>
      </c>
      <c r="F261" s="57"/>
      <c r="G261" s="79">
        <f t="shared" si="81"/>
        <v>0</v>
      </c>
      <c r="I261" s="114">
        <f t="shared" si="82"/>
        <v>0</v>
      </c>
      <c r="K261" s="35">
        <f t="shared" si="83"/>
        <v>0</v>
      </c>
      <c r="L261" s="34"/>
      <c r="M261" s="115">
        <f t="shared" si="84"/>
        <v>0</v>
      </c>
      <c r="N261" s="206"/>
      <c r="O261" s="114">
        <f t="shared" si="85"/>
        <v>0</v>
      </c>
      <c r="P261" s="29"/>
      <c r="Q261" s="35">
        <f t="shared" si="78"/>
        <v>0</v>
      </c>
      <c r="R261" s="35"/>
      <c r="S261" s="114">
        <f t="shared" si="86"/>
        <v>0</v>
      </c>
      <c r="T261" s="81">
        <f t="shared" si="87"/>
        <v>0</v>
      </c>
      <c r="V261" s="102">
        <f t="shared" si="88"/>
        <v>0</v>
      </c>
      <c r="W261" s="29"/>
      <c r="X261" s="29">
        <f t="shared" si="89"/>
        <v>0</v>
      </c>
      <c r="Y261" s="63"/>
    </row>
    <row r="262" spans="1:25" hidden="1">
      <c r="A262" s="19" t="s">
        <v>3</v>
      </c>
      <c r="B262" s="109">
        <f t="shared" si="79"/>
        <v>0</v>
      </c>
      <c r="C262" s="31"/>
      <c r="D262" s="188">
        <f t="shared" si="80"/>
        <v>0</v>
      </c>
      <c r="E262" s="177">
        <f t="shared" si="77"/>
        <v>0</v>
      </c>
      <c r="F262" s="57"/>
      <c r="G262" s="79">
        <f t="shared" si="81"/>
        <v>0</v>
      </c>
      <c r="I262" s="114">
        <f t="shared" si="82"/>
        <v>0</v>
      </c>
      <c r="K262" s="35">
        <f t="shared" si="83"/>
        <v>0</v>
      </c>
      <c r="L262" s="34"/>
      <c r="M262" s="115">
        <f t="shared" si="84"/>
        <v>0</v>
      </c>
      <c r="N262" s="206"/>
      <c r="O262" s="114">
        <f t="shared" si="85"/>
        <v>0</v>
      </c>
      <c r="P262" s="29"/>
      <c r="Q262" s="35">
        <f t="shared" si="78"/>
        <v>0</v>
      </c>
      <c r="R262" s="35"/>
      <c r="S262" s="114">
        <f t="shared" si="86"/>
        <v>0</v>
      </c>
      <c r="T262" s="81">
        <f t="shared" si="87"/>
        <v>0</v>
      </c>
      <c r="V262" s="102">
        <f t="shared" si="88"/>
        <v>0</v>
      </c>
      <c r="W262" s="29"/>
      <c r="X262" s="29">
        <f t="shared" si="89"/>
        <v>0</v>
      </c>
    </row>
    <row r="263" spans="1:25" hidden="1">
      <c r="A263" s="19" t="s">
        <v>3</v>
      </c>
      <c r="B263" s="109">
        <f t="shared" si="79"/>
        <v>0</v>
      </c>
      <c r="C263" s="31"/>
      <c r="D263" s="188">
        <f t="shared" si="80"/>
        <v>0</v>
      </c>
      <c r="E263" s="177">
        <f t="shared" si="77"/>
        <v>0</v>
      </c>
      <c r="F263" s="57"/>
      <c r="G263" s="79">
        <f t="shared" si="81"/>
        <v>0</v>
      </c>
      <c r="I263" s="114">
        <f t="shared" si="82"/>
        <v>0</v>
      </c>
      <c r="K263" s="35">
        <f t="shared" si="83"/>
        <v>0</v>
      </c>
      <c r="L263" s="34"/>
      <c r="M263" s="115">
        <f t="shared" si="84"/>
        <v>0</v>
      </c>
      <c r="N263" s="206"/>
      <c r="O263" s="114">
        <f t="shared" si="85"/>
        <v>0</v>
      </c>
      <c r="P263" s="29"/>
      <c r="Q263" s="35">
        <f t="shared" si="78"/>
        <v>0</v>
      </c>
      <c r="R263" s="35"/>
      <c r="S263" s="114">
        <f t="shared" si="86"/>
        <v>0</v>
      </c>
      <c r="T263" s="81">
        <f t="shared" si="87"/>
        <v>0</v>
      </c>
      <c r="V263" s="102">
        <f t="shared" si="88"/>
        <v>0</v>
      </c>
      <c r="W263" s="29"/>
      <c r="X263" s="29">
        <f t="shared" si="89"/>
        <v>0</v>
      </c>
      <c r="Y263" s="63"/>
    </row>
    <row r="264" spans="1:25" hidden="1">
      <c r="A264" s="19" t="s">
        <v>3</v>
      </c>
      <c r="B264" s="109">
        <f t="shared" si="79"/>
        <v>0</v>
      </c>
      <c r="C264" s="31"/>
      <c r="D264" s="188">
        <f t="shared" si="80"/>
        <v>0</v>
      </c>
      <c r="E264" s="177">
        <f t="shared" si="77"/>
        <v>0</v>
      </c>
      <c r="F264" s="57"/>
      <c r="G264" s="79">
        <f t="shared" si="81"/>
        <v>0</v>
      </c>
      <c r="I264" s="114">
        <f t="shared" si="82"/>
        <v>0</v>
      </c>
      <c r="K264" s="35">
        <f t="shared" si="83"/>
        <v>0</v>
      </c>
      <c r="L264" s="34"/>
      <c r="M264" s="115">
        <f t="shared" si="84"/>
        <v>0</v>
      </c>
      <c r="N264" s="206"/>
      <c r="O264" s="114">
        <f t="shared" si="85"/>
        <v>0</v>
      </c>
      <c r="P264" s="29"/>
      <c r="Q264" s="35">
        <f t="shared" si="78"/>
        <v>0</v>
      </c>
      <c r="R264" s="35"/>
      <c r="S264" s="114">
        <f t="shared" si="86"/>
        <v>0</v>
      </c>
      <c r="T264" s="81">
        <f t="shared" si="87"/>
        <v>0</v>
      </c>
      <c r="V264" s="102">
        <f t="shared" si="88"/>
        <v>0</v>
      </c>
      <c r="W264" s="29"/>
      <c r="X264" s="29">
        <f t="shared" si="89"/>
        <v>0</v>
      </c>
    </row>
    <row r="265" spans="1:25" hidden="1">
      <c r="A265" s="19" t="s">
        <v>3</v>
      </c>
      <c r="B265" s="109">
        <f t="shared" si="79"/>
        <v>0</v>
      </c>
      <c r="C265" s="31"/>
      <c r="D265" s="188">
        <f t="shared" si="80"/>
        <v>0</v>
      </c>
      <c r="E265" s="177">
        <f t="shared" si="77"/>
        <v>0</v>
      </c>
      <c r="F265" s="57"/>
      <c r="G265" s="79">
        <f t="shared" si="81"/>
        <v>0</v>
      </c>
      <c r="I265" s="114">
        <f t="shared" si="82"/>
        <v>0</v>
      </c>
      <c r="K265" s="35">
        <f t="shared" si="83"/>
        <v>0</v>
      </c>
      <c r="L265" s="34"/>
      <c r="M265" s="115">
        <f t="shared" si="84"/>
        <v>0</v>
      </c>
      <c r="N265" s="206"/>
      <c r="O265" s="114">
        <f t="shared" si="85"/>
        <v>0</v>
      </c>
      <c r="P265" s="29"/>
      <c r="Q265" s="35">
        <f t="shared" si="78"/>
        <v>0</v>
      </c>
      <c r="R265" s="35"/>
      <c r="S265" s="114">
        <f t="shared" si="86"/>
        <v>0</v>
      </c>
      <c r="T265" s="81">
        <f t="shared" si="87"/>
        <v>0</v>
      </c>
      <c r="V265" s="102">
        <f t="shared" si="88"/>
        <v>0</v>
      </c>
      <c r="W265" s="29"/>
      <c r="X265" s="29">
        <f t="shared" si="89"/>
        <v>0</v>
      </c>
    </row>
    <row r="266" spans="1:25" hidden="1">
      <c r="A266" s="19" t="s">
        <v>3</v>
      </c>
      <c r="B266" s="109">
        <f t="shared" si="79"/>
        <v>0</v>
      </c>
      <c r="C266" s="31"/>
      <c r="D266" s="188">
        <f t="shared" si="80"/>
        <v>0</v>
      </c>
      <c r="E266" s="177">
        <f t="shared" si="77"/>
        <v>0</v>
      </c>
      <c r="F266" s="57"/>
      <c r="G266" s="79">
        <f t="shared" si="81"/>
        <v>0</v>
      </c>
      <c r="I266" s="114">
        <f t="shared" si="82"/>
        <v>0</v>
      </c>
      <c r="K266" s="35">
        <f t="shared" si="83"/>
        <v>0</v>
      </c>
      <c r="L266" s="34"/>
      <c r="M266" s="115">
        <f t="shared" si="84"/>
        <v>0</v>
      </c>
      <c r="N266" s="206"/>
      <c r="O266" s="114">
        <f t="shared" si="85"/>
        <v>0</v>
      </c>
      <c r="P266" s="29"/>
      <c r="Q266" s="35">
        <f t="shared" si="78"/>
        <v>0</v>
      </c>
      <c r="R266" s="35"/>
      <c r="S266" s="114">
        <f t="shared" si="86"/>
        <v>0</v>
      </c>
      <c r="T266" s="81">
        <f t="shared" si="87"/>
        <v>0</v>
      </c>
      <c r="V266" s="102">
        <f t="shared" si="88"/>
        <v>0</v>
      </c>
      <c r="W266" s="29"/>
      <c r="X266" s="29">
        <f t="shared" si="89"/>
        <v>0</v>
      </c>
      <c r="Y266" s="63"/>
    </row>
    <row r="267" spans="1:25">
      <c r="A267" s="73" t="s">
        <v>324</v>
      </c>
      <c r="B267" s="73"/>
      <c r="D267" s="62">
        <f>SUM(D247:D266)</f>
        <v>0</v>
      </c>
      <c r="E267" s="179">
        <f>IFERROR(D267/G59,0)</f>
        <v>0</v>
      </c>
      <c r="F267" s="152"/>
      <c r="G267" s="111"/>
      <c r="H267" s="149"/>
      <c r="I267" s="150"/>
      <c r="J267" s="149"/>
      <c r="K267" s="56">
        <f>IFERROR((M267/12)/D267,0)</f>
        <v>0</v>
      </c>
      <c r="L267" s="154"/>
      <c r="M267" s="117">
        <f>SUM(M247:M266)</f>
        <v>0</v>
      </c>
      <c r="N267" s="207"/>
      <c r="O267" s="171"/>
      <c r="P267" s="150"/>
      <c r="Q267" s="171"/>
      <c r="R267" s="171"/>
      <c r="S267" s="171"/>
      <c r="T267" s="153"/>
      <c r="U267" s="149"/>
      <c r="V267" s="205">
        <f>IFERROR((X267/D267)/12,0)</f>
        <v>0</v>
      </c>
      <c r="W267" s="117"/>
      <c r="X267" s="117">
        <f>SUM(X247:X266)</f>
        <v>0</v>
      </c>
    </row>
    <row r="268" spans="1:25">
      <c r="A268" s="73"/>
      <c r="B268" s="73"/>
      <c r="D268" s="36"/>
      <c r="E268" s="177"/>
      <c r="F268" s="57"/>
      <c r="G268" s="24"/>
      <c r="I268" s="115"/>
      <c r="K268" s="114"/>
      <c r="L268" s="34"/>
      <c r="M268" s="150"/>
      <c r="N268" s="206"/>
      <c r="O268" s="114"/>
      <c r="P268" s="29"/>
      <c r="Q268" s="35"/>
      <c r="R268" s="35"/>
      <c r="S268" s="114"/>
      <c r="T268" s="58"/>
      <c r="V268" s="102"/>
      <c r="W268" s="29"/>
      <c r="X268" s="29"/>
    </row>
    <row r="269" spans="1:25">
      <c r="A269" s="73" t="s">
        <v>3</v>
      </c>
      <c r="B269" s="109">
        <f t="shared" ref="B269:B276" si="90">B204</f>
        <v>0</v>
      </c>
      <c r="D269" s="188">
        <f t="shared" ref="D269:D276" si="91">ROUND(G61*E269,-0.1)</f>
        <v>0</v>
      </c>
      <c r="E269" s="177">
        <f>$G$77</f>
        <v>0</v>
      </c>
      <c r="F269" s="57"/>
      <c r="G269" s="79">
        <f t="shared" ref="G269:G276" si="92">G138</f>
        <v>0</v>
      </c>
      <c r="I269" s="114">
        <f>IFERROR(K269/G269,0)</f>
        <v>0</v>
      </c>
      <c r="K269" s="35">
        <f>VALUE(K138)</f>
        <v>0</v>
      </c>
      <c r="L269" s="34"/>
      <c r="M269" s="115">
        <f>(K269*D269)*12</f>
        <v>0</v>
      </c>
      <c r="N269" s="206"/>
      <c r="O269" s="114">
        <f>IFERROR(Q269/G269,0)</f>
        <v>0</v>
      </c>
      <c r="P269" s="29"/>
      <c r="Q269" s="35">
        <f>$O$77</f>
        <v>0</v>
      </c>
      <c r="R269" s="35"/>
      <c r="S269" s="114">
        <f>K269-Q269</f>
        <v>0</v>
      </c>
      <c r="T269" s="81">
        <f>IFERROR((K269-Q269)/K269,0)</f>
        <v>0</v>
      </c>
      <c r="V269" s="102">
        <f>IF(Q269&lt;K269,Q269,K269)</f>
        <v>0</v>
      </c>
      <c r="W269" s="29"/>
      <c r="X269" s="29">
        <f>(V269*D269)*12</f>
        <v>0</v>
      </c>
    </row>
    <row r="270" spans="1:25" hidden="1">
      <c r="A270" s="73" t="s">
        <v>3</v>
      </c>
      <c r="B270" s="109">
        <f t="shared" si="90"/>
        <v>0</v>
      </c>
      <c r="D270" s="188">
        <f t="shared" si="91"/>
        <v>0</v>
      </c>
      <c r="E270" s="177">
        <f t="shared" ref="E270:E276" si="93">$G$77</f>
        <v>0</v>
      </c>
      <c r="F270" s="57"/>
      <c r="G270" s="79">
        <f t="shared" si="92"/>
        <v>0</v>
      </c>
      <c r="I270" s="114">
        <f t="shared" ref="I270:I276" si="94">IFERROR(K270/G270,0)</f>
        <v>0</v>
      </c>
      <c r="K270" s="35">
        <f t="shared" ref="K270:K276" si="95">VALUE(K139)</f>
        <v>0</v>
      </c>
      <c r="L270" s="34"/>
      <c r="M270" s="115">
        <f t="shared" ref="M270:M276" si="96">(K270*D270)*12</f>
        <v>0</v>
      </c>
      <c r="N270" s="206"/>
      <c r="O270" s="114">
        <f t="shared" ref="O270:O276" si="97">IFERROR(Q270/G270,0)</f>
        <v>0</v>
      </c>
      <c r="P270" s="29"/>
      <c r="Q270" s="35">
        <f t="shared" ref="Q270:Q276" si="98">$O$77</f>
        <v>0</v>
      </c>
      <c r="R270" s="35"/>
      <c r="S270" s="114">
        <f t="shared" ref="S270:S276" si="99">K270-Q270</f>
        <v>0</v>
      </c>
      <c r="T270" s="81">
        <f t="shared" ref="T270:T276" si="100">IFERROR((K270-Q270)/K270,0)</f>
        <v>0</v>
      </c>
      <c r="V270" s="102">
        <f t="shared" ref="V270:V276" si="101">IF(Q270&lt;K270,Q270,K270)</f>
        <v>0</v>
      </c>
      <c r="W270" s="29"/>
      <c r="X270" s="29">
        <f t="shared" ref="X270:X276" si="102">(V270*D270)*12</f>
        <v>0</v>
      </c>
    </row>
    <row r="271" spans="1:25" hidden="1">
      <c r="A271" s="73" t="s">
        <v>3</v>
      </c>
      <c r="B271" s="109">
        <f t="shared" si="90"/>
        <v>0</v>
      </c>
      <c r="D271" s="188">
        <f t="shared" si="91"/>
        <v>0</v>
      </c>
      <c r="E271" s="177">
        <f t="shared" si="93"/>
        <v>0</v>
      </c>
      <c r="F271" s="57"/>
      <c r="G271" s="79">
        <f t="shared" si="92"/>
        <v>0</v>
      </c>
      <c r="I271" s="114">
        <f t="shared" si="94"/>
        <v>0</v>
      </c>
      <c r="K271" s="35">
        <f t="shared" si="95"/>
        <v>0</v>
      </c>
      <c r="L271" s="34"/>
      <c r="M271" s="115">
        <f t="shared" si="96"/>
        <v>0</v>
      </c>
      <c r="N271" s="206"/>
      <c r="O271" s="114">
        <f t="shared" si="97"/>
        <v>0</v>
      </c>
      <c r="P271" s="29"/>
      <c r="Q271" s="35">
        <f t="shared" si="98"/>
        <v>0</v>
      </c>
      <c r="R271" s="35"/>
      <c r="S271" s="114">
        <f t="shared" si="99"/>
        <v>0</v>
      </c>
      <c r="T271" s="81">
        <f t="shared" si="100"/>
        <v>0</v>
      </c>
      <c r="V271" s="102">
        <f t="shared" si="101"/>
        <v>0</v>
      </c>
      <c r="W271" s="29"/>
      <c r="X271" s="29">
        <f t="shared" si="102"/>
        <v>0</v>
      </c>
    </row>
    <row r="272" spans="1:25" hidden="1">
      <c r="A272" s="73" t="s">
        <v>3</v>
      </c>
      <c r="B272" s="109">
        <f t="shared" si="90"/>
        <v>0</v>
      </c>
      <c r="D272" s="188">
        <f t="shared" si="91"/>
        <v>0</v>
      </c>
      <c r="E272" s="177">
        <f t="shared" si="93"/>
        <v>0</v>
      </c>
      <c r="F272" s="57"/>
      <c r="G272" s="79">
        <f t="shared" si="92"/>
        <v>0</v>
      </c>
      <c r="I272" s="114">
        <f t="shared" si="94"/>
        <v>0</v>
      </c>
      <c r="K272" s="35">
        <f t="shared" si="95"/>
        <v>0</v>
      </c>
      <c r="L272" s="34"/>
      <c r="M272" s="115">
        <f t="shared" si="96"/>
        <v>0</v>
      </c>
      <c r="N272" s="206"/>
      <c r="O272" s="114">
        <f t="shared" si="97"/>
        <v>0</v>
      </c>
      <c r="P272" s="29"/>
      <c r="Q272" s="35">
        <f t="shared" si="98"/>
        <v>0</v>
      </c>
      <c r="R272" s="35"/>
      <c r="S272" s="114">
        <f t="shared" si="99"/>
        <v>0</v>
      </c>
      <c r="T272" s="81">
        <f t="shared" si="100"/>
        <v>0</v>
      </c>
      <c r="V272" s="102">
        <f t="shared" si="101"/>
        <v>0</v>
      </c>
      <c r="W272" s="29"/>
      <c r="X272" s="29">
        <f t="shared" si="102"/>
        <v>0</v>
      </c>
    </row>
    <row r="273" spans="1:24" hidden="1">
      <c r="A273" s="73" t="s">
        <v>3</v>
      </c>
      <c r="B273" s="109">
        <f t="shared" si="90"/>
        <v>0</v>
      </c>
      <c r="D273" s="188">
        <f t="shared" si="91"/>
        <v>0</v>
      </c>
      <c r="E273" s="177">
        <f t="shared" si="93"/>
        <v>0</v>
      </c>
      <c r="F273" s="57"/>
      <c r="G273" s="79">
        <f t="shared" si="92"/>
        <v>0</v>
      </c>
      <c r="I273" s="114">
        <f t="shared" si="94"/>
        <v>0</v>
      </c>
      <c r="K273" s="35">
        <f t="shared" si="95"/>
        <v>0</v>
      </c>
      <c r="L273" s="34"/>
      <c r="M273" s="115">
        <f t="shared" si="96"/>
        <v>0</v>
      </c>
      <c r="N273" s="206"/>
      <c r="O273" s="114">
        <f t="shared" si="97"/>
        <v>0</v>
      </c>
      <c r="P273" s="29"/>
      <c r="Q273" s="35">
        <f t="shared" si="98"/>
        <v>0</v>
      </c>
      <c r="R273" s="35"/>
      <c r="S273" s="114">
        <f t="shared" si="99"/>
        <v>0</v>
      </c>
      <c r="T273" s="81">
        <f t="shared" si="100"/>
        <v>0</v>
      </c>
      <c r="V273" s="102">
        <f t="shared" si="101"/>
        <v>0</v>
      </c>
      <c r="W273" s="29"/>
      <c r="X273" s="29">
        <f t="shared" si="102"/>
        <v>0</v>
      </c>
    </row>
    <row r="274" spans="1:24" hidden="1">
      <c r="A274" s="73" t="s">
        <v>3</v>
      </c>
      <c r="B274" s="109">
        <f t="shared" si="90"/>
        <v>0</v>
      </c>
      <c r="D274" s="188">
        <f t="shared" si="91"/>
        <v>0</v>
      </c>
      <c r="E274" s="177">
        <f t="shared" si="93"/>
        <v>0</v>
      </c>
      <c r="F274" s="57"/>
      <c r="G274" s="79">
        <f t="shared" si="92"/>
        <v>0</v>
      </c>
      <c r="I274" s="114">
        <f t="shared" si="94"/>
        <v>0</v>
      </c>
      <c r="K274" s="35">
        <f t="shared" si="95"/>
        <v>0</v>
      </c>
      <c r="L274" s="34"/>
      <c r="M274" s="115">
        <f t="shared" si="96"/>
        <v>0</v>
      </c>
      <c r="N274" s="206"/>
      <c r="O274" s="114">
        <f t="shared" si="97"/>
        <v>0</v>
      </c>
      <c r="P274" s="29"/>
      <c r="Q274" s="35">
        <f t="shared" si="98"/>
        <v>0</v>
      </c>
      <c r="R274" s="35"/>
      <c r="S274" s="114">
        <f t="shared" si="99"/>
        <v>0</v>
      </c>
      <c r="T274" s="81">
        <f t="shared" si="100"/>
        <v>0</v>
      </c>
      <c r="V274" s="102">
        <f t="shared" si="101"/>
        <v>0</v>
      </c>
      <c r="W274" s="29"/>
      <c r="X274" s="29">
        <f t="shared" si="102"/>
        <v>0</v>
      </c>
    </row>
    <row r="275" spans="1:24" hidden="1">
      <c r="A275" s="73" t="s">
        <v>3</v>
      </c>
      <c r="B275" s="109">
        <f t="shared" si="90"/>
        <v>0</v>
      </c>
      <c r="D275" s="188">
        <f t="shared" si="91"/>
        <v>0</v>
      </c>
      <c r="E275" s="177">
        <f t="shared" si="93"/>
        <v>0</v>
      </c>
      <c r="F275" s="57"/>
      <c r="G275" s="79">
        <f t="shared" si="92"/>
        <v>0</v>
      </c>
      <c r="I275" s="114">
        <f t="shared" si="94"/>
        <v>0</v>
      </c>
      <c r="K275" s="35">
        <f t="shared" si="95"/>
        <v>0</v>
      </c>
      <c r="L275" s="34"/>
      <c r="M275" s="115">
        <f t="shared" si="96"/>
        <v>0</v>
      </c>
      <c r="N275" s="206"/>
      <c r="O275" s="114">
        <f t="shared" si="97"/>
        <v>0</v>
      </c>
      <c r="P275" s="29"/>
      <c r="Q275" s="35">
        <f t="shared" si="98"/>
        <v>0</v>
      </c>
      <c r="R275" s="35"/>
      <c r="S275" s="114">
        <f t="shared" si="99"/>
        <v>0</v>
      </c>
      <c r="T275" s="81">
        <f t="shared" si="100"/>
        <v>0</v>
      </c>
      <c r="V275" s="102">
        <f t="shared" si="101"/>
        <v>0</v>
      </c>
      <c r="W275" s="29"/>
      <c r="X275" s="29">
        <f t="shared" si="102"/>
        <v>0</v>
      </c>
    </row>
    <row r="276" spans="1:24" hidden="1">
      <c r="A276" s="73" t="s">
        <v>3</v>
      </c>
      <c r="B276" s="109">
        <f t="shared" si="90"/>
        <v>0</v>
      </c>
      <c r="D276" s="188">
        <f t="shared" si="91"/>
        <v>0</v>
      </c>
      <c r="E276" s="177">
        <f t="shared" si="93"/>
        <v>0</v>
      </c>
      <c r="F276" s="57"/>
      <c r="G276" s="79">
        <f t="shared" si="92"/>
        <v>0</v>
      </c>
      <c r="I276" s="114">
        <f t="shared" si="94"/>
        <v>0</v>
      </c>
      <c r="K276" s="35">
        <f t="shared" si="95"/>
        <v>0</v>
      </c>
      <c r="L276" s="34"/>
      <c r="M276" s="115">
        <f t="shared" si="96"/>
        <v>0</v>
      </c>
      <c r="N276" s="206"/>
      <c r="O276" s="114">
        <f t="shared" si="97"/>
        <v>0</v>
      </c>
      <c r="P276" s="29"/>
      <c r="Q276" s="35">
        <f t="shared" si="98"/>
        <v>0</v>
      </c>
      <c r="R276" s="35"/>
      <c r="S276" s="114">
        <f t="shared" si="99"/>
        <v>0</v>
      </c>
      <c r="T276" s="81">
        <f t="shared" si="100"/>
        <v>0</v>
      </c>
      <c r="V276" s="102">
        <f t="shared" si="101"/>
        <v>0</v>
      </c>
      <c r="W276" s="29"/>
      <c r="X276" s="29">
        <f t="shared" si="102"/>
        <v>0</v>
      </c>
    </row>
    <row r="277" spans="1:24">
      <c r="A277" s="73" t="s">
        <v>325</v>
      </c>
      <c r="B277" s="73"/>
      <c r="D277" s="62">
        <f>SUM(D269:D276)</f>
        <v>0</v>
      </c>
      <c r="E277" s="179">
        <f>IFERROR(D277/G69,0)</f>
        <v>0</v>
      </c>
      <c r="F277" s="152"/>
      <c r="G277" s="111"/>
      <c r="H277" s="149"/>
      <c r="I277" s="170"/>
      <c r="J277" s="149"/>
      <c r="K277" s="56">
        <f>IFERROR((M277/12)/D277,0)</f>
        <v>0</v>
      </c>
      <c r="L277" s="171"/>
      <c r="M277" s="117">
        <f>SUM(M269:M276)</f>
        <v>0</v>
      </c>
      <c r="N277" s="151"/>
      <c r="O277" s="153"/>
      <c r="P277" s="149"/>
      <c r="Q277" s="154"/>
      <c r="R277" s="154"/>
      <c r="S277" s="153"/>
      <c r="T277" s="153"/>
      <c r="U277" s="149"/>
      <c r="V277" s="117">
        <f>IFERROR((X277/D277)/12,0)</f>
        <v>0</v>
      </c>
      <c r="W277" s="117"/>
      <c r="X277" s="117">
        <f>SUM(X269:X276)</f>
        <v>0</v>
      </c>
    </row>
    <row r="278" spans="1:24">
      <c r="A278" s="73" t="s">
        <v>316</v>
      </c>
      <c r="B278" s="73"/>
      <c r="D278" s="202">
        <f>D267+D245+D277</f>
        <v>0</v>
      </c>
      <c r="E278" s="181">
        <f>IFERROR(D278/G70,0)</f>
        <v>0</v>
      </c>
      <c r="F278" s="32"/>
      <c r="G278" s="24"/>
      <c r="I278" s="63"/>
      <c r="K278" s="56">
        <f>IFERROR((M278/12)/D278,0)</f>
        <v>0</v>
      </c>
      <c r="L278" s="34"/>
      <c r="M278" s="56">
        <f>M267+M245+M277</f>
        <v>0</v>
      </c>
      <c r="N278" s="31"/>
      <c r="Q278" s="34"/>
      <c r="R278" s="34"/>
      <c r="S278" s="35"/>
      <c r="T278" s="35"/>
      <c r="V278" s="29">
        <f>IFERROR((X278/D278)/12,0)</f>
        <v>0</v>
      </c>
      <c r="X278" s="56">
        <f>X267+X245+X277</f>
        <v>0</v>
      </c>
    </row>
    <row r="279" spans="1:24">
      <c r="A279" s="73"/>
      <c r="B279" s="73"/>
      <c r="D279" s="203"/>
      <c r="E279" s="180"/>
      <c r="F279" s="32"/>
      <c r="G279" s="24"/>
      <c r="I279" s="63"/>
      <c r="K279" s="34"/>
      <c r="L279" s="34"/>
      <c r="M279" s="31"/>
      <c r="Q279" s="34"/>
      <c r="R279" s="34"/>
      <c r="S279" s="31"/>
      <c r="T279" s="31"/>
    </row>
    <row r="280" spans="1:24" ht="15" thickBot="1">
      <c r="A280" s="340" t="s">
        <v>5</v>
      </c>
      <c r="B280" s="340"/>
      <c r="D280" s="204">
        <f>D278+D213+D148</f>
        <v>0</v>
      </c>
      <c r="E280" s="182">
        <f>IFERROR(D280/G70,0)</f>
        <v>0</v>
      </c>
      <c r="F280" s="39"/>
      <c r="G280" s="40"/>
      <c r="H280" s="38"/>
      <c r="I280" s="64"/>
      <c r="J280" s="38"/>
      <c r="K280" s="41"/>
      <c r="L280" s="41"/>
      <c r="M280" s="66">
        <f>M148+M213+M278</f>
        <v>0</v>
      </c>
      <c r="O280" s="41"/>
      <c r="P280" s="38"/>
      <c r="Q280" s="41"/>
      <c r="R280" s="41"/>
      <c r="S280" s="42"/>
      <c r="T280" s="68"/>
      <c r="X280" s="66">
        <f>X278+X213+M148</f>
        <v>0</v>
      </c>
    </row>
    <row r="281" spans="1:24" ht="15" thickTop="1">
      <c r="A281" s="73"/>
      <c r="B281" s="73"/>
      <c r="D281" s="65"/>
      <c r="E281" s="183"/>
      <c r="F281" s="32"/>
      <c r="G281" s="24"/>
      <c r="K281" s="34"/>
      <c r="L281" s="34"/>
      <c r="M281" s="31"/>
      <c r="O281" s="31"/>
      <c r="P281" s="31"/>
    </row>
    <row r="282" spans="1:24" ht="15" thickBot="1">
      <c r="A282" s="340" t="s">
        <v>14</v>
      </c>
      <c r="B282" s="340"/>
      <c r="E282" s="177"/>
      <c r="F282" s="32"/>
      <c r="G282" s="24"/>
      <c r="K282" s="34"/>
      <c r="L282" s="34"/>
      <c r="M282" s="31"/>
      <c r="O282" s="31"/>
      <c r="P282" s="31"/>
      <c r="V282" s="67" t="s">
        <v>106</v>
      </c>
      <c r="X282" s="105">
        <f>M280-X280</f>
        <v>0</v>
      </c>
    </row>
    <row r="283" spans="1:24" ht="16" thickTop="1" thickBot="1">
      <c r="A283" s="73"/>
      <c r="B283" s="73"/>
      <c r="V283" s="67" t="s">
        <v>9</v>
      </c>
      <c r="X283" s="106">
        <f>IFERROR(X282/M280,0)</f>
        <v>0</v>
      </c>
    </row>
    <row r="284" spans="1:24" ht="15" thickTop="1"/>
  </sheetData>
  <mergeCells count="22">
    <mergeCell ref="S146:T146"/>
    <mergeCell ref="S147:T147"/>
    <mergeCell ref="A282:B282"/>
    <mergeCell ref="A280:B280"/>
    <mergeCell ref="A70:B70"/>
    <mergeCell ref="K73:M73"/>
    <mergeCell ref="O147:Q147"/>
    <mergeCell ref="O146:Q146"/>
    <mergeCell ref="A150:B150"/>
    <mergeCell ref="A83:B83"/>
    <mergeCell ref="A215:B215"/>
    <mergeCell ref="Q72:T72"/>
    <mergeCell ref="S73:T73"/>
    <mergeCell ref="A1:X1"/>
    <mergeCell ref="A2:X2"/>
    <mergeCell ref="A4:X4"/>
    <mergeCell ref="A3:X3"/>
    <mergeCell ref="I82:K82"/>
    <mergeCell ref="A75:B75"/>
    <mergeCell ref="A76:B76"/>
    <mergeCell ref="A77:B77"/>
    <mergeCell ref="I81:K81"/>
  </mergeCells>
  <phoneticPr fontId="26" type="noConversion"/>
  <printOptions horizontalCentered="1"/>
  <pageMargins left="0.25" right="0.25" top="0.75" bottom="0.75" header="0.3" footer="0.3"/>
  <pageSetup scale="60"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74DC3E-3C3A-4374-B205-82643D603E0E}">
  <sheetPr>
    <pageSetUpPr fitToPage="1"/>
  </sheetPr>
  <dimension ref="A1:KX70"/>
  <sheetViews>
    <sheetView topLeftCell="A4" zoomScale="90" zoomScaleNormal="90" workbookViewId="0">
      <selection activeCell="B36" sqref="B36"/>
    </sheetView>
  </sheetViews>
  <sheetFormatPr baseColWidth="10" defaultColWidth="9.33203125" defaultRowHeight="14"/>
  <cols>
    <col min="1" max="1" width="28.5" style="1" customWidth="1"/>
    <col min="2" max="2" width="16.83203125" style="1" customWidth="1"/>
    <col min="3" max="3" width="10.33203125" style="1" bestFit="1" customWidth="1"/>
    <col min="4" max="13" width="12.6640625" style="1" customWidth="1"/>
    <col min="14" max="14" width="2.6640625" style="1" customWidth="1"/>
    <col min="15" max="15" width="12.6640625" style="1" customWidth="1"/>
    <col min="16" max="16" width="1.6640625" style="1" customWidth="1"/>
    <col min="17" max="17" width="12.6640625" style="1" customWidth="1"/>
    <col min="18" max="19" width="9.33203125" style="1"/>
    <col min="20" max="20" width="11" style="1" bestFit="1" customWidth="1"/>
    <col min="21" max="16384" width="9.33203125" style="1"/>
  </cols>
  <sheetData>
    <row r="1" spans="1:17">
      <c r="A1" s="331">
        <f>'Municipality Benefits Analysis'!A1:K1</f>
        <v>0</v>
      </c>
      <c r="B1" s="331"/>
      <c r="C1" s="331"/>
      <c r="D1" s="331"/>
      <c r="E1" s="331"/>
      <c r="F1" s="331"/>
      <c r="G1" s="331"/>
      <c r="H1" s="331"/>
      <c r="I1" s="331"/>
      <c r="J1" s="331"/>
      <c r="K1" s="331"/>
      <c r="L1" s="331"/>
      <c r="M1" s="331"/>
      <c r="N1" s="331"/>
      <c r="O1" s="331"/>
      <c r="P1" s="331"/>
      <c r="Q1" s="331"/>
    </row>
    <row r="2" spans="1:17">
      <c r="A2" s="331">
        <f>'Municipality Benefits Analysis'!A2:K2</f>
        <v>0</v>
      </c>
      <c r="B2" s="331"/>
      <c r="C2" s="331"/>
      <c r="D2" s="331"/>
      <c r="E2" s="331"/>
      <c r="F2" s="331"/>
      <c r="G2" s="331"/>
      <c r="H2" s="331"/>
      <c r="I2" s="331"/>
      <c r="J2" s="331"/>
      <c r="K2" s="331"/>
      <c r="L2" s="331"/>
      <c r="M2" s="331"/>
      <c r="N2" s="331"/>
      <c r="O2" s="331"/>
      <c r="P2" s="331"/>
      <c r="Q2" s="331"/>
    </row>
    <row r="3" spans="1:17">
      <c r="A3" s="331" t="s">
        <v>92</v>
      </c>
      <c r="B3" s="331"/>
      <c r="C3" s="331"/>
      <c r="D3" s="331"/>
      <c r="E3" s="331"/>
      <c r="F3" s="331"/>
      <c r="G3" s="331"/>
      <c r="H3" s="331"/>
      <c r="I3" s="331"/>
      <c r="J3" s="331"/>
      <c r="K3" s="331"/>
      <c r="L3" s="331"/>
      <c r="M3" s="331"/>
      <c r="N3" s="331"/>
      <c r="O3" s="331"/>
      <c r="P3" s="331"/>
      <c r="Q3" s="331"/>
    </row>
    <row r="4" spans="1:17" ht="15" thickBot="1">
      <c r="A4" s="337">
        <f>'Municipality Benefits Analysis'!A4:K4</f>
        <v>46113</v>
      </c>
      <c r="B4" s="337"/>
      <c r="C4" s="337"/>
      <c r="D4" s="337"/>
      <c r="E4" s="337"/>
      <c r="F4" s="337"/>
      <c r="G4" s="337"/>
      <c r="H4" s="337"/>
      <c r="I4" s="337"/>
      <c r="J4" s="337"/>
      <c r="K4" s="337"/>
      <c r="L4" s="337"/>
      <c r="M4" s="337"/>
      <c r="N4" s="337"/>
      <c r="O4" s="337"/>
      <c r="P4" s="337"/>
      <c r="Q4" s="337"/>
    </row>
    <row r="5" spans="1:17" ht="15" thickTop="1">
      <c r="Q5" s="54" t="s">
        <v>340</v>
      </c>
    </row>
    <row r="6" spans="1:17">
      <c r="D6" s="7" t="s">
        <v>55</v>
      </c>
      <c r="E6" s="7" t="s">
        <v>56</v>
      </c>
      <c r="F6" s="7" t="s">
        <v>57</v>
      </c>
      <c r="G6" s="7" t="s">
        <v>58</v>
      </c>
      <c r="H6" s="7" t="s">
        <v>59</v>
      </c>
      <c r="I6" s="7" t="s">
        <v>60</v>
      </c>
      <c r="J6" s="7" t="s">
        <v>61</v>
      </c>
      <c r="K6" s="7" t="s">
        <v>62</v>
      </c>
      <c r="L6" s="7" t="s">
        <v>63</v>
      </c>
      <c r="M6" s="7" t="s">
        <v>64</v>
      </c>
      <c r="O6" s="7" t="s">
        <v>68</v>
      </c>
      <c r="Q6" s="7" t="s">
        <v>80</v>
      </c>
    </row>
    <row r="7" spans="1:17">
      <c r="A7" s="2" t="s">
        <v>24</v>
      </c>
    </row>
    <row r="8" spans="1:17">
      <c r="A8" s="1" t="s">
        <v>50</v>
      </c>
      <c r="C8" s="55">
        <f>'Mixed Rent'!G75</f>
        <v>0</v>
      </c>
      <c r="D8" s="10">
        <f>'Mixed Rent'!M148</f>
        <v>0</v>
      </c>
      <c r="E8" s="10">
        <f>D8*(100%+'Summary Page'!$E$7)</f>
        <v>0</v>
      </c>
      <c r="F8" s="10">
        <f>E8*(100%+'Summary Page'!$E$8)</f>
        <v>0</v>
      </c>
      <c r="G8" s="10">
        <f>F8*(100%+'Summary Page'!$E$9)</f>
        <v>0</v>
      </c>
      <c r="H8" s="10">
        <f>G8*(100%+'Summary Page'!$E$10)</f>
        <v>0</v>
      </c>
      <c r="I8" s="10">
        <f>H8*(100%+'Summary Page'!$E$11)</f>
        <v>0</v>
      </c>
      <c r="J8" s="10">
        <f>I8*(100%+'Summary Page'!$E$12)</f>
        <v>0</v>
      </c>
      <c r="K8" s="10">
        <f>J8*(100%+'Summary Page'!$E$13)</f>
        <v>0</v>
      </c>
      <c r="L8" s="10">
        <f>K8*(100%+'Summary Page'!$E$14)</f>
        <v>0</v>
      </c>
      <c r="M8" s="10">
        <f>L8*(100%+'Summary Page'!$E$15)</f>
        <v>0</v>
      </c>
      <c r="N8" s="10"/>
      <c r="O8" s="10"/>
      <c r="P8" s="10"/>
      <c r="Q8" s="10"/>
    </row>
    <row r="9" spans="1:17">
      <c r="A9" s="1" t="s">
        <v>52</v>
      </c>
      <c r="C9" s="55">
        <f>'Mixed Rent'!G76</f>
        <v>0</v>
      </c>
      <c r="D9" s="10">
        <f>'Mixed Rent'!X213</f>
        <v>0</v>
      </c>
      <c r="E9" s="10">
        <f>D9*(100%+'Summary Page'!$E$16)</f>
        <v>0</v>
      </c>
      <c r="F9" s="10">
        <f>E9*(100%+'Summary Page'!$E$16)</f>
        <v>0</v>
      </c>
      <c r="G9" s="10">
        <f>F9*(100%+'Summary Page'!$E$16)</f>
        <v>0</v>
      </c>
      <c r="H9" s="10">
        <f>G9*(100%+'Summary Page'!$E$16)</f>
        <v>0</v>
      </c>
      <c r="I9" s="10">
        <f>H9*(100%+'Summary Page'!$E$16)</f>
        <v>0</v>
      </c>
      <c r="J9" s="10">
        <f>I9*(100%+'Summary Page'!$E$16)</f>
        <v>0</v>
      </c>
      <c r="K9" s="10">
        <f>J9*(100%+'Summary Page'!$E$16)</f>
        <v>0</v>
      </c>
      <c r="L9" s="10">
        <f>K9*(100%+'Summary Page'!$E$16)</f>
        <v>0</v>
      </c>
      <c r="M9" s="10">
        <f>L9*(100%+'Summary Page'!$E$16)</f>
        <v>0</v>
      </c>
      <c r="N9" s="10"/>
      <c r="O9" s="10"/>
      <c r="P9" s="10"/>
      <c r="Q9" s="10"/>
    </row>
    <row r="10" spans="1:17">
      <c r="A10" s="1" t="s">
        <v>53</v>
      </c>
      <c r="C10" s="55">
        <f>'Mixed Rent'!G77</f>
        <v>0</v>
      </c>
      <c r="D10" s="12">
        <f>'Mixed Rent'!X278</f>
        <v>0</v>
      </c>
      <c r="E10" s="12">
        <f>D10*(100%+'Summary Page'!$E$16)</f>
        <v>0</v>
      </c>
      <c r="F10" s="12">
        <f>E10*(100%+'Summary Page'!$E$16)</f>
        <v>0</v>
      </c>
      <c r="G10" s="12">
        <f>F10*(100%+'Summary Page'!$E$16)</f>
        <v>0</v>
      </c>
      <c r="H10" s="12">
        <f>G10*(100%+'Summary Page'!$E$16)</f>
        <v>0</v>
      </c>
      <c r="I10" s="12">
        <f>H10*(100%+'Summary Page'!$E$16)</f>
        <v>0</v>
      </c>
      <c r="J10" s="12">
        <f>I10*(100%+'Summary Page'!$E$16)</f>
        <v>0</v>
      </c>
      <c r="K10" s="12">
        <f>J10*(100%+'Summary Page'!$E$16)</f>
        <v>0</v>
      </c>
      <c r="L10" s="12">
        <f>K10*(100%+'Summary Page'!$E$16)</f>
        <v>0</v>
      </c>
      <c r="M10" s="12">
        <f>L10*(100%+'Summary Page'!$E$16)</f>
        <v>0</v>
      </c>
      <c r="N10" s="10"/>
      <c r="O10" s="10"/>
      <c r="P10" s="10"/>
      <c r="Q10" s="10"/>
    </row>
    <row r="11" spans="1:17">
      <c r="A11" s="2" t="s">
        <v>54</v>
      </c>
      <c r="B11" s="50"/>
      <c r="D11" s="10">
        <f>SUM(D8:D10)</f>
        <v>0</v>
      </c>
      <c r="E11" s="10">
        <f t="shared" ref="E11:M11" si="0">SUM(E8:E10)</f>
        <v>0</v>
      </c>
      <c r="F11" s="10">
        <f t="shared" si="0"/>
        <v>0</v>
      </c>
      <c r="G11" s="10">
        <f t="shared" si="0"/>
        <v>0</v>
      </c>
      <c r="H11" s="10">
        <f t="shared" si="0"/>
        <v>0</v>
      </c>
      <c r="I11" s="10">
        <f t="shared" si="0"/>
        <v>0</v>
      </c>
      <c r="J11" s="10">
        <f t="shared" si="0"/>
        <v>0</v>
      </c>
      <c r="K11" s="10">
        <f t="shared" si="0"/>
        <v>0</v>
      </c>
      <c r="L11" s="10">
        <f t="shared" si="0"/>
        <v>0</v>
      </c>
      <c r="M11" s="10">
        <f t="shared" si="0"/>
        <v>0</v>
      </c>
      <c r="N11" s="10"/>
      <c r="O11" s="10"/>
      <c r="P11" s="10"/>
      <c r="Q11" s="10"/>
    </row>
    <row r="12" spans="1:17">
      <c r="A12" s="1" t="s">
        <v>25</v>
      </c>
      <c r="D12" s="123">
        <f>'P&amp;L'!D13</f>
        <v>0</v>
      </c>
      <c r="E12" s="123">
        <f>D12*(100%+'Summary Page'!$E$18)</f>
        <v>0</v>
      </c>
      <c r="F12" s="123">
        <f>E12*(100%+'Summary Page'!$E$18)</f>
        <v>0</v>
      </c>
      <c r="G12" s="123">
        <f>F12*(100%+'Summary Page'!$E$18)</f>
        <v>0</v>
      </c>
      <c r="H12" s="123">
        <f>G12*(100%+'Summary Page'!$E$18)</f>
        <v>0</v>
      </c>
      <c r="I12" s="123">
        <f>H12*(100%+'Summary Page'!$E$18)</f>
        <v>0</v>
      </c>
      <c r="J12" s="123">
        <f>I12*(100%+'Summary Page'!$E$18)</f>
        <v>0</v>
      </c>
      <c r="K12" s="123">
        <f>J12*(100%+'Summary Page'!$E$18)</f>
        <v>0</v>
      </c>
      <c r="L12" s="123">
        <f>K12*(100%+'Summary Page'!$E$18)</f>
        <v>0</v>
      </c>
      <c r="M12" s="123">
        <f>L12*(100%+'Summary Page'!$E$18)</f>
        <v>0</v>
      </c>
      <c r="N12" s="10"/>
      <c r="O12" s="10"/>
      <c r="P12" s="10"/>
      <c r="Q12" s="10"/>
    </row>
    <row r="13" spans="1:17">
      <c r="A13" s="1" t="s">
        <v>130</v>
      </c>
      <c r="C13" s="69"/>
      <c r="D13" s="12">
        <f>'P&amp;L'!D12</f>
        <v>0</v>
      </c>
      <c r="E13" s="124">
        <f>D13*(100%+'Summary Page'!$E$18)</f>
        <v>0</v>
      </c>
      <c r="F13" s="124">
        <f>E13*(100%+'Summary Page'!$E$18)</f>
        <v>0</v>
      </c>
      <c r="G13" s="124">
        <f>F13*(100%+'Summary Page'!$E$18)</f>
        <v>0</v>
      </c>
      <c r="H13" s="124">
        <f>G13*(100%+'Summary Page'!$E$18)</f>
        <v>0</v>
      </c>
      <c r="I13" s="124">
        <f>H13*(100%+'Summary Page'!$E$18)</f>
        <v>0</v>
      </c>
      <c r="J13" s="124">
        <f>I13*(100%+'Summary Page'!$E$18)</f>
        <v>0</v>
      </c>
      <c r="K13" s="124">
        <f>J13*(100%+'Summary Page'!$E$18)</f>
        <v>0</v>
      </c>
      <c r="L13" s="124">
        <f>K13*(100%+'Summary Page'!$E$18)</f>
        <v>0</v>
      </c>
      <c r="M13" s="124">
        <f>L13*(100%+'Summary Page'!$E$18)</f>
        <v>0</v>
      </c>
      <c r="N13" s="10"/>
      <c r="O13" s="10"/>
      <c r="P13" s="10"/>
      <c r="Q13" s="10"/>
    </row>
    <row r="14" spans="1:17">
      <c r="A14" s="2" t="s">
        <v>23</v>
      </c>
      <c r="D14" s="10">
        <f>SUM(D11:D13)</f>
        <v>0</v>
      </c>
      <c r="E14" s="10">
        <f t="shared" ref="E14:M14" si="1">SUM(E11:E13)</f>
        <v>0</v>
      </c>
      <c r="F14" s="10">
        <f t="shared" si="1"/>
        <v>0</v>
      </c>
      <c r="G14" s="10">
        <f t="shared" si="1"/>
        <v>0</v>
      </c>
      <c r="H14" s="10">
        <f t="shared" si="1"/>
        <v>0</v>
      </c>
      <c r="I14" s="10">
        <f t="shared" si="1"/>
        <v>0</v>
      </c>
      <c r="J14" s="10">
        <f t="shared" si="1"/>
        <v>0</v>
      </c>
      <c r="K14" s="10">
        <f t="shared" si="1"/>
        <v>0</v>
      </c>
      <c r="L14" s="10">
        <f t="shared" si="1"/>
        <v>0</v>
      </c>
      <c r="M14" s="10">
        <f t="shared" si="1"/>
        <v>0</v>
      </c>
      <c r="N14" s="10"/>
      <c r="O14" s="10"/>
      <c r="P14" s="10"/>
      <c r="Q14" s="10"/>
    </row>
    <row r="15" spans="1:17">
      <c r="A15" s="1" t="s">
        <v>122</v>
      </c>
      <c r="C15" s="43">
        <f>'P&amp;L'!C16</f>
        <v>0</v>
      </c>
      <c r="D15" s="123">
        <f>D11*-$C$15</f>
        <v>0</v>
      </c>
      <c r="E15" s="123">
        <f t="shared" ref="E15:M15" si="2">E11*-$C$15</f>
        <v>0</v>
      </c>
      <c r="F15" s="123">
        <f t="shared" si="2"/>
        <v>0</v>
      </c>
      <c r="G15" s="123">
        <f t="shared" si="2"/>
        <v>0</v>
      </c>
      <c r="H15" s="123">
        <f t="shared" si="2"/>
        <v>0</v>
      </c>
      <c r="I15" s="123">
        <f t="shared" si="2"/>
        <v>0</v>
      </c>
      <c r="J15" s="123">
        <f t="shared" si="2"/>
        <v>0</v>
      </c>
      <c r="K15" s="123">
        <f t="shared" si="2"/>
        <v>0</v>
      </c>
      <c r="L15" s="123">
        <f t="shared" si="2"/>
        <v>0</v>
      </c>
      <c r="M15" s="123">
        <f t="shared" si="2"/>
        <v>0</v>
      </c>
      <c r="N15" s="10"/>
      <c r="O15" s="10"/>
      <c r="P15" s="10"/>
      <c r="Q15" s="10"/>
    </row>
    <row r="16" spans="1:17">
      <c r="A16" s="1" t="s">
        <v>231</v>
      </c>
      <c r="C16" s="43">
        <f>'P&amp;L'!C17</f>
        <v>0</v>
      </c>
      <c r="D16" s="12">
        <f>D11*-$C$16</f>
        <v>0</v>
      </c>
      <c r="E16" s="12">
        <f t="shared" ref="E16:M16" si="3">E11*-$C$16</f>
        <v>0</v>
      </c>
      <c r="F16" s="12">
        <f t="shared" si="3"/>
        <v>0</v>
      </c>
      <c r="G16" s="12">
        <f t="shared" si="3"/>
        <v>0</v>
      </c>
      <c r="H16" s="12">
        <f t="shared" si="3"/>
        <v>0</v>
      </c>
      <c r="I16" s="12">
        <f t="shared" si="3"/>
        <v>0</v>
      </c>
      <c r="J16" s="12">
        <f t="shared" si="3"/>
        <v>0</v>
      </c>
      <c r="K16" s="12">
        <f t="shared" si="3"/>
        <v>0</v>
      </c>
      <c r="L16" s="12">
        <f t="shared" si="3"/>
        <v>0</v>
      </c>
      <c r="M16" s="12">
        <f t="shared" si="3"/>
        <v>0</v>
      </c>
      <c r="N16" s="10"/>
      <c r="O16" s="10"/>
      <c r="P16" s="10"/>
      <c r="Q16" s="10"/>
    </row>
    <row r="17" spans="1:20">
      <c r="A17" s="2" t="s">
        <v>26</v>
      </c>
      <c r="D17" s="10">
        <f>SUM(D14:D16)</f>
        <v>0</v>
      </c>
      <c r="E17" s="10">
        <f t="shared" ref="E17:M17" si="4">SUM(E14:E16)</f>
        <v>0</v>
      </c>
      <c r="F17" s="10">
        <f t="shared" si="4"/>
        <v>0</v>
      </c>
      <c r="G17" s="10">
        <f t="shared" si="4"/>
        <v>0</v>
      </c>
      <c r="H17" s="10">
        <f t="shared" si="4"/>
        <v>0</v>
      </c>
      <c r="I17" s="10">
        <f t="shared" si="4"/>
        <v>0</v>
      </c>
      <c r="J17" s="10">
        <f t="shared" si="4"/>
        <v>0</v>
      </c>
      <c r="K17" s="10">
        <f t="shared" si="4"/>
        <v>0</v>
      </c>
      <c r="L17" s="10">
        <f t="shared" si="4"/>
        <v>0</v>
      </c>
      <c r="M17" s="10">
        <f t="shared" si="4"/>
        <v>0</v>
      </c>
      <c r="N17" s="10"/>
      <c r="O17" s="10"/>
      <c r="P17" s="10"/>
      <c r="Q17" s="10"/>
    </row>
    <row r="18" spans="1:20">
      <c r="D18" s="10"/>
      <c r="E18" s="10"/>
      <c r="F18" s="10"/>
      <c r="G18" s="10"/>
      <c r="H18" s="10"/>
      <c r="I18" s="10"/>
      <c r="J18" s="10"/>
      <c r="K18" s="10"/>
      <c r="L18" s="10"/>
      <c r="M18" s="10"/>
      <c r="N18" s="10"/>
      <c r="O18" s="10"/>
      <c r="P18" s="10"/>
      <c r="Q18" s="10"/>
    </row>
    <row r="19" spans="1:20">
      <c r="A19" s="2" t="s">
        <v>21</v>
      </c>
      <c r="D19" s="10"/>
      <c r="E19" s="10"/>
      <c r="F19" s="10"/>
      <c r="G19" s="10"/>
      <c r="H19" s="10"/>
      <c r="I19" s="10"/>
      <c r="J19" s="10"/>
      <c r="K19" s="10"/>
      <c r="L19" s="10"/>
      <c r="M19" s="10"/>
      <c r="N19" s="10"/>
      <c r="O19" s="10"/>
      <c r="P19" s="10"/>
      <c r="Q19" s="10"/>
    </row>
    <row r="20" spans="1:20">
      <c r="A20" s="2" t="s">
        <v>28</v>
      </c>
      <c r="D20" s="10"/>
      <c r="E20" s="10"/>
      <c r="F20" s="10"/>
      <c r="G20" s="10"/>
      <c r="H20" s="10"/>
      <c r="I20" s="10"/>
      <c r="J20" s="10"/>
      <c r="K20" s="10"/>
      <c r="L20" s="10"/>
      <c r="M20" s="10"/>
      <c r="N20" s="10"/>
      <c r="O20" s="10"/>
      <c r="P20" s="10"/>
      <c r="Q20" s="10"/>
    </row>
    <row r="21" spans="1:20">
      <c r="A21" s="1" t="s">
        <v>109</v>
      </c>
      <c r="D21" s="44">
        <f>'P&amp;L'!D29</f>
        <v>0</v>
      </c>
      <c r="E21" s="44">
        <f>D21*(100%+'Summary Page'!$E$17)</f>
        <v>0</v>
      </c>
      <c r="F21" s="44">
        <f>E21*(100%+'Summary Page'!$E$17)</f>
        <v>0</v>
      </c>
      <c r="G21" s="44">
        <f>F21*(100%+'Summary Page'!$E$17)</f>
        <v>0</v>
      </c>
      <c r="H21" s="44">
        <f>G21*(100%+'Summary Page'!$E$17)</f>
        <v>0</v>
      </c>
      <c r="I21" s="44">
        <f>H21*(100%+'Summary Page'!$E$17)</f>
        <v>0</v>
      </c>
      <c r="J21" s="44">
        <f>I21*(100%+'Summary Page'!$E$17)</f>
        <v>0</v>
      </c>
      <c r="K21" s="44">
        <f>J21*(100%+'Summary Page'!$E$17)</f>
        <v>0</v>
      </c>
      <c r="L21" s="44">
        <f>K21*(100%+'Summary Page'!$E$17)</f>
        <v>0</v>
      </c>
      <c r="M21" s="44">
        <f>L21*(100%+'Summary Page'!$E$17)</f>
        <v>0</v>
      </c>
      <c r="N21" s="10"/>
      <c r="O21" s="10"/>
      <c r="P21" s="10"/>
      <c r="Q21" s="10"/>
    </row>
    <row r="22" spans="1:20">
      <c r="A22" s="1" t="s">
        <v>124</v>
      </c>
      <c r="B22" s="1" t="s">
        <v>123</v>
      </c>
      <c r="D22" s="10">
        <f>SUM('P&amp;L'!D31:D33)+'P&amp;L'!D37</f>
        <v>0</v>
      </c>
      <c r="E22" s="10">
        <f>D22*(100%+'Summary Page'!$E$17)</f>
        <v>0</v>
      </c>
      <c r="F22" s="10">
        <f>E22*(100%+'Summary Page'!$E$17)</f>
        <v>0</v>
      </c>
      <c r="G22" s="10">
        <f>F22*(100%+'Summary Page'!$E$17)</f>
        <v>0</v>
      </c>
      <c r="H22" s="10">
        <f>G22*(100%+'Summary Page'!$E$17)</f>
        <v>0</v>
      </c>
      <c r="I22" s="10">
        <f>H22*(100%+'Summary Page'!$E$17)</f>
        <v>0</v>
      </c>
      <c r="J22" s="10">
        <f>I22*(100%+'Summary Page'!$E$17)</f>
        <v>0</v>
      </c>
      <c r="K22" s="10">
        <f>J22*(100%+'Summary Page'!$E$17)</f>
        <v>0</v>
      </c>
      <c r="L22" s="10">
        <f>K22*(100%+'Summary Page'!$E$17)</f>
        <v>0</v>
      </c>
      <c r="M22" s="10">
        <f>L22*(100%+'Summary Page'!$E$17)</f>
        <v>0</v>
      </c>
      <c r="N22" s="10"/>
      <c r="O22" s="10"/>
      <c r="P22" s="10"/>
      <c r="Q22" s="10"/>
    </row>
    <row r="23" spans="1:20">
      <c r="A23" s="1" t="s">
        <v>214</v>
      </c>
      <c r="C23" s="43">
        <f>'P&amp;L'!C35</f>
        <v>0</v>
      </c>
      <c r="D23" s="10">
        <f t="shared" ref="D23:M23" si="5">$C$23*-D17</f>
        <v>0</v>
      </c>
      <c r="E23" s="10">
        <f t="shared" si="5"/>
        <v>0</v>
      </c>
      <c r="F23" s="10">
        <f t="shared" si="5"/>
        <v>0</v>
      </c>
      <c r="G23" s="10">
        <f t="shared" si="5"/>
        <v>0</v>
      </c>
      <c r="H23" s="10">
        <f t="shared" si="5"/>
        <v>0</v>
      </c>
      <c r="I23" s="10">
        <f t="shared" si="5"/>
        <v>0</v>
      </c>
      <c r="J23" s="10">
        <f t="shared" si="5"/>
        <v>0</v>
      </c>
      <c r="K23" s="10">
        <f t="shared" si="5"/>
        <v>0</v>
      </c>
      <c r="L23" s="10">
        <f t="shared" si="5"/>
        <v>0</v>
      </c>
      <c r="M23" s="10">
        <f t="shared" si="5"/>
        <v>0</v>
      </c>
      <c r="N23" s="10"/>
      <c r="O23" s="10"/>
      <c r="P23" s="10"/>
      <c r="Q23" s="10"/>
    </row>
    <row r="24" spans="1:20">
      <c r="A24" s="1" t="s">
        <v>27</v>
      </c>
      <c r="D24" s="12">
        <f>'P&amp;L'!D36+'P&amp;L'!D33</f>
        <v>0</v>
      </c>
      <c r="E24" s="12">
        <f>D24*(100%+'Summary Page'!$E$19)</f>
        <v>0</v>
      </c>
      <c r="F24" s="12">
        <f>E24*(100%+'Summary Page'!$E$19)</f>
        <v>0</v>
      </c>
      <c r="G24" s="12">
        <f>F24*(100%+'Summary Page'!$E$19)</f>
        <v>0</v>
      </c>
      <c r="H24" s="12">
        <f>G24*(100%+'Summary Page'!$E$19)</f>
        <v>0</v>
      </c>
      <c r="I24" s="12">
        <f>H24*(100%+'Summary Page'!$E$19)</f>
        <v>0</v>
      </c>
      <c r="J24" s="12">
        <f>I24*(100%+'Summary Page'!$E$19)</f>
        <v>0</v>
      </c>
      <c r="K24" s="12">
        <f>J24*(100%+'Summary Page'!$E$19)</f>
        <v>0</v>
      </c>
      <c r="L24" s="12">
        <f>K24*(100%+'Summary Page'!$E$19)</f>
        <v>0</v>
      </c>
      <c r="M24" s="12">
        <f>L24*(100%+'Summary Page'!$E$19)</f>
        <v>0</v>
      </c>
      <c r="N24" s="10"/>
      <c r="O24" s="10"/>
      <c r="P24" s="10"/>
      <c r="Q24" s="10"/>
    </row>
    <row r="25" spans="1:20">
      <c r="A25" s="2" t="s">
        <v>29</v>
      </c>
      <c r="D25" s="12">
        <f t="shared" ref="D25:M25" si="6">SUM(D21:D24)</f>
        <v>0</v>
      </c>
      <c r="E25" s="12">
        <f t="shared" si="6"/>
        <v>0</v>
      </c>
      <c r="F25" s="12">
        <f t="shared" si="6"/>
        <v>0</v>
      </c>
      <c r="G25" s="12">
        <f t="shared" si="6"/>
        <v>0</v>
      </c>
      <c r="H25" s="12">
        <f t="shared" si="6"/>
        <v>0</v>
      </c>
      <c r="I25" s="12">
        <f t="shared" si="6"/>
        <v>0</v>
      </c>
      <c r="J25" s="12">
        <f t="shared" si="6"/>
        <v>0</v>
      </c>
      <c r="K25" s="12">
        <f t="shared" si="6"/>
        <v>0</v>
      </c>
      <c r="L25" s="12">
        <f t="shared" si="6"/>
        <v>0</v>
      </c>
      <c r="M25" s="12">
        <f t="shared" si="6"/>
        <v>0</v>
      </c>
      <c r="N25" s="10"/>
      <c r="O25" s="10"/>
      <c r="P25" s="10"/>
      <c r="Q25" s="10"/>
    </row>
    <row r="26" spans="1:20">
      <c r="D26" s="10"/>
      <c r="E26" s="10"/>
      <c r="F26" s="10"/>
      <c r="G26" s="10"/>
      <c r="H26" s="10"/>
      <c r="I26" s="10"/>
      <c r="J26" s="10"/>
      <c r="K26" s="10"/>
      <c r="L26" s="10"/>
      <c r="M26" s="10"/>
      <c r="N26" s="10"/>
      <c r="O26" s="10"/>
      <c r="P26" s="10"/>
      <c r="Q26" s="10"/>
    </row>
    <row r="27" spans="1:20">
      <c r="A27" s="2" t="s">
        <v>30</v>
      </c>
      <c r="D27" s="10">
        <f t="shared" ref="D27:M27" si="7">D17+D25</f>
        <v>0</v>
      </c>
      <c r="E27" s="10">
        <f t="shared" si="7"/>
        <v>0</v>
      </c>
      <c r="F27" s="10">
        <f t="shared" si="7"/>
        <v>0</v>
      </c>
      <c r="G27" s="10">
        <f t="shared" si="7"/>
        <v>0</v>
      </c>
      <c r="H27" s="10">
        <f t="shared" si="7"/>
        <v>0</v>
      </c>
      <c r="I27" s="10">
        <f t="shared" si="7"/>
        <v>0</v>
      </c>
      <c r="J27" s="10">
        <f t="shared" si="7"/>
        <v>0</v>
      </c>
      <c r="K27" s="10">
        <f t="shared" si="7"/>
        <v>0</v>
      </c>
      <c r="L27" s="10">
        <f t="shared" si="7"/>
        <v>0</v>
      </c>
      <c r="M27" s="10">
        <f t="shared" si="7"/>
        <v>0</v>
      </c>
      <c r="N27" s="10"/>
      <c r="O27" s="10"/>
      <c r="P27" s="10"/>
      <c r="Q27" s="10"/>
    </row>
    <row r="28" spans="1:20">
      <c r="A28" s="1" t="s">
        <v>33</v>
      </c>
      <c r="D28" s="10"/>
      <c r="E28" s="10"/>
      <c r="F28" s="10"/>
      <c r="G28" s="10"/>
      <c r="H28" s="10"/>
      <c r="I28" s="10"/>
      <c r="J28" s="10"/>
      <c r="K28" s="10"/>
      <c r="L28" s="10"/>
      <c r="M28" s="10"/>
      <c r="N28" s="10"/>
      <c r="O28" s="10"/>
      <c r="P28" s="10"/>
      <c r="Q28" s="10"/>
    </row>
    <row r="29" spans="1:20">
      <c r="A29" s="1" t="s">
        <v>27</v>
      </c>
      <c r="D29" s="12">
        <f>-'P&amp;L'!D36</f>
        <v>0</v>
      </c>
      <c r="E29" s="12">
        <f>D29*(100%+'Summary Page'!$E$19)</f>
        <v>0</v>
      </c>
      <c r="F29" s="12">
        <f>E29*(100%+'Summary Page'!$E$19)</f>
        <v>0</v>
      </c>
      <c r="G29" s="12">
        <f>F29*(100%+'Summary Page'!$E$19)</f>
        <v>0</v>
      </c>
      <c r="H29" s="12">
        <f>G29*(100%+'Summary Page'!$E$19)</f>
        <v>0</v>
      </c>
      <c r="I29" s="12">
        <f>H29*(100%+'Summary Page'!$E$19)</f>
        <v>0</v>
      </c>
      <c r="J29" s="12">
        <f>I29*(100%+'Summary Page'!$E$19)</f>
        <v>0</v>
      </c>
      <c r="K29" s="12">
        <f>J29*(100%+'Summary Page'!$E$19)</f>
        <v>0</v>
      </c>
      <c r="L29" s="12">
        <f>K29*(100%+'Summary Page'!$E$19)</f>
        <v>0</v>
      </c>
      <c r="M29" s="12">
        <f>L29*(100%+'Summary Page'!$E$19)</f>
        <v>0</v>
      </c>
      <c r="N29" s="10"/>
      <c r="O29" s="10">
        <f>SUM(D29:M29)</f>
        <v>0</v>
      </c>
      <c r="P29" s="10"/>
      <c r="Q29" s="10"/>
    </row>
    <row r="30" spans="1:20">
      <c r="A30" s="2" t="s">
        <v>32</v>
      </c>
      <c r="D30" s="10">
        <f>D27+D29</f>
        <v>0</v>
      </c>
      <c r="E30" s="10">
        <f t="shared" ref="E30:M30" si="8">E27+E29</f>
        <v>0</v>
      </c>
      <c r="F30" s="10">
        <f t="shared" si="8"/>
        <v>0</v>
      </c>
      <c r="G30" s="10">
        <f t="shared" si="8"/>
        <v>0</v>
      </c>
      <c r="H30" s="10">
        <f t="shared" si="8"/>
        <v>0</v>
      </c>
      <c r="I30" s="10">
        <f t="shared" si="8"/>
        <v>0</v>
      </c>
      <c r="J30" s="10">
        <f t="shared" si="8"/>
        <v>0</v>
      </c>
      <c r="K30" s="10">
        <f t="shared" si="8"/>
        <v>0</v>
      </c>
      <c r="L30" s="10">
        <f t="shared" si="8"/>
        <v>0</v>
      </c>
      <c r="M30" s="10">
        <f t="shared" si="8"/>
        <v>0</v>
      </c>
      <c r="N30" s="10"/>
      <c r="O30" s="10"/>
      <c r="P30" s="10"/>
      <c r="Q30" s="10"/>
      <c r="T30" s="50"/>
    </row>
    <row r="31" spans="1:20">
      <c r="A31" s="2"/>
      <c r="D31" s="10"/>
      <c r="E31" s="10"/>
      <c r="F31" s="10"/>
      <c r="G31" s="10"/>
      <c r="H31" s="10"/>
      <c r="I31" s="10"/>
      <c r="J31" s="10"/>
      <c r="K31" s="10"/>
      <c r="L31" s="10"/>
      <c r="M31" s="10"/>
      <c r="N31" s="10"/>
      <c r="O31" s="10"/>
      <c r="P31" s="10"/>
      <c r="Q31" s="10"/>
    </row>
    <row r="32" spans="1:20">
      <c r="A32" s="2" t="s">
        <v>21</v>
      </c>
      <c r="D32" s="10"/>
      <c r="E32" s="10"/>
      <c r="F32" s="10"/>
      <c r="G32" s="10"/>
      <c r="H32" s="10"/>
      <c r="I32" s="10"/>
      <c r="J32" s="10"/>
      <c r="K32" s="10"/>
      <c r="L32" s="10"/>
      <c r="M32" s="10"/>
      <c r="N32" s="10"/>
      <c r="O32" s="10"/>
      <c r="P32" s="10"/>
      <c r="Q32" s="10"/>
    </row>
    <row r="33" spans="1:17">
      <c r="A33" s="1" t="s">
        <v>138</v>
      </c>
      <c r="B33" s="4" t="s">
        <v>38</v>
      </c>
      <c r="C33" s="96">
        <f>'P&amp;L'!E48*-1</f>
        <v>0</v>
      </c>
      <c r="D33" s="12">
        <f>'P&amp;L'!D49</f>
        <v>0</v>
      </c>
      <c r="E33" s="12">
        <f>D33</f>
        <v>0</v>
      </c>
      <c r="F33" s="12">
        <f t="shared" ref="F33:M33" si="9">E33</f>
        <v>0</v>
      </c>
      <c r="G33" s="12">
        <f t="shared" si="9"/>
        <v>0</v>
      </c>
      <c r="H33" s="12">
        <f t="shared" si="9"/>
        <v>0</v>
      </c>
      <c r="I33" s="12">
        <f t="shared" si="9"/>
        <v>0</v>
      </c>
      <c r="J33" s="12">
        <f t="shared" si="9"/>
        <v>0</v>
      </c>
      <c r="K33" s="12">
        <f t="shared" si="9"/>
        <v>0</v>
      </c>
      <c r="L33" s="12">
        <f t="shared" si="9"/>
        <v>0</v>
      </c>
      <c r="M33" s="12">
        <f t="shared" si="9"/>
        <v>0</v>
      </c>
      <c r="N33" s="10"/>
      <c r="O33" s="10"/>
      <c r="P33" s="10"/>
      <c r="Q33" s="10"/>
    </row>
    <row r="34" spans="1:17">
      <c r="D34" s="10"/>
      <c r="E34" s="10"/>
      <c r="F34" s="10"/>
      <c r="G34" s="10"/>
      <c r="H34" s="10"/>
      <c r="I34" s="10"/>
      <c r="J34" s="10"/>
      <c r="K34" s="10"/>
      <c r="L34" s="10"/>
      <c r="M34" s="10"/>
      <c r="N34" s="10"/>
      <c r="O34" s="10"/>
      <c r="P34" s="10"/>
      <c r="Q34" s="10"/>
    </row>
    <row r="35" spans="1:17" ht="15" thickBot="1">
      <c r="A35" s="46" t="s">
        <v>32</v>
      </c>
      <c r="D35" s="123">
        <f>D30+D33</f>
        <v>0</v>
      </c>
      <c r="E35" s="123">
        <f t="shared" ref="E35:L35" si="10">E30+E33</f>
        <v>0</v>
      </c>
      <c r="F35" s="123">
        <f t="shared" si="10"/>
        <v>0</v>
      </c>
      <c r="G35" s="123">
        <f t="shared" si="10"/>
        <v>0</v>
      </c>
      <c r="H35" s="123">
        <f t="shared" si="10"/>
        <v>0</v>
      </c>
      <c r="I35" s="123">
        <f t="shared" si="10"/>
        <v>0</v>
      </c>
      <c r="J35" s="123">
        <f t="shared" si="10"/>
        <v>0</v>
      </c>
      <c r="K35" s="123">
        <f t="shared" si="10"/>
        <v>0</v>
      </c>
      <c r="L35" s="123">
        <f t="shared" si="10"/>
        <v>0</v>
      </c>
      <c r="M35" s="123">
        <f>M30+M33</f>
        <v>0</v>
      </c>
      <c r="N35" s="10"/>
      <c r="O35" s="10"/>
      <c r="P35" s="10"/>
      <c r="Q35" s="10"/>
    </row>
    <row r="36" spans="1:17" ht="15" thickTop="1">
      <c r="A36" s="2"/>
      <c r="D36" s="123"/>
      <c r="E36" s="123"/>
      <c r="F36" s="123"/>
      <c r="G36" s="123"/>
      <c r="H36" s="123"/>
      <c r="I36" s="123"/>
      <c r="J36" s="123"/>
      <c r="K36" s="123"/>
      <c r="L36" s="123"/>
      <c r="M36" s="123"/>
      <c r="N36" s="10"/>
      <c r="O36" s="10"/>
      <c r="P36" s="10"/>
      <c r="Q36" s="10"/>
    </row>
    <row r="37" spans="1:17">
      <c r="A37" s="2" t="s">
        <v>65</v>
      </c>
      <c r="B37" s="4"/>
      <c r="D37" s="12">
        <f>('Cash Flow + Debt'!$F$28)</f>
        <v>0</v>
      </c>
      <c r="E37" s="12">
        <f>('Cash Flow + Debt'!$F$28)</f>
        <v>0</v>
      </c>
      <c r="F37" s="12">
        <f>('Cash Flow + Debt'!$F$28)</f>
        <v>0</v>
      </c>
      <c r="G37" s="12">
        <f>('Cash Flow + Debt'!$F$28)</f>
        <v>0</v>
      </c>
      <c r="H37" s="12">
        <f>('Cash Flow + Debt'!$F$28)</f>
        <v>0</v>
      </c>
      <c r="I37" s="12">
        <f>('Cash Flow + Debt'!$F$28)</f>
        <v>0</v>
      </c>
      <c r="J37" s="12">
        <f>('Cash Flow + Debt'!$F$28)</f>
        <v>0</v>
      </c>
      <c r="K37" s="12">
        <f>('Cash Flow + Debt'!$F$28)</f>
        <v>0</v>
      </c>
      <c r="L37" s="12">
        <f>('Cash Flow + Debt'!$F$28)</f>
        <v>0</v>
      </c>
      <c r="M37" s="12">
        <f>('Cash Flow + Debt'!$F$28)</f>
        <v>0</v>
      </c>
      <c r="N37" s="10"/>
      <c r="O37" s="10"/>
      <c r="P37" s="10"/>
      <c r="Q37" s="10"/>
    </row>
    <row r="38" spans="1:17">
      <c r="A38" s="2"/>
      <c r="B38" s="4"/>
      <c r="D38" s="123"/>
      <c r="E38" s="123"/>
      <c r="F38" s="123"/>
      <c r="G38" s="123"/>
      <c r="H38" s="123"/>
      <c r="I38" s="123"/>
      <c r="J38" s="123"/>
      <c r="K38" s="123"/>
      <c r="L38" s="123"/>
      <c r="M38" s="123"/>
      <c r="N38" s="10"/>
      <c r="O38" s="10"/>
      <c r="P38" s="10"/>
      <c r="Q38" s="10"/>
    </row>
    <row r="40" spans="1:17">
      <c r="A40" s="2"/>
      <c r="D40" s="123"/>
      <c r="E40" s="123"/>
      <c r="F40" s="123"/>
      <c r="G40" s="123"/>
      <c r="H40" s="123"/>
      <c r="I40" s="123"/>
      <c r="J40" s="123"/>
      <c r="K40" s="123"/>
      <c r="L40" s="123"/>
      <c r="M40" s="123"/>
      <c r="N40" s="10"/>
      <c r="O40" s="10"/>
      <c r="P40" s="10"/>
      <c r="Q40" s="10"/>
    </row>
    <row r="41" spans="1:17">
      <c r="A41" s="2" t="s">
        <v>40</v>
      </c>
      <c r="D41" s="123">
        <f t="shared" ref="D41:M41" si="11">D37+D35</f>
        <v>0</v>
      </c>
      <c r="E41" s="123">
        <f t="shared" si="11"/>
        <v>0</v>
      </c>
      <c r="F41" s="123">
        <f t="shared" si="11"/>
        <v>0</v>
      </c>
      <c r="G41" s="123">
        <f t="shared" si="11"/>
        <v>0</v>
      </c>
      <c r="H41" s="123">
        <f t="shared" si="11"/>
        <v>0</v>
      </c>
      <c r="I41" s="123">
        <f t="shared" si="11"/>
        <v>0</v>
      </c>
      <c r="J41" s="123">
        <f t="shared" si="11"/>
        <v>0</v>
      </c>
      <c r="K41" s="123">
        <f t="shared" si="11"/>
        <v>0</v>
      </c>
      <c r="L41" s="123">
        <f t="shared" si="11"/>
        <v>0</v>
      </c>
      <c r="M41" s="123">
        <f t="shared" si="11"/>
        <v>0</v>
      </c>
      <c r="N41" s="10"/>
      <c r="O41" s="10"/>
      <c r="P41" s="10"/>
      <c r="Q41" s="10"/>
    </row>
    <row r="42" spans="1:17">
      <c r="A42" s="2" t="s">
        <v>331</v>
      </c>
      <c r="B42" s="4"/>
      <c r="C42" s="225">
        <f>'Summary Page'!E37</f>
        <v>0</v>
      </c>
      <c r="D42" s="123">
        <f>($C$42*D24)</f>
        <v>0</v>
      </c>
      <c r="E42" s="123">
        <f t="shared" ref="E42:M42" si="12">($C$42*E24)</f>
        <v>0</v>
      </c>
      <c r="F42" s="123">
        <f t="shared" si="12"/>
        <v>0</v>
      </c>
      <c r="G42" s="123">
        <f t="shared" si="12"/>
        <v>0</v>
      </c>
      <c r="H42" s="123">
        <f t="shared" si="12"/>
        <v>0</v>
      </c>
      <c r="I42" s="123">
        <f t="shared" si="12"/>
        <v>0</v>
      </c>
      <c r="J42" s="123">
        <f t="shared" si="12"/>
        <v>0</v>
      </c>
      <c r="K42" s="123">
        <f t="shared" si="12"/>
        <v>0</v>
      </c>
      <c r="L42" s="123">
        <f t="shared" si="12"/>
        <v>0</v>
      </c>
      <c r="M42" s="123">
        <f t="shared" si="12"/>
        <v>0</v>
      </c>
      <c r="N42" s="10"/>
      <c r="O42" s="10"/>
      <c r="P42" s="10"/>
      <c r="Q42" s="10">
        <f>SUM(D42:M42)</f>
        <v>0</v>
      </c>
    </row>
    <row r="43" spans="1:17">
      <c r="A43" s="2" t="s">
        <v>46</v>
      </c>
      <c r="B43" s="4" t="s">
        <v>340</v>
      </c>
      <c r="C43" s="43">
        <v>0</v>
      </c>
      <c r="D43" s="12">
        <f>IF($C$43*D17&gt;25000,-$C$43*D17,-25000)</f>
        <v>-25000</v>
      </c>
      <c r="E43" s="12">
        <f>D43+(IF($C$43*E17&gt;25000,-$C$43*E17,-25000)*3%)</f>
        <v>-25750</v>
      </c>
      <c r="F43" s="12">
        <f t="shared" ref="F43:M43" si="13">E43+(IF($C$43*F17&gt;25000,-$C$43*F17,-25000)*3%)</f>
        <v>-26500</v>
      </c>
      <c r="G43" s="12">
        <f t="shared" si="13"/>
        <v>-27250</v>
      </c>
      <c r="H43" s="12">
        <f t="shared" si="13"/>
        <v>-28000</v>
      </c>
      <c r="I43" s="12">
        <f t="shared" si="13"/>
        <v>-28750</v>
      </c>
      <c r="J43" s="12">
        <f t="shared" si="13"/>
        <v>-29500</v>
      </c>
      <c r="K43" s="12">
        <f t="shared" si="13"/>
        <v>-30250</v>
      </c>
      <c r="L43" s="12">
        <f t="shared" si="13"/>
        <v>-31000</v>
      </c>
      <c r="M43" s="12">
        <f t="shared" si="13"/>
        <v>-31750</v>
      </c>
      <c r="N43" s="10"/>
      <c r="O43" s="10"/>
      <c r="P43" s="10"/>
      <c r="Q43" s="10">
        <f>(SUM(D43:M43))*-1</f>
        <v>283750</v>
      </c>
    </row>
    <row r="44" spans="1:17">
      <c r="A44" s="2" t="s">
        <v>47</v>
      </c>
      <c r="B44" s="4"/>
      <c r="C44" s="4"/>
      <c r="D44" s="123">
        <f>SUM(D41:D43)</f>
        <v>-25000</v>
      </c>
      <c r="E44" s="123">
        <f t="shared" ref="E44:M44" si="14">SUM(E41:E43)</f>
        <v>-25750</v>
      </c>
      <c r="F44" s="123">
        <f t="shared" si="14"/>
        <v>-26500</v>
      </c>
      <c r="G44" s="123">
        <f t="shared" si="14"/>
        <v>-27250</v>
      </c>
      <c r="H44" s="123">
        <f t="shared" si="14"/>
        <v>-28000</v>
      </c>
      <c r="I44" s="123">
        <f t="shared" si="14"/>
        <v>-28750</v>
      </c>
      <c r="J44" s="123">
        <f t="shared" si="14"/>
        <v>-29500</v>
      </c>
      <c r="K44" s="123">
        <f t="shared" si="14"/>
        <v>-30250</v>
      </c>
      <c r="L44" s="123">
        <f t="shared" si="14"/>
        <v>-31000</v>
      </c>
      <c r="M44" s="123">
        <f t="shared" si="14"/>
        <v>-31750</v>
      </c>
      <c r="N44" s="10"/>
      <c r="O44" s="10"/>
      <c r="P44" s="10"/>
      <c r="Q44" s="10"/>
    </row>
    <row r="45" spans="1:17">
      <c r="A45" s="2" t="s">
        <v>48</v>
      </c>
      <c r="B45" s="4" t="s">
        <v>43</v>
      </c>
      <c r="C45" s="43">
        <f>'Cash Flow + Debt'!D39</f>
        <v>0</v>
      </c>
      <c r="D45" s="12">
        <f>'Cash Flow + Debt'!$H$39</f>
        <v>0</v>
      </c>
      <c r="E45" s="12">
        <f>'Cash Flow + Debt'!$H$39</f>
        <v>0</v>
      </c>
      <c r="F45" s="12">
        <f>'Cash Flow + Debt'!$H$39</f>
        <v>0</v>
      </c>
      <c r="G45" s="12">
        <f>'Cash Flow + Debt'!$H$39</f>
        <v>0</v>
      </c>
      <c r="H45" s="12">
        <f>'Cash Flow + Debt'!$H$39</f>
        <v>0</v>
      </c>
      <c r="I45" s="12">
        <f>'Cash Flow + Debt'!$H$39</f>
        <v>0</v>
      </c>
      <c r="J45" s="12">
        <f>'Cash Flow + Debt'!$H$39</f>
        <v>0</v>
      </c>
      <c r="K45" s="12">
        <f>'Cash Flow + Debt'!$H$39</f>
        <v>0</v>
      </c>
      <c r="L45" s="12">
        <f>'Cash Flow + Debt'!$H$39</f>
        <v>0</v>
      </c>
      <c r="M45" s="12">
        <f>'Cash Flow + Debt'!$H$39</f>
        <v>0</v>
      </c>
      <c r="N45" s="10"/>
      <c r="O45" s="10"/>
      <c r="P45" s="10"/>
      <c r="Q45" s="10"/>
    </row>
    <row r="46" spans="1:17">
      <c r="A46" s="2" t="s">
        <v>49</v>
      </c>
      <c r="B46" s="4"/>
      <c r="C46" s="4"/>
      <c r="D46" s="123">
        <f>SUM(D44:D45)</f>
        <v>-25000</v>
      </c>
      <c r="E46" s="123">
        <f t="shared" ref="E46:M46" si="15">SUM(E44:E45)</f>
        <v>-25750</v>
      </c>
      <c r="F46" s="123">
        <f t="shared" si="15"/>
        <v>-26500</v>
      </c>
      <c r="G46" s="123">
        <f t="shared" si="15"/>
        <v>-27250</v>
      </c>
      <c r="H46" s="123">
        <f t="shared" si="15"/>
        <v>-28000</v>
      </c>
      <c r="I46" s="123">
        <f t="shared" si="15"/>
        <v>-28750</v>
      </c>
      <c r="J46" s="123">
        <f t="shared" si="15"/>
        <v>-29500</v>
      </c>
      <c r="K46" s="123">
        <f t="shared" si="15"/>
        <v>-30250</v>
      </c>
      <c r="L46" s="123">
        <f t="shared" si="15"/>
        <v>-31000</v>
      </c>
      <c r="M46" s="123">
        <f t="shared" si="15"/>
        <v>-31750</v>
      </c>
      <c r="N46" s="10"/>
      <c r="O46" s="10"/>
      <c r="P46" s="10"/>
      <c r="Q46" s="10"/>
    </row>
    <row r="47" spans="1:17">
      <c r="A47" s="2" t="s">
        <v>67</v>
      </c>
      <c r="B47" s="4"/>
      <c r="C47" s="4"/>
      <c r="D47" s="123">
        <f>IF(D44+D45&lt;0,D44+D45,0)</f>
        <v>-25000</v>
      </c>
      <c r="E47" s="123">
        <f t="shared" ref="E47:M47" si="16">IF(E44+E45&lt;0,E44+E45,0)</f>
        <v>-25750</v>
      </c>
      <c r="F47" s="123">
        <f t="shared" si="16"/>
        <v>-26500</v>
      </c>
      <c r="G47" s="123">
        <f t="shared" si="16"/>
        <v>-27250</v>
      </c>
      <c r="H47" s="123">
        <f t="shared" si="16"/>
        <v>-28000</v>
      </c>
      <c r="I47" s="123">
        <f t="shared" si="16"/>
        <v>-28750</v>
      </c>
      <c r="J47" s="123">
        <f t="shared" si="16"/>
        <v>-29500</v>
      </c>
      <c r="K47" s="123">
        <f t="shared" si="16"/>
        <v>-30250</v>
      </c>
      <c r="L47" s="123">
        <f t="shared" si="16"/>
        <v>-31000</v>
      </c>
      <c r="M47" s="123">
        <f t="shared" si="16"/>
        <v>-31750</v>
      </c>
      <c r="N47" s="10"/>
      <c r="O47" s="10"/>
      <c r="P47" s="10"/>
      <c r="Q47" s="10"/>
    </row>
    <row r="48" spans="1:17">
      <c r="A48" s="2"/>
      <c r="B48" s="4"/>
      <c r="C48" s="4"/>
      <c r="D48" s="123"/>
      <c r="E48" s="123"/>
      <c r="F48" s="123"/>
      <c r="G48" s="123"/>
      <c r="H48" s="123"/>
      <c r="I48" s="123"/>
      <c r="J48" s="123"/>
      <c r="K48" s="123"/>
      <c r="L48" s="123"/>
      <c r="M48" s="123"/>
      <c r="N48" s="10"/>
      <c r="O48" s="10"/>
      <c r="P48" s="10"/>
      <c r="Q48" s="10"/>
    </row>
    <row r="49" spans="1:310">
      <c r="A49" s="2" t="s">
        <v>66</v>
      </c>
      <c r="B49" s="4" t="s">
        <v>43</v>
      </c>
      <c r="C49" s="172">
        <f>'Summary Page'!B32</f>
        <v>0</v>
      </c>
      <c r="D49" s="123">
        <f>IF(D46*$C$49&lt;0,0,D46*$C$49)</f>
        <v>0</v>
      </c>
      <c r="E49" s="123">
        <f t="shared" ref="E49:M49" si="17">IF(E46*$C$49&lt;0,0,E46*$C$49)</f>
        <v>0</v>
      </c>
      <c r="F49" s="123">
        <f t="shared" si="17"/>
        <v>0</v>
      </c>
      <c r="G49" s="123">
        <f t="shared" si="17"/>
        <v>0</v>
      </c>
      <c r="H49" s="123">
        <f t="shared" si="17"/>
        <v>0</v>
      </c>
      <c r="I49" s="123">
        <f t="shared" si="17"/>
        <v>0</v>
      </c>
      <c r="J49" s="123">
        <f t="shared" si="17"/>
        <v>0</v>
      </c>
      <c r="K49" s="123">
        <f t="shared" si="17"/>
        <v>0</v>
      </c>
      <c r="L49" s="123">
        <f t="shared" si="17"/>
        <v>0</v>
      </c>
      <c r="M49" s="123">
        <f t="shared" si="17"/>
        <v>0</v>
      </c>
      <c r="N49" s="10"/>
      <c r="O49" s="10"/>
      <c r="P49" s="10"/>
      <c r="Q49" s="10"/>
    </row>
    <row r="50" spans="1:310">
      <c r="A50" s="2"/>
      <c r="B50" s="4" t="s">
        <v>340</v>
      </c>
      <c r="C50" s="172">
        <f>'Summary Page'!B33</f>
        <v>0</v>
      </c>
      <c r="D50" s="123">
        <f>IF(D46*$C$50&lt;0,0,D46*$C$50)</f>
        <v>0</v>
      </c>
      <c r="E50" s="123">
        <f>IF(E46*$C$50&lt;0,0,E46*$C$50)</f>
        <v>0</v>
      </c>
      <c r="F50" s="123">
        <f t="shared" ref="F50:M50" si="18">IF(F46*$C$50&lt;0,0,F46*$C$50)</f>
        <v>0</v>
      </c>
      <c r="G50" s="123">
        <f t="shared" si="18"/>
        <v>0</v>
      </c>
      <c r="H50" s="123">
        <f t="shared" si="18"/>
        <v>0</v>
      </c>
      <c r="I50" s="123">
        <f t="shared" si="18"/>
        <v>0</v>
      </c>
      <c r="J50" s="123">
        <f t="shared" si="18"/>
        <v>0</v>
      </c>
      <c r="K50" s="123">
        <f t="shared" si="18"/>
        <v>0</v>
      </c>
      <c r="L50" s="123">
        <f t="shared" si="18"/>
        <v>0</v>
      </c>
      <c r="M50" s="123">
        <f t="shared" si="18"/>
        <v>0</v>
      </c>
      <c r="N50" s="10"/>
      <c r="O50" s="10">
        <f>SUM(D50:M50)</f>
        <v>0</v>
      </c>
      <c r="P50" s="10"/>
      <c r="Q50" s="10">
        <f>SUM(D50:M50)</f>
        <v>0</v>
      </c>
    </row>
    <row r="51" spans="1:310">
      <c r="B51" s="4"/>
      <c r="C51" s="103"/>
      <c r="D51" s="10"/>
      <c r="E51" s="10"/>
      <c r="F51" s="10"/>
      <c r="G51" s="10"/>
      <c r="H51" s="10"/>
      <c r="I51" s="10"/>
      <c r="J51" s="10"/>
      <c r="K51" s="10"/>
      <c r="L51" s="10"/>
      <c r="M51" s="10"/>
      <c r="N51" s="10"/>
      <c r="O51" s="10"/>
      <c r="P51" s="10"/>
      <c r="Q51" s="10"/>
    </row>
    <row r="52" spans="1:310">
      <c r="A52" s="2" t="s">
        <v>73</v>
      </c>
      <c r="B52" s="4"/>
      <c r="C52" s="103"/>
      <c r="D52" s="10"/>
      <c r="E52" s="10"/>
      <c r="F52" s="10"/>
      <c r="G52" s="10"/>
      <c r="H52" s="10"/>
      <c r="I52" s="10"/>
      <c r="J52" s="10"/>
      <c r="K52" s="10"/>
      <c r="L52" s="10"/>
      <c r="M52" s="10"/>
      <c r="N52" s="10"/>
      <c r="O52" s="10"/>
      <c r="P52" s="10"/>
      <c r="Q52" s="10"/>
    </row>
    <row r="53" spans="1:310" s="91" customFormat="1">
      <c r="A53" s="1" t="s">
        <v>70</v>
      </c>
      <c r="B53" s="4"/>
      <c r="C53" s="69">
        <f>'Summary Page'!E22</f>
        <v>0</v>
      </c>
      <c r="D53" s="345" t="s">
        <v>78</v>
      </c>
      <c r="E53" s="345"/>
      <c r="F53" s="231"/>
      <c r="G53" s="231"/>
      <c r="H53" s="231"/>
      <c r="I53" s="231"/>
      <c r="J53" s="231"/>
      <c r="K53" s="231"/>
      <c r="L53" s="231"/>
      <c r="M53" s="231"/>
      <c r="N53" s="231"/>
      <c r="O53" s="231"/>
      <c r="P53" s="231"/>
      <c r="Q53" s="23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c r="EG53" s="1"/>
      <c r="EH53" s="1"/>
      <c r="EI53" s="1"/>
      <c r="EJ53" s="1"/>
      <c r="EK53" s="1"/>
      <c r="EL53" s="1"/>
      <c r="EM53" s="1"/>
      <c r="EN53" s="1"/>
      <c r="EO53" s="1"/>
      <c r="EP53" s="1"/>
      <c r="EQ53" s="1"/>
      <c r="ER53" s="1"/>
      <c r="ES53" s="1"/>
      <c r="ET53" s="1"/>
      <c r="EU53" s="1"/>
      <c r="EV53" s="1"/>
      <c r="EW53" s="1"/>
      <c r="EX53" s="1"/>
      <c r="EY53" s="1"/>
      <c r="EZ53" s="1"/>
      <c r="FA53" s="1"/>
      <c r="FB53" s="1"/>
      <c r="FC53" s="1"/>
      <c r="FD53" s="1"/>
      <c r="FE53" s="1"/>
      <c r="FF53" s="1"/>
      <c r="FG53" s="1"/>
      <c r="FH53" s="1"/>
      <c r="FI53" s="1"/>
      <c r="FJ53" s="1"/>
      <c r="FK53" s="1"/>
      <c r="FL53" s="1"/>
      <c r="FM53" s="1"/>
      <c r="FN53" s="1"/>
      <c r="FO53" s="1"/>
      <c r="FP53" s="1"/>
      <c r="FQ53" s="1"/>
      <c r="FR53" s="1"/>
      <c r="FS53" s="1"/>
      <c r="FT53" s="1"/>
      <c r="FU53" s="1"/>
      <c r="FV53" s="1"/>
      <c r="FW53" s="1"/>
      <c r="FX53" s="1"/>
      <c r="FY53" s="1"/>
      <c r="FZ53" s="1"/>
      <c r="GA53" s="1"/>
      <c r="GB53" s="1"/>
      <c r="GC53" s="1"/>
      <c r="GD53" s="1"/>
      <c r="GE53" s="1"/>
      <c r="GF53" s="1"/>
      <c r="GG53" s="1"/>
      <c r="GH53" s="1"/>
      <c r="GI53" s="1"/>
      <c r="GJ53" s="1"/>
      <c r="GK53" s="1"/>
      <c r="GL53" s="1"/>
      <c r="GM53" s="1"/>
      <c r="GN53" s="1"/>
      <c r="GO53" s="1"/>
      <c r="GP53" s="1"/>
      <c r="GQ53" s="1"/>
      <c r="GR53" s="1"/>
      <c r="GS53" s="1"/>
      <c r="GT53" s="1"/>
      <c r="GU53" s="1"/>
      <c r="GV53" s="1"/>
      <c r="GW53" s="1"/>
      <c r="GX53" s="1"/>
      <c r="GY53" s="1"/>
      <c r="GZ53" s="1"/>
      <c r="HA53" s="1"/>
      <c r="HB53" s="1"/>
      <c r="HC53" s="1"/>
      <c r="HD53" s="1"/>
      <c r="HE53" s="1"/>
      <c r="HF53" s="1"/>
      <c r="HG53" s="1"/>
      <c r="HH53" s="1"/>
      <c r="HI53" s="1"/>
      <c r="HJ53" s="1"/>
      <c r="HK53" s="1"/>
      <c r="HL53" s="1"/>
      <c r="HM53" s="1"/>
      <c r="HN53" s="1"/>
      <c r="HO53" s="1"/>
      <c r="HP53" s="1"/>
      <c r="HQ53" s="1"/>
      <c r="HR53" s="1"/>
      <c r="HS53" s="1"/>
      <c r="HT53" s="1"/>
      <c r="HU53" s="1"/>
      <c r="HV53" s="1"/>
      <c r="HW53" s="1"/>
      <c r="HX53" s="1"/>
      <c r="HY53" s="1"/>
      <c r="HZ53" s="1"/>
      <c r="IA53" s="1"/>
      <c r="IB53" s="1"/>
      <c r="IC53" s="1"/>
      <c r="ID53" s="1"/>
      <c r="IE53" s="1"/>
      <c r="IF53" s="1"/>
      <c r="IG53" s="1"/>
      <c r="IH53" s="1"/>
      <c r="II53" s="1"/>
      <c r="IJ53" s="1"/>
      <c r="IK53" s="1"/>
      <c r="IL53" s="1"/>
      <c r="IM53" s="1"/>
      <c r="IN53" s="1"/>
      <c r="IO53" s="1"/>
      <c r="IP53" s="1"/>
      <c r="IQ53" s="1"/>
      <c r="IR53" s="1"/>
      <c r="IS53" s="1"/>
      <c r="IT53" s="1"/>
      <c r="IU53" s="1"/>
      <c r="IV53" s="1"/>
      <c r="IW53" s="1"/>
      <c r="IX53" s="1"/>
      <c r="IY53" s="1"/>
      <c r="IZ53" s="1"/>
      <c r="JA53" s="1"/>
      <c r="JB53" s="1"/>
      <c r="JC53" s="1"/>
      <c r="JD53" s="1"/>
      <c r="JE53" s="1"/>
      <c r="JF53" s="1"/>
      <c r="JG53" s="1"/>
      <c r="JH53" s="1"/>
      <c r="JI53" s="1"/>
      <c r="JJ53" s="1"/>
      <c r="JK53" s="1"/>
      <c r="JL53" s="1"/>
      <c r="JM53" s="1"/>
      <c r="JN53" s="1"/>
      <c r="JO53" s="1"/>
      <c r="JP53" s="1"/>
      <c r="JQ53" s="1"/>
      <c r="JR53" s="1"/>
      <c r="JS53" s="1"/>
      <c r="JT53" s="1"/>
      <c r="JU53" s="1"/>
      <c r="JV53" s="1"/>
      <c r="JW53" s="1"/>
      <c r="JX53" s="1"/>
      <c r="JY53" s="1"/>
      <c r="JZ53" s="1"/>
      <c r="KA53" s="1"/>
      <c r="KB53" s="1"/>
      <c r="KC53" s="1"/>
      <c r="KD53" s="1"/>
      <c r="KE53" s="1"/>
      <c r="KF53" s="1"/>
      <c r="KG53" s="1"/>
      <c r="KH53" s="1"/>
      <c r="KI53" s="1"/>
      <c r="KJ53" s="1"/>
      <c r="KK53" s="1"/>
      <c r="KL53" s="1"/>
      <c r="KM53" s="1"/>
      <c r="KN53" s="1"/>
      <c r="KO53" s="1"/>
      <c r="KP53" s="1"/>
      <c r="KQ53" s="1"/>
      <c r="KR53" s="1"/>
      <c r="KS53" s="1"/>
      <c r="KT53" s="1"/>
      <c r="KU53" s="1"/>
      <c r="KV53" s="1"/>
      <c r="KW53" s="1"/>
      <c r="KX53" s="1"/>
    </row>
    <row r="54" spans="1:310" s="91" customFormat="1">
      <c r="A54" s="1" t="s">
        <v>69</v>
      </c>
      <c r="B54" s="4"/>
      <c r="C54" s="69">
        <f>'Summary Page'!E23</f>
        <v>0</v>
      </c>
      <c r="D54" s="230" t="s">
        <v>133</v>
      </c>
      <c r="E54" s="231"/>
      <c r="F54" s="231"/>
      <c r="G54" s="231"/>
      <c r="H54" s="231"/>
      <c r="I54" s="231"/>
      <c r="J54" s="231"/>
      <c r="K54" s="231"/>
      <c r="L54" s="231"/>
      <c r="M54" s="231"/>
      <c r="N54" s="231"/>
      <c r="O54" s="231">
        <f>IFERROR((M35-((-M24*C54)))/C53,0)</f>
        <v>0</v>
      </c>
      <c r="P54" s="231"/>
      <c r="Q54" s="23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c r="EG54" s="1"/>
      <c r="EH54" s="1"/>
      <c r="EI54" s="1"/>
      <c r="EJ54" s="1"/>
      <c r="EK54" s="1"/>
      <c r="EL54" s="1"/>
      <c r="EM54" s="1"/>
      <c r="EN54" s="1"/>
      <c r="EO54" s="1"/>
      <c r="EP54" s="1"/>
      <c r="EQ54" s="1"/>
      <c r="ER54" s="1"/>
      <c r="ES54" s="1"/>
      <c r="ET54" s="1"/>
      <c r="EU54" s="1"/>
      <c r="EV54" s="1"/>
      <c r="EW54" s="1"/>
      <c r="EX54" s="1"/>
      <c r="EY54" s="1"/>
      <c r="EZ54" s="1"/>
      <c r="FA54" s="1"/>
      <c r="FB54" s="1"/>
      <c r="FC54" s="1"/>
      <c r="FD54" s="1"/>
      <c r="FE54" s="1"/>
      <c r="FF54" s="1"/>
      <c r="FG54" s="1"/>
      <c r="FH54" s="1"/>
      <c r="FI54" s="1"/>
      <c r="FJ54" s="1"/>
      <c r="FK54" s="1"/>
      <c r="FL54" s="1"/>
      <c r="FM54" s="1"/>
      <c r="FN54" s="1"/>
      <c r="FO54" s="1"/>
      <c r="FP54" s="1"/>
      <c r="FQ54" s="1"/>
      <c r="FR54" s="1"/>
      <c r="FS54" s="1"/>
      <c r="FT54" s="1"/>
      <c r="FU54" s="1"/>
      <c r="FV54" s="1"/>
      <c r="FW54" s="1"/>
      <c r="FX54" s="1"/>
      <c r="FY54" s="1"/>
      <c r="FZ54" s="1"/>
      <c r="GA54" s="1"/>
      <c r="GB54" s="1"/>
      <c r="GC54" s="1"/>
      <c r="GD54" s="1"/>
      <c r="GE54" s="1"/>
      <c r="GF54" s="1"/>
      <c r="GG54" s="1"/>
      <c r="GH54" s="1"/>
      <c r="GI54" s="1"/>
      <c r="GJ54" s="1"/>
      <c r="GK54" s="1"/>
      <c r="GL54" s="1"/>
      <c r="GM54" s="1"/>
      <c r="GN54" s="1"/>
      <c r="GO54" s="1"/>
      <c r="GP54" s="1"/>
      <c r="GQ54" s="1"/>
      <c r="GR54" s="1"/>
      <c r="GS54" s="1"/>
      <c r="GT54" s="1"/>
      <c r="GU54" s="1"/>
      <c r="GV54" s="1"/>
      <c r="GW54" s="1"/>
      <c r="GX54" s="1"/>
      <c r="GY54" s="1"/>
      <c r="GZ54" s="1"/>
      <c r="HA54" s="1"/>
      <c r="HB54" s="1"/>
      <c r="HC54" s="1"/>
      <c r="HD54" s="1"/>
      <c r="HE54" s="1"/>
      <c r="HF54" s="1"/>
      <c r="HG54" s="1"/>
      <c r="HH54" s="1"/>
      <c r="HI54" s="1"/>
      <c r="HJ54" s="1"/>
      <c r="HK54" s="1"/>
      <c r="HL54" s="1"/>
      <c r="HM54" s="1"/>
      <c r="HN54" s="1"/>
      <c r="HO54" s="1"/>
      <c r="HP54" s="1"/>
      <c r="HQ54" s="1"/>
      <c r="HR54" s="1"/>
      <c r="HS54" s="1"/>
      <c r="HT54" s="1"/>
      <c r="HU54" s="1"/>
      <c r="HV54" s="1"/>
      <c r="HW54" s="1"/>
      <c r="HX54" s="1"/>
      <c r="HY54" s="1"/>
      <c r="HZ54" s="1"/>
      <c r="IA54" s="1"/>
      <c r="IB54" s="1"/>
      <c r="IC54" s="1"/>
      <c r="ID54" s="1"/>
      <c r="IE54" s="1"/>
      <c r="IF54" s="1"/>
      <c r="IG54" s="1"/>
      <c r="IH54" s="1"/>
      <c r="II54" s="1"/>
      <c r="IJ54" s="1"/>
      <c r="IK54" s="1"/>
      <c r="IL54" s="1"/>
      <c r="IM54" s="1"/>
      <c r="IN54" s="1"/>
      <c r="IO54" s="1"/>
      <c r="IP54" s="1"/>
      <c r="IQ54" s="1"/>
      <c r="IR54" s="1"/>
      <c r="IS54" s="1"/>
      <c r="IT54" s="1"/>
      <c r="IU54" s="1"/>
      <c r="IV54" s="1"/>
      <c r="IW54" s="1"/>
      <c r="IX54" s="1"/>
      <c r="IY54" s="1"/>
      <c r="IZ54" s="1"/>
      <c r="JA54" s="1"/>
      <c r="JB54" s="1"/>
      <c r="JC54" s="1"/>
      <c r="JD54" s="1"/>
      <c r="JE54" s="1"/>
      <c r="JF54" s="1"/>
      <c r="JG54" s="1"/>
      <c r="JH54" s="1"/>
      <c r="JI54" s="1"/>
      <c r="JJ54" s="1"/>
      <c r="JK54" s="1"/>
      <c r="JL54" s="1"/>
      <c r="JM54" s="1"/>
      <c r="JN54" s="1"/>
      <c r="JO54" s="1"/>
      <c r="JP54" s="1"/>
      <c r="JQ54" s="1"/>
      <c r="JR54" s="1"/>
      <c r="JS54" s="1"/>
      <c r="JT54" s="1"/>
      <c r="JU54" s="1"/>
      <c r="JV54" s="1"/>
      <c r="JW54" s="1"/>
      <c r="JX54" s="1"/>
      <c r="JY54" s="1"/>
      <c r="JZ54" s="1"/>
      <c r="KA54" s="1"/>
      <c r="KB54" s="1"/>
      <c r="KC54" s="1"/>
      <c r="KD54" s="1"/>
      <c r="KE54" s="1"/>
      <c r="KF54" s="1"/>
      <c r="KG54" s="1"/>
      <c r="KH54" s="1"/>
      <c r="KI54" s="1"/>
      <c r="KJ54" s="1"/>
      <c r="KK54" s="1"/>
      <c r="KL54" s="1"/>
      <c r="KM54" s="1"/>
      <c r="KN54" s="1"/>
      <c r="KO54" s="1"/>
      <c r="KP54" s="1"/>
      <c r="KQ54" s="1"/>
      <c r="KR54" s="1"/>
      <c r="KS54" s="1"/>
      <c r="KT54" s="1"/>
      <c r="KU54" s="1"/>
      <c r="KV54" s="1"/>
      <c r="KW54" s="1"/>
      <c r="KX54" s="1"/>
    </row>
    <row r="55" spans="1:310" s="91" customFormat="1">
      <c r="A55" s="1" t="s">
        <v>71</v>
      </c>
      <c r="B55" s="4"/>
      <c r="C55" s="69">
        <f>'Summary Page'!E24</f>
        <v>0</v>
      </c>
      <c r="D55" s="345" t="s">
        <v>79</v>
      </c>
      <c r="E55" s="345"/>
      <c r="F55" s="231"/>
      <c r="G55" s="231"/>
      <c r="H55" s="231"/>
      <c r="I55" s="231"/>
      <c r="J55" s="231"/>
      <c r="K55" s="231"/>
      <c r="L55" s="231"/>
      <c r="M55" s="231"/>
      <c r="N55" s="231"/>
      <c r="O55" s="232">
        <f>IFERROR(O54*-C55,0)</f>
        <v>0</v>
      </c>
      <c r="P55" s="231"/>
      <c r="Q55" s="23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c r="EG55" s="1"/>
      <c r="EH55" s="1"/>
      <c r="EI55" s="1"/>
      <c r="EJ55" s="1"/>
      <c r="EK55" s="1"/>
      <c r="EL55" s="1"/>
      <c r="EM55" s="1"/>
      <c r="EN55" s="1"/>
      <c r="EO55" s="1"/>
      <c r="EP55" s="1"/>
      <c r="EQ55" s="1"/>
      <c r="ER55" s="1"/>
      <c r="ES55" s="1"/>
      <c r="ET55" s="1"/>
      <c r="EU55" s="1"/>
      <c r="EV55" s="1"/>
      <c r="EW55" s="1"/>
      <c r="EX55" s="1"/>
      <c r="EY55" s="1"/>
      <c r="EZ55" s="1"/>
      <c r="FA55" s="1"/>
      <c r="FB55" s="1"/>
      <c r="FC55" s="1"/>
      <c r="FD55" s="1"/>
      <c r="FE55" s="1"/>
      <c r="FF55" s="1"/>
      <c r="FG55" s="1"/>
      <c r="FH55" s="1"/>
      <c r="FI55" s="1"/>
      <c r="FJ55" s="1"/>
      <c r="FK55" s="1"/>
      <c r="FL55" s="1"/>
      <c r="FM55" s="1"/>
      <c r="FN55" s="1"/>
      <c r="FO55" s="1"/>
      <c r="FP55" s="1"/>
      <c r="FQ55" s="1"/>
      <c r="FR55" s="1"/>
      <c r="FS55" s="1"/>
      <c r="FT55" s="1"/>
      <c r="FU55" s="1"/>
      <c r="FV55" s="1"/>
      <c r="FW55" s="1"/>
      <c r="FX55" s="1"/>
      <c r="FY55" s="1"/>
      <c r="FZ55" s="1"/>
      <c r="GA55" s="1"/>
      <c r="GB55" s="1"/>
      <c r="GC55" s="1"/>
      <c r="GD55" s="1"/>
      <c r="GE55" s="1"/>
      <c r="GF55" s="1"/>
      <c r="GG55" s="1"/>
      <c r="GH55" s="1"/>
      <c r="GI55" s="1"/>
      <c r="GJ55" s="1"/>
      <c r="GK55" s="1"/>
      <c r="GL55" s="1"/>
      <c r="GM55" s="1"/>
      <c r="GN55" s="1"/>
      <c r="GO55" s="1"/>
      <c r="GP55" s="1"/>
      <c r="GQ55" s="1"/>
      <c r="GR55" s="1"/>
      <c r="GS55" s="1"/>
      <c r="GT55" s="1"/>
      <c r="GU55" s="1"/>
      <c r="GV55" s="1"/>
      <c r="GW55" s="1"/>
      <c r="GX55" s="1"/>
      <c r="GY55" s="1"/>
      <c r="GZ55" s="1"/>
      <c r="HA55" s="1"/>
      <c r="HB55" s="1"/>
      <c r="HC55" s="1"/>
      <c r="HD55" s="1"/>
      <c r="HE55" s="1"/>
      <c r="HF55" s="1"/>
      <c r="HG55" s="1"/>
      <c r="HH55" s="1"/>
      <c r="HI55" s="1"/>
      <c r="HJ55" s="1"/>
      <c r="HK55" s="1"/>
      <c r="HL55" s="1"/>
      <c r="HM55" s="1"/>
      <c r="HN55" s="1"/>
      <c r="HO55" s="1"/>
      <c r="HP55" s="1"/>
      <c r="HQ55" s="1"/>
      <c r="HR55" s="1"/>
      <c r="HS55" s="1"/>
      <c r="HT55" s="1"/>
      <c r="HU55" s="1"/>
      <c r="HV55" s="1"/>
      <c r="HW55" s="1"/>
      <c r="HX55" s="1"/>
      <c r="HY55" s="1"/>
      <c r="HZ55" s="1"/>
      <c r="IA55" s="1"/>
      <c r="IB55" s="1"/>
      <c r="IC55" s="1"/>
      <c r="ID55" s="1"/>
      <c r="IE55" s="1"/>
      <c r="IF55" s="1"/>
      <c r="IG55" s="1"/>
      <c r="IH55" s="1"/>
      <c r="II55" s="1"/>
      <c r="IJ55" s="1"/>
      <c r="IK55" s="1"/>
      <c r="IL55" s="1"/>
      <c r="IM55" s="1"/>
      <c r="IN55" s="1"/>
      <c r="IO55" s="1"/>
      <c r="IP55" s="1"/>
      <c r="IQ55" s="1"/>
      <c r="IR55" s="1"/>
      <c r="IS55" s="1"/>
      <c r="IT55" s="1"/>
      <c r="IU55" s="1"/>
      <c r="IV55" s="1"/>
      <c r="IW55" s="1"/>
      <c r="IX55" s="1"/>
      <c r="IY55" s="1"/>
      <c r="IZ55" s="1"/>
      <c r="JA55" s="1"/>
      <c r="JB55" s="1"/>
      <c r="JC55" s="1"/>
      <c r="JD55" s="1"/>
      <c r="JE55" s="1"/>
      <c r="JF55" s="1"/>
      <c r="JG55" s="1"/>
      <c r="JH55" s="1"/>
      <c r="JI55" s="1"/>
      <c r="JJ55" s="1"/>
      <c r="JK55" s="1"/>
      <c r="JL55" s="1"/>
      <c r="JM55" s="1"/>
      <c r="JN55" s="1"/>
      <c r="JO55" s="1"/>
      <c r="JP55" s="1"/>
      <c r="JQ55" s="1"/>
      <c r="JR55" s="1"/>
      <c r="JS55" s="1"/>
      <c r="JT55" s="1"/>
      <c r="JU55" s="1"/>
      <c r="JV55" s="1"/>
      <c r="JW55" s="1"/>
      <c r="JX55" s="1"/>
      <c r="JY55" s="1"/>
      <c r="JZ55" s="1"/>
      <c r="KA55" s="1"/>
      <c r="KB55" s="1"/>
      <c r="KC55" s="1"/>
      <c r="KD55" s="1"/>
      <c r="KE55" s="1"/>
      <c r="KF55" s="1"/>
      <c r="KG55" s="1"/>
      <c r="KH55" s="1"/>
      <c r="KI55" s="1"/>
      <c r="KJ55" s="1"/>
      <c r="KK55" s="1"/>
      <c r="KL55" s="1"/>
      <c r="KM55" s="1"/>
      <c r="KN55" s="1"/>
      <c r="KO55" s="1"/>
      <c r="KP55" s="1"/>
      <c r="KQ55" s="1"/>
      <c r="KR55" s="1"/>
      <c r="KS55" s="1"/>
      <c r="KT55" s="1"/>
      <c r="KU55" s="1"/>
      <c r="KV55" s="1"/>
      <c r="KW55" s="1"/>
      <c r="KX55" s="1"/>
    </row>
    <row r="56" spans="1:310" s="91" customFormat="1">
      <c r="A56" s="1" t="s">
        <v>72</v>
      </c>
      <c r="B56" s="4"/>
      <c r="C56" s="103"/>
      <c r="D56" s="231"/>
      <c r="E56" s="231"/>
      <c r="F56" s="231"/>
      <c r="G56" s="231"/>
      <c r="H56" s="231"/>
      <c r="I56" s="231"/>
      <c r="J56" s="231"/>
      <c r="K56" s="231"/>
      <c r="L56" s="231"/>
      <c r="M56" s="231"/>
      <c r="N56" s="231"/>
      <c r="O56" s="231">
        <f>IFERROR(SUM(O54:O55),0)</f>
        <v>0</v>
      </c>
      <c r="P56" s="231"/>
      <c r="Q56" s="23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c r="EG56" s="1"/>
      <c r="EH56" s="1"/>
      <c r="EI56" s="1"/>
      <c r="EJ56" s="1"/>
      <c r="EK56" s="1"/>
      <c r="EL56" s="1"/>
      <c r="EM56" s="1"/>
      <c r="EN56" s="1"/>
      <c r="EO56" s="1"/>
      <c r="EP56" s="1"/>
      <c r="EQ56" s="1"/>
      <c r="ER56" s="1"/>
      <c r="ES56" s="1"/>
      <c r="ET56" s="1"/>
      <c r="EU56" s="1"/>
      <c r="EV56" s="1"/>
      <c r="EW56" s="1"/>
      <c r="EX56" s="1"/>
      <c r="EY56" s="1"/>
      <c r="EZ56" s="1"/>
      <c r="FA56" s="1"/>
      <c r="FB56" s="1"/>
      <c r="FC56" s="1"/>
      <c r="FD56" s="1"/>
      <c r="FE56" s="1"/>
      <c r="FF56" s="1"/>
      <c r="FG56" s="1"/>
      <c r="FH56" s="1"/>
      <c r="FI56" s="1"/>
      <c r="FJ56" s="1"/>
      <c r="FK56" s="1"/>
      <c r="FL56" s="1"/>
      <c r="FM56" s="1"/>
      <c r="FN56" s="1"/>
      <c r="FO56" s="1"/>
      <c r="FP56" s="1"/>
      <c r="FQ56" s="1"/>
      <c r="FR56" s="1"/>
      <c r="FS56" s="1"/>
      <c r="FT56" s="1"/>
      <c r="FU56" s="1"/>
      <c r="FV56" s="1"/>
      <c r="FW56" s="1"/>
      <c r="FX56" s="1"/>
      <c r="FY56" s="1"/>
      <c r="FZ56" s="1"/>
      <c r="GA56" s="1"/>
      <c r="GB56" s="1"/>
      <c r="GC56" s="1"/>
      <c r="GD56" s="1"/>
      <c r="GE56" s="1"/>
      <c r="GF56" s="1"/>
      <c r="GG56" s="1"/>
      <c r="GH56" s="1"/>
      <c r="GI56" s="1"/>
      <c r="GJ56" s="1"/>
      <c r="GK56" s="1"/>
      <c r="GL56" s="1"/>
      <c r="GM56" s="1"/>
      <c r="GN56" s="1"/>
      <c r="GO56" s="1"/>
      <c r="GP56" s="1"/>
      <c r="GQ56" s="1"/>
      <c r="GR56" s="1"/>
      <c r="GS56" s="1"/>
      <c r="GT56" s="1"/>
      <c r="GU56" s="1"/>
      <c r="GV56" s="1"/>
      <c r="GW56" s="1"/>
      <c r="GX56" s="1"/>
      <c r="GY56" s="1"/>
      <c r="GZ56" s="1"/>
      <c r="HA56" s="1"/>
      <c r="HB56" s="1"/>
      <c r="HC56" s="1"/>
      <c r="HD56" s="1"/>
      <c r="HE56" s="1"/>
      <c r="HF56" s="1"/>
      <c r="HG56" s="1"/>
      <c r="HH56" s="1"/>
      <c r="HI56" s="1"/>
      <c r="HJ56" s="1"/>
      <c r="HK56" s="1"/>
      <c r="HL56" s="1"/>
      <c r="HM56" s="1"/>
      <c r="HN56" s="1"/>
      <c r="HO56" s="1"/>
      <c r="HP56" s="1"/>
      <c r="HQ56" s="1"/>
      <c r="HR56" s="1"/>
      <c r="HS56" s="1"/>
      <c r="HT56" s="1"/>
      <c r="HU56" s="1"/>
      <c r="HV56" s="1"/>
      <c r="HW56" s="1"/>
      <c r="HX56" s="1"/>
      <c r="HY56" s="1"/>
      <c r="HZ56" s="1"/>
      <c r="IA56" s="1"/>
      <c r="IB56" s="1"/>
      <c r="IC56" s="1"/>
      <c r="ID56" s="1"/>
      <c r="IE56" s="1"/>
      <c r="IF56" s="1"/>
      <c r="IG56" s="1"/>
      <c r="IH56" s="1"/>
      <c r="II56" s="1"/>
      <c r="IJ56" s="1"/>
      <c r="IK56" s="1"/>
      <c r="IL56" s="1"/>
      <c r="IM56" s="1"/>
      <c r="IN56" s="1"/>
      <c r="IO56" s="1"/>
      <c r="IP56" s="1"/>
      <c r="IQ56" s="1"/>
      <c r="IR56" s="1"/>
      <c r="IS56" s="1"/>
      <c r="IT56" s="1"/>
      <c r="IU56" s="1"/>
      <c r="IV56" s="1"/>
      <c r="IW56" s="1"/>
      <c r="IX56" s="1"/>
      <c r="IY56" s="1"/>
      <c r="IZ56" s="1"/>
      <c r="JA56" s="1"/>
      <c r="JB56" s="1"/>
      <c r="JC56" s="1"/>
      <c r="JD56" s="1"/>
      <c r="JE56" s="1"/>
      <c r="JF56" s="1"/>
      <c r="JG56" s="1"/>
      <c r="JH56" s="1"/>
      <c r="JI56" s="1"/>
      <c r="JJ56" s="1"/>
      <c r="JK56" s="1"/>
      <c r="JL56" s="1"/>
      <c r="JM56" s="1"/>
      <c r="JN56" s="1"/>
      <c r="JO56" s="1"/>
      <c r="JP56" s="1"/>
      <c r="JQ56" s="1"/>
      <c r="JR56" s="1"/>
      <c r="JS56" s="1"/>
      <c r="JT56" s="1"/>
      <c r="JU56" s="1"/>
      <c r="JV56" s="1"/>
      <c r="JW56" s="1"/>
      <c r="JX56" s="1"/>
      <c r="JY56" s="1"/>
      <c r="JZ56" s="1"/>
      <c r="KA56" s="1"/>
      <c r="KB56" s="1"/>
      <c r="KC56" s="1"/>
      <c r="KD56" s="1"/>
      <c r="KE56" s="1"/>
      <c r="KF56" s="1"/>
      <c r="KG56" s="1"/>
      <c r="KH56" s="1"/>
      <c r="KI56" s="1"/>
      <c r="KJ56" s="1"/>
      <c r="KK56" s="1"/>
      <c r="KL56" s="1"/>
      <c r="KM56" s="1"/>
      <c r="KN56" s="1"/>
      <c r="KO56" s="1"/>
      <c r="KP56" s="1"/>
      <c r="KQ56" s="1"/>
      <c r="KR56" s="1"/>
      <c r="KS56" s="1"/>
      <c r="KT56" s="1"/>
      <c r="KU56" s="1"/>
      <c r="KV56" s="1"/>
      <c r="KW56" s="1"/>
      <c r="KX56" s="1"/>
    </row>
    <row r="57" spans="1:310" s="91" customFormat="1">
      <c r="A57" s="1" t="s">
        <v>21</v>
      </c>
      <c r="B57" s="4"/>
      <c r="C57" s="103"/>
      <c r="D57" s="231"/>
      <c r="E57" s="231"/>
      <c r="F57" s="231"/>
      <c r="G57" s="231"/>
      <c r="H57" s="231"/>
      <c r="I57" s="231"/>
      <c r="J57" s="231"/>
      <c r="K57" s="231"/>
      <c r="L57" s="231"/>
      <c r="M57" s="231"/>
      <c r="N57" s="231"/>
      <c r="O57" s="231"/>
      <c r="P57" s="231"/>
      <c r="Q57" s="23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c r="EG57" s="1"/>
      <c r="EH57" s="1"/>
      <c r="EI57" s="1"/>
      <c r="EJ57" s="1"/>
      <c r="EK57" s="1"/>
      <c r="EL57" s="1"/>
      <c r="EM57" s="1"/>
      <c r="EN57" s="1"/>
      <c r="EO57" s="1"/>
      <c r="EP57" s="1"/>
      <c r="EQ57" s="1"/>
      <c r="ER57" s="1"/>
      <c r="ES57" s="1"/>
      <c r="ET57" s="1"/>
      <c r="EU57" s="1"/>
      <c r="EV57" s="1"/>
      <c r="EW57" s="1"/>
      <c r="EX57" s="1"/>
      <c r="EY57" s="1"/>
      <c r="EZ57" s="1"/>
      <c r="FA57" s="1"/>
      <c r="FB57" s="1"/>
      <c r="FC57" s="1"/>
      <c r="FD57" s="1"/>
      <c r="FE57" s="1"/>
      <c r="FF57" s="1"/>
      <c r="FG57" s="1"/>
      <c r="FH57" s="1"/>
      <c r="FI57" s="1"/>
      <c r="FJ57" s="1"/>
      <c r="FK57" s="1"/>
      <c r="FL57" s="1"/>
      <c r="FM57" s="1"/>
      <c r="FN57" s="1"/>
      <c r="FO57" s="1"/>
      <c r="FP57" s="1"/>
      <c r="FQ57" s="1"/>
      <c r="FR57" s="1"/>
      <c r="FS57" s="1"/>
      <c r="FT57" s="1"/>
      <c r="FU57" s="1"/>
      <c r="FV57" s="1"/>
      <c r="FW57" s="1"/>
      <c r="FX57" s="1"/>
      <c r="FY57" s="1"/>
      <c r="FZ57" s="1"/>
      <c r="GA57" s="1"/>
      <c r="GB57" s="1"/>
      <c r="GC57" s="1"/>
      <c r="GD57" s="1"/>
      <c r="GE57" s="1"/>
      <c r="GF57" s="1"/>
      <c r="GG57" s="1"/>
      <c r="GH57" s="1"/>
      <c r="GI57" s="1"/>
      <c r="GJ57" s="1"/>
      <c r="GK57" s="1"/>
      <c r="GL57" s="1"/>
      <c r="GM57" s="1"/>
      <c r="GN57" s="1"/>
      <c r="GO57" s="1"/>
      <c r="GP57" s="1"/>
      <c r="GQ57" s="1"/>
      <c r="GR57" s="1"/>
      <c r="GS57" s="1"/>
      <c r="GT57" s="1"/>
      <c r="GU57" s="1"/>
      <c r="GV57" s="1"/>
      <c r="GW57" s="1"/>
      <c r="GX57" s="1"/>
      <c r="GY57" s="1"/>
      <c r="GZ57" s="1"/>
      <c r="HA57" s="1"/>
      <c r="HB57" s="1"/>
      <c r="HC57" s="1"/>
      <c r="HD57" s="1"/>
      <c r="HE57" s="1"/>
      <c r="HF57" s="1"/>
      <c r="HG57" s="1"/>
      <c r="HH57" s="1"/>
      <c r="HI57" s="1"/>
      <c r="HJ57" s="1"/>
      <c r="HK57" s="1"/>
      <c r="HL57" s="1"/>
      <c r="HM57" s="1"/>
      <c r="HN57" s="1"/>
      <c r="HO57" s="1"/>
      <c r="HP57" s="1"/>
      <c r="HQ57" s="1"/>
      <c r="HR57" s="1"/>
      <c r="HS57" s="1"/>
      <c r="HT57" s="1"/>
      <c r="HU57" s="1"/>
      <c r="HV57" s="1"/>
      <c r="HW57" s="1"/>
      <c r="HX57" s="1"/>
      <c r="HY57" s="1"/>
      <c r="HZ57" s="1"/>
      <c r="IA57" s="1"/>
      <c r="IB57" s="1"/>
      <c r="IC57" s="1"/>
      <c r="ID57" s="1"/>
      <c r="IE57" s="1"/>
      <c r="IF57" s="1"/>
      <c r="IG57" s="1"/>
      <c r="IH57" s="1"/>
      <c r="II57" s="1"/>
      <c r="IJ57" s="1"/>
      <c r="IK57" s="1"/>
      <c r="IL57" s="1"/>
      <c r="IM57" s="1"/>
      <c r="IN57" s="1"/>
      <c r="IO57" s="1"/>
      <c r="IP57" s="1"/>
      <c r="IQ57" s="1"/>
      <c r="IR57" s="1"/>
      <c r="IS57" s="1"/>
      <c r="IT57" s="1"/>
      <c r="IU57" s="1"/>
      <c r="IV57" s="1"/>
      <c r="IW57" s="1"/>
      <c r="IX57" s="1"/>
      <c r="IY57" s="1"/>
      <c r="IZ57" s="1"/>
      <c r="JA57" s="1"/>
      <c r="JB57" s="1"/>
      <c r="JC57" s="1"/>
      <c r="JD57" s="1"/>
      <c r="JE57" s="1"/>
      <c r="JF57" s="1"/>
      <c r="JG57" s="1"/>
      <c r="JH57" s="1"/>
      <c r="JI57" s="1"/>
      <c r="JJ57" s="1"/>
      <c r="JK57" s="1"/>
      <c r="JL57" s="1"/>
      <c r="JM57" s="1"/>
      <c r="JN57" s="1"/>
      <c r="JO57" s="1"/>
      <c r="JP57" s="1"/>
      <c r="JQ57" s="1"/>
      <c r="JR57" s="1"/>
      <c r="JS57" s="1"/>
      <c r="JT57" s="1"/>
      <c r="JU57" s="1"/>
      <c r="JV57" s="1"/>
      <c r="JW57" s="1"/>
      <c r="JX57" s="1"/>
      <c r="JY57" s="1"/>
      <c r="JZ57" s="1"/>
      <c r="KA57" s="1"/>
      <c r="KB57" s="1"/>
      <c r="KC57" s="1"/>
      <c r="KD57" s="1"/>
      <c r="KE57" s="1"/>
      <c r="KF57" s="1"/>
      <c r="KG57" s="1"/>
      <c r="KH57" s="1"/>
      <c r="KI57" s="1"/>
      <c r="KJ57" s="1"/>
      <c r="KK57" s="1"/>
      <c r="KL57" s="1"/>
      <c r="KM57" s="1"/>
      <c r="KN57" s="1"/>
      <c r="KO57" s="1"/>
      <c r="KP57" s="1"/>
      <c r="KQ57" s="1"/>
      <c r="KR57" s="1"/>
      <c r="KS57" s="1"/>
      <c r="KT57" s="1"/>
      <c r="KU57" s="1"/>
      <c r="KV57" s="1"/>
      <c r="KW57" s="1"/>
      <c r="KX57" s="1"/>
    </row>
    <row r="58" spans="1:310" s="91" customFormat="1">
      <c r="A58" s="1" t="s">
        <v>74</v>
      </c>
      <c r="B58" s="4"/>
      <c r="C58" s="103"/>
      <c r="D58" s="231"/>
      <c r="E58" s="231"/>
      <c r="F58" s="231"/>
      <c r="G58" s="231"/>
      <c r="H58" s="231"/>
      <c r="I58" s="231"/>
      <c r="J58" s="231"/>
      <c r="K58" s="231"/>
      <c r="L58" s="231"/>
      <c r="M58" s="231"/>
      <c r="N58" s="231"/>
      <c r="O58" s="232">
        <f>-'Amort Schedule '!D8</f>
        <v>0</v>
      </c>
      <c r="P58" s="231"/>
      <c r="Q58" s="23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c r="EG58" s="1"/>
      <c r="EH58" s="1"/>
      <c r="EI58" s="1"/>
      <c r="EJ58" s="1"/>
      <c r="EK58" s="1"/>
      <c r="EL58" s="1"/>
      <c r="EM58" s="1"/>
      <c r="EN58" s="1"/>
      <c r="EO58" s="1"/>
      <c r="EP58" s="1"/>
      <c r="EQ58" s="1"/>
      <c r="ER58" s="1"/>
      <c r="ES58" s="1"/>
      <c r="ET58" s="1"/>
      <c r="EU58" s="1"/>
      <c r="EV58" s="1"/>
      <c r="EW58" s="1"/>
      <c r="EX58" s="1"/>
      <c r="EY58" s="1"/>
      <c r="EZ58" s="1"/>
      <c r="FA58" s="1"/>
      <c r="FB58" s="1"/>
      <c r="FC58" s="1"/>
      <c r="FD58" s="1"/>
      <c r="FE58" s="1"/>
      <c r="FF58" s="1"/>
      <c r="FG58" s="1"/>
      <c r="FH58" s="1"/>
      <c r="FI58" s="1"/>
      <c r="FJ58" s="1"/>
      <c r="FK58" s="1"/>
      <c r="FL58" s="1"/>
      <c r="FM58" s="1"/>
      <c r="FN58" s="1"/>
      <c r="FO58" s="1"/>
      <c r="FP58" s="1"/>
      <c r="FQ58" s="1"/>
      <c r="FR58" s="1"/>
      <c r="FS58" s="1"/>
      <c r="FT58" s="1"/>
      <c r="FU58" s="1"/>
      <c r="FV58" s="1"/>
      <c r="FW58" s="1"/>
      <c r="FX58" s="1"/>
      <c r="FY58" s="1"/>
      <c r="FZ58" s="1"/>
      <c r="GA58" s="1"/>
      <c r="GB58" s="1"/>
      <c r="GC58" s="1"/>
      <c r="GD58" s="1"/>
      <c r="GE58" s="1"/>
      <c r="GF58" s="1"/>
      <c r="GG58" s="1"/>
      <c r="GH58" s="1"/>
      <c r="GI58" s="1"/>
      <c r="GJ58" s="1"/>
      <c r="GK58" s="1"/>
      <c r="GL58" s="1"/>
      <c r="GM58" s="1"/>
      <c r="GN58" s="1"/>
      <c r="GO58" s="1"/>
      <c r="GP58" s="1"/>
      <c r="GQ58" s="1"/>
      <c r="GR58" s="1"/>
      <c r="GS58" s="1"/>
      <c r="GT58" s="1"/>
      <c r="GU58" s="1"/>
      <c r="GV58" s="1"/>
      <c r="GW58" s="1"/>
      <c r="GX58" s="1"/>
      <c r="GY58" s="1"/>
      <c r="GZ58" s="1"/>
      <c r="HA58" s="1"/>
      <c r="HB58" s="1"/>
      <c r="HC58" s="1"/>
      <c r="HD58" s="1"/>
      <c r="HE58" s="1"/>
      <c r="HF58" s="1"/>
      <c r="HG58" s="1"/>
      <c r="HH58" s="1"/>
      <c r="HI58" s="1"/>
      <c r="HJ58" s="1"/>
      <c r="HK58" s="1"/>
      <c r="HL58" s="1"/>
      <c r="HM58" s="1"/>
      <c r="HN58" s="1"/>
      <c r="HO58" s="1"/>
      <c r="HP58" s="1"/>
      <c r="HQ58" s="1"/>
      <c r="HR58" s="1"/>
      <c r="HS58" s="1"/>
      <c r="HT58" s="1"/>
      <c r="HU58" s="1"/>
      <c r="HV58" s="1"/>
      <c r="HW58" s="1"/>
      <c r="HX58" s="1"/>
      <c r="HY58" s="1"/>
      <c r="HZ58" s="1"/>
      <c r="IA58" s="1"/>
      <c r="IB58" s="1"/>
      <c r="IC58" s="1"/>
      <c r="ID58" s="1"/>
      <c r="IE58" s="1"/>
      <c r="IF58" s="1"/>
      <c r="IG58" s="1"/>
      <c r="IH58" s="1"/>
      <c r="II58" s="1"/>
      <c r="IJ58" s="1"/>
      <c r="IK58" s="1"/>
      <c r="IL58" s="1"/>
      <c r="IM58" s="1"/>
      <c r="IN58" s="1"/>
      <c r="IO58" s="1"/>
      <c r="IP58" s="1"/>
      <c r="IQ58" s="1"/>
      <c r="IR58" s="1"/>
      <c r="IS58" s="1"/>
      <c r="IT58" s="1"/>
      <c r="IU58" s="1"/>
      <c r="IV58" s="1"/>
      <c r="IW58" s="1"/>
      <c r="IX58" s="1"/>
      <c r="IY58" s="1"/>
      <c r="IZ58" s="1"/>
      <c r="JA58" s="1"/>
      <c r="JB58" s="1"/>
      <c r="JC58" s="1"/>
      <c r="JD58" s="1"/>
      <c r="JE58" s="1"/>
      <c r="JF58" s="1"/>
      <c r="JG58" s="1"/>
      <c r="JH58" s="1"/>
      <c r="JI58" s="1"/>
      <c r="JJ58" s="1"/>
      <c r="JK58" s="1"/>
      <c r="JL58" s="1"/>
      <c r="JM58" s="1"/>
      <c r="JN58" s="1"/>
      <c r="JO58" s="1"/>
      <c r="JP58" s="1"/>
      <c r="JQ58" s="1"/>
      <c r="JR58" s="1"/>
      <c r="JS58" s="1"/>
      <c r="JT58" s="1"/>
      <c r="JU58" s="1"/>
      <c r="JV58" s="1"/>
      <c r="JW58" s="1"/>
      <c r="JX58" s="1"/>
      <c r="JY58" s="1"/>
      <c r="JZ58" s="1"/>
      <c r="KA58" s="1"/>
      <c r="KB58" s="1"/>
      <c r="KC58" s="1"/>
      <c r="KD58" s="1"/>
      <c r="KE58" s="1"/>
      <c r="KF58" s="1"/>
      <c r="KG58" s="1"/>
      <c r="KH58" s="1"/>
      <c r="KI58" s="1"/>
      <c r="KJ58" s="1"/>
      <c r="KK58" s="1"/>
      <c r="KL58" s="1"/>
      <c r="KM58" s="1"/>
      <c r="KN58" s="1"/>
      <c r="KO58" s="1"/>
      <c r="KP58" s="1"/>
      <c r="KQ58" s="1"/>
      <c r="KR58" s="1"/>
      <c r="KS58" s="1"/>
      <c r="KT58" s="1"/>
      <c r="KU58" s="1"/>
      <c r="KV58" s="1"/>
      <c r="KW58" s="1"/>
      <c r="KX58" s="1"/>
    </row>
    <row r="59" spans="1:310" s="91" customFormat="1">
      <c r="A59" s="1" t="s">
        <v>75</v>
      </c>
      <c r="B59" s="4"/>
      <c r="C59" s="103"/>
      <c r="D59" s="231"/>
      <c r="E59" s="231"/>
      <c r="F59" s="231"/>
      <c r="G59" s="231"/>
      <c r="H59" s="231"/>
      <c r="I59" s="231"/>
      <c r="J59" s="231"/>
      <c r="K59" s="231"/>
      <c r="L59" s="231"/>
      <c r="M59" s="231"/>
      <c r="N59" s="231"/>
      <c r="O59" s="231">
        <f>IFERROR(SUM(O56+O58),0)</f>
        <v>0</v>
      </c>
      <c r="P59" s="231"/>
      <c r="Q59" s="23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c r="EG59" s="1"/>
      <c r="EH59" s="1"/>
      <c r="EI59" s="1"/>
      <c r="EJ59" s="1"/>
      <c r="EK59" s="1"/>
      <c r="EL59" s="1"/>
      <c r="EM59" s="1"/>
      <c r="EN59" s="1"/>
      <c r="EO59" s="1"/>
      <c r="EP59" s="1"/>
      <c r="EQ59" s="1"/>
      <c r="ER59" s="1"/>
      <c r="ES59" s="1"/>
      <c r="ET59" s="1"/>
      <c r="EU59" s="1"/>
      <c r="EV59" s="1"/>
      <c r="EW59" s="1"/>
      <c r="EX59" s="1"/>
      <c r="EY59" s="1"/>
      <c r="EZ59" s="1"/>
      <c r="FA59" s="1"/>
      <c r="FB59" s="1"/>
      <c r="FC59" s="1"/>
      <c r="FD59" s="1"/>
      <c r="FE59" s="1"/>
      <c r="FF59" s="1"/>
      <c r="FG59" s="1"/>
      <c r="FH59" s="1"/>
      <c r="FI59" s="1"/>
      <c r="FJ59" s="1"/>
      <c r="FK59" s="1"/>
      <c r="FL59" s="1"/>
      <c r="FM59" s="1"/>
      <c r="FN59" s="1"/>
      <c r="FO59" s="1"/>
      <c r="FP59" s="1"/>
      <c r="FQ59" s="1"/>
      <c r="FR59" s="1"/>
      <c r="FS59" s="1"/>
      <c r="FT59" s="1"/>
      <c r="FU59" s="1"/>
      <c r="FV59" s="1"/>
      <c r="FW59" s="1"/>
      <c r="FX59" s="1"/>
      <c r="FY59" s="1"/>
      <c r="FZ59" s="1"/>
      <c r="GA59" s="1"/>
      <c r="GB59" s="1"/>
      <c r="GC59" s="1"/>
      <c r="GD59" s="1"/>
      <c r="GE59" s="1"/>
      <c r="GF59" s="1"/>
      <c r="GG59" s="1"/>
      <c r="GH59" s="1"/>
      <c r="GI59" s="1"/>
      <c r="GJ59" s="1"/>
      <c r="GK59" s="1"/>
      <c r="GL59" s="1"/>
      <c r="GM59" s="1"/>
      <c r="GN59" s="1"/>
      <c r="GO59" s="1"/>
      <c r="GP59" s="1"/>
      <c r="GQ59" s="1"/>
      <c r="GR59" s="1"/>
      <c r="GS59" s="1"/>
      <c r="GT59" s="1"/>
      <c r="GU59" s="1"/>
      <c r="GV59" s="1"/>
      <c r="GW59" s="1"/>
      <c r="GX59" s="1"/>
      <c r="GY59" s="1"/>
      <c r="GZ59" s="1"/>
      <c r="HA59" s="1"/>
      <c r="HB59" s="1"/>
      <c r="HC59" s="1"/>
      <c r="HD59" s="1"/>
      <c r="HE59" s="1"/>
      <c r="HF59" s="1"/>
      <c r="HG59" s="1"/>
      <c r="HH59" s="1"/>
      <c r="HI59" s="1"/>
      <c r="HJ59" s="1"/>
      <c r="HK59" s="1"/>
      <c r="HL59" s="1"/>
      <c r="HM59" s="1"/>
      <c r="HN59" s="1"/>
      <c r="HO59" s="1"/>
      <c r="HP59" s="1"/>
      <c r="HQ59" s="1"/>
      <c r="HR59" s="1"/>
      <c r="HS59" s="1"/>
      <c r="HT59" s="1"/>
      <c r="HU59" s="1"/>
      <c r="HV59" s="1"/>
      <c r="HW59" s="1"/>
      <c r="HX59" s="1"/>
      <c r="HY59" s="1"/>
      <c r="HZ59" s="1"/>
      <c r="IA59" s="1"/>
      <c r="IB59" s="1"/>
      <c r="IC59" s="1"/>
      <c r="ID59" s="1"/>
      <c r="IE59" s="1"/>
      <c r="IF59" s="1"/>
      <c r="IG59" s="1"/>
      <c r="IH59" s="1"/>
      <c r="II59" s="1"/>
      <c r="IJ59" s="1"/>
      <c r="IK59" s="1"/>
      <c r="IL59" s="1"/>
      <c r="IM59" s="1"/>
      <c r="IN59" s="1"/>
      <c r="IO59" s="1"/>
      <c r="IP59" s="1"/>
      <c r="IQ59" s="1"/>
      <c r="IR59" s="1"/>
      <c r="IS59" s="1"/>
      <c r="IT59" s="1"/>
      <c r="IU59" s="1"/>
      <c r="IV59" s="1"/>
      <c r="IW59" s="1"/>
      <c r="IX59" s="1"/>
      <c r="IY59" s="1"/>
      <c r="IZ59" s="1"/>
      <c r="JA59" s="1"/>
      <c r="JB59" s="1"/>
      <c r="JC59" s="1"/>
      <c r="JD59" s="1"/>
      <c r="JE59" s="1"/>
      <c r="JF59" s="1"/>
      <c r="JG59" s="1"/>
      <c r="JH59" s="1"/>
      <c r="JI59" s="1"/>
      <c r="JJ59" s="1"/>
      <c r="JK59" s="1"/>
      <c r="JL59" s="1"/>
      <c r="JM59" s="1"/>
      <c r="JN59" s="1"/>
      <c r="JO59" s="1"/>
      <c r="JP59" s="1"/>
      <c r="JQ59" s="1"/>
      <c r="JR59" s="1"/>
      <c r="JS59" s="1"/>
      <c r="JT59" s="1"/>
      <c r="JU59" s="1"/>
      <c r="JV59" s="1"/>
      <c r="JW59" s="1"/>
      <c r="JX59" s="1"/>
      <c r="JY59" s="1"/>
      <c r="JZ59" s="1"/>
      <c r="KA59" s="1"/>
      <c r="KB59" s="1"/>
      <c r="KC59" s="1"/>
      <c r="KD59" s="1"/>
      <c r="KE59" s="1"/>
      <c r="KF59" s="1"/>
      <c r="KG59" s="1"/>
      <c r="KH59" s="1"/>
      <c r="KI59" s="1"/>
      <c r="KJ59" s="1"/>
      <c r="KK59" s="1"/>
      <c r="KL59" s="1"/>
      <c r="KM59" s="1"/>
      <c r="KN59" s="1"/>
      <c r="KO59" s="1"/>
      <c r="KP59" s="1"/>
      <c r="KQ59" s="1"/>
      <c r="KR59" s="1"/>
      <c r="KS59" s="1"/>
      <c r="KT59" s="1"/>
      <c r="KU59" s="1"/>
      <c r="KV59" s="1"/>
      <c r="KW59" s="1"/>
      <c r="KX59" s="1"/>
    </row>
    <row r="60" spans="1:310" s="91" customFormat="1">
      <c r="A60" s="1" t="s">
        <v>76</v>
      </c>
      <c r="B60" s="4" t="s">
        <v>43</v>
      </c>
      <c r="C60" s="103"/>
      <c r="D60" s="231"/>
      <c r="E60" s="231"/>
      <c r="F60" s="231"/>
      <c r="G60" s="231"/>
      <c r="H60" s="231"/>
      <c r="I60" s="231"/>
      <c r="J60" s="231"/>
      <c r="K60" s="231"/>
      <c r="L60" s="231"/>
      <c r="M60" s="231"/>
      <c r="N60" s="231"/>
      <c r="O60" s="233">
        <v>0</v>
      </c>
      <c r="P60" s="231"/>
      <c r="Q60" s="23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c r="EG60" s="1"/>
      <c r="EH60" s="1"/>
      <c r="EI60" s="1"/>
      <c r="EJ60" s="1"/>
      <c r="EK60" s="1"/>
      <c r="EL60" s="1"/>
      <c r="EM60" s="1"/>
      <c r="EN60" s="1"/>
      <c r="EO60" s="1"/>
      <c r="EP60" s="1"/>
      <c r="EQ60" s="1"/>
      <c r="ER60" s="1"/>
      <c r="ES60" s="1"/>
      <c r="ET60" s="1"/>
      <c r="EU60" s="1"/>
      <c r="EV60" s="1"/>
      <c r="EW60" s="1"/>
      <c r="EX60" s="1"/>
      <c r="EY60" s="1"/>
      <c r="EZ60" s="1"/>
      <c r="FA60" s="1"/>
      <c r="FB60" s="1"/>
      <c r="FC60" s="1"/>
      <c r="FD60" s="1"/>
      <c r="FE60" s="1"/>
      <c r="FF60" s="1"/>
      <c r="FG60" s="1"/>
      <c r="FH60" s="1"/>
      <c r="FI60" s="1"/>
      <c r="FJ60" s="1"/>
      <c r="FK60" s="1"/>
      <c r="FL60" s="1"/>
      <c r="FM60" s="1"/>
      <c r="FN60" s="1"/>
      <c r="FO60" s="1"/>
      <c r="FP60" s="1"/>
      <c r="FQ60" s="1"/>
      <c r="FR60" s="1"/>
      <c r="FS60" s="1"/>
      <c r="FT60" s="1"/>
      <c r="FU60" s="1"/>
      <c r="FV60" s="1"/>
      <c r="FW60" s="1"/>
      <c r="FX60" s="1"/>
      <c r="FY60" s="1"/>
      <c r="FZ60" s="1"/>
      <c r="GA60" s="1"/>
      <c r="GB60" s="1"/>
      <c r="GC60" s="1"/>
      <c r="GD60" s="1"/>
      <c r="GE60" s="1"/>
      <c r="GF60" s="1"/>
      <c r="GG60" s="1"/>
      <c r="GH60" s="1"/>
      <c r="GI60" s="1"/>
      <c r="GJ60" s="1"/>
      <c r="GK60" s="1"/>
      <c r="GL60" s="1"/>
      <c r="GM60" s="1"/>
      <c r="GN60" s="1"/>
      <c r="GO60" s="1"/>
      <c r="GP60" s="1"/>
      <c r="GQ60" s="1"/>
      <c r="GR60" s="1"/>
      <c r="GS60" s="1"/>
      <c r="GT60" s="1"/>
      <c r="GU60" s="1"/>
      <c r="GV60" s="1"/>
      <c r="GW60" s="1"/>
      <c r="GX60" s="1"/>
      <c r="GY60" s="1"/>
      <c r="GZ60" s="1"/>
      <c r="HA60" s="1"/>
      <c r="HB60" s="1"/>
      <c r="HC60" s="1"/>
      <c r="HD60" s="1"/>
      <c r="HE60" s="1"/>
      <c r="HF60" s="1"/>
      <c r="HG60" s="1"/>
      <c r="HH60" s="1"/>
      <c r="HI60" s="1"/>
      <c r="HJ60" s="1"/>
      <c r="HK60" s="1"/>
      <c r="HL60" s="1"/>
      <c r="HM60" s="1"/>
      <c r="HN60" s="1"/>
      <c r="HO60" s="1"/>
      <c r="HP60" s="1"/>
      <c r="HQ60" s="1"/>
      <c r="HR60" s="1"/>
      <c r="HS60" s="1"/>
      <c r="HT60" s="1"/>
      <c r="HU60" s="1"/>
      <c r="HV60" s="1"/>
      <c r="HW60" s="1"/>
      <c r="HX60" s="1"/>
      <c r="HY60" s="1"/>
      <c r="HZ60" s="1"/>
      <c r="IA60" s="1"/>
      <c r="IB60" s="1"/>
      <c r="IC60" s="1"/>
      <c r="ID60" s="1"/>
      <c r="IE60" s="1"/>
      <c r="IF60" s="1"/>
      <c r="IG60" s="1"/>
      <c r="IH60" s="1"/>
      <c r="II60" s="1"/>
      <c r="IJ60" s="1"/>
      <c r="IK60" s="1"/>
      <c r="IL60" s="1"/>
      <c r="IM60" s="1"/>
      <c r="IN60" s="1"/>
      <c r="IO60" s="1"/>
      <c r="IP60" s="1"/>
      <c r="IQ60" s="1"/>
      <c r="IR60" s="1"/>
      <c r="IS60" s="1"/>
      <c r="IT60" s="1"/>
      <c r="IU60" s="1"/>
      <c r="IV60" s="1"/>
      <c r="IW60" s="1"/>
      <c r="IX60" s="1"/>
      <c r="IY60" s="1"/>
      <c r="IZ60" s="1"/>
      <c r="JA60" s="1"/>
      <c r="JB60" s="1"/>
      <c r="JC60" s="1"/>
      <c r="JD60" s="1"/>
      <c r="JE60" s="1"/>
      <c r="JF60" s="1"/>
      <c r="JG60" s="1"/>
      <c r="JH60" s="1"/>
      <c r="JI60" s="1"/>
      <c r="JJ60" s="1"/>
      <c r="JK60" s="1"/>
      <c r="JL60" s="1"/>
      <c r="JM60" s="1"/>
      <c r="JN60" s="1"/>
      <c r="JO60" s="1"/>
      <c r="JP60" s="1"/>
      <c r="JQ60" s="1"/>
      <c r="JR60" s="1"/>
      <c r="JS60" s="1"/>
      <c r="JT60" s="1"/>
      <c r="JU60" s="1"/>
      <c r="JV60" s="1"/>
      <c r="JW60" s="1"/>
      <c r="JX60" s="1"/>
      <c r="JY60" s="1"/>
      <c r="JZ60" s="1"/>
      <c r="KA60" s="1"/>
      <c r="KB60" s="1"/>
      <c r="KC60" s="1"/>
      <c r="KD60" s="1"/>
      <c r="KE60" s="1"/>
      <c r="KF60" s="1"/>
      <c r="KG60" s="1"/>
      <c r="KH60" s="1"/>
      <c r="KI60" s="1"/>
      <c r="KJ60" s="1"/>
      <c r="KK60" s="1"/>
      <c r="KL60" s="1"/>
      <c r="KM60" s="1"/>
      <c r="KN60" s="1"/>
      <c r="KO60" s="1"/>
      <c r="KP60" s="1"/>
      <c r="KQ60" s="1"/>
      <c r="KR60" s="1"/>
      <c r="KS60" s="1"/>
      <c r="KT60" s="1"/>
      <c r="KU60" s="1"/>
      <c r="KV60" s="1"/>
      <c r="KW60" s="1"/>
      <c r="KX60" s="1"/>
    </row>
    <row r="61" spans="1:310" s="91" customFormat="1">
      <c r="A61" s="1" t="s">
        <v>216</v>
      </c>
      <c r="B61" s="4"/>
      <c r="C61" s="103"/>
      <c r="D61" s="231"/>
      <c r="E61" s="231"/>
      <c r="F61" s="231"/>
      <c r="G61" s="231"/>
      <c r="H61" s="231"/>
      <c r="I61" s="231"/>
      <c r="J61" s="231"/>
      <c r="K61" s="231"/>
      <c r="L61" s="231"/>
      <c r="M61" s="231"/>
      <c r="N61" s="231"/>
      <c r="O61" s="234">
        <f>SUM(D47:M47)</f>
        <v>-283750</v>
      </c>
      <c r="P61" s="231"/>
      <c r="Q61" s="23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c r="EG61" s="1"/>
      <c r="EH61" s="1"/>
      <c r="EI61" s="1"/>
      <c r="EJ61" s="1"/>
      <c r="EK61" s="1"/>
      <c r="EL61" s="1"/>
      <c r="EM61" s="1"/>
      <c r="EN61" s="1"/>
      <c r="EO61" s="1"/>
      <c r="EP61" s="1"/>
      <c r="EQ61" s="1"/>
      <c r="ER61" s="1"/>
      <c r="ES61" s="1"/>
      <c r="ET61" s="1"/>
      <c r="EU61" s="1"/>
      <c r="EV61" s="1"/>
      <c r="EW61" s="1"/>
      <c r="EX61" s="1"/>
      <c r="EY61" s="1"/>
      <c r="EZ61" s="1"/>
      <c r="FA61" s="1"/>
      <c r="FB61" s="1"/>
      <c r="FC61" s="1"/>
      <c r="FD61" s="1"/>
      <c r="FE61" s="1"/>
      <c r="FF61" s="1"/>
      <c r="FG61" s="1"/>
      <c r="FH61" s="1"/>
      <c r="FI61" s="1"/>
      <c r="FJ61" s="1"/>
      <c r="FK61" s="1"/>
      <c r="FL61" s="1"/>
      <c r="FM61" s="1"/>
      <c r="FN61" s="1"/>
      <c r="FO61" s="1"/>
      <c r="FP61" s="1"/>
      <c r="FQ61" s="1"/>
      <c r="FR61" s="1"/>
      <c r="FS61" s="1"/>
      <c r="FT61" s="1"/>
      <c r="FU61" s="1"/>
      <c r="FV61" s="1"/>
      <c r="FW61" s="1"/>
      <c r="FX61" s="1"/>
      <c r="FY61" s="1"/>
      <c r="FZ61" s="1"/>
      <c r="GA61" s="1"/>
      <c r="GB61" s="1"/>
      <c r="GC61" s="1"/>
      <c r="GD61" s="1"/>
      <c r="GE61" s="1"/>
      <c r="GF61" s="1"/>
      <c r="GG61" s="1"/>
      <c r="GH61" s="1"/>
      <c r="GI61" s="1"/>
      <c r="GJ61" s="1"/>
      <c r="GK61" s="1"/>
      <c r="GL61" s="1"/>
      <c r="GM61" s="1"/>
      <c r="GN61" s="1"/>
      <c r="GO61" s="1"/>
      <c r="GP61" s="1"/>
      <c r="GQ61" s="1"/>
      <c r="GR61" s="1"/>
      <c r="GS61" s="1"/>
      <c r="GT61" s="1"/>
      <c r="GU61" s="1"/>
      <c r="GV61" s="1"/>
      <c r="GW61" s="1"/>
      <c r="GX61" s="1"/>
      <c r="GY61" s="1"/>
      <c r="GZ61" s="1"/>
      <c r="HA61" s="1"/>
      <c r="HB61" s="1"/>
      <c r="HC61" s="1"/>
      <c r="HD61" s="1"/>
      <c r="HE61" s="1"/>
      <c r="HF61" s="1"/>
      <c r="HG61" s="1"/>
      <c r="HH61" s="1"/>
      <c r="HI61" s="1"/>
      <c r="HJ61" s="1"/>
      <c r="HK61" s="1"/>
      <c r="HL61" s="1"/>
      <c r="HM61" s="1"/>
      <c r="HN61" s="1"/>
      <c r="HO61" s="1"/>
      <c r="HP61" s="1"/>
      <c r="HQ61" s="1"/>
      <c r="HR61" s="1"/>
      <c r="HS61" s="1"/>
      <c r="HT61" s="1"/>
      <c r="HU61" s="1"/>
      <c r="HV61" s="1"/>
      <c r="HW61" s="1"/>
      <c r="HX61" s="1"/>
      <c r="HY61" s="1"/>
      <c r="HZ61" s="1"/>
      <c r="IA61" s="1"/>
      <c r="IB61" s="1"/>
      <c r="IC61" s="1"/>
      <c r="ID61" s="1"/>
      <c r="IE61" s="1"/>
      <c r="IF61" s="1"/>
      <c r="IG61" s="1"/>
      <c r="IH61" s="1"/>
      <c r="II61" s="1"/>
      <c r="IJ61" s="1"/>
      <c r="IK61" s="1"/>
      <c r="IL61" s="1"/>
      <c r="IM61" s="1"/>
      <c r="IN61" s="1"/>
      <c r="IO61" s="1"/>
      <c r="IP61" s="1"/>
      <c r="IQ61" s="1"/>
      <c r="IR61" s="1"/>
      <c r="IS61" s="1"/>
      <c r="IT61" s="1"/>
      <c r="IU61" s="1"/>
      <c r="IV61" s="1"/>
      <c r="IW61" s="1"/>
      <c r="IX61" s="1"/>
      <c r="IY61" s="1"/>
      <c r="IZ61" s="1"/>
      <c r="JA61" s="1"/>
      <c r="JB61" s="1"/>
      <c r="JC61" s="1"/>
      <c r="JD61" s="1"/>
      <c r="JE61" s="1"/>
      <c r="JF61" s="1"/>
      <c r="JG61" s="1"/>
      <c r="JH61" s="1"/>
      <c r="JI61" s="1"/>
      <c r="JJ61" s="1"/>
      <c r="JK61" s="1"/>
      <c r="JL61" s="1"/>
      <c r="JM61" s="1"/>
      <c r="JN61" s="1"/>
      <c r="JO61" s="1"/>
      <c r="JP61" s="1"/>
      <c r="JQ61" s="1"/>
      <c r="JR61" s="1"/>
      <c r="JS61" s="1"/>
      <c r="JT61" s="1"/>
      <c r="JU61" s="1"/>
      <c r="JV61" s="1"/>
      <c r="JW61" s="1"/>
      <c r="JX61" s="1"/>
      <c r="JY61" s="1"/>
      <c r="JZ61" s="1"/>
      <c r="KA61" s="1"/>
      <c r="KB61" s="1"/>
      <c r="KC61" s="1"/>
      <c r="KD61" s="1"/>
      <c r="KE61" s="1"/>
      <c r="KF61" s="1"/>
      <c r="KG61" s="1"/>
      <c r="KH61" s="1"/>
      <c r="KI61" s="1"/>
      <c r="KJ61" s="1"/>
      <c r="KK61" s="1"/>
      <c r="KL61" s="1"/>
      <c r="KM61" s="1"/>
      <c r="KN61" s="1"/>
      <c r="KO61" s="1"/>
      <c r="KP61" s="1"/>
      <c r="KQ61" s="1"/>
      <c r="KR61" s="1"/>
      <c r="KS61" s="1"/>
      <c r="KT61" s="1"/>
      <c r="KU61" s="1"/>
      <c r="KV61" s="1"/>
      <c r="KW61" s="1"/>
      <c r="KX61" s="1"/>
    </row>
    <row r="62" spans="1:310" s="91" customFormat="1">
      <c r="A62" s="1" t="s">
        <v>48</v>
      </c>
      <c r="B62" s="4" t="s">
        <v>43</v>
      </c>
      <c r="C62" s="103"/>
      <c r="D62" s="231"/>
      <c r="E62" s="231"/>
      <c r="F62" s="231"/>
      <c r="G62" s="231"/>
      <c r="H62" s="231"/>
      <c r="I62" s="231"/>
      <c r="J62" s="231"/>
      <c r="K62" s="231"/>
      <c r="L62" s="231"/>
      <c r="M62" s="231"/>
      <c r="N62" s="231"/>
      <c r="O62" s="232">
        <f>Project!L54</f>
        <v>0</v>
      </c>
      <c r="P62" s="231"/>
      <c r="Q62" s="23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c r="EG62" s="1"/>
      <c r="EH62" s="1"/>
      <c r="EI62" s="1"/>
      <c r="EJ62" s="1"/>
      <c r="EK62" s="1"/>
      <c r="EL62" s="1"/>
      <c r="EM62" s="1"/>
      <c r="EN62" s="1"/>
      <c r="EO62" s="1"/>
      <c r="EP62" s="1"/>
      <c r="EQ62" s="1"/>
      <c r="ER62" s="1"/>
      <c r="ES62" s="1"/>
      <c r="ET62" s="1"/>
      <c r="EU62" s="1"/>
      <c r="EV62" s="1"/>
      <c r="EW62" s="1"/>
      <c r="EX62" s="1"/>
      <c r="EY62" s="1"/>
      <c r="EZ62" s="1"/>
      <c r="FA62" s="1"/>
      <c r="FB62" s="1"/>
      <c r="FC62" s="1"/>
      <c r="FD62" s="1"/>
      <c r="FE62" s="1"/>
      <c r="FF62" s="1"/>
      <c r="FG62" s="1"/>
      <c r="FH62" s="1"/>
      <c r="FI62" s="1"/>
      <c r="FJ62" s="1"/>
      <c r="FK62" s="1"/>
      <c r="FL62" s="1"/>
      <c r="FM62" s="1"/>
      <c r="FN62" s="1"/>
      <c r="FO62" s="1"/>
      <c r="FP62" s="1"/>
      <c r="FQ62" s="1"/>
      <c r="FR62" s="1"/>
      <c r="FS62" s="1"/>
      <c r="FT62" s="1"/>
      <c r="FU62" s="1"/>
      <c r="FV62" s="1"/>
      <c r="FW62" s="1"/>
      <c r="FX62" s="1"/>
      <c r="FY62" s="1"/>
      <c r="FZ62" s="1"/>
      <c r="GA62" s="1"/>
      <c r="GB62" s="1"/>
      <c r="GC62" s="1"/>
      <c r="GD62" s="1"/>
      <c r="GE62" s="1"/>
      <c r="GF62" s="1"/>
      <c r="GG62" s="1"/>
      <c r="GH62" s="1"/>
      <c r="GI62" s="1"/>
      <c r="GJ62" s="1"/>
      <c r="GK62" s="1"/>
      <c r="GL62" s="1"/>
      <c r="GM62" s="1"/>
      <c r="GN62" s="1"/>
      <c r="GO62" s="1"/>
      <c r="GP62" s="1"/>
      <c r="GQ62" s="1"/>
      <c r="GR62" s="1"/>
      <c r="GS62" s="1"/>
      <c r="GT62" s="1"/>
      <c r="GU62" s="1"/>
      <c r="GV62" s="1"/>
      <c r="GW62" s="1"/>
      <c r="GX62" s="1"/>
      <c r="GY62" s="1"/>
      <c r="GZ62" s="1"/>
      <c r="HA62" s="1"/>
      <c r="HB62" s="1"/>
      <c r="HC62" s="1"/>
      <c r="HD62" s="1"/>
      <c r="HE62" s="1"/>
      <c r="HF62" s="1"/>
      <c r="HG62" s="1"/>
      <c r="HH62" s="1"/>
      <c r="HI62" s="1"/>
      <c r="HJ62" s="1"/>
      <c r="HK62" s="1"/>
      <c r="HL62" s="1"/>
      <c r="HM62" s="1"/>
      <c r="HN62" s="1"/>
      <c r="HO62" s="1"/>
      <c r="HP62" s="1"/>
      <c r="HQ62" s="1"/>
      <c r="HR62" s="1"/>
      <c r="HS62" s="1"/>
      <c r="HT62" s="1"/>
      <c r="HU62" s="1"/>
      <c r="HV62" s="1"/>
      <c r="HW62" s="1"/>
      <c r="HX62" s="1"/>
      <c r="HY62" s="1"/>
      <c r="HZ62" s="1"/>
      <c r="IA62" s="1"/>
      <c r="IB62" s="1"/>
      <c r="IC62" s="1"/>
      <c r="ID62" s="1"/>
      <c r="IE62" s="1"/>
      <c r="IF62" s="1"/>
      <c r="IG62" s="1"/>
      <c r="IH62" s="1"/>
      <c r="II62" s="1"/>
      <c r="IJ62" s="1"/>
      <c r="IK62" s="1"/>
      <c r="IL62" s="1"/>
      <c r="IM62" s="1"/>
      <c r="IN62" s="1"/>
      <c r="IO62" s="1"/>
      <c r="IP62" s="1"/>
      <c r="IQ62" s="1"/>
      <c r="IR62" s="1"/>
      <c r="IS62" s="1"/>
      <c r="IT62" s="1"/>
      <c r="IU62" s="1"/>
      <c r="IV62" s="1"/>
      <c r="IW62" s="1"/>
      <c r="IX62" s="1"/>
      <c r="IY62" s="1"/>
      <c r="IZ62" s="1"/>
      <c r="JA62" s="1"/>
      <c r="JB62" s="1"/>
      <c r="JC62" s="1"/>
      <c r="JD62" s="1"/>
      <c r="JE62" s="1"/>
      <c r="JF62" s="1"/>
      <c r="JG62" s="1"/>
      <c r="JH62" s="1"/>
      <c r="JI62" s="1"/>
      <c r="JJ62" s="1"/>
      <c r="JK62" s="1"/>
      <c r="JL62" s="1"/>
      <c r="JM62" s="1"/>
      <c r="JN62" s="1"/>
      <c r="JO62" s="1"/>
      <c r="JP62" s="1"/>
      <c r="JQ62" s="1"/>
      <c r="JR62" s="1"/>
      <c r="JS62" s="1"/>
      <c r="JT62" s="1"/>
      <c r="JU62" s="1"/>
      <c r="JV62" s="1"/>
      <c r="JW62" s="1"/>
      <c r="JX62" s="1"/>
      <c r="JY62" s="1"/>
      <c r="JZ62" s="1"/>
      <c r="KA62" s="1"/>
      <c r="KB62" s="1"/>
      <c r="KC62" s="1"/>
      <c r="KD62" s="1"/>
      <c r="KE62" s="1"/>
      <c r="KF62" s="1"/>
      <c r="KG62" s="1"/>
      <c r="KH62" s="1"/>
      <c r="KI62" s="1"/>
      <c r="KJ62" s="1"/>
      <c r="KK62" s="1"/>
      <c r="KL62" s="1"/>
      <c r="KM62" s="1"/>
      <c r="KN62" s="1"/>
      <c r="KO62" s="1"/>
      <c r="KP62" s="1"/>
      <c r="KQ62" s="1"/>
      <c r="KR62" s="1"/>
      <c r="KS62" s="1"/>
      <c r="KT62" s="1"/>
      <c r="KU62" s="1"/>
      <c r="KV62" s="1"/>
      <c r="KW62" s="1"/>
      <c r="KX62" s="1"/>
    </row>
    <row r="63" spans="1:310" s="91" customFormat="1">
      <c r="A63" s="1" t="s">
        <v>77</v>
      </c>
      <c r="B63" s="4"/>
      <c r="C63" s="103"/>
      <c r="D63" s="231"/>
      <c r="E63" s="231"/>
      <c r="F63" s="231"/>
      <c r="G63" s="231"/>
      <c r="H63" s="231"/>
      <c r="I63" s="231"/>
      <c r="J63" s="231"/>
      <c r="K63" s="231"/>
      <c r="L63" s="231"/>
      <c r="M63" s="231"/>
      <c r="N63" s="231"/>
      <c r="O63" s="231">
        <f>IFERROR(SUM(O59:O62),0)</f>
        <v>-283750</v>
      </c>
      <c r="P63" s="231"/>
      <c r="Q63" s="23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c r="EG63" s="1"/>
      <c r="EH63" s="1"/>
      <c r="EI63" s="1"/>
      <c r="EJ63" s="1"/>
      <c r="EK63" s="1"/>
      <c r="EL63" s="1"/>
      <c r="EM63" s="1"/>
      <c r="EN63" s="1"/>
      <c r="EO63" s="1"/>
      <c r="EP63" s="1"/>
      <c r="EQ63" s="1"/>
      <c r="ER63" s="1"/>
      <c r="ES63" s="1"/>
      <c r="ET63" s="1"/>
      <c r="EU63" s="1"/>
      <c r="EV63" s="1"/>
      <c r="EW63" s="1"/>
      <c r="EX63" s="1"/>
      <c r="EY63" s="1"/>
      <c r="EZ63" s="1"/>
      <c r="FA63" s="1"/>
      <c r="FB63" s="1"/>
      <c r="FC63" s="1"/>
      <c r="FD63" s="1"/>
      <c r="FE63" s="1"/>
      <c r="FF63" s="1"/>
      <c r="FG63" s="1"/>
      <c r="FH63" s="1"/>
      <c r="FI63" s="1"/>
      <c r="FJ63" s="1"/>
      <c r="FK63" s="1"/>
      <c r="FL63" s="1"/>
      <c r="FM63" s="1"/>
      <c r="FN63" s="1"/>
      <c r="FO63" s="1"/>
      <c r="FP63" s="1"/>
      <c r="FQ63" s="1"/>
      <c r="FR63" s="1"/>
      <c r="FS63" s="1"/>
      <c r="FT63" s="1"/>
      <c r="FU63" s="1"/>
      <c r="FV63" s="1"/>
      <c r="FW63" s="1"/>
      <c r="FX63" s="1"/>
      <c r="FY63" s="1"/>
      <c r="FZ63" s="1"/>
      <c r="GA63" s="1"/>
      <c r="GB63" s="1"/>
      <c r="GC63" s="1"/>
      <c r="GD63" s="1"/>
      <c r="GE63" s="1"/>
      <c r="GF63" s="1"/>
      <c r="GG63" s="1"/>
      <c r="GH63" s="1"/>
      <c r="GI63" s="1"/>
      <c r="GJ63" s="1"/>
      <c r="GK63" s="1"/>
      <c r="GL63" s="1"/>
      <c r="GM63" s="1"/>
      <c r="GN63" s="1"/>
      <c r="GO63" s="1"/>
      <c r="GP63" s="1"/>
      <c r="GQ63" s="1"/>
      <c r="GR63" s="1"/>
      <c r="GS63" s="1"/>
      <c r="GT63" s="1"/>
      <c r="GU63" s="1"/>
      <c r="GV63" s="1"/>
      <c r="GW63" s="1"/>
      <c r="GX63" s="1"/>
      <c r="GY63" s="1"/>
      <c r="GZ63" s="1"/>
      <c r="HA63" s="1"/>
      <c r="HB63" s="1"/>
      <c r="HC63" s="1"/>
      <c r="HD63" s="1"/>
      <c r="HE63" s="1"/>
      <c r="HF63" s="1"/>
      <c r="HG63" s="1"/>
      <c r="HH63" s="1"/>
      <c r="HI63" s="1"/>
      <c r="HJ63" s="1"/>
      <c r="HK63" s="1"/>
      <c r="HL63" s="1"/>
      <c r="HM63" s="1"/>
      <c r="HN63" s="1"/>
      <c r="HO63" s="1"/>
      <c r="HP63" s="1"/>
      <c r="HQ63" s="1"/>
      <c r="HR63" s="1"/>
      <c r="HS63" s="1"/>
      <c r="HT63" s="1"/>
      <c r="HU63" s="1"/>
      <c r="HV63" s="1"/>
      <c r="HW63" s="1"/>
      <c r="HX63" s="1"/>
      <c r="HY63" s="1"/>
      <c r="HZ63" s="1"/>
      <c r="IA63" s="1"/>
      <c r="IB63" s="1"/>
      <c r="IC63" s="1"/>
      <c r="ID63" s="1"/>
      <c r="IE63" s="1"/>
      <c r="IF63" s="1"/>
      <c r="IG63" s="1"/>
      <c r="IH63" s="1"/>
      <c r="II63" s="1"/>
      <c r="IJ63" s="1"/>
      <c r="IK63" s="1"/>
      <c r="IL63" s="1"/>
      <c r="IM63" s="1"/>
      <c r="IN63" s="1"/>
      <c r="IO63" s="1"/>
      <c r="IP63" s="1"/>
      <c r="IQ63" s="1"/>
      <c r="IR63" s="1"/>
      <c r="IS63" s="1"/>
      <c r="IT63" s="1"/>
      <c r="IU63" s="1"/>
      <c r="IV63" s="1"/>
      <c r="IW63" s="1"/>
      <c r="IX63" s="1"/>
      <c r="IY63" s="1"/>
      <c r="IZ63" s="1"/>
      <c r="JA63" s="1"/>
      <c r="JB63" s="1"/>
      <c r="JC63" s="1"/>
      <c r="JD63" s="1"/>
      <c r="JE63" s="1"/>
      <c r="JF63" s="1"/>
      <c r="JG63" s="1"/>
      <c r="JH63" s="1"/>
      <c r="JI63" s="1"/>
      <c r="JJ63" s="1"/>
      <c r="JK63" s="1"/>
      <c r="JL63" s="1"/>
      <c r="JM63" s="1"/>
      <c r="JN63" s="1"/>
      <c r="JO63" s="1"/>
      <c r="JP63" s="1"/>
      <c r="JQ63" s="1"/>
      <c r="JR63" s="1"/>
      <c r="JS63" s="1"/>
      <c r="JT63" s="1"/>
      <c r="JU63" s="1"/>
      <c r="JV63" s="1"/>
      <c r="JW63" s="1"/>
      <c r="JX63" s="1"/>
      <c r="JY63" s="1"/>
      <c r="JZ63" s="1"/>
      <c r="KA63" s="1"/>
      <c r="KB63" s="1"/>
      <c r="KC63" s="1"/>
      <c r="KD63" s="1"/>
      <c r="KE63" s="1"/>
      <c r="KF63" s="1"/>
      <c r="KG63" s="1"/>
      <c r="KH63" s="1"/>
      <c r="KI63" s="1"/>
      <c r="KJ63" s="1"/>
      <c r="KK63" s="1"/>
      <c r="KL63" s="1"/>
      <c r="KM63" s="1"/>
      <c r="KN63" s="1"/>
      <c r="KO63" s="1"/>
      <c r="KP63" s="1"/>
      <c r="KQ63" s="1"/>
      <c r="KR63" s="1"/>
      <c r="KS63" s="1"/>
      <c r="KT63" s="1"/>
      <c r="KU63" s="1"/>
      <c r="KV63" s="1"/>
      <c r="KW63" s="1"/>
      <c r="KX63" s="1"/>
    </row>
    <row r="64" spans="1:310">
      <c r="B64" s="4"/>
      <c r="C64" s="103"/>
      <c r="D64" s="10"/>
      <c r="E64" s="10"/>
      <c r="F64" s="10"/>
      <c r="G64" s="10"/>
      <c r="H64" s="10"/>
      <c r="I64" s="10"/>
      <c r="J64" s="10"/>
      <c r="K64" s="10"/>
      <c r="L64" s="10"/>
      <c r="M64" s="10"/>
      <c r="N64" s="10"/>
      <c r="O64" s="10"/>
      <c r="P64" s="10"/>
      <c r="Q64" s="10"/>
    </row>
    <row r="65" spans="1:17">
      <c r="A65" s="2" t="s">
        <v>95</v>
      </c>
      <c r="B65" s="4" t="s">
        <v>43</v>
      </c>
      <c r="C65" s="172">
        <f>'Summary Page'!B35</f>
        <v>1</v>
      </c>
      <c r="D65" s="10"/>
      <c r="E65" s="10"/>
      <c r="F65" s="10"/>
      <c r="G65" s="10"/>
      <c r="H65" s="10"/>
      <c r="I65" s="10"/>
      <c r="J65" s="10"/>
      <c r="K65" s="10"/>
      <c r="L65" s="10"/>
      <c r="M65" s="10"/>
      <c r="N65" s="10"/>
      <c r="O65" s="10">
        <f>IFERROR(O63-O66,0)</f>
        <v>-283750</v>
      </c>
      <c r="P65" s="10"/>
      <c r="Q65" s="10"/>
    </row>
    <row r="66" spans="1:17">
      <c r="A66" s="2"/>
      <c r="B66" s="4" t="s">
        <v>42</v>
      </c>
      <c r="C66" s="172">
        <f>'Summary Page'!B36</f>
        <v>0</v>
      </c>
      <c r="D66" s="10"/>
      <c r="E66" s="10"/>
      <c r="F66" s="10"/>
      <c r="G66" s="10"/>
      <c r="H66" s="10"/>
      <c r="I66" s="10"/>
      <c r="J66" s="10"/>
      <c r="K66" s="10"/>
      <c r="L66" s="10"/>
      <c r="M66" s="10"/>
      <c r="N66" s="10"/>
      <c r="O66" s="123">
        <f>IFERROR(C66*O54,0)</f>
        <v>0</v>
      </c>
      <c r="P66" s="10"/>
      <c r="Q66" s="10">
        <f>IFERROR(O66,0)</f>
        <v>0</v>
      </c>
    </row>
    <row r="67" spans="1:17">
      <c r="A67" s="2"/>
      <c r="B67" s="4"/>
      <c r="C67" s="55"/>
      <c r="D67" s="10"/>
      <c r="E67" s="10"/>
      <c r="F67" s="10"/>
      <c r="G67" s="10"/>
      <c r="H67" s="10"/>
      <c r="I67" s="10"/>
      <c r="J67" s="10"/>
      <c r="K67" s="10"/>
      <c r="L67" s="10"/>
      <c r="M67" s="10"/>
      <c r="N67" s="10"/>
      <c r="O67" s="10"/>
      <c r="P67" s="10"/>
      <c r="Q67" s="10"/>
    </row>
    <row r="68" spans="1:17">
      <c r="A68" s="2" t="s">
        <v>41</v>
      </c>
      <c r="B68" s="4" t="s">
        <v>42</v>
      </c>
      <c r="C68" s="43" t="e">
        <f>'SOURCES and USES of FUNDS'!E26</f>
        <v>#DIV/0!</v>
      </c>
      <c r="D68" s="10"/>
      <c r="E68" s="10"/>
      <c r="F68" s="10"/>
      <c r="G68" s="10"/>
      <c r="H68" s="10"/>
      <c r="I68" s="10"/>
      <c r="J68" s="10"/>
      <c r="K68" s="10"/>
      <c r="L68" s="10"/>
      <c r="M68" s="10"/>
      <c r="N68" s="10"/>
      <c r="O68" s="47"/>
      <c r="P68" s="10"/>
      <c r="Q68" s="12">
        <f>'SOURCES and USES of FUNDS'!G26</f>
        <v>0</v>
      </c>
    </row>
    <row r="69" spans="1:17">
      <c r="C69" s="4"/>
      <c r="D69" s="10"/>
      <c r="E69" s="10"/>
      <c r="F69" s="10"/>
      <c r="G69" s="10"/>
      <c r="H69" s="10"/>
      <c r="I69" s="10"/>
      <c r="J69" s="10"/>
      <c r="K69" s="10"/>
      <c r="L69" s="10"/>
      <c r="M69" s="10"/>
      <c r="N69" s="10"/>
      <c r="O69" s="10"/>
      <c r="P69" s="10"/>
      <c r="Q69" s="10"/>
    </row>
    <row r="70" spans="1:17" ht="15" thickBot="1">
      <c r="C70" s="4"/>
      <c r="D70" s="10"/>
      <c r="E70" s="10"/>
      <c r="F70" s="10"/>
      <c r="G70" s="10"/>
      <c r="H70" s="10"/>
      <c r="I70" s="10"/>
      <c r="J70" s="10"/>
      <c r="K70" s="10"/>
      <c r="L70" s="10"/>
      <c r="M70" s="10"/>
      <c r="N70" s="10"/>
      <c r="O70" s="10"/>
      <c r="P70" s="10"/>
      <c r="Q70" s="125">
        <f>IFERROR(SUM(Q40:Q68),0)</f>
        <v>283750</v>
      </c>
    </row>
  </sheetData>
  <mergeCells count="6">
    <mergeCell ref="D53:E53"/>
    <mergeCell ref="D55:E55"/>
    <mergeCell ref="A1:Q1"/>
    <mergeCell ref="A2:Q2"/>
    <mergeCell ref="A3:Q3"/>
    <mergeCell ref="A4:Q4"/>
  </mergeCells>
  <printOptions horizontalCentered="1"/>
  <pageMargins left="0.25" right="0.25" top="0.75" bottom="0.75" header="0.3" footer="0.3"/>
  <pageSetup scale="61" orientation="landscape"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927E7-8C2F-42D2-9482-7DD68E330EA0}">
  <sheetPr>
    <tabColor rgb="FFFF0000"/>
    <pageSetUpPr fitToPage="1"/>
  </sheetPr>
  <dimension ref="A1:S120"/>
  <sheetViews>
    <sheetView topLeftCell="A34" zoomScale="90" zoomScaleNormal="90" workbookViewId="0">
      <selection activeCell="O21" sqref="O21"/>
    </sheetView>
  </sheetViews>
  <sheetFormatPr baseColWidth="10" defaultColWidth="8.83203125" defaultRowHeight="15"/>
  <cols>
    <col min="1" max="1" width="28.5" bestFit="1" customWidth="1"/>
    <col min="2" max="2" width="13.33203125" bestFit="1" customWidth="1"/>
    <col min="3" max="3" width="13" bestFit="1" customWidth="1"/>
    <col min="4" max="5" width="12" bestFit="1" customWidth="1"/>
    <col min="6" max="6" width="13" bestFit="1" customWidth="1"/>
    <col min="7" max="7" width="12.5" customWidth="1"/>
    <col min="8" max="8" width="13.5" customWidth="1"/>
    <col min="9" max="9" width="13" bestFit="1" customWidth="1"/>
    <col min="10" max="11" width="12" bestFit="1" customWidth="1"/>
    <col min="12" max="12" width="13.6640625" bestFit="1" customWidth="1"/>
    <col min="13" max="13" width="13" bestFit="1" customWidth="1"/>
    <col min="14" max="14" width="18.1640625" bestFit="1" customWidth="1"/>
    <col min="15" max="15" width="14.33203125" bestFit="1" customWidth="1"/>
    <col min="16" max="16" width="0.6640625" customWidth="1"/>
    <col min="17" max="17" width="25.5" customWidth="1"/>
    <col min="18" max="18" width="62.5" customWidth="1"/>
    <col min="19" max="19" width="1.5" customWidth="1"/>
  </cols>
  <sheetData>
    <row r="1" spans="1:13" ht="21">
      <c r="A1" s="349">
        <f>'Municipality Benefits Analysis'!A1:K1</f>
        <v>0</v>
      </c>
      <c r="B1" s="349"/>
      <c r="C1" s="349"/>
      <c r="D1" s="349"/>
      <c r="E1" s="349"/>
      <c r="F1" s="349"/>
      <c r="G1" s="349"/>
      <c r="H1" s="349"/>
      <c r="I1" s="349"/>
      <c r="J1" s="349"/>
      <c r="K1" s="349"/>
      <c r="L1" s="349"/>
      <c r="M1" s="83"/>
    </row>
    <row r="2" spans="1:13" ht="17">
      <c r="A2" s="350">
        <f>'Municipality Benefits Analysis'!A2:K2</f>
        <v>0</v>
      </c>
      <c r="B2" s="350"/>
      <c r="C2" s="350"/>
      <c r="D2" s="350"/>
      <c r="E2" s="350"/>
      <c r="F2" s="350"/>
      <c r="G2" s="350"/>
      <c r="H2" s="350"/>
      <c r="I2" s="350"/>
      <c r="J2" s="350"/>
      <c r="K2" s="350"/>
      <c r="L2" s="350"/>
      <c r="M2" s="83"/>
    </row>
    <row r="3" spans="1:13" ht="24">
      <c r="A3" s="346" t="s">
        <v>344</v>
      </c>
      <c r="B3" s="347"/>
      <c r="C3" s="347"/>
      <c r="D3" s="347"/>
      <c r="E3" s="347"/>
      <c r="F3" s="347"/>
      <c r="G3" s="347"/>
      <c r="H3" s="347"/>
      <c r="I3" s="347"/>
      <c r="J3" s="347"/>
      <c r="K3" s="347"/>
      <c r="L3" s="348"/>
    </row>
    <row r="4" spans="1:13">
      <c r="A4" s="131"/>
      <c r="L4" s="235"/>
    </row>
    <row r="5" spans="1:13">
      <c r="A5" s="236" t="s">
        <v>148</v>
      </c>
      <c r="B5" s="237">
        <f>'Summary Page'!A3</f>
        <v>46113</v>
      </c>
      <c r="C5" s="238">
        <f>B5+365</f>
        <v>46478</v>
      </c>
      <c r="D5" s="238">
        <f t="shared" ref="D5:L5" si="0">C5+365</f>
        <v>46843</v>
      </c>
      <c r="E5" s="238">
        <f t="shared" si="0"/>
        <v>47208</v>
      </c>
      <c r="F5" s="238">
        <f t="shared" si="0"/>
        <v>47573</v>
      </c>
      <c r="G5" s="238">
        <f t="shared" si="0"/>
        <v>47938</v>
      </c>
      <c r="H5" s="238">
        <f t="shared" si="0"/>
        <v>48303</v>
      </c>
      <c r="I5" s="238">
        <f t="shared" si="0"/>
        <v>48668</v>
      </c>
      <c r="J5" s="238">
        <f t="shared" si="0"/>
        <v>49033</v>
      </c>
      <c r="K5" s="238">
        <f t="shared" si="0"/>
        <v>49398</v>
      </c>
      <c r="L5" s="239">
        <f t="shared" si="0"/>
        <v>49763</v>
      </c>
      <c r="M5" s="240"/>
    </row>
    <row r="6" spans="1:13">
      <c r="A6" s="131" t="s">
        <v>149</v>
      </c>
      <c r="C6" s="241"/>
      <c r="D6" s="242"/>
      <c r="E6" s="241"/>
      <c r="F6" s="241"/>
      <c r="G6" s="241"/>
      <c r="H6" s="241"/>
      <c r="I6" s="241"/>
      <c r="J6" s="241"/>
      <c r="K6" s="241"/>
      <c r="L6" s="243"/>
    </row>
    <row r="7" spans="1:13">
      <c r="A7" s="131" t="s">
        <v>50</v>
      </c>
      <c r="C7" s="241">
        <f>'10 Years Mixed'!D8</f>
        <v>0</v>
      </c>
      <c r="D7" s="241">
        <f>'10 Years Mixed'!E8</f>
        <v>0</v>
      </c>
      <c r="E7" s="241">
        <f>'10 Years Mixed'!F8</f>
        <v>0</v>
      </c>
      <c r="F7" s="241">
        <f>'10 Years Mixed'!G8</f>
        <v>0</v>
      </c>
      <c r="G7" s="241">
        <f>'10 Years Mixed'!H8</f>
        <v>0</v>
      </c>
      <c r="H7" s="241">
        <f>'10 Years Mixed'!I8</f>
        <v>0</v>
      </c>
      <c r="I7" s="241">
        <f>'10 Years Mixed'!J8</f>
        <v>0</v>
      </c>
      <c r="J7" s="241">
        <f>'10 Years Mixed'!K8</f>
        <v>0</v>
      </c>
      <c r="K7" s="241">
        <f>'10 Years Mixed'!L8</f>
        <v>0</v>
      </c>
      <c r="L7" s="243">
        <f>'10 Years Mixed'!M8</f>
        <v>0</v>
      </c>
    </row>
    <row r="8" spans="1:13">
      <c r="A8" s="131" t="s">
        <v>52</v>
      </c>
      <c r="C8" s="241">
        <f>'10 Years Mixed'!D9</f>
        <v>0</v>
      </c>
      <c r="D8" s="241">
        <f>'10 Years Mixed'!E9</f>
        <v>0</v>
      </c>
      <c r="E8" s="241">
        <f>'10 Years Mixed'!F9</f>
        <v>0</v>
      </c>
      <c r="F8" s="241">
        <f>'10 Years Mixed'!G9</f>
        <v>0</v>
      </c>
      <c r="G8" s="241">
        <f>'10 Years Mixed'!H9</f>
        <v>0</v>
      </c>
      <c r="H8" s="241">
        <f>'10 Years Mixed'!I9</f>
        <v>0</v>
      </c>
      <c r="I8" s="241">
        <f>'10 Years Mixed'!J9</f>
        <v>0</v>
      </c>
      <c r="J8" s="241">
        <f>'10 Years Mixed'!K9</f>
        <v>0</v>
      </c>
      <c r="K8" s="241">
        <f>'10 Years Mixed'!L9</f>
        <v>0</v>
      </c>
      <c r="L8" s="243">
        <f>'10 Years Mixed'!M9</f>
        <v>0</v>
      </c>
    </row>
    <row r="9" spans="1:13">
      <c r="A9" s="131" t="s">
        <v>53</v>
      </c>
      <c r="C9" s="241">
        <f>'10 Years Mixed'!D10</f>
        <v>0</v>
      </c>
      <c r="D9" s="241">
        <f>'10 Years Mixed'!E10</f>
        <v>0</v>
      </c>
      <c r="E9" s="241">
        <f>'10 Years Mixed'!F10</f>
        <v>0</v>
      </c>
      <c r="F9" s="241">
        <f>'10 Years Mixed'!G10</f>
        <v>0</v>
      </c>
      <c r="G9" s="241">
        <f>'10 Years Mixed'!H10</f>
        <v>0</v>
      </c>
      <c r="H9" s="241">
        <f>'10 Years Mixed'!I10</f>
        <v>0</v>
      </c>
      <c r="I9" s="241">
        <f>'10 Years Mixed'!J10</f>
        <v>0</v>
      </c>
      <c r="J9" s="241">
        <f>'10 Years Mixed'!K10</f>
        <v>0</v>
      </c>
      <c r="K9" s="241">
        <f>'10 Years Mixed'!L10</f>
        <v>0</v>
      </c>
      <c r="L9" s="243">
        <f>'10 Years Mixed'!M10</f>
        <v>0</v>
      </c>
    </row>
    <row r="10" spans="1:13">
      <c r="A10" s="131" t="s">
        <v>25</v>
      </c>
      <c r="C10" s="241">
        <f>'10 Years Mixed'!D12</f>
        <v>0</v>
      </c>
      <c r="D10" s="241">
        <f>'10 Years Mixed'!E12</f>
        <v>0</v>
      </c>
      <c r="E10" s="241">
        <f>'10 Years Mixed'!F12</f>
        <v>0</v>
      </c>
      <c r="F10" s="241">
        <f>'10 Years Mixed'!G12</f>
        <v>0</v>
      </c>
      <c r="G10" s="241">
        <f>'10 Years Mixed'!H12</f>
        <v>0</v>
      </c>
      <c r="H10" s="241">
        <f>'10 Years Mixed'!I12</f>
        <v>0</v>
      </c>
      <c r="I10" s="241">
        <f>'10 Years Mixed'!J12</f>
        <v>0</v>
      </c>
      <c r="J10" s="241">
        <f>'10 Years Mixed'!K12</f>
        <v>0</v>
      </c>
      <c r="K10" s="241">
        <f>'10 Years Mixed'!L12</f>
        <v>0</v>
      </c>
      <c r="L10" s="243">
        <f>'10 Years Mixed'!M12</f>
        <v>0</v>
      </c>
    </row>
    <row r="11" spans="1:13">
      <c r="A11" s="131" t="s">
        <v>130</v>
      </c>
      <c r="C11" s="241">
        <f>'10 Years Mixed'!D13</f>
        <v>0</v>
      </c>
      <c r="D11" s="241">
        <f>'10 Years Mixed'!E13</f>
        <v>0</v>
      </c>
      <c r="E11" s="241">
        <f>'10 Years Mixed'!F13</f>
        <v>0</v>
      </c>
      <c r="F11" s="241">
        <f>'10 Years Mixed'!G13</f>
        <v>0</v>
      </c>
      <c r="G11" s="241">
        <f>'10 Years Mixed'!H13</f>
        <v>0</v>
      </c>
      <c r="H11" s="241">
        <f>'10 Years Mixed'!I13</f>
        <v>0</v>
      </c>
      <c r="I11" s="241">
        <f>'10 Years Mixed'!J13</f>
        <v>0</v>
      </c>
      <c r="J11" s="241">
        <f>'10 Years Mixed'!K13</f>
        <v>0</v>
      </c>
      <c r="K11" s="241">
        <f>'10 Years Mixed'!L13</f>
        <v>0</v>
      </c>
      <c r="L11" s="243">
        <f>'10 Years Mixed'!M13</f>
        <v>0</v>
      </c>
    </row>
    <row r="12" spans="1:13" hidden="1">
      <c r="A12" s="131" t="s">
        <v>150</v>
      </c>
      <c r="C12" s="241"/>
      <c r="D12" s="241"/>
      <c r="E12" s="241"/>
      <c r="F12" s="241"/>
      <c r="G12" s="241"/>
      <c r="H12" s="241"/>
      <c r="I12" s="241"/>
      <c r="J12" s="241"/>
      <c r="K12" s="241"/>
      <c r="L12" s="243"/>
    </row>
    <row r="13" spans="1:13" hidden="1">
      <c r="A13" s="131" t="s">
        <v>151</v>
      </c>
      <c r="C13" s="241"/>
      <c r="D13" s="241"/>
      <c r="E13" s="241"/>
      <c r="F13" s="241"/>
      <c r="G13" s="241"/>
      <c r="H13" s="241"/>
      <c r="I13" s="241"/>
      <c r="J13" s="241"/>
      <c r="K13" s="241"/>
      <c r="L13" s="243"/>
    </row>
    <row r="14" spans="1:13" hidden="1">
      <c r="A14" s="131" t="s">
        <v>152</v>
      </c>
      <c r="C14" s="241"/>
      <c r="D14" s="241"/>
      <c r="E14" s="241"/>
      <c r="F14" s="241"/>
      <c r="G14" s="241"/>
      <c r="H14" s="241"/>
      <c r="I14" s="241"/>
      <c r="J14" s="241"/>
      <c r="K14" s="241"/>
      <c r="L14" s="243"/>
    </row>
    <row r="15" spans="1:13" hidden="1">
      <c r="A15" s="131" t="s">
        <v>153</v>
      </c>
      <c r="C15" s="241"/>
      <c r="D15" s="241"/>
      <c r="E15" s="241"/>
      <c r="F15" s="241"/>
      <c r="G15" s="241"/>
      <c r="H15" s="241"/>
      <c r="I15" s="241"/>
      <c r="J15" s="241"/>
      <c r="K15" s="241"/>
      <c r="L15" s="243"/>
    </row>
    <row r="16" spans="1:13">
      <c r="A16" s="131" t="s">
        <v>154</v>
      </c>
      <c r="C16" s="241">
        <f>SUM('10 Years Mixed'!D15:D16)</f>
        <v>0</v>
      </c>
      <c r="D16" s="241">
        <f>SUM('10 Years Mixed'!E15:E16)</f>
        <v>0</v>
      </c>
      <c r="E16" s="241">
        <f>SUM('10 Years Mixed'!F15:F16)</f>
        <v>0</v>
      </c>
      <c r="F16" s="241">
        <f>SUM('10 Years Mixed'!G15:G16)</f>
        <v>0</v>
      </c>
      <c r="G16" s="241">
        <f>SUM('10 Years Mixed'!H15:H16)</f>
        <v>0</v>
      </c>
      <c r="H16" s="241">
        <f>SUM('10 Years Mixed'!I15:I16)</f>
        <v>0</v>
      </c>
      <c r="I16" s="241">
        <f>SUM('10 Years Mixed'!J15:J16)</f>
        <v>0</v>
      </c>
      <c r="J16" s="241">
        <f>SUM('10 Years Mixed'!K15:K16)</f>
        <v>0</v>
      </c>
      <c r="K16" s="241">
        <f>SUM('10 Years Mixed'!L15:L16)</f>
        <v>0</v>
      </c>
      <c r="L16" s="243">
        <f>SUM('10 Years Mixed'!M15:M16)</f>
        <v>0</v>
      </c>
    </row>
    <row r="17" spans="1:15">
      <c r="A17" s="131"/>
      <c r="C17" s="241"/>
      <c r="D17" s="241"/>
      <c r="E17" s="241"/>
      <c r="F17" s="241"/>
      <c r="G17" s="241"/>
      <c r="H17" s="241"/>
      <c r="I17" s="241"/>
      <c r="J17" s="241"/>
      <c r="K17" s="241"/>
      <c r="L17" s="243"/>
    </row>
    <row r="18" spans="1:15">
      <c r="A18" s="244" t="s">
        <v>155</v>
      </c>
      <c r="B18" s="245"/>
      <c r="C18" s="245">
        <f t="shared" ref="C18:L18" si="1">SUM(C6:C17)</f>
        <v>0</v>
      </c>
      <c r="D18" s="245">
        <f t="shared" si="1"/>
        <v>0</v>
      </c>
      <c r="E18" s="245">
        <f t="shared" si="1"/>
        <v>0</v>
      </c>
      <c r="F18" s="245">
        <f t="shared" si="1"/>
        <v>0</v>
      </c>
      <c r="G18" s="245">
        <f t="shared" si="1"/>
        <v>0</v>
      </c>
      <c r="H18" s="245">
        <f t="shared" si="1"/>
        <v>0</v>
      </c>
      <c r="I18" s="245">
        <f t="shared" si="1"/>
        <v>0</v>
      </c>
      <c r="J18" s="245">
        <f t="shared" si="1"/>
        <v>0</v>
      </c>
      <c r="K18" s="245">
        <f t="shared" si="1"/>
        <v>0</v>
      </c>
      <c r="L18" s="246">
        <f t="shared" si="1"/>
        <v>0</v>
      </c>
    </row>
    <row r="19" spans="1:15">
      <c r="A19" s="127"/>
      <c r="B19" s="247"/>
      <c r="C19" s="248"/>
      <c r="D19" s="248"/>
      <c r="E19" s="248"/>
      <c r="F19" s="248"/>
      <c r="G19" s="248"/>
      <c r="H19" s="248"/>
      <c r="I19" s="248"/>
      <c r="J19" s="248"/>
      <c r="K19" s="248"/>
      <c r="L19" s="249"/>
    </row>
    <row r="20" spans="1:15">
      <c r="A20" s="131" t="s">
        <v>109</v>
      </c>
      <c r="C20" s="241">
        <f>'10 Years Mixed'!D21</f>
        <v>0</v>
      </c>
      <c r="D20" s="241">
        <f>'10 Years Mixed'!E21</f>
        <v>0</v>
      </c>
      <c r="E20" s="241">
        <f>'10 Years Mixed'!F21</f>
        <v>0</v>
      </c>
      <c r="F20" s="241">
        <f>'10 Years Mixed'!G21</f>
        <v>0</v>
      </c>
      <c r="G20" s="241">
        <f>'10 Years Mixed'!H21</f>
        <v>0</v>
      </c>
      <c r="H20" s="241">
        <f>'10 Years Mixed'!I21</f>
        <v>0</v>
      </c>
      <c r="I20" s="241">
        <f>'10 Years Mixed'!J21</f>
        <v>0</v>
      </c>
      <c r="J20" s="241">
        <f>'10 Years Mixed'!K21</f>
        <v>0</v>
      </c>
      <c r="K20" s="241">
        <f>'10 Years Mixed'!L21</f>
        <v>0</v>
      </c>
      <c r="L20" s="243">
        <f>'10 Years Mixed'!M21</f>
        <v>0</v>
      </c>
    </row>
    <row r="21" spans="1:15">
      <c r="A21" s="131" t="s">
        <v>124</v>
      </c>
      <c r="C21" s="241">
        <f>'10 Years Mixed'!D22</f>
        <v>0</v>
      </c>
      <c r="D21" s="241">
        <f>'10 Years Mixed'!E22</f>
        <v>0</v>
      </c>
      <c r="E21" s="241">
        <f>'10 Years Mixed'!F22</f>
        <v>0</v>
      </c>
      <c r="F21" s="241">
        <f>'10 Years Mixed'!G22</f>
        <v>0</v>
      </c>
      <c r="G21" s="241">
        <f>'10 Years Mixed'!H22</f>
        <v>0</v>
      </c>
      <c r="H21" s="241">
        <f>'10 Years Mixed'!I22</f>
        <v>0</v>
      </c>
      <c r="I21" s="241">
        <f>'10 Years Mixed'!J22</f>
        <v>0</v>
      </c>
      <c r="J21" s="241">
        <f>'10 Years Mixed'!K22</f>
        <v>0</v>
      </c>
      <c r="K21" s="241">
        <f>'10 Years Mixed'!L22</f>
        <v>0</v>
      </c>
      <c r="L21" s="243">
        <f>'10 Years Mixed'!M22</f>
        <v>0</v>
      </c>
    </row>
    <row r="22" spans="1:15" hidden="1">
      <c r="A22" s="131" t="s">
        <v>136</v>
      </c>
      <c r="C22" s="241"/>
      <c r="D22" s="241"/>
      <c r="E22" s="241"/>
      <c r="F22" s="241"/>
      <c r="G22" s="241"/>
      <c r="H22" s="241"/>
      <c r="I22" s="241"/>
      <c r="J22" s="241"/>
      <c r="K22" s="241"/>
      <c r="L22" s="243"/>
    </row>
    <row r="23" spans="1:15" hidden="1">
      <c r="A23" s="131" t="s">
        <v>156</v>
      </c>
      <c r="C23" s="241"/>
      <c r="D23" s="241"/>
      <c r="E23" s="241"/>
      <c r="F23" s="241"/>
      <c r="G23" s="241"/>
      <c r="H23" s="241"/>
      <c r="I23" s="241"/>
      <c r="J23" s="241"/>
      <c r="K23" s="241"/>
      <c r="L23" s="243"/>
    </row>
    <row r="24" spans="1:15" hidden="1">
      <c r="A24" s="131" t="s">
        <v>157</v>
      </c>
      <c r="C24" s="241"/>
      <c r="D24" s="241"/>
      <c r="E24" s="241"/>
      <c r="F24" s="241"/>
      <c r="G24" s="241"/>
      <c r="H24" s="241"/>
      <c r="I24" s="241"/>
      <c r="J24" s="241"/>
      <c r="K24" s="241"/>
      <c r="L24" s="243"/>
    </row>
    <row r="25" spans="1:15">
      <c r="A25" s="131" t="s">
        <v>158</v>
      </c>
      <c r="C25" s="241">
        <f t="shared" ref="C25:L25" si="2">-0.331%*C18</f>
        <v>0</v>
      </c>
      <c r="D25" s="241">
        <f t="shared" si="2"/>
        <v>0</v>
      </c>
      <c r="E25" s="241">
        <f t="shared" si="2"/>
        <v>0</v>
      </c>
      <c r="F25" s="241">
        <f t="shared" si="2"/>
        <v>0</v>
      </c>
      <c r="G25" s="241">
        <f t="shared" si="2"/>
        <v>0</v>
      </c>
      <c r="H25" s="241">
        <f t="shared" si="2"/>
        <v>0</v>
      </c>
      <c r="I25" s="241">
        <f t="shared" si="2"/>
        <v>0</v>
      </c>
      <c r="J25" s="241">
        <f t="shared" si="2"/>
        <v>0</v>
      </c>
      <c r="K25" s="241">
        <f t="shared" si="2"/>
        <v>0</v>
      </c>
      <c r="L25" s="243">
        <f t="shared" si="2"/>
        <v>0</v>
      </c>
    </row>
    <row r="26" spans="1:15" hidden="1">
      <c r="A26" s="131" t="s">
        <v>159</v>
      </c>
      <c r="C26" s="241"/>
      <c r="D26" s="241"/>
      <c r="E26" s="241"/>
      <c r="F26" s="241"/>
      <c r="G26" s="241"/>
      <c r="H26" s="241"/>
      <c r="I26" s="241"/>
      <c r="J26" s="241"/>
      <c r="K26" s="241"/>
      <c r="L26" s="243"/>
    </row>
    <row r="27" spans="1:15" hidden="1">
      <c r="A27" s="131" t="s">
        <v>160</v>
      </c>
      <c r="C27" s="241"/>
      <c r="D27" s="241"/>
      <c r="E27" s="241"/>
      <c r="F27" s="241"/>
      <c r="G27" s="241"/>
      <c r="H27" s="241"/>
      <c r="I27" s="241"/>
      <c r="J27" s="241"/>
      <c r="K27" s="241"/>
      <c r="L27" s="243"/>
    </row>
    <row r="28" spans="1:15">
      <c r="A28" s="135" t="s">
        <v>161</v>
      </c>
      <c r="B28" s="122"/>
      <c r="C28" s="250">
        <f>-'10 Years Mixed'!$C$33*'Mixed Rent'!$G$70</f>
        <v>0</v>
      </c>
      <c r="D28" s="250">
        <f>-'10 Years Mixed'!$C$33*'Mixed Rent'!$G$70</f>
        <v>0</v>
      </c>
      <c r="E28" s="250">
        <f>-'10 Years Mixed'!$C$33*'Mixed Rent'!$G$70</f>
        <v>0</v>
      </c>
      <c r="F28" s="250">
        <f>-'10 Years Mixed'!$C$33*'Mixed Rent'!$G$70</f>
        <v>0</v>
      </c>
      <c r="G28" s="250">
        <f>-'10 Years Mixed'!$C$33*'Mixed Rent'!$G$70</f>
        <v>0</v>
      </c>
      <c r="H28" s="250">
        <f>-'10 Years Mixed'!$C$33*'Mixed Rent'!$G$70</f>
        <v>0</v>
      </c>
      <c r="I28" s="250">
        <f>-'10 Years Mixed'!$C$33*'Mixed Rent'!$G$70</f>
        <v>0</v>
      </c>
      <c r="J28" s="250">
        <f>-'10 Years Mixed'!$C$33*'Mixed Rent'!$G$70</f>
        <v>0</v>
      </c>
      <c r="K28" s="250">
        <f>-'10 Years Mixed'!$C$33*'Mixed Rent'!$G$70</f>
        <v>0</v>
      </c>
      <c r="L28" s="251">
        <f>-'10 Years Mixed'!$C$33*'Mixed Rent'!$G$70</f>
        <v>0</v>
      </c>
    </row>
    <row r="29" spans="1:15">
      <c r="A29" s="252" t="s">
        <v>29</v>
      </c>
      <c r="B29" s="253"/>
      <c r="C29" s="254">
        <f t="shared" ref="C29:L29" si="3">SUM(C20:C28)</f>
        <v>0</v>
      </c>
      <c r="D29" s="254">
        <f t="shared" si="3"/>
        <v>0</v>
      </c>
      <c r="E29" s="254">
        <f t="shared" si="3"/>
        <v>0</v>
      </c>
      <c r="F29" s="254">
        <f t="shared" si="3"/>
        <v>0</v>
      </c>
      <c r="G29" s="254">
        <f t="shared" si="3"/>
        <v>0</v>
      </c>
      <c r="H29" s="254">
        <f t="shared" si="3"/>
        <v>0</v>
      </c>
      <c r="I29" s="254">
        <f t="shared" si="3"/>
        <v>0</v>
      </c>
      <c r="J29" s="254">
        <f t="shared" si="3"/>
        <v>0</v>
      </c>
      <c r="K29" s="254">
        <f t="shared" si="3"/>
        <v>0</v>
      </c>
      <c r="L29" s="255">
        <f t="shared" si="3"/>
        <v>0</v>
      </c>
    </row>
    <row r="30" spans="1:15" ht="8" customHeight="1">
      <c r="C30" s="241"/>
      <c r="D30" s="241"/>
      <c r="E30" s="241"/>
      <c r="F30" s="241"/>
      <c r="G30" s="241"/>
      <c r="H30" s="241"/>
      <c r="I30" s="241"/>
      <c r="J30" s="241"/>
      <c r="K30" s="241"/>
      <c r="L30" s="241"/>
    </row>
    <row r="31" spans="1:15">
      <c r="A31" s="256" t="s">
        <v>162</v>
      </c>
      <c r="B31" s="257"/>
      <c r="C31" s="258">
        <f t="shared" ref="C31:L31" si="4">C18+C29</f>
        <v>0</v>
      </c>
      <c r="D31" s="258">
        <f t="shared" si="4"/>
        <v>0</v>
      </c>
      <c r="E31" s="258">
        <f t="shared" si="4"/>
        <v>0</v>
      </c>
      <c r="F31" s="258">
        <f t="shared" si="4"/>
        <v>0</v>
      </c>
      <c r="G31" s="258">
        <f t="shared" si="4"/>
        <v>0</v>
      </c>
      <c r="H31" s="258">
        <f t="shared" si="4"/>
        <v>0</v>
      </c>
      <c r="I31" s="258">
        <f t="shared" si="4"/>
        <v>0</v>
      </c>
      <c r="J31" s="258">
        <f t="shared" si="4"/>
        <v>0</v>
      </c>
      <c r="K31" s="258">
        <f t="shared" si="4"/>
        <v>0</v>
      </c>
      <c r="L31" s="259">
        <f t="shared" si="4"/>
        <v>0</v>
      </c>
    </row>
    <row r="32" spans="1:15">
      <c r="A32" s="131"/>
      <c r="C32" s="241"/>
      <c r="D32" s="241"/>
      <c r="E32" s="241"/>
      <c r="F32" s="241"/>
      <c r="G32" s="241"/>
      <c r="H32" s="241"/>
      <c r="I32" s="241"/>
      <c r="J32" s="241"/>
      <c r="K32" s="241"/>
      <c r="L32" s="243"/>
      <c r="N32" t="s">
        <v>298</v>
      </c>
      <c r="O32" s="260">
        <f>'SOURCES and USES of FUNDS'!$G$9</f>
        <v>0</v>
      </c>
    </row>
    <row r="33" spans="1:15">
      <c r="A33" s="131" t="s">
        <v>46</v>
      </c>
      <c r="B33" s="261"/>
      <c r="C33" s="241">
        <f>'10 Years Mixed'!D43</f>
        <v>-25000</v>
      </c>
      <c r="D33" s="241">
        <f>'10 Years Mixed'!E43</f>
        <v>-25750</v>
      </c>
      <c r="E33" s="241">
        <f>'10 Years Mixed'!F43</f>
        <v>-26500</v>
      </c>
      <c r="F33" s="241">
        <f>'10 Years Mixed'!G43</f>
        <v>-27250</v>
      </c>
      <c r="G33" s="241">
        <f>'10 Years Mixed'!H43</f>
        <v>-28000</v>
      </c>
      <c r="H33" s="241">
        <f>'10 Years Mixed'!I43</f>
        <v>-28750</v>
      </c>
      <c r="I33" s="241">
        <f>'10 Years Mixed'!J43</f>
        <v>-29500</v>
      </c>
      <c r="J33" s="241">
        <f>'10 Years Mixed'!K43</f>
        <v>-30250</v>
      </c>
      <c r="K33" s="241">
        <f>'10 Years Mixed'!L43</f>
        <v>-31000</v>
      </c>
      <c r="L33" s="243">
        <f>'10 Years Mixed'!M43</f>
        <v>-31750</v>
      </c>
      <c r="N33" t="s">
        <v>40</v>
      </c>
      <c r="O33" s="260">
        <f>SUM(C62:L62)</f>
        <v>0</v>
      </c>
    </row>
    <row r="34" spans="1:15">
      <c r="A34" s="131" t="s">
        <v>331</v>
      </c>
      <c r="B34" s="223">
        <f>'Summary Page'!E37</f>
        <v>0</v>
      </c>
      <c r="C34" s="241">
        <f>'10 Years Mixed'!D42</f>
        <v>0</v>
      </c>
      <c r="D34" s="241">
        <f>'10 Years Mixed'!E42</f>
        <v>0</v>
      </c>
      <c r="E34" s="241">
        <f>'10 Years Mixed'!F42</f>
        <v>0</v>
      </c>
      <c r="F34" s="241">
        <f>'10 Years Mixed'!G42</f>
        <v>0</v>
      </c>
      <c r="G34" s="241">
        <f>'10 Years Mixed'!H42</f>
        <v>0</v>
      </c>
      <c r="H34" s="241">
        <f>'10 Years Mixed'!I42</f>
        <v>0</v>
      </c>
      <c r="I34" s="241">
        <f>'10 Years Mixed'!J42</f>
        <v>0</v>
      </c>
      <c r="J34" s="241">
        <f>'10 Years Mixed'!K42</f>
        <v>0</v>
      </c>
      <c r="K34" s="241">
        <f>'10 Years Mixed'!L42</f>
        <v>0</v>
      </c>
      <c r="L34" s="243">
        <f>'10 Years Mixed'!M42</f>
        <v>0</v>
      </c>
      <c r="N34" t="s">
        <v>331</v>
      </c>
      <c r="O34" s="260">
        <f>SUM(C34:L34)</f>
        <v>0</v>
      </c>
    </row>
    <row r="35" spans="1:15">
      <c r="A35" s="131" t="s">
        <v>48</v>
      </c>
      <c r="B35" s="223">
        <f>'10 Years Mixed'!C45</f>
        <v>0</v>
      </c>
      <c r="C35" s="241">
        <f>'10 Years Mixed'!D45</f>
        <v>0</v>
      </c>
      <c r="D35" s="241">
        <f>'10 Years Mixed'!E45</f>
        <v>0</v>
      </c>
      <c r="E35" s="241">
        <f>'10 Years Mixed'!F45</f>
        <v>0</v>
      </c>
      <c r="F35" s="241">
        <f>'10 Years Mixed'!G45</f>
        <v>0</v>
      </c>
      <c r="G35" s="241">
        <f>'10 Years Mixed'!H45</f>
        <v>0</v>
      </c>
      <c r="H35" s="241">
        <f>'10 Years Mixed'!I45</f>
        <v>0</v>
      </c>
      <c r="I35" s="241">
        <f>'10 Years Mixed'!J45</f>
        <v>0</v>
      </c>
      <c r="J35" s="241">
        <f>'10 Years Mixed'!K45</f>
        <v>0</v>
      </c>
      <c r="K35" s="241">
        <f>'10 Years Mixed'!L45</f>
        <v>0</v>
      </c>
      <c r="L35" s="243">
        <f>'10 Years Mixed'!M45</f>
        <v>0</v>
      </c>
      <c r="N35" t="s">
        <v>299</v>
      </c>
      <c r="O35" s="260">
        <f>SUM(C61:L61)</f>
        <v>-283750</v>
      </c>
    </row>
    <row r="36" spans="1:15">
      <c r="A36" s="131" t="s">
        <v>65</v>
      </c>
      <c r="C36" s="241">
        <f>'10 Years Mixed'!D37</f>
        <v>0</v>
      </c>
      <c r="D36" s="241">
        <f>'10 Years Mixed'!E37</f>
        <v>0</v>
      </c>
      <c r="E36" s="241">
        <f>'10 Years Mixed'!F37</f>
        <v>0</v>
      </c>
      <c r="F36" s="241">
        <f>'10 Years Mixed'!G37</f>
        <v>0</v>
      </c>
      <c r="G36" s="241">
        <f>'10 Years Mixed'!H37</f>
        <v>0</v>
      </c>
      <c r="H36" s="241">
        <f>'10 Years Mixed'!I37</f>
        <v>0</v>
      </c>
      <c r="I36" s="241">
        <f>'10 Years Mixed'!J37</f>
        <v>0</v>
      </c>
      <c r="J36" s="241">
        <f>'10 Years Mixed'!K37</f>
        <v>0</v>
      </c>
      <c r="K36" s="241">
        <f>'10 Years Mixed'!L37</f>
        <v>0</v>
      </c>
      <c r="L36" s="243">
        <f>'10 Years Mixed'!M37</f>
        <v>0</v>
      </c>
      <c r="N36" t="s">
        <v>300</v>
      </c>
      <c r="O36" s="260">
        <f>L65</f>
        <v>0</v>
      </c>
    </row>
    <row r="37" spans="1:15">
      <c r="A37" s="131" t="s">
        <v>31</v>
      </c>
      <c r="C37" s="241">
        <v>0</v>
      </c>
      <c r="D37" s="241">
        <v>0</v>
      </c>
      <c r="E37" s="241">
        <v>0</v>
      </c>
      <c r="F37" s="241">
        <v>0</v>
      </c>
      <c r="G37" s="241">
        <v>0</v>
      </c>
      <c r="H37" s="241">
        <v>0</v>
      </c>
      <c r="I37" s="241">
        <v>0</v>
      </c>
      <c r="J37" s="241">
        <v>0</v>
      </c>
      <c r="K37" s="241">
        <v>0</v>
      </c>
      <c r="L37" s="243">
        <v>0</v>
      </c>
      <c r="N37" t="s">
        <v>301</v>
      </c>
      <c r="O37" s="260">
        <f>L56</f>
        <v>-283750</v>
      </c>
    </row>
    <row r="38" spans="1:15">
      <c r="A38" s="262" t="s">
        <v>163</v>
      </c>
      <c r="B38" s="253"/>
      <c r="C38" s="263">
        <f>SUM(C31:C37)</f>
        <v>-25000</v>
      </c>
      <c r="D38" s="263">
        <f t="shared" ref="D38:L38" si="5">SUM(D31:D37)</f>
        <v>-25750</v>
      </c>
      <c r="E38" s="263">
        <f t="shared" si="5"/>
        <v>-26500</v>
      </c>
      <c r="F38" s="263">
        <f>SUM(F31:F37)</f>
        <v>-27250</v>
      </c>
      <c r="G38" s="263">
        <f t="shared" si="5"/>
        <v>-28000</v>
      </c>
      <c r="H38" s="263">
        <f t="shared" si="5"/>
        <v>-28750</v>
      </c>
      <c r="I38" s="263">
        <f t="shared" si="5"/>
        <v>-29500</v>
      </c>
      <c r="J38" s="263">
        <f t="shared" si="5"/>
        <v>-30250</v>
      </c>
      <c r="K38" s="263">
        <f t="shared" si="5"/>
        <v>-31000</v>
      </c>
      <c r="L38" s="264">
        <f t="shared" si="5"/>
        <v>-31750</v>
      </c>
      <c r="N38" t="s">
        <v>302</v>
      </c>
      <c r="O38" s="260">
        <f>SUM(O32:O37)</f>
        <v>-567500</v>
      </c>
    </row>
    <row r="39" spans="1:15">
      <c r="A39" s="265" t="s">
        <v>164</v>
      </c>
      <c r="B39" s="172">
        <f>'10 Years Mixed'!C49</f>
        <v>0</v>
      </c>
      <c r="C39" s="241">
        <f>IF(C38&lt;0,0,C38*$B$39)</f>
        <v>0</v>
      </c>
      <c r="D39" s="241">
        <f t="shared" ref="D39:L39" si="6">IF(D38&lt;0,0,D38*$B$39)</f>
        <v>0</v>
      </c>
      <c r="E39" s="241">
        <f t="shared" si="6"/>
        <v>0</v>
      </c>
      <c r="F39" s="241">
        <f t="shared" si="6"/>
        <v>0</v>
      </c>
      <c r="G39" s="241">
        <f t="shared" si="6"/>
        <v>0</v>
      </c>
      <c r="H39" s="241">
        <f t="shared" si="6"/>
        <v>0</v>
      </c>
      <c r="I39" s="241">
        <f t="shared" si="6"/>
        <v>0</v>
      </c>
      <c r="J39" s="241">
        <f t="shared" si="6"/>
        <v>0</v>
      </c>
      <c r="K39" s="241">
        <f t="shared" si="6"/>
        <v>0</v>
      </c>
      <c r="L39" s="243">
        <f t="shared" si="6"/>
        <v>0</v>
      </c>
    </row>
    <row r="40" spans="1:15">
      <c r="A40" s="265" t="s">
        <v>340</v>
      </c>
      <c r="B40" s="172">
        <f>'10 Years Mixed'!C50</f>
        <v>0</v>
      </c>
      <c r="C40" s="241">
        <f>IF(C38&lt;0,0,C38*$B$40)</f>
        <v>0</v>
      </c>
      <c r="D40" s="241">
        <f t="shared" ref="D40:L40" si="7">IF(D38&lt;0,0,D38*$B$40)</f>
        <v>0</v>
      </c>
      <c r="E40" s="241">
        <f t="shared" si="7"/>
        <v>0</v>
      </c>
      <c r="F40" s="241">
        <f t="shared" si="7"/>
        <v>0</v>
      </c>
      <c r="G40" s="241">
        <f t="shared" si="7"/>
        <v>0</v>
      </c>
      <c r="H40" s="241">
        <f t="shared" si="7"/>
        <v>0</v>
      </c>
      <c r="I40" s="241">
        <f t="shared" si="7"/>
        <v>0</v>
      </c>
      <c r="J40" s="241">
        <f t="shared" si="7"/>
        <v>0</v>
      </c>
      <c r="K40" s="241">
        <f t="shared" si="7"/>
        <v>0</v>
      </c>
      <c r="L40" s="243">
        <f t="shared" si="7"/>
        <v>0</v>
      </c>
    </row>
    <row r="41" spans="1:15" hidden="1">
      <c r="A41" s="131"/>
      <c r="C41" s="241"/>
      <c r="D41" s="241"/>
      <c r="E41" s="241"/>
      <c r="F41" s="241"/>
      <c r="G41" s="241"/>
      <c r="H41" s="241"/>
      <c r="I41" s="241"/>
      <c r="J41" s="241"/>
      <c r="K41" s="241"/>
      <c r="L41" s="243"/>
    </row>
    <row r="42" spans="1:15">
      <c r="A42" s="266" t="s">
        <v>165</v>
      </c>
      <c r="B42" s="267"/>
      <c r="C42" s="268">
        <f>C38-C39-C40</f>
        <v>-25000</v>
      </c>
      <c r="D42" s="268">
        <f t="shared" ref="D42:L42" si="8">D38-D39-D40</f>
        <v>-25750</v>
      </c>
      <c r="E42" s="268">
        <f t="shared" si="8"/>
        <v>-26500</v>
      </c>
      <c r="F42" s="269">
        <f t="shared" si="8"/>
        <v>-27250</v>
      </c>
      <c r="G42" s="269">
        <f t="shared" si="8"/>
        <v>-28000</v>
      </c>
      <c r="H42" s="269">
        <f t="shared" si="8"/>
        <v>-28750</v>
      </c>
      <c r="I42" s="269">
        <f t="shared" si="8"/>
        <v>-29500</v>
      </c>
      <c r="J42" s="269">
        <f t="shared" si="8"/>
        <v>-30250</v>
      </c>
      <c r="K42" s="269">
        <f t="shared" si="8"/>
        <v>-31000</v>
      </c>
      <c r="L42" s="270">
        <f t="shared" si="8"/>
        <v>-31750</v>
      </c>
    </row>
    <row r="43" spans="1:15">
      <c r="A43" s="267"/>
      <c r="B43" s="257"/>
      <c r="C43" s="271"/>
      <c r="D43" s="271"/>
      <c r="E43" s="271"/>
      <c r="F43" s="271"/>
      <c r="G43" s="271"/>
      <c r="H43" s="271"/>
      <c r="I43" s="271"/>
      <c r="J43" s="271"/>
      <c r="K43" s="271"/>
      <c r="L43" s="268"/>
    </row>
    <row r="44" spans="1:15">
      <c r="A44" s="256" t="s">
        <v>166</v>
      </c>
      <c r="B44" s="272">
        <f t="shared" ref="B44:L44" si="9">B5</f>
        <v>46113</v>
      </c>
      <c r="C44" s="273">
        <f t="shared" si="9"/>
        <v>46478</v>
      </c>
      <c r="D44" s="273">
        <f t="shared" si="9"/>
        <v>46843</v>
      </c>
      <c r="E44" s="273">
        <f t="shared" si="9"/>
        <v>47208</v>
      </c>
      <c r="F44" s="273">
        <f t="shared" si="9"/>
        <v>47573</v>
      </c>
      <c r="G44" s="273">
        <f t="shared" si="9"/>
        <v>47938</v>
      </c>
      <c r="H44" s="273">
        <f t="shared" si="9"/>
        <v>48303</v>
      </c>
      <c r="I44" s="273">
        <f t="shared" si="9"/>
        <v>48668</v>
      </c>
      <c r="J44" s="273">
        <f t="shared" si="9"/>
        <v>49033</v>
      </c>
      <c r="K44" s="273">
        <f t="shared" si="9"/>
        <v>49398</v>
      </c>
      <c r="L44" s="274">
        <f t="shared" si="9"/>
        <v>49763</v>
      </c>
      <c r="M44" s="240"/>
    </row>
    <row r="45" spans="1:15">
      <c r="A45" s="127" t="s">
        <v>70</v>
      </c>
      <c r="B45" s="69">
        <f>'10 Years Mixed'!C53</f>
        <v>0</v>
      </c>
      <c r="C45" s="248"/>
      <c r="D45" s="248"/>
      <c r="E45" s="248"/>
      <c r="F45" s="248"/>
      <c r="G45" s="248"/>
      <c r="H45" s="248"/>
      <c r="I45" s="248"/>
      <c r="J45" s="248"/>
      <c r="K45" s="248"/>
      <c r="L45" s="249"/>
    </row>
    <row r="46" spans="1:15">
      <c r="A46" s="131" t="s">
        <v>69</v>
      </c>
      <c r="B46" s="69">
        <f>'10 Years Mixed'!C54</f>
        <v>0</v>
      </c>
      <c r="C46" s="241"/>
      <c r="D46" s="241"/>
      <c r="E46" s="241"/>
      <c r="F46" s="241"/>
      <c r="G46" s="241"/>
      <c r="H46" s="241"/>
      <c r="I46" s="241"/>
      <c r="J46" s="241"/>
      <c r="K46" s="241"/>
      <c r="L46" s="243">
        <f>IFERROR((L31-((L89*B46)))/B45,0)</f>
        <v>0</v>
      </c>
      <c r="M46" s="3"/>
      <c r="N46" s="1"/>
      <c r="O46" s="1"/>
    </row>
    <row r="47" spans="1:15">
      <c r="A47" s="131" t="s">
        <v>71</v>
      </c>
      <c r="B47" s="261">
        <f>'10 Years Mixed'!C55</f>
        <v>0</v>
      </c>
      <c r="C47" s="241"/>
      <c r="D47" s="241"/>
      <c r="E47" s="241"/>
      <c r="F47" s="241"/>
      <c r="G47" s="241"/>
      <c r="H47" s="241"/>
      <c r="I47" s="241"/>
      <c r="J47" s="241"/>
      <c r="K47" s="241"/>
      <c r="L47" s="251">
        <f>IFERROR(L46*-B47,0)</f>
        <v>0</v>
      </c>
      <c r="M47" s="88"/>
      <c r="N47" s="1"/>
      <c r="O47" s="1"/>
    </row>
    <row r="48" spans="1:15">
      <c r="A48" s="131" t="s">
        <v>72</v>
      </c>
      <c r="B48" s="134"/>
      <c r="C48" s="241"/>
      <c r="D48" s="241"/>
      <c r="E48" s="241"/>
      <c r="F48" s="241"/>
      <c r="G48" s="241"/>
      <c r="H48" s="241"/>
      <c r="I48" s="241"/>
      <c r="J48" s="241"/>
      <c r="K48" s="241"/>
      <c r="L48" s="243">
        <f>IFERROR(SUM(L46:L47),0)</f>
        <v>0</v>
      </c>
      <c r="M48" s="3"/>
      <c r="N48" s="1"/>
      <c r="O48" s="1"/>
    </row>
    <row r="49" spans="1:15">
      <c r="A49" s="131" t="s">
        <v>74</v>
      </c>
      <c r="B49" s="134"/>
      <c r="C49" s="241"/>
      <c r="D49" s="241"/>
      <c r="E49" s="241"/>
      <c r="F49" s="241"/>
      <c r="G49" s="241"/>
      <c r="H49" s="241"/>
      <c r="I49" s="241"/>
      <c r="J49" s="241"/>
      <c r="K49" s="241"/>
      <c r="L49" s="251">
        <f>'10 Years Mixed'!O58</f>
        <v>0</v>
      </c>
      <c r="M49" s="88"/>
      <c r="N49" s="1"/>
      <c r="O49" s="1"/>
    </row>
    <row r="50" spans="1:15">
      <c r="A50" s="131" t="s">
        <v>75</v>
      </c>
      <c r="B50" s="134"/>
      <c r="C50" s="241"/>
      <c r="D50" s="241"/>
      <c r="E50" s="241"/>
      <c r="F50" s="241"/>
      <c r="G50" s="241"/>
      <c r="H50" s="241"/>
      <c r="I50" s="241"/>
      <c r="J50" s="241"/>
      <c r="K50" s="241"/>
      <c r="L50" s="243">
        <f>IFERROR(SUM(L48:L49),0)</f>
        <v>0</v>
      </c>
      <c r="M50" s="3"/>
      <c r="N50" s="1"/>
      <c r="O50" s="1"/>
    </row>
    <row r="51" spans="1:15">
      <c r="A51" s="131" t="s">
        <v>76</v>
      </c>
      <c r="B51" s="134"/>
      <c r="C51" s="241"/>
      <c r="D51" s="241"/>
      <c r="E51" s="241"/>
      <c r="F51" s="241"/>
      <c r="G51" s="241"/>
      <c r="H51" s="241"/>
      <c r="I51" s="241"/>
      <c r="J51" s="241"/>
      <c r="K51" s="241"/>
      <c r="L51" s="243">
        <f>'10 Years Mixed'!O60</f>
        <v>0</v>
      </c>
      <c r="M51" s="88"/>
      <c r="N51" s="1"/>
      <c r="O51" s="1"/>
    </row>
    <row r="52" spans="1:15">
      <c r="A52" s="131" t="s">
        <v>232</v>
      </c>
      <c r="B52" s="134"/>
      <c r="C52" s="241"/>
      <c r="D52" s="241"/>
      <c r="E52" s="241"/>
      <c r="F52" s="241"/>
      <c r="G52" s="241"/>
      <c r="H52" s="241"/>
      <c r="I52" s="241"/>
      <c r="J52" s="241"/>
      <c r="K52" s="241"/>
      <c r="L52" s="243">
        <f>'10 Years Mixed'!O61</f>
        <v>-283750</v>
      </c>
      <c r="M52" s="88"/>
      <c r="N52" s="1"/>
      <c r="O52" s="1"/>
    </row>
    <row r="53" spans="1:15">
      <c r="A53" s="131" t="s">
        <v>77</v>
      </c>
      <c r="C53" s="241"/>
      <c r="D53" s="241"/>
      <c r="E53" s="241"/>
      <c r="F53" s="241"/>
      <c r="G53" s="241"/>
      <c r="H53" s="241"/>
      <c r="I53" s="241"/>
      <c r="J53" s="241"/>
      <c r="K53" s="241"/>
      <c r="L53" s="243">
        <v>0</v>
      </c>
      <c r="M53" s="3"/>
      <c r="N53" s="1"/>
      <c r="O53" s="1"/>
    </row>
    <row r="54" spans="1:15">
      <c r="A54" s="135" t="s">
        <v>167</v>
      </c>
      <c r="B54" s="275">
        <f>L67</f>
        <v>0</v>
      </c>
      <c r="C54" s="250"/>
      <c r="D54" s="250"/>
      <c r="E54" s="250"/>
      <c r="F54" s="250"/>
      <c r="G54" s="250"/>
      <c r="H54" s="250"/>
      <c r="I54" s="250"/>
      <c r="J54" s="250"/>
      <c r="K54" s="250"/>
      <c r="L54" s="251">
        <f>-L65</f>
        <v>0</v>
      </c>
      <c r="M54" s="1"/>
      <c r="N54" s="1"/>
      <c r="O54" s="1"/>
    </row>
    <row r="55" spans="1:15">
      <c r="A55" s="262" t="s">
        <v>168</v>
      </c>
      <c r="B55" s="253"/>
      <c r="C55" s="263"/>
      <c r="D55" s="263"/>
      <c r="E55" s="263"/>
      <c r="F55" s="263"/>
      <c r="G55" s="263"/>
      <c r="H55" s="263"/>
      <c r="I55" s="263"/>
      <c r="J55" s="263"/>
      <c r="K55" s="263"/>
      <c r="L55" s="264">
        <f>IFERROR(SUM(L50:L54),0)</f>
        <v>-283750</v>
      </c>
      <c r="M55" s="3"/>
      <c r="N55" s="1"/>
      <c r="O55" s="1"/>
    </row>
    <row r="56" spans="1:15">
      <c r="A56" s="127" t="s">
        <v>164</v>
      </c>
      <c r="B56" s="276">
        <f>'10 Years Mixed'!C65</f>
        <v>1</v>
      </c>
      <c r="C56" s="248"/>
      <c r="D56" s="248"/>
      <c r="E56" s="248"/>
      <c r="F56" s="248"/>
      <c r="G56" s="248"/>
      <c r="H56" s="248"/>
      <c r="I56" s="248"/>
      <c r="J56" s="248"/>
      <c r="K56" s="248"/>
      <c r="L56" s="249">
        <f>IFERROR(L55-L57,0)</f>
        <v>-283750</v>
      </c>
      <c r="M56" s="88"/>
      <c r="N56" s="1"/>
      <c r="O56" s="1"/>
    </row>
    <row r="57" spans="1:15">
      <c r="A57" s="135" t="s">
        <v>340</v>
      </c>
      <c r="B57" s="275">
        <f>'10 Years Mixed'!C66</f>
        <v>0</v>
      </c>
      <c r="C57" s="250"/>
      <c r="D57" s="250"/>
      <c r="E57" s="250"/>
      <c r="F57" s="250"/>
      <c r="G57" s="250"/>
      <c r="H57" s="250"/>
      <c r="I57" s="250"/>
      <c r="J57" s="250"/>
      <c r="K57" s="250"/>
      <c r="L57" s="251">
        <f>IFERROR(L46*B57,0)</f>
        <v>0</v>
      </c>
      <c r="N57" s="1"/>
      <c r="O57" s="88"/>
    </row>
    <row r="58" spans="1:15">
      <c r="C58" s="241"/>
      <c r="D58" s="241"/>
      <c r="E58" s="241"/>
      <c r="F58" s="241"/>
      <c r="G58" s="241"/>
      <c r="H58" s="241"/>
      <c r="I58" s="241"/>
      <c r="J58" s="241"/>
      <c r="K58" s="241"/>
      <c r="L58" s="241"/>
    </row>
    <row r="59" spans="1:15">
      <c r="A59" s="256" t="s">
        <v>169</v>
      </c>
      <c r="B59" s="273">
        <f>B44</f>
        <v>46113</v>
      </c>
      <c r="C59" s="277">
        <f>B59+360</f>
        <v>46473</v>
      </c>
      <c r="D59" s="278">
        <f t="shared" ref="D59:L59" si="10">D5</f>
        <v>46843</v>
      </c>
      <c r="E59" s="278">
        <f t="shared" si="10"/>
        <v>47208</v>
      </c>
      <c r="F59" s="278">
        <f t="shared" si="10"/>
        <v>47573</v>
      </c>
      <c r="G59" s="278">
        <f t="shared" si="10"/>
        <v>47938</v>
      </c>
      <c r="H59" s="278">
        <f t="shared" si="10"/>
        <v>48303</v>
      </c>
      <c r="I59" s="278">
        <f t="shared" si="10"/>
        <v>48668</v>
      </c>
      <c r="J59" s="278">
        <f t="shared" si="10"/>
        <v>49033</v>
      </c>
      <c r="K59" s="278">
        <f t="shared" si="10"/>
        <v>49398</v>
      </c>
      <c r="L59" s="279">
        <f t="shared" si="10"/>
        <v>49763</v>
      </c>
    </row>
    <row r="60" spans="1:15">
      <c r="A60" s="131" t="s">
        <v>170</v>
      </c>
      <c r="B60" s="241">
        <f>L51</f>
        <v>0</v>
      </c>
      <c r="C60" s="241"/>
      <c r="D60" s="241"/>
      <c r="E60" s="241"/>
      <c r="F60" s="241"/>
      <c r="G60" s="241"/>
      <c r="H60" s="241"/>
      <c r="I60" s="241"/>
      <c r="J60" s="241"/>
      <c r="K60" s="241"/>
      <c r="L60" s="243"/>
    </row>
    <row r="61" spans="1:15">
      <c r="A61" s="131" t="s">
        <v>310</v>
      </c>
      <c r="C61" s="241">
        <f>IF(C38&lt;0,(C35-C38)*-1,C35*-1)</f>
        <v>-25000</v>
      </c>
      <c r="D61" s="241">
        <f t="shared" ref="D61:L61" si="11">IF(D38&lt;0,(D35-D38)*-1,D35*-1)</f>
        <v>-25750</v>
      </c>
      <c r="E61" s="241">
        <f t="shared" si="11"/>
        <v>-26500</v>
      </c>
      <c r="F61" s="241">
        <f t="shared" si="11"/>
        <v>-27250</v>
      </c>
      <c r="G61" s="241">
        <f t="shared" si="11"/>
        <v>-28000</v>
      </c>
      <c r="H61" s="241">
        <f t="shared" si="11"/>
        <v>-28750</v>
      </c>
      <c r="I61" s="241">
        <f t="shared" si="11"/>
        <v>-29500</v>
      </c>
      <c r="J61" s="241">
        <f t="shared" si="11"/>
        <v>-30250</v>
      </c>
      <c r="K61" s="241">
        <f t="shared" si="11"/>
        <v>-31000</v>
      </c>
      <c r="L61" s="241">
        <f t="shared" si="11"/>
        <v>-31750</v>
      </c>
    </row>
    <row r="62" spans="1:15">
      <c r="A62" s="131" t="s">
        <v>40</v>
      </c>
      <c r="C62" s="241">
        <f t="shared" ref="C62:L62" si="12">C39</f>
        <v>0</v>
      </c>
      <c r="D62" s="241">
        <f t="shared" si="12"/>
        <v>0</v>
      </c>
      <c r="E62" s="241">
        <f t="shared" si="12"/>
        <v>0</v>
      </c>
      <c r="F62" s="241">
        <f t="shared" si="12"/>
        <v>0</v>
      </c>
      <c r="G62" s="241">
        <f t="shared" si="12"/>
        <v>0</v>
      </c>
      <c r="H62" s="241">
        <f t="shared" si="12"/>
        <v>0</v>
      </c>
      <c r="I62" s="241">
        <f t="shared" si="12"/>
        <v>0</v>
      </c>
      <c r="J62" s="241">
        <f t="shared" si="12"/>
        <v>0</v>
      </c>
      <c r="K62" s="241">
        <f t="shared" si="12"/>
        <v>0</v>
      </c>
      <c r="L62" s="243">
        <f t="shared" si="12"/>
        <v>0</v>
      </c>
    </row>
    <row r="63" spans="1:15">
      <c r="A63" s="131" t="s">
        <v>232</v>
      </c>
      <c r="C63" s="241"/>
      <c r="D63" s="241"/>
      <c r="E63" s="241"/>
      <c r="F63" s="241"/>
      <c r="G63" s="241"/>
      <c r="H63" s="241"/>
      <c r="I63" s="241"/>
      <c r="J63" s="241"/>
      <c r="K63" s="241"/>
      <c r="L63" s="243">
        <f>L52*-1</f>
        <v>283750</v>
      </c>
    </row>
    <row r="64" spans="1:15">
      <c r="A64" s="131" t="s">
        <v>171</v>
      </c>
      <c r="C64" s="241"/>
      <c r="D64" s="241"/>
      <c r="E64" s="241"/>
      <c r="F64" s="241"/>
      <c r="G64" s="241"/>
      <c r="H64" s="241"/>
      <c r="I64" s="241"/>
      <c r="J64" s="241"/>
      <c r="K64" s="241"/>
      <c r="L64" s="243">
        <f>-B60</f>
        <v>0</v>
      </c>
    </row>
    <row r="65" spans="1:16">
      <c r="A65" s="131" t="s">
        <v>172</v>
      </c>
      <c r="C65" s="241"/>
      <c r="D65" s="241"/>
      <c r="E65" s="241"/>
      <c r="F65" s="241"/>
      <c r="G65" s="241"/>
      <c r="H65" s="241"/>
      <c r="I65" s="241"/>
      <c r="J65" s="241"/>
      <c r="K65" s="241"/>
      <c r="L65" s="243">
        <v>0</v>
      </c>
    </row>
    <row r="66" spans="1:16">
      <c r="A66" s="236" t="s">
        <v>173</v>
      </c>
      <c r="B66" s="280">
        <f t="shared" ref="B66:L66" si="13">SUM(B60:B65)</f>
        <v>0</v>
      </c>
      <c r="C66" s="281">
        <f t="shared" si="13"/>
        <v>-25000</v>
      </c>
      <c r="D66" s="281">
        <f t="shared" si="13"/>
        <v>-25750</v>
      </c>
      <c r="E66" s="281">
        <f t="shared" si="13"/>
        <v>-26500</v>
      </c>
      <c r="F66" s="281">
        <f t="shared" si="13"/>
        <v>-27250</v>
      </c>
      <c r="G66" s="281">
        <f t="shared" si="13"/>
        <v>-28000</v>
      </c>
      <c r="H66" s="281">
        <f t="shared" si="13"/>
        <v>-28750</v>
      </c>
      <c r="I66" s="281">
        <f t="shared" si="13"/>
        <v>-29500</v>
      </c>
      <c r="J66" s="281">
        <f t="shared" si="13"/>
        <v>-30250</v>
      </c>
      <c r="K66" s="281">
        <f t="shared" si="13"/>
        <v>-31000</v>
      </c>
      <c r="L66" s="282">
        <f t="shared" si="13"/>
        <v>252000</v>
      </c>
    </row>
    <row r="67" spans="1:16">
      <c r="A67" s="135" t="s">
        <v>174</v>
      </c>
      <c r="B67" s="122"/>
      <c r="C67" s="250"/>
      <c r="D67" s="250"/>
      <c r="E67" s="250"/>
      <c r="F67" s="250"/>
      <c r="G67" s="250"/>
      <c r="H67" s="250"/>
      <c r="I67" s="250"/>
      <c r="J67" s="250"/>
      <c r="K67" s="250"/>
      <c r="L67" s="283">
        <v>0</v>
      </c>
    </row>
    <row r="68" spans="1:16">
      <c r="C68" s="241"/>
      <c r="D68" s="241"/>
      <c r="E68" s="241"/>
      <c r="F68" s="241"/>
      <c r="G68" s="241"/>
      <c r="H68" s="241"/>
      <c r="I68" s="241"/>
      <c r="J68" s="241"/>
      <c r="K68" s="241"/>
      <c r="L68" s="284"/>
    </row>
    <row r="69" spans="1:16">
      <c r="A69" s="285" t="s">
        <v>346</v>
      </c>
      <c r="B69" s="278">
        <f t="shared" ref="B69:L69" si="14">B5</f>
        <v>46113</v>
      </c>
      <c r="C69" s="278">
        <f t="shared" si="14"/>
        <v>46478</v>
      </c>
      <c r="D69" s="278">
        <f t="shared" si="14"/>
        <v>46843</v>
      </c>
      <c r="E69" s="278">
        <f t="shared" si="14"/>
        <v>47208</v>
      </c>
      <c r="F69" s="278">
        <f t="shared" si="14"/>
        <v>47573</v>
      </c>
      <c r="G69" s="278">
        <f t="shared" si="14"/>
        <v>47938</v>
      </c>
      <c r="H69" s="278">
        <f t="shared" si="14"/>
        <v>48303</v>
      </c>
      <c r="I69" s="278">
        <f t="shared" si="14"/>
        <v>48668</v>
      </c>
      <c r="J69" s="278">
        <f t="shared" si="14"/>
        <v>49033</v>
      </c>
      <c r="K69" s="278">
        <f t="shared" si="14"/>
        <v>49398</v>
      </c>
      <c r="L69" s="279">
        <f t="shared" si="14"/>
        <v>49763</v>
      </c>
    </row>
    <row r="70" spans="1:16">
      <c r="A70" s="131" t="s">
        <v>345</v>
      </c>
      <c r="B70" s="286">
        <f>'Municipality Benefits Analysis'!F9</f>
        <v>0</v>
      </c>
      <c r="C70" s="241"/>
      <c r="D70" s="241"/>
      <c r="E70" s="241"/>
      <c r="F70" s="241"/>
      <c r="G70" s="241"/>
      <c r="H70" s="241"/>
      <c r="I70" s="241"/>
      <c r="J70" s="241"/>
      <c r="K70" s="241"/>
      <c r="L70" s="243"/>
    </row>
    <row r="71" spans="1:16">
      <c r="A71" s="131" t="s">
        <v>331</v>
      </c>
      <c r="B71" s="286"/>
      <c r="C71" s="241">
        <f t="shared" ref="C71:L71" si="15">-C34</f>
        <v>0</v>
      </c>
      <c r="D71" s="241">
        <f t="shared" si="15"/>
        <v>0</v>
      </c>
      <c r="E71" s="241">
        <f t="shared" si="15"/>
        <v>0</v>
      </c>
      <c r="F71" s="241">
        <f t="shared" si="15"/>
        <v>0</v>
      </c>
      <c r="G71" s="241">
        <f t="shared" si="15"/>
        <v>0</v>
      </c>
      <c r="H71" s="241">
        <f t="shared" si="15"/>
        <v>0</v>
      </c>
      <c r="I71" s="241">
        <f t="shared" si="15"/>
        <v>0</v>
      </c>
      <c r="J71" s="241">
        <f t="shared" si="15"/>
        <v>0</v>
      </c>
      <c r="K71" s="241">
        <f t="shared" si="15"/>
        <v>0</v>
      </c>
      <c r="L71" s="243">
        <f t="shared" si="15"/>
        <v>0</v>
      </c>
    </row>
    <row r="72" spans="1:16">
      <c r="A72" s="131" t="s">
        <v>46</v>
      </c>
      <c r="B72" s="241"/>
      <c r="C72" s="241">
        <f t="shared" ref="C72:L72" si="16">-C33</f>
        <v>25000</v>
      </c>
      <c r="D72" s="241">
        <f t="shared" si="16"/>
        <v>25750</v>
      </c>
      <c r="E72" s="241">
        <f t="shared" si="16"/>
        <v>26500</v>
      </c>
      <c r="F72" s="241">
        <f t="shared" si="16"/>
        <v>27250</v>
      </c>
      <c r="G72" s="241">
        <f t="shared" si="16"/>
        <v>28000</v>
      </c>
      <c r="H72" s="241">
        <f t="shared" si="16"/>
        <v>28750</v>
      </c>
      <c r="I72" s="241">
        <f t="shared" si="16"/>
        <v>29500</v>
      </c>
      <c r="J72" s="241">
        <f t="shared" si="16"/>
        <v>30250</v>
      </c>
      <c r="K72" s="241">
        <f t="shared" si="16"/>
        <v>31000</v>
      </c>
      <c r="L72" s="243">
        <f t="shared" si="16"/>
        <v>31750</v>
      </c>
      <c r="P72" s="287"/>
    </row>
    <row r="73" spans="1:16">
      <c r="A73" s="131" t="s">
        <v>175</v>
      </c>
      <c r="B73" s="241"/>
      <c r="C73" s="241">
        <f t="shared" ref="C73:L73" si="17">C40</f>
        <v>0</v>
      </c>
      <c r="D73" s="241">
        <f t="shared" si="17"/>
        <v>0</v>
      </c>
      <c r="E73" s="241">
        <f t="shared" si="17"/>
        <v>0</v>
      </c>
      <c r="F73" s="241">
        <f t="shared" si="17"/>
        <v>0</v>
      </c>
      <c r="G73" s="241">
        <f t="shared" si="17"/>
        <v>0</v>
      </c>
      <c r="H73" s="241">
        <f t="shared" si="17"/>
        <v>0</v>
      </c>
      <c r="I73" s="241">
        <f t="shared" si="17"/>
        <v>0</v>
      </c>
      <c r="J73" s="241">
        <f t="shared" si="17"/>
        <v>0</v>
      </c>
      <c r="K73" s="241">
        <f t="shared" si="17"/>
        <v>0</v>
      </c>
      <c r="L73" s="243">
        <f t="shared" si="17"/>
        <v>0</v>
      </c>
      <c r="N73" s="241">
        <f>SUM(C73:M73)</f>
        <v>0</v>
      </c>
      <c r="O73" t="s">
        <v>176</v>
      </c>
      <c r="P73" s="287"/>
    </row>
    <row r="74" spans="1:16">
      <c r="A74" s="131" t="s">
        <v>177</v>
      </c>
      <c r="B74" s="241"/>
      <c r="C74" s="241"/>
      <c r="D74" s="241"/>
      <c r="E74" s="241"/>
      <c r="F74" s="241"/>
      <c r="G74" s="241"/>
      <c r="H74" s="241"/>
      <c r="I74" s="241"/>
      <c r="J74" s="241"/>
      <c r="K74" s="241"/>
      <c r="L74" s="243">
        <f>L57</f>
        <v>0</v>
      </c>
    </row>
    <row r="75" spans="1:16">
      <c r="A75" s="244" t="s">
        <v>347</v>
      </c>
      <c r="B75" s="245">
        <f t="shared" ref="B75:L75" si="18">SUM(B70:B74)</f>
        <v>0</v>
      </c>
      <c r="C75" s="245">
        <f t="shared" si="18"/>
        <v>25000</v>
      </c>
      <c r="D75" s="245">
        <f t="shared" si="18"/>
        <v>25750</v>
      </c>
      <c r="E75" s="245">
        <f t="shared" si="18"/>
        <v>26500</v>
      </c>
      <c r="F75" s="245">
        <f t="shared" si="18"/>
        <v>27250</v>
      </c>
      <c r="G75" s="245">
        <f t="shared" si="18"/>
        <v>28000</v>
      </c>
      <c r="H75" s="245">
        <f t="shared" si="18"/>
        <v>28750</v>
      </c>
      <c r="I75" s="245">
        <f t="shared" si="18"/>
        <v>29500</v>
      </c>
      <c r="J75" s="245">
        <f t="shared" si="18"/>
        <v>30250</v>
      </c>
      <c r="K75" s="245">
        <f t="shared" si="18"/>
        <v>31000</v>
      </c>
      <c r="L75" s="246">
        <f t="shared" si="18"/>
        <v>31750</v>
      </c>
    </row>
    <row r="76" spans="1:16">
      <c r="C76" t="s">
        <v>332</v>
      </c>
    </row>
    <row r="77" spans="1:16">
      <c r="A77" s="256" t="s">
        <v>348</v>
      </c>
      <c r="B77" s="288"/>
      <c r="C77" s="277">
        <f t="shared" ref="C77:L77" si="19">C5</f>
        <v>46478</v>
      </c>
      <c r="D77" s="277">
        <f t="shared" si="19"/>
        <v>46843</v>
      </c>
      <c r="E77" s="277">
        <f t="shared" si="19"/>
        <v>47208</v>
      </c>
      <c r="F77" s="277">
        <f t="shared" si="19"/>
        <v>47573</v>
      </c>
      <c r="G77" s="277">
        <f t="shared" si="19"/>
        <v>47938</v>
      </c>
      <c r="H77" s="277">
        <f t="shared" si="19"/>
        <v>48303</v>
      </c>
      <c r="I77" s="277">
        <f t="shared" si="19"/>
        <v>48668</v>
      </c>
      <c r="J77" s="277">
        <f t="shared" si="19"/>
        <v>49033</v>
      </c>
      <c r="K77" s="277">
        <f t="shared" si="19"/>
        <v>49398</v>
      </c>
      <c r="L77" s="289">
        <f t="shared" si="19"/>
        <v>49763</v>
      </c>
      <c r="M77" s="289" t="s">
        <v>178</v>
      </c>
    </row>
    <row r="78" spans="1:16">
      <c r="A78" s="139" t="s">
        <v>101</v>
      </c>
      <c r="B78" s="253"/>
      <c r="C78" s="253"/>
      <c r="D78" s="253"/>
      <c r="E78" s="253"/>
      <c r="F78" s="253"/>
      <c r="G78" s="253"/>
      <c r="H78" s="253"/>
      <c r="I78" s="253"/>
      <c r="J78" s="253"/>
      <c r="K78" s="253"/>
      <c r="L78" s="290"/>
      <c r="M78" s="235"/>
    </row>
    <row r="79" spans="1:16">
      <c r="A79" s="291" t="s">
        <v>179</v>
      </c>
      <c r="C79" s="241">
        <f>IF(C77&lt;'Summary Page'!$J$30,Project!C84,'Benefits Analysis'!C8)</f>
        <v>0</v>
      </c>
      <c r="D79" s="241">
        <f>IF(D77&lt;'Summary Page'!$J$30,Project!D84,'Benefits Analysis'!D8)</f>
        <v>0</v>
      </c>
      <c r="E79" s="241">
        <f>IF(E77&lt;'Summary Page'!$J$30,Project!E84,'Benefits Analysis'!E8)</f>
        <v>0</v>
      </c>
      <c r="F79" s="241">
        <f>IF(F77&lt;'Summary Page'!$J$30,Project!F84,'Benefits Analysis'!F8)</f>
        <v>0</v>
      </c>
      <c r="G79" s="241">
        <f>IF(G77&lt;'Summary Page'!$J$30,Project!G84,'Benefits Analysis'!G8)</f>
        <v>0</v>
      </c>
      <c r="H79" s="241">
        <f>IF(H77&lt;'Summary Page'!$J$30,Project!H84,'Benefits Analysis'!H8)</f>
        <v>0</v>
      </c>
      <c r="I79" s="241">
        <f>IF(I77&lt;'Summary Page'!$J$30,Project!I84,'Benefits Analysis'!I8)</f>
        <v>0</v>
      </c>
      <c r="J79" s="241">
        <f>IF(J77&lt;'Summary Page'!$J$30,Project!J84,'Benefits Analysis'!J8)</f>
        <v>0</v>
      </c>
      <c r="K79" s="241">
        <f>IF(K77&lt;'Summary Page'!$J$30,Project!K84,'Benefits Analysis'!K8)</f>
        <v>0</v>
      </c>
      <c r="L79" s="249">
        <f>IF(L77&lt;'Summary Page'!$J$30,Project!L84,'Benefits Analysis'!L8)</f>
        <v>0</v>
      </c>
      <c r="M79" s="235"/>
    </row>
    <row r="80" spans="1:16">
      <c r="A80" s="291" t="s">
        <v>180</v>
      </c>
      <c r="C80" s="241">
        <f>IFERROR(C79/'Mixed Rent'!$D$280/12,0)</f>
        <v>0</v>
      </c>
      <c r="D80" s="241">
        <f>IFERROR(D79/'Mixed Rent'!$D$280/12,0)</f>
        <v>0</v>
      </c>
      <c r="E80" s="241">
        <f>IFERROR(E79/'Mixed Rent'!$D$280/12,0)</f>
        <v>0</v>
      </c>
      <c r="F80" s="241">
        <f>IFERROR(F79/'Mixed Rent'!$D$280/12,0)</f>
        <v>0</v>
      </c>
      <c r="G80" s="241">
        <f>IFERROR(G79/'Mixed Rent'!$D$280/12,0)</f>
        <v>0</v>
      </c>
      <c r="H80" s="241">
        <f>IFERROR(H79/'Mixed Rent'!$D$280/12,0)</f>
        <v>0</v>
      </c>
      <c r="I80" s="241">
        <f>IFERROR(I79/'Mixed Rent'!$D$280/12,0)</f>
        <v>0</v>
      </c>
      <c r="J80" s="241">
        <f>IFERROR(J79/'Mixed Rent'!$D$280/12,0)</f>
        <v>0</v>
      </c>
      <c r="K80" s="241">
        <f>IFERROR(K79/'Mixed Rent'!$D$280/12,0)</f>
        <v>0</v>
      </c>
      <c r="L80" s="243">
        <f>IFERROR(L79/'Mixed Rent'!$D$280/12,0)</f>
        <v>0</v>
      </c>
      <c r="M80" s="235"/>
    </row>
    <row r="81" spans="1:13">
      <c r="A81" s="291" t="s">
        <v>181</v>
      </c>
      <c r="C81" s="292">
        <f>IFERROR(C79/'Mixed Rent'!$K$70/12,0)</f>
        <v>0</v>
      </c>
      <c r="D81" s="292">
        <f>IFERROR(D79/'Mixed Rent'!$K$70/12,0)</f>
        <v>0</v>
      </c>
      <c r="E81" s="292">
        <f>IFERROR(E79/'Mixed Rent'!$K$70/12,0)</f>
        <v>0</v>
      </c>
      <c r="F81" s="292">
        <f>IFERROR(F79/'Mixed Rent'!$K$70/12,0)</f>
        <v>0</v>
      </c>
      <c r="G81" s="292">
        <f>IFERROR(G79/'Mixed Rent'!$K$70/12,0)</f>
        <v>0</v>
      </c>
      <c r="H81" s="292">
        <f>IFERROR(H79/'Mixed Rent'!$K$70/12,0)</f>
        <v>0</v>
      </c>
      <c r="I81" s="292">
        <f>IFERROR(I79/'Mixed Rent'!$K$70/12,0)</f>
        <v>0</v>
      </c>
      <c r="J81" s="292">
        <f>IFERROR(J79/'Mixed Rent'!$K$70/12,0)</f>
        <v>0</v>
      </c>
      <c r="K81" s="292">
        <f>IFERROR(K79/'Mixed Rent'!$K$70/12,0)</f>
        <v>0</v>
      </c>
      <c r="L81" s="293">
        <f>IFERROR(L79/'Mixed Rent'!$K$70/12,0)</f>
        <v>0</v>
      </c>
      <c r="M81" s="235"/>
    </row>
    <row r="82" spans="1:13" ht="4.25" customHeight="1">
      <c r="A82" s="131"/>
      <c r="L82" s="235"/>
      <c r="M82" s="235"/>
    </row>
    <row r="83" spans="1:13">
      <c r="A83" s="294" t="s">
        <v>182</v>
      </c>
      <c r="B83" s="253"/>
      <c r="C83" s="253"/>
      <c r="D83" s="253"/>
      <c r="E83" s="253"/>
      <c r="F83" s="253"/>
      <c r="G83" s="253"/>
      <c r="H83" s="253"/>
      <c r="I83" s="253"/>
      <c r="J83" s="253"/>
      <c r="K83" s="253"/>
      <c r="L83" s="290"/>
      <c r="M83" s="235"/>
    </row>
    <row r="84" spans="1:13">
      <c r="A84" s="291" t="s">
        <v>179</v>
      </c>
      <c r="C84" s="241">
        <f t="shared" ref="C84:L84" si="20">SUM(C7:C9)</f>
        <v>0</v>
      </c>
      <c r="D84" s="241">
        <f t="shared" si="20"/>
        <v>0</v>
      </c>
      <c r="E84" s="241">
        <f t="shared" si="20"/>
        <v>0</v>
      </c>
      <c r="F84" s="241">
        <f t="shared" si="20"/>
        <v>0</v>
      </c>
      <c r="G84" s="241">
        <f t="shared" si="20"/>
        <v>0</v>
      </c>
      <c r="H84" s="241">
        <f t="shared" si="20"/>
        <v>0</v>
      </c>
      <c r="I84" s="241">
        <f t="shared" si="20"/>
        <v>0</v>
      </c>
      <c r="J84" s="241">
        <f t="shared" si="20"/>
        <v>0</v>
      </c>
      <c r="K84" s="241">
        <f t="shared" si="20"/>
        <v>0</v>
      </c>
      <c r="L84" s="243">
        <f t="shared" si="20"/>
        <v>0</v>
      </c>
      <c r="M84" s="235"/>
    </row>
    <row r="85" spans="1:13">
      <c r="A85" s="291" t="s">
        <v>180</v>
      </c>
      <c r="C85" s="241">
        <f>IFERROR(C84/'Mixed Rent'!$D$280/12,0)</f>
        <v>0</v>
      </c>
      <c r="D85" s="241">
        <f>IFERROR(D84/'Mixed Rent'!$D$280/12,0)</f>
        <v>0</v>
      </c>
      <c r="E85" s="241">
        <f>IFERROR(E84/'Mixed Rent'!$D$280/12,0)</f>
        <v>0</v>
      </c>
      <c r="F85" s="241">
        <f>IFERROR(F84/'Mixed Rent'!$D$280/12,0)</f>
        <v>0</v>
      </c>
      <c r="G85" s="241">
        <f>IFERROR(G84/'Mixed Rent'!$D$280/12,0)</f>
        <v>0</v>
      </c>
      <c r="H85" s="241">
        <f>IFERROR(H84/'Mixed Rent'!$D$280/12,0)</f>
        <v>0</v>
      </c>
      <c r="I85" s="241">
        <f>IFERROR(I84/'Mixed Rent'!$D$280/12,0)</f>
        <v>0</v>
      </c>
      <c r="J85" s="241">
        <f>IFERROR(J84/'Mixed Rent'!$D$280/12,0)</f>
        <v>0</v>
      </c>
      <c r="K85" s="241">
        <f>IFERROR(K84/'Mixed Rent'!$D$280/12,0)</f>
        <v>0</v>
      </c>
      <c r="L85" s="243">
        <f>IFERROR(L84/'Mixed Rent'!$D$280/12,0)</f>
        <v>0</v>
      </c>
      <c r="M85" s="235"/>
    </row>
    <row r="86" spans="1:13">
      <c r="A86" s="291" t="s">
        <v>181</v>
      </c>
      <c r="C86" s="292">
        <f>IFERROR(C84/'Mixed Rent'!$K$70/12,0)</f>
        <v>0</v>
      </c>
      <c r="D86" s="292">
        <f>IFERROR(D84/'Mixed Rent'!$K$70/12,0)</f>
        <v>0</v>
      </c>
      <c r="E86" s="292">
        <f>IFERROR(E84/'Mixed Rent'!$K$70/12,0)</f>
        <v>0</v>
      </c>
      <c r="F86" s="292">
        <f>IFERROR(F84/'Mixed Rent'!$K$70/12,0)</f>
        <v>0</v>
      </c>
      <c r="G86" s="292">
        <f>IFERROR(G84/'Mixed Rent'!$K$70/12,0)</f>
        <v>0</v>
      </c>
      <c r="H86" s="292">
        <f>IFERROR(H84/'Mixed Rent'!$K$70/12,0)</f>
        <v>0</v>
      </c>
      <c r="I86" s="292">
        <f>IFERROR(I84/'Mixed Rent'!$K$70/12,0)</f>
        <v>0</v>
      </c>
      <c r="J86" s="292">
        <f>IFERROR(J84/'Mixed Rent'!$K$70/12,0)</f>
        <v>0</v>
      </c>
      <c r="K86" s="292">
        <f>IFERROR(K84/'Mixed Rent'!$K$70/12,0)</f>
        <v>0</v>
      </c>
      <c r="L86" s="293">
        <f>IFERROR(L84/'Mixed Rent'!$K$70/12,0)</f>
        <v>0</v>
      </c>
      <c r="M86" s="235"/>
    </row>
    <row r="87" spans="1:13" ht="6.5" customHeight="1">
      <c r="A87" s="131"/>
      <c r="L87" s="235"/>
      <c r="M87" s="235"/>
    </row>
    <row r="88" spans="1:13">
      <c r="A88" s="291" t="s">
        <v>183</v>
      </c>
      <c r="C88" s="241">
        <f t="shared" ref="C88:L88" si="21">C79-C84</f>
        <v>0</v>
      </c>
      <c r="D88" s="241">
        <f t="shared" si="21"/>
        <v>0</v>
      </c>
      <c r="E88" s="241">
        <f t="shared" si="21"/>
        <v>0</v>
      </c>
      <c r="F88" s="241">
        <f t="shared" si="21"/>
        <v>0</v>
      </c>
      <c r="G88" s="241">
        <f t="shared" si="21"/>
        <v>0</v>
      </c>
      <c r="H88" s="241">
        <f t="shared" si="21"/>
        <v>0</v>
      </c>
      <c r="I88" s="241">
        <f t="shared" si="21"/>
        <v>0</v>
      </c>
      <c r="J88" s="241">
        <f t="shared" si="21"/>
        <v>0</v>
      </c>
      <c r="K88" s="241">
        <f t="shared" si="21"/>
        <v>0</v>
      </c>
      <c r="L88" s="243">
        <f t="shared" si="21"/>
        <v>0</v>
      </c>
      <c r="M88" s="243">
        <f>SUM(C88:L88)</f>
        <v>0</v>
      </c>
    </row>
    <row r="89" spans="1:13">
      <c r="A89" s="291" t="s">
        <v>27</v>
      </c>
      <c r="C89" s="241">
        <f>'10 Years Mixed'!D29</f>
        <v>0</v>
      </c>
      <c r="D89" s="241">
        <f>'10 Years Mixed'!E29</f>
        <v>0</v>
      </c>
      <c r="E89" s="241">
        <f>'10 Years Mixed'!F29</f>
        <v>0</v>
      </c>
      <c r="F89" s="241">
        <f>'10 Years Mixed'!G29</f>
        <v>0</v>
      </c>
      <c r="G89" s="241">
        <f>'10 Years Mixed'!H29</f>
        <v>0</v>
      </c>
      <c r="H89" s="241">
        <f>'10 Years Mixed'!I29</f>
        <v>0</v>
      </c>
      <c r="I89" s="241">
        <f>'10 Years Mixed'!J29</f>
        <v>0</v>
      </c>
      <c r="J89" s="241">
        <f>'10 Years Mixed'!K29</f>
        <v>0</v>
      </c>
      <c r="K89" s="241">
        <f>'10 Years Mixed'!L29</f>
        <v>0</v>
      </c>
      <c r="L89" s="243">
        <f>'10 Years Mixed'!M29</f>
        <v>0</v>
      </c>
      <c r="M89" s="243">
        <f>SUM(C89:L89)</f>
        <v>0</v>
      </c>
    </row>
    <row r="90" spans="1:13">
      <c r="A90" s="291" t="s">
        <v>184</v>
      </c>
      <c r="C90" s="241">
        <f t="shared" ref="C90:L90" si="22">C89-C88</f>
        <v>0</v>
      </c>
      <c r="D90" s="241">
        <f t="shared" si="22"/>
        <v>0</v>
      </c>
      <c r="E90" s="241">
        <f t="shared" si="22"/>
        <v>0</v>
      </c>
      <c r="F90" s="241">
        <f t="shared" si="22"/>
        <v>0</v>
      </c>
      <c r="G90" s="241">
        <f t="shared" si="22"/>
        <v>0</v>
      </c>
      <c r="H90" s="241">
        <f t="shared" si="22"/>
        <v>0</v>
      </c>
      <c r="I90" s="241">
        <f t="shared" si="22"/>
        <v>0</v>
      </c>
      <c r="J90" s="241">
        <f t="shared" si="22"/>
        <v>0</v>
      </c>
      <c r="K90" s="241">
        <f t="shared" si="22"/>
        <v>0</v>
      </c>
      <c r="L90" s="243">
        <f t="shared" si="22"/>
        <v>0</v>
      </c>
      <c r="M90" s="243">
        <f>SUM(C90:L90)</f>
        <v>0</v>
      </c>
    </row>
    <row r="91" spans="1:13">
      <c r="A91" s="295" t="s">
        <v>349</v>
      </c>
      <c r="B91" s="122"/>
      <c r="C91" s="250">
        <f>B75+C75</f>
        <v>25000</v>
      </c>
      <c r="D91" s="250">
        <f t="shared" ref="D91:L91" si="23">D75</f>
        <v>25750</v>
      </c>
      <c r="E91" s="250">
        <f t="shared" si="23"/>
        <v>26500</v>
      </c>
      <c r="F91" s="250">
        <f t="shared" si="23"/>
        <v>27250</v>
      </c>
      <c r="G91" s="250">
        <f t="shared" si="23"/>
        <v>28000</v>
      </c>
      <c r="H91" s="250">
        <f t="shared" si="23"/>
        <v>28750</v>
      </c>
      <c r="I91" s="250">
        <f t="shared" si="23"/>
        <v>29500</v>
      </c>
      <c r="J91" s="250">
        <f t="shared" si="23"/>
        <v>30250</v>
      </c>
      <c r="K91" s="250">
        <f t="shared" si="23"/>
        <v>31000</v>
      </c>
      <c r="L91" s="251">
        <f t="shared" si="23"/>
        <v>31750</v>
      </c>
      <c r="M91" s="251">
        <f>SUM(C91:L91)</f>
        <v>283750</v>
      </c>
    </row>
    <row r="92" spans="1:13" ht="10.25" customHeight="1">
      <c r="A92" s="127"/>
      <c r="B92" s="247"/>
      <c r="C92" s="247"/>
      <c r="D92" s="247"/>
      <c r="E92" s="247"/>
      <c r="F92" s="247"/>
      <c r="G92" s="247"/>
      <c r="H92" s="247"/>
      <c r="I92" s="247"/>
      <c r="J92" s="247"/>
      <c r="K92" s="247"/>
      <c r="L92" s="247"/>
      <c r="M92" s="296"/>
    </row>
    <row r="93" spans="1:13">
      <c r="A93" s="291" t="s">
        <v>185</v>
      </c>
      <c r="E93" s="256" t="s">
        <v>186</v>
      </c>
      <c r="F93" s="297" t="s">
        <v>5</v>
      </c>
      <c r="G93" s="298" t="s">
        <v>38</v>
      </c>
      <c r="H93" s="256" t="s">
        <v>187</v>
      </c>
      <c r="I93" s="297" t="s">
        <v>5</v>
      </c>
      <c r="J93" s="298" t="s">
        <v>38</v>
      </c>
      <c r="M93" s="235"/>
    </row>
    <row r="94" spans="1:13">
      <c r="A94" s="299"/>
      <c r="B94" s="300"/>
      <c r="C94" s="301"/>
      <c r="E94" s="131" t="s">
        <v>96</v>
      </c>
      <c r="F94" s="241">
        <f>'SOURCES and USES of FUNDS'!G30</f>
        <v>0</v>
      </c>
      <c r="G94" s="243">
        <f>IFERROR(F94/'Mixed Rent'!$G$70,0)</f>
        <v>0</v>
      </c>
      <c r="H94" t="s">
        <v>238</v>
      </c>
      <c r="I94" s="302">
        <f>'SOURCES and USES of FUNDS'!G7</f>
        <v>0</v>
      </c>
      <c r="J94" s="303">
        <f>IFERROR(I94/'Mixed Rent'!$G$70,0)</f>
        <v>0</v>
      </c>
      <c r="M94" s="235"/>
    </row>
    <row r="95" spans="1:13">
      <c r="A95" s="291" t="s">
        <v>188</v>
      </c>
      <c r="B95" s="261">
        <v>0</v>
      </c>
      <c r="C95" s="243">
        <f>B70</f>
        <v>0</v>
      </c>
      <c r="E95" s="131" t="s">
        <v>118</v>
      </c>
      <c r="F95" s="241">
        <f>'SOURCES and USES of FUNDS'!G31</f>
        <v>0</v>
      </c>
      <c r="G95" s="243">
        <f>IFERROR(F95/'Mixed Rent'!$G$70,0)</f>
        <v>0</v>
      </c>
      <c r="H95" s="131" t="s">
        <v>239</v>
      </c>
      <c r="I95" s="302">
        <f>SUM('SOURCES and USES of FUNDS'!G9:G23)+'SOURCES and USES of FUNDS'!G26</f>
        <v>0</v>
      </c>
      <c r="J95" s="303">
        <f>IFERROR(I95/'Mixed Rent'!$G$70,0)</f>
        <v>0</v>
      </c>
      <c r="M95" s="235"/>
    </row>
    <row r="96" spans="1:13">
      <c r="A96" s="291" t="s">
        <v>328</v>
      </c>
      <c r="B96" s="223"/>
      <c r="C96" s="243">
        <f>SUM(C72:L72)</f>
        <v>283750</v>
      </c>
      <c r="E96" s="131"/>
      <c r="G96" s="235"/>
      <c r="H96" s="131" t="s">
        <v>240</v>
      </c>
      <c r="I96" s="302">
        <v>0</v>
      </c>
      <c r="J96" s="303">
        <f>IFERROR(I96/'Mixed Rent'!$G$70,0)</f>
        <v>0</v>
      </c>
      <c r="M96" s="235"/>
    </row>
    <row r="97" spans="1:19">
      <c r="A97" s="291" t="s">
        <v>331</v>
      </c>
      <c r="B97" s="223"/>
      <c r="C97" s="304">
        <f>SUM(C71:L71)</f>
        <v>0</v>
      </c>
      <c r="E97" s="244" t="s">
        <v>189</v>
      </c>
      <c r="F97" s="305">
        <f>SUM(F94:F95)</f>
        <v>0</v>
      </c>
      <c r="G97" s="306">
        <f>IFERROR(SUM(G94:G95),0)</f>
        <v>0</v>
      </c>
      <c r="H97" s="244" t="s">
        <v>190</v>
      </c>
      <c r="I97" s="305">
        <f>SUM(I94:I96)</f>
        <v>0</v>
      </c>
      <c r="J97" s="306">
        <f>IFERROR(SUM(J94:J96),0)</f>
        <v>0</v>
      </c>
      <c r="M97" s="235"/>
    </row>
    <row r="98" spans="1:19">
      <c r="A98" s="291" t="s">
        <v>191</v>
      </c>
      <c r="B98" s="307"/>
      <c r="C98" s="243">
        <f>SUM(C73:L73)</f>
        <v>0</v>
      </c>
      <c r="M98" s="235"/>
    </row>
    <row r="99" spans="1:19">
      <c r="A99" s="291" t="s">
        <v>192</v>
      </c>
      <c r="C99" s="243">
        <f>IFERROR(L74,0)</f>
        <v>0</v>
      </c>
      <c r="E99" s="308"/>
      <c r="F99" s="297"/>
      <c r="G99" s="297" t="s">
        <v>1</v>
      </c>
      <c r="H99" s="297" t="s">
        <v>0</v>
      </c>
      <c r="I99" s="297" t="s">
        <v>101</v>
      </c>
      <c r="J99" s="298" t="s">
        <v>178</v>
      </c>
      <c r="K99" s="309" t="s">
        <v>303</v>
      </c>
      <c r="M99" s="235"/>
    </row>
    <row r="100" spans="1:19">
      <c r="A100" s="310" t="s">
        <v>350</v>
      </c>
      <c r="B100" s="253"/>
      <c r="C100" s="264">
        <f>IFERROR(SUM(C95:C99),0)</f>
        <v>283750</v>
      </c>
      <c r="E100" s="131" t="s">
        <v>311</v>
      </c>
      <c r="G100" s="307">
        <f>'Mixed Rent'!D245</f>
        <v>0</v>
      </c>
      <c r="H100" s="307">
        <f>'Mixed Rent'!D180</f>
        <v>0</v>
      </c>
      <c r="I100" s="307">
        <f>'Mixed Rent'!D114</f>
        <v>0</v>
      </c>
      <c r="J100" s="311">
        <f>SUM(G100:I100)</f>
        <v>0</v>
      </c>
      <c r="K100" s="312">
        <f>'Mixed Rent'!M36</f>
        <v>0</v>
      </c>
      <c r="M100" s="235"/>
    </row>
    <row r="101" spans="1:19">
      <c r="A101" s="291" t="s">
        <v>193</v>
      </c>
      <c r="C101" s="243">
        <f>M89</f>
        <v>0</v>
      </c>
      <c r="E101" s="131" t="s">
        <v>312</v>
      </c>
      <c r="G101" s="307">
        <f>'Mixed Rent'!D267</f>
        <v>0</v>
      </c>
      <c r="H101" s="307">
        <f>'Mixed Rent'!D202</f>
        <v>0</v>
      </c>
      <c r="I101" s="307">
        <f>'Mixed Rent'!D136</f>
        <v>0</v>
      </c>
      <c r="J101" s="311">
        <f>SUM(G101:I101)</f>
        <v>0</v>
      </c>
      <c r="K101" s="312">
        <f>'Mixed Rent'!M59</f>
        <v>0</v>
      </c>
      <c r="M101" s="235"/>
    </row>
    <row r="102" spans="1:19">
      <c r="A102" s="131" t="s">
        <v>194</v>
      </c>
      <c r="B102" s="313">
        <f>C88</f>
        <v>0</v>
      </c>
      <c r="C102" s="235"/>
      <c r="E102" s="131" t="s">
        <v>297</v>
      </c>
      <c r="G102" s="307">
        <f>'Mixed Rent'!D277</f>
        <v>0</v>
      </c>
      <c r="H102" s="307">
        <f>'Mixed Rent'!D212</f>
        <v>0</v>
      </c>
      <c r="I102" s="307">
        <f>'Mixed Rent'!D146</f>
        <v>0</v>
      </c>
      <c r="J102" s="311">
        <f>SUM(G102:I102)</f>
        <v>0</v>
      </c>
      <c r="K102" s="312">
        <f>'Mixed Rent'!M69</f>
        <v>0</v>
      </c>
      <c r="M102" s="235"/>
    </row>
    <row r="103" spans="1:19">
      <c r="A103" s="314" t="s">
        <v>195</v>
      </c>
      <c r="B103" s="313">
        <f>L88</f>
        <v>0</v>
      </c>
      <c r="C103" s="243">
        <f>$M$88</f>
        <v>0</v>
      </c>
      <c r="E103" s="315" t="s">
        <v>178</v>
      </c>
      <c r="F103" s="316"/>
      <c r="G103" s="317">
        <f>SUM(G100:G102)</f>
        <v>0</v>
      </c>
      <c r="H103" s="317">
        <f>SUM(H100:H102)</f>
        <v>0</v>
      </c>
      <c r="I103" s="317">
        <f>SUM(I100:I102)</f>
        <v>0</v>
      </c>
      <c r="J103" s="318">
        <f>SUM(J100:J102)</f>
        <v>0</v>
      </c>
      <c r="K103" s="319">
        <f>IFERROR(K104/J103,0)</f>
        <v>0</v>
      </c>
      <c r="M103" s="235"/>
    </row>
    <row r="104" spans="1:19">
      <c r="A104" s="295" t="s">
        <v>196</v>
      </c>
      <c r="B104" s="320">
        <f>IFERROR(ROUND(C104/C101,4),0)</f>
        <v>0</v>
      </c>
      <c r="C104" s="251">
        <f>IFERROR(M88+M91,0)</f>
        <v>283750</v>
      </c>
      <c r="E104" s="321" t="s">
        <v>313</v>
      </c>
      <c r="F104" s="322"/>
      <c r="G104" s="323">
        <f>IFERROR(G103/$J$103,0)</f>
        <v>0</v>
      </c>
      <c r="H104" s="323">
        <f>IFERROR(H103/$J$103,0)</f>
        <v>0</v>
      </c>
      <c r="I104" s="323">
        <f>IFERROR(I103/$J$103,0)</f>
        <v>0</v>
      </c>
      <c r="J104" s="324">
        <f>IFERROR(J103/$J$103,0)</f>
        <v>0</v>
      </c>
      <c r="K104" s="325">
        <f>J100*K100+J101*K101+J102*K102</f>
        <v>0</v>
      </c>
      <c r="M104" s="235"/>
    </row>
    <row r="105" spans="1:19">
      <c r="A105" s="326" t="s">
        <v>197</v>
      </c>
      <c r="B105" s="122"/>
      <c r="C105" s="327"/>
      <c r="D105" s="122"/>
      <c r="E105" s="122"/>
      <c r="F105" s="122"/>
      <c r="G105" s="122"/>
      <c r="H105" s="122"/>
      <c r="I105" s="122"/>
      <c r="J105" s="122"/>
      <c r="K105" s="122"/>
      <c r="L105" s="122"/>
      <c r="M105" s="327"/>
    </row>
    <row r="106" spans="1:19">
      <c r="A106" s="122"/>
      <c r="B106" s="122"/>
      <c r="C106" s="122"/>
    </row>
    <row r="107" spans="1:19" ht="5" customHeight="1">
      <c r="P107" s="127"/>
      <c r="Q107" s="247"/>
      <c r="R107" s="86"/>
      <c r="S107" s="89"/>
    </row>
    <row r="108" spans="1:19">
      <c r="P108" s="131"/>
      <c r="Q108" s="328" t="s">
        <v>351</v>
      </c>
      <c r="R108" s="84" t="s">
        <v>198</v>
      </c>
      <c r="S108" s="85"/>
    </row>
    <row r="109" spans="1:19" ht="5" customHeight="1">
      <c r="P109" s="131"/>
      <c r="Q109" s="329"/>
      <c r="R109" s="84"/>
      <c r="S109" s="85"/>
    </row>
    <row r="110" spans="1:19">
      <c r="P110" s="131"/>
      <c r="Q110" s="328" t="s">
        <v>352</v>
      </c>
      <c r="R110" s="84" t="s">
        <v>199</v>
      </c>
      <c r="S110" s="85"/>
    </row>
    <row r="111" spans="1:19" ht="5" customHeight="1">
      <c r="P111" s="131"/>
      <c r="Q111" s="330"/>
      <c r="R111" s="84"/>
      <c r="S111" s="85"/>
    </row>
    <row r="112" spans="1:19">
      <c r="P112" s="131"/>
      <c r="Q112" s="328" t="s">
        <v>200</v>
      </c>
      <c r="R112" s="84" t="str">
        <f>"100% to Investor Member until a rate of return of "&amp;TEXT('Cash Flow + Debt'!D39,"##.##%")&amp;" on imputed,"</f>
        <v>100% to Investor Member until a rate of return of .% on imputed,</v>
      </c>
      <c r="S112" s="85"/>
    </row>
    <row r="113" spans="16:19">
      <c r="P113" s="131"/>
      <c r="Q113" s="330"/>
      <c r="R113" s="84" t="str">
        <f>"contributed equity is met; thereafter, "&amp;TEXT('10 Years Mixed'!C49,"##%")&amp;" to Investor Member and"</f>
        <v>contributed equity is met; thereafter, % to Investor Member and</v>
      </c>
      <c r="S113" s="85"/>
    </row>
    <row r="114" spans="16:19">
      <c r="P114" s="131"/>
      <c r="Q114" s="330"/>
      <c r="R114" s="84" t="str">
        <f>"and "&amp;TEXT('10 Years Mixed'!C50,"##%")&amp;" to the Special Member"</f>
        <v>and % to the Special Member</v>
      </c>
      <c r="S114" s="85"/>
    </row>
    <row r="115" spans="16:19" ht="5" customHeight="1">
      <c r="P115" s="131"/>
      <c r="Q115" s="330"/>
      <c r="R115" s="84"/>
      <c r="S115" s="85"/>
    </row>
    <row r="116" spans="16:19">
      <c r="P116" s="131"/>
      <c r="Q116" s="328" t="s">
        <v>201</v>
      </c>
      <c r="R116" s="84" t="str">
        <f>"100% to Investor Member until an internal rate of return of "&amp;TEXT(L67,"##.##%")&amp;" is met;"</f>
        <v>100% to Investor Member until an internal rate of return of .% is met;</v>
      </c>
      <c r="S116" s="85"/>
    </row>
    <row r="117" spans="16:19">
      <c r="P117" s="131"/>
      <c r="Q117" s="330"/>
      <c r="R117" s="84" t="str">
        <f>"thereafter "&amp;TEXT('10 Years Mixed'!C65,"##%")&amp;" to Investor Member and "&amp;TEXT('10 Years Mixed'!C66,"##%")&amp;" to the Special Member."</f>
        <v>thereafter 100% to Investor Member and % to the Special Member.</v>
      </c>
      <c r="S117" s="85"/>
    </row>
    <row r="118" spans="16:19" ht="5" customHeight="1">
      <c r="P118" s="131"/>
      <c r="Q118" s="330"/>
      <c r="R118" s="84"/>
      <c r="S118" s="85"/>
    </row>
    <row r="119" spans="16:19">
      <c r="P119" s="131"/>
      <c r="Q119" s="328" t="s">
        <v>202</v>
      </c>
      <c r="R119" s="84" t="s">
        <v>295</v>
      </c>
      <c r="S119" s="85"/>
    </row>
    <row r="120" spans="16:19">
      <c r="P120" s="135"/>
      <c r="Q120" s="122"/>
      <c r="R120" s="87" t="s">
        <v>296</v>
      </c>
      <c r="S120" s="90"/>
    </row>
  </sheetData>
  <mergeCells count="3">
    <mergeCell ref="A3:L3"/>
    <mergeCell ref="A1:L1"/>
    <mergeCell ref="A2:L2"/>
  </mergeCells>
  <printOptions horizontalCentered="1"/>
  <pageMargins left="0.7" right="0.7" top="0.75" bottom="0.75" header="0.3" footer="0.3"/>
  <pageSetup paperSize="3" scale="49" orientation="portrait" r:id="rId1"/>
  <rowBreaks count="2" manualBreakCount="2">
    <brk id="43" max="16383" man="1"/>
    <brk id="75" max="16383" man="1"/>
  </rowBreaks>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CA9B05-6342-4C78-A304-D43B7F4BFD88}">
  <dimension ref="A1:G499"/>
  <sheetViews>
    <sheetView zoomScale="90" zoomScaleNormal="90" workbookViewId="0">
      <selection activeCell="B9" sqref="B9"/>
    </sheetView>
  </sheetViews>
  <sheetFormatPr baseColWidth="10" defaultColWidth="8.83203125" defaultRowHeight="13"/>
  <cols>
    <col min="1" max="1" width="14.5" style="211" customWidth="1"/>
    <col min="2" max="2" width="16.5" style="211" customWidth="1"/>
    <col min="3" max="3" width="14" style="211" customWidth="1"/>
    <col min="4" max="4" width="13.33203125" style="211" bestFit="1" customWidth="1"/>
    <col min="5" max="5" width="11.6640625" style="211" bestFit="1" customWidth="1"/>
    <col min="6" max="6" width="10.5" style="211" customWidth="1"/>
    <col min="7" max="7" width="11.6640625" style="211" bestFit="1" customWidth="1"/>
    <col min="8" max="245" width="8.6640625" style="211"/>
    <col min="246" max="246" width="11.5" style="211" bestFit="1" customWidth="1"/>
    <col min="247" max="247" width="14" style="211" customWidth="1"/>
    <col min="248" max="248" width="12.6640625" style="211" bestFit="1" customWidth="1"/>
    <col min="249" max="249" width="10" style="211" customWidth="1"/>
    <col min="250" max="250" width="10.5" style="211" customWidth="1"/>
    <col min="251" max="251" width="11" style="211" customWidth="1"/>
    <col min="252" max="252" width="8.6640625" style="211"/>
    <col min="253" max="259" width="11.33203125" style="211" bestFit="1" customWidth="1"/>
    <col min="260" max="262" width="10.6640625" style="211" bestFit="1" customWidth="1"/>
    <col min="263" max="501" width="8.6640625" style="211"/>
    <col min="502" max="502" width="11.5" style="211" bestFit="1" customWidth="1"/>
    <col min="503" max="503" width="14" style="211" customWidth="1"/>
    <col min="504" max="504" width="12.6640625" style="211" bestFit="1" customWidth="1"/>
    <col min="505" max="505" width="10" style="211" customWidth="1"/>
    <col min="506" max="506" width="10.5" style="211" customWidth="1"/>
    <col min="507" max="507" width="11" style="211" customWidth="1"/>
    <col min="508" max="508" width="8.6640625" style="211"/>
    <col min="509" max="515" width="11.33203125" style="211" bestFit="1" customWidth="1"/>
    <col min="516" max="518" width="10.6640625" style="211" bestFit="1" customWidth="1"/>
    <col min="519" max="757" width="8.6640625" style="211"/>
    <col min="758" max="758" width="11.5" style="211" bestFit="1" customWidth="1"/>
    <col min="759" max="759" width="14" style="211" customWidth="1"/>
    <col min="760" max="760" width="12.6640625" style="211" bestFit="1" customWidth="1"/>
    <col min="761" max="761" width="10" style="211" customWidth="1"/>
    <col min="762" max="762" width="10.5" style="211" customWidth="1"/>
    <col min="763" max="763" width="11" style="211" customWidth="1"/>
    <col min="764" max="764" width="8.6640625" style="211"/>
    <col min="765" max="771" width="11.33203125" style="211" bestFit="1" customWidth="1"/>
    <col min="772" max="774" width="10.6640625" style="211" bestFit="1" customWidth="1"/>
    <col min="775" max="1013" width="8.6640625" style="211"/>
    <col min="1014" max="1014" width="11.5" style="211" bestFit="1" customWidth="1"/>
    <col min="1015" max="1015" width="14" style="211" customWidth="1"/>
    <col min="1016" max="1016" width="12.6640625" style="211" bestFit="1" customWidth="1"/>
    <col min="1017" max="1017" width="10" style="211" customWidth="1"/>
    <col min="1018" max="1018" width="10.5" style="211" customWidth="1"/>
    <col min="1019" max="1019" width="11" style="211" customWidth="1"/>
    <col min="1020" max="1020" width="8.6640625" style="211"/>
    <col min="1021" max="1027" width="11.33203125" style="211" bestFit="1" customWidth="1"/>
    <col min="1028" max="1030" width="10.6640625" style="211" bestFit="1" customWidth="1"/>
    <col min="1031" max="1269" width="8.6640625" style="211"/>
    <col min="1270" max="1270" width="11.5" style="211" bestFit="1" customWidth="1"/>
    <col min="1271" max="1271" width="14" style="211" customWidth="1"/>
    <col min="1272" max="1272" width="12.6640625" style="211" bestFit="1" customWidth="1"/>
    <col min="1273" max="1273" width="10" style="211" customWidth="1"/>
    <col min="1274" max="1274" width="10.5" style="211" customWidth="1"/>
    <col min="1275" max="1275" width="11" style="211" customWidth="1"/>
    <col min="1276" max="1276" width="8.6640625" style="211"/>
    <col min="1277" max="1283" width="11.33203125" style="211" bestFit="1" customWidth="1"/>
    <col min="1284" max="1286" width="10.6640625" style="211" bestFit="1" customWidth="1"/>
    <col min="1287" max="1525" width="8.6640625" style="211"/>
    <col min="1526" max="1526" width="11.5" style="211" bestFit="1" customWidth="1"/>
    <col min="1527" max="1527" width="14" style="211" customWidth="1"/>
    <col min="1528" max="1528" width="12.6640625" style="211" bestFit="1" customWidth="1"/>
    <col min="1529" max="1529" width="10" style="211" customWidth="1"/>
    <col min="1530" max="1530" width="10.5" style="211" customWidth="1"/>
    <col min="1531" max="1531" width="11" style="211" customWidth="1"/>
    <col min="1532" max="1532" width="8.6640625" style="211"/>
    <col min="1533" max="1539" width="11.33203125" style="211" bestFit="1" customWidth="1"/>
    <col min="1540" max="1542" width="10.6640625" style="211" bestFit="1" customWidth="1"/>
    <col min="1543" max="1781" width="8.6640625" style="211"/>
    <col min="1782" max="1782" width="11.5" style="211" bestFit="1" customWidth="1"/>
    <col min="1783" max="1783" width="14" style="211" customWidth="1"/>
    <col min="1784" max="1784" width="12.6640625" style="211" bestFit="1" customWidth="1"/>
    <col min="1785" max="1785" width="10" style="211" customWidth="1"/>
    <col min="1786" max="1786" width="10.5" style="211" customWidth="1"/>
    <col min="1787" max="1787" width="11" style="211" customWidth="1"/>
    <col min="1788" max="1788" width="8.6640625" style="211"/>
    <col min="1789" max="1795" width="11.33203125" style="211" bestFit="1" customWidth="1"/>
    <col min="1796" max="1798" width="10.6640625" style="211" bestFit="1" customWidth="1"/>
    <col min="1799" max="2037" width="8.6640625" style="211"/>
    <col min="2038" max="2038" width="11.5" style="211" bestFit="1" customWidth="1"/>
    <col min="2039" max="2039" width="14" style="211" customWidth="1"/>
    <col min="2040" max="2040" width="12.6640625" style="211" bestFit="1" customWidth="1"/>
    <col min="2041" max="2041" width="10" style="211" customWidth="1"/>
    <col min="2042" max="2042" width="10.5" style="211" customWidth="1"/>
    <col min="2043" max="2043" width="11" style="211" customWidth="1"/>
    <col min="2044" max="2044" width="8.6640625" style="211"/>
    <col min="2045" max="2051" width="11.33203125" style="211" bestFit="1" customWidth="1"/>
    <col min="2052" max="2054" width="10.6640625" style="211" bestFit="1" customWidth="1"/>
    <col min="2055" max="2293" width="8.6640625" style="211"/>
    <col min="2294" max="2294" width="11.5" style="211" bestFit="1" customWidth="1"/>
    <col min="2295" max="2295" width="14" style="211" customWidth="1"/>
    <col min="2296" max="2296" width="12.6640625" style="211" bestFit="1" customWidth="1"/>
    <col min="2297" max="2297" width="10" style="211" customWidth="1"/>
    <col min="2298" max="2298" width="10.5" style="211" customWidth="1"/>
    <col min="2299" max="2299" width="11" style="211" customWidth="1"/>
    <col min="2300" max="2300" width="8.6640625" style="211"/>
    <col min="2301" max="2307" width="11.33203125" style="211" bestFit="1" customWidth="1"/>
    <col min="2308" max="2310" width="10.6640625" style="211" bestFit="1" customWidth="1"/>
    <col min="2311" max="2549" width="8.6640625" style="211"/>
    <col min="2550" max="2550" width="11.5" style="211" bestFit="1" customWidth="1"/>
    <col min="2551" max="2551" width="14" style="211" customWidth="1"/>
    <col min="2552" max="2552" width="12.6640625" style="211" bestFit="1" customWidth="1"/>
    <col min="2553" max="2553" width="10" style="211" customWidth="1"/>
    <col min="2554" max="2554" width="10.5" style="211" customWidth="1"/>
    <col min="2555" max="2555" width="11" style="211" customWidth="1"/>
    <col min="2556" max="2556" width="8.6640625" style="211"/>
    <col min="2557" max="2563" width="11.33203125" style="211" bestFit="1" customWidth="1"/>
    <col min="2564" max="2566" width="10.6640625" style="211" bestFit="1" customWidth="1"/>
    <col min="2567" max="2805" width="8.6640625" style="211"/>
    <col min="2806" max="2806" width="11.5" style="211" bestFit="1" customWidth="1"/>
    <col min="2807" max="2807" width="14" style="211" customWidth="1"/>
    <col min="2808" max="2808" width="12.6640625" style="211" bestFit="1" customWidth="1"/>
    <col min="2809" max="2809" width="10" style="211" customWidth="1"/>
    <col min="2810" max="2810" width="10.5" style="211" customWidth="1"/>
    <col min="2811" max="2811" width="11" style="211" customWidth="1"/>
    <col min="2812" max="2812" width="8.6640625" style="211"/>
    <col min="2813" max="2819" width="11.33203125" style="211" bestFit="1" customWidth="1"/>
    <col min="2820" max="2822" width="10.6640625" style="211" bestFit="1" customWidth="1"/>
    <col min="2823" max="3061" width="8.6640625" style="211"/>
    <col min="3062" max="3062" width="11.5" style="211" bestFit="1" customWidth="1"/>
    <col min="3063" max="3063" width="14" style="211" customWidth="1"/>
    <col min="3064" max="3064" width="12.6640625" style="211" bestFit="1" customWidth="1"/>
    <col min="3065" max="3065" width="10" style="211" customWidth="1"/>
    <col min="3066" max="3066" width="10.5" style="211" customWidth="1"/>
    <col min="3067" max="3067" width="11" style="211" customWidth="1"/>
    <col min="3068" max="3068" width="8.6640625" style="211"/>
    <col min="3069" max="3075" width="11.33203125" style="211" bestFit="1" customWidth="1"/>
    <col min="3076" max="3078" width="10.6640625" style="211" bestFit="1" customWidth="1"/>
    <col min="3079" max="3317" width="8.6640625" style="211"/>
    <col min="3318" max="3318" width="11.5" style="211" bestFit="1" customWidth="1"/>
    <col min="3319" max="3319" width="14" style="211" customWidth="1"/>
    <col min="3320" max="3320" width="12.6640625" style="211" bestFit="1" customWidth="1"/>
    <col min="3321" max="3321" width="10" style="211" customWidth="1"/>
    <col min="3322" max="3322" width="10.5" style="211" customWidth="1"/>
    <col min="3323" max="3323" width="11" style="211" customWidth="1"/>
    <col min="3324" max="3324" width="8.6640625" style="211"/>
    <col min="3325" max="3331" width="11.33203125" style="211" bestFit="1" customWidth="1"/>
    <col min="3332" max="3334" width="10.6640625" style="211" bestFit="1" customWidth="1"/>
    <col min="3335" max="3573" width="8.6640625" style="211"/>
    <col min="3574" max="3574" width="11.5" style="211" bestFit="1" customWidth="1"/>
    <col min="3575" max="3575" width="14" style="211" customWidth="1"/>
    <col min="3576" max="3576" width="12.6640625" style="211" bestFit="1" customWidth="1"/>
    <col min="3577" max="3577" width="10" style="211" customWidth="1"/>
    <col min="3578" max="3578" width="10.5" style="211" customWidth="1"/>
    <col min="3579" max="3579" width="11" style="211" customWidth="1"/>
    <col min="3580" max="3580" width="8.6640625" style="211"/>
    <col min="3581" max="3587" width="11.33203125" style="211" bestFit="1" customWidth="1"/>
    <col min="3588" max="3590" width="10.6640625" style="211" bestFit="1" customWidth="1"/>
    <col min="3591" max="3829" width="8.6640625" style="211"/>
    <col min="3830" max="3830" width="11.5" style="211" bestFit="1" customWidth="1"/>
    <col min="3831" max="3831" width="14" style="211" customWidth="1"/>
    <col min="3832" max="3832" width="12.6640625" style="211" bestFit="1" customWidth="1"/>
    <col min="3833" max="3833" width="10" style="211" customWidth="1"/>
    <col min="3834" max="3834" width="10.5" style="211" customWidth="1"/>
    <col min="3835" max="3835" width="11" style="211" customWidth="1"/>
    <col min="3836" max="3836" width="8.6640625" style="211"/>
    <col min="3837" max="3843" width="11.33203125" style="211" bestFit="1" customWidth="1"/>
    <col min="3844" max="3846" width="10.6640625" style="211" bestFit="1" customWidth="1"/>
    <col min="3847" max="4085" width="8.6640625" style="211"/>
    <col min="4086" max="4086" width="11.5" style="211" bestFit="1" customWidth="1"/>
    <col min="4087" max="4087" width="14" style="211" customWidth="1"/>
    <col min="4088" max="4088" width="12.6640625" style="211" bestFit="1" customWidth="1"/>
    <col min="4089" max="4089" width="10" style="211" customWidth="1"/>
    <col min="4090" max="4090" width="10.5" style="211" customWidth="1"/>
    <col min="4091" max="4091" width="11" style="211" customWidth="1"/>
    <col min="4092" max="4092" width="8.6640625" style="211"/>
    <col min="4093" max="4099" width="11.33203125" style="211" bestFit="1" customWidth="1"/>
    <col min="4100" max="4102" width="10.6640625" style="211" bestFit="1" customWidth="1"/>
    <col min="4103" max="4341" width="8.6640625" style="211"/>
    <col min="4342" max="4342" width="11.5" style="211" bestFit="1" customWidth="1"/>
    <col min="4343" max="4343" width="14" style="211" customWidth="1"/>
    <col min="4344" max="4344" width="12.6640625" style="211" bestFit="1" customWidth="1"/>
    <col min="4345" max="4345" width="10" style="211" customWidth="1"/>
    <col min="4346" max="4346" width="10.5" style="211" customWidth="1"/>
    <col min="4347" max="4347" width="11" style="211" customWidth="1"/>
    <col min="4348" max="4348" width="8.6640625" style="211"/>
    <col min="4349" max="4355" width="11.33203125" style="211" bestFit="1" customWidth="1"/>
    <col min="4356" max="4358" width="10.6640625" style="211" bestFit="1" customWidth="1"/>
    <col min="4359" max="4597" width="8.6640625" style="211"/>
    <col min="4598" max="4598" width="11.5" style="211" bestFit="1" customWidth="1"/>
    <col min="4599" max="4599" width="14" style="211" customWidth="1"/>
    <col min="4600" max="4600" width="12.6640625" style="211" bestFit="1" customWidth="1"/>
    <col min="4601" max="4601" width="10" style="211" customWidth="1"/>
    <col min="4602" max="4602" width="10.5" style="211" customWidth="1"/>
    <col min="4603" max="4603" width="11" style="211" customWidth="1"/>
    <col min="4604" max="4604" width="8.6640625" style="211"/>
    <col min="4605" max="4611" width="11.33203125" style="211" bestFit="1" customWidth="1"/>
    <col min="4612" max="4614" width="10.6640625" style="211" bestFit="1" customWidth="1"/>
    <col min="4615" max="4853" width="8.6640625" style="211"/>
    <col min="4854" max="4854" width="11.5" style="211" bestFit="1" customWidth="1"/>
    <col min="4855" max="4855" width="14" style="211" customWidth="1"/>
    <col min="4856" max="4856" width="12.6640625" style="211" bestFit="1" customWidth="1"/>
    <col min="4857" max="4857" width="10" style="211" customWidth="1"/>
    <col min="4858" max="4858" width="10.5" style="211" customWidth="1"/>
    <col min="4859" max="4859" width="11" style="211" customWidth="1"/>
    <col min="4860" max="4860" width="8.6640625" style="211"/>
    <col min="4861" max="4867" width="11.33203125" style="211" bestFit="1" customWidth="1"/>
    <col min="4868" max="4870" width="10.6640625" style="211" bestFit="1" customWidth="1"/>
    <col min="4871" max="5109" width="8.6640625" style="211"/>
    <col min="5110" max="5110" width="11.5" style="211" bestFit="1" customWidth="1"/>
    <col min="5111" max="5111" width="14" style="211" customWidth="1"/>
    <col min="5112" max="5112" width="12.6640625" style="211" bestFit="1" customWidth="1"/>
    <col min="5113" max="5113" width="10" style="211" customWidth="1"/>
    <col min="5114" max="5114" width="10.5" style="211" customWidth="1"/>
    <col min="5115" max="5115" width="11" style="211" customWidth="1"/>
    <col min="5116" max="5116" width="8.6640625" style="211"/>
    <col min="5117" max="5123" width="11.33203125" style="211" bestFit="1" customWidth="1"/>
    <col min="5124" max="5126" width="10.6640625" style="211" bestFit="1" customWidth="1"/>
    <col min="5127" max="5365" width="8.6640625" style="211"/>
    <col min="5366" max="5366" width="11.5" style="211" bestFit="1" customWidth="1"/>
    <col min="5367" max="5367" width="14" style="211" customWidth="1"/>
    <col min="5368" max="5368" width="12.6640625" style="211" bestFit="1" customWidth="1"/>
    <col min="5369" max="5369" width="10" style="211" customWidth="1"/>
    <col min="5370" max="5370" width="10.5" style="211" customWidth="1"/>
    <col min="5371" max="5371" width="11" style="211" customWidth="1"/>
    <col min="5372" max="5372" width="8.6640625" style="211"/>
    <col min="5373" max="5379" width="11.33203125" style="211" bestFit="1" customWidth="1"/>
    <col min="5380" max="5382" width="10.6640625" style="211" bestFit="1" customWidth="1"/>
    <col min="5383" max="5621" width="8.6640625" style="211"/>
    <col min="5622" max="5622" width="11.5" style="211" bestFit="1" customWidth="1"/>
    <col min="5623" max="5623" width="14" style="211" customWidth="1"/>
    <col min="5624" max="5624" width="12.6640625" style="211" bestFit="1" customWidth="1"/>
    <col min="5625" max="5625" width="10" style="211" customWidth="1"/>
    <col min="5626" max="5626" width="10.5" style="211" customWidth="1"/>
    <col min="5627" max="5627" width="11" style="211" customWidth="1"/>
    <col min="5628" max="5628" width="8.6640625" style="211"/>
    <col min="5629" max="5635" width="11.33203125" style="211" bestFit="1" customWidth="1"/>
    <col min="5636" max="5638" width="10.6640625" style="211" bestFit="1" customWidth="1"/>
    <col min="5639" max="5877" width="8.6640625" style="211"/>
    <col min="5878" max="5878" width="11.5" style="211" bestFit="1" customWidth="1"/>
    <col min="5879" max="5879" width="14" style="211" customWidth="1"/>
    <col min="5880" max="5880" width="12.6640625" style="211" bestFit="1" customWidth="1"/>
    <col min="5881" max="5881" width="10" style="211" customWidth="1"/>
    <col min="5882" max="5882" width="10.5" style="211" customWidth="1"/>
    <col min="5883" max="5883" width="11" style="211" customWidth="1"/>
    <col min="5884" max="5884" width="8.6640625" style="211"/>
    <col min="5885" max="5891" width="11.33203125" style="211" bestFit="1" customWidth="1"/>
    <col min="5892" max="5894" width="10.6640625" style="211" bestFit="1" customWidth="1"/>
    <col min="5895" max="6133" width="8.6640625" style="211"/>
    <col min="6134" max="6134" width="11.5" style="211" bestFit="1" customWidth="1"/>
    <col min="6135" max="6135" width="14" style="211" customWidth="1"/>
    <col min="6136" max="6136" width="12.6640625" style="211" bestFit="1" customWidth="1"/>
    <col min="6137" max="6137" width="10" style="211" customWidth="1"/>
    <col min="6138" max="6138" width="10.5" style="211" customWidth="1"/>
    <col min="6139" max="6139" width="11" style="211" customWidth="1"/>
    <col min="6140" max="6140" width="8.6640625" style="211"/>
    <col min="6141" max="6147" width="11.33203125" style="211" bestFit="1" customWidth="1"/>
    <col min="6148" max="6150" width="10.6640625" style="211" bestFit="1" customWidth="1"/>
    <col min="6151" max="6389" width="8.6640625" style="211"/>
    <col min="6390" max="6390" width="11.5" style="211" bestFit="1" customWidth="1"/>
    <col min="6391" max="6391" width="14" style="211" customWidth="1"/>
    <col min="6392" max="6392" width="12.6640625" style="211" bestFit="1" customWidth="1"/>
    <col min="6393" max="6393" width="10" style="211" customWidth="1"/>
    <col min="6394" max="6394" width="10.5" style="211" customWidth="1"/>
    <col min="6395" max="6395" width="11" style="211" customWidth="1"/>
    <col min="6396" max="6396" width="8.6640625" style="211"/>
    <col min="6397" max="6403" width="11.33203125" style="211" bestFit="1" customWidth="1"/>
    <col min="6404" max="6406" width="10.6640625" style="211" bestFit="1" customWidth="1"/>
    <col min="6407" max="6645" width="8.6640625" style="211"/>
    <col min="6646" max="6646" width="11.5" style="211" bestFit="1" customWidth="1"/>
    <col min="6647" max="6647" width="14" style="211" customWidth="1"/>
    <col min="6648" max="6648" width="12.6640625" style="211" bestFit="1" customWidth="1"/>
    <col min="6649" max="6649" width="10" style="211" customWidth="1"/>
    <col min="6650" max="6650" width="10.5" style="211" customWidth="1"/>
    <col min="6651" max="6651" width="11" style="211" customWidth="1"/>
    <col min="6652" max="6652" width="8.6640625" style="211"/>
    <col min="6653" max="6659" width="11.33203125" style="211" bestFit="1" customWidth="1"/>
    <col min="6660" max="6662" width="10.6640625" style="211" bestFit="1" customWidth="1"/>
    <col min="6663" max="6901" width="8.6640625" style="211"/>
    <col min="6902" max="6902" width="11.5" style="211" bestFit="1" customWidth="1"/>
    <col min="6903" max="6903" width="14" style="211" customWidth="1"/>
    <col min="6904" max="6904" width="12.6640625" style="211" bestFit="1" customWidth="1"/>
    <col min="6905" max="6905" width="10" style="211" customWidth="1"/>
    <col min="6906" max="6906" width="10.5" style="211" customWidth="1"/>
    <col min="6907" max="6907" width="11" style="211" customWidth="1"/>
    <col min="6908" max="6908" width="8.6640625" style="211"/>
    <col min="6909" max="6915" width="11.33203125" style="211" bestFit="1" customWidth="1"/>
    <col min="6916" max="6918" width="10.6640625" style="211" bestFit="1" customWidth="1"/>
    <col min="6919" max="7157" width="8.6640625" style="211"/>
    <col min="7158" max="7158" width="11.5" style="211" bestFit="1" customWidth="1"/>
    <col min="7159" max="7159" width="14" style="211" customWidth="1"/>
    <col min="7160" max="7160" width="12.6640625" style="211" bestFit="1" customWidth="1"/>
    <col min="7161" max="7161" width="10" style="211" customWidth="1"/>
    <col min="7162" max="7162" width="10.5" style="211" customWidth="1"/>
    <col min="7163" max="7163" width="11" style="211" customWidth="1"/>
    <col min="7164" max="7164" width="8.6640625" style="211"/>
    <col min="7165" max="7171" width="11.33203125" style="211" bestFit="1" customWidth="1"/>
    <col min="7172" max="7174" width="10.6640625" style="211" bestFit="1" customWidth="1"/>
    <col min="7175" max="7413" width="8.6640625" style="211"/>
    <col min="7414" max="7414" width="11.5" style="211" bestFit="1" customWidth="1"/>
    <col min="7415" max="7415" width="14" style="211" customWidth="1"/>
    <col min="7416" max="7416" width="12.6640625" style="211" bestFit="1" customWidth="1"/>
    <col min="7417" max="7417" width="10" style="211" customWidth="1"/>
    <col min="7418" max="7418" width="10.5" style="211" customWidth="1"/>
    <col min="7419" max="7419" width="11" style="211" customWidth="1"/>
    <col min="7420" max="7420" width="8.6640625" style="211"/>
    <col min="7421" max="7427" width="11.33203125" style="211" bestFit="1" customWidth="1"/>
    <col min="7428" max="7430" width="10.6640625" style="211" bestFit="1" customWidth="1"/>
    <col min="7431" max="7669" width="8.6640625" style="211"/>
    <col min="7670" max="7670" width="11.5" style="211" bestFit="1" customWidth="1"/>
    <col min="7671" max="7671" width="14" style="211" customWidth="1"/>
    <col min="7672" max="7672" width="12.6640625" style="211" bestFit="1" customWidth="1"/>
    <col min="7673" max="7673" width="10" style="211" customWidth="1"/>
    <col min="7674" max="7674" width="10.5" style="211" customWidth="1"/>
    <col min="7675" max="7675" width="11" style="211" customWidth="1"/>
    <col min="7676" max="7676" width="8.6640625" style="211"/>
    <col min="7677" max="7683" width="11.33203125" style="211" bestFit="1" customWidth="1"/>
    <col min="7684" max="7686" width="10.6640625" style="211" bestFit="1" customWidth="1"/>
    <col min="7687" max="7925" width="8.6640625" style="211"/>
    <col min="7926" max="7926" width="11.5" style="211" bestFit="1" customWidth="1"/>
    <col min="7927" max="7927" width="14" style="211" customWidth="1"/>
    <col min="7928" max="7928" width="12.6640625" style="211" bestFit="1" customWidth="1"/>
    <col min="7929" max="7929" width="10" style="211" customWidth="1"/>
    <col min="7930" max="7930" width="10.5" style="211" customWidth="1"/>
    <col min="7931" max="7931" width="11" style="211" customWidth="1"/>
    <col min="7932" max="7932" width="8.6640625" style="211"/>
    <col min="7933" max="7939" width="11.33203125" style="211" bestFit="1" customWidth="1"/>
    <col min="7940" max="7942" width="10.6640625" style="211" bestFit="1" customWidth="1"/>
    <col min="7943" max="8181" width="8.6640625" style="211"/>
    <col min="8182" max="8182" width="11.5" style="211" bestFit="1" customWidth="1"/>
    <col min="8183" max="8183" width="14" style="211" customWidth="1"/>
    <col min="8184" max="8184" width="12.6640625" style="211" bestFit="1" customWidth="1"/>
    <col min="8185" max="8185" width="10" style="211" customWidth="1"/>
    <col min="8186" max="8186" width="10.5" style="211" customWidth="1"/>
    <col min="8187" max="8187" width="11" style="211" customWidth="1"/>
    <col min="8188" max="8188" width="8.6640625" style="211"/>
    <col min="8189" max="8195" width="11.33203125" style="211" bestFit="1" customWidth="1"/>
    <col min="8196" max="8198" width="10.6640625" style="211" bestFit="1" customWidth="1"/>
    <col min="8199" max="8437" width="8.6640625" style="211"/>
    <col min="8438" max="8438" width="11.5" style="211" bestFit="1" customWidth="1"/>
    <col min="8439" max="8439" width="14" style="211" customWidth="1"/>
    <col min="8440" max="8440" width="12.6640625" style="211" bestFit="1" customWidth="1"/>
    <col min="8441" max="8441" width="10" style="211" customWidth="1"/>
    <col min="8442" max="8442" width="10.5" style="211" customWidth="1"/>
    <col min="8443" max="8443" width="11" style="211" customWidth="1"/>
    <col min="8444" max="8444" width="8.6640625" style="211"/>
    <col min="8445" max="8451" width="11.33203125" style="211" bestFit="1" customWidth="1"/>
    <col min="8452" max="8454" width="10.6640625" style="211" bestFit="1" customWidth="1"/>
    <col min="8455" max="8693" width="8.6640625" style="211"/>
    <col min="8694" max="8694" width="11.5" style="211" bestFit="1" customWidth="1"/>
    <col min="8695" max="8695" width="14" style="211" customWidth="1"/>
    <col min="8696" max="8696" width="12.6640625" style="211" bestFit="1" customWidth="1"/>
    <col min="8697" max="8697" width="10" style="211" customWidth="1"/>
    <col min="8698" max="8698" width="10.5" style="211" customWidth="1"/>
    <col min="8699" max="8699" width="11" style="211" customWidth="1"/>
    <col min="8700" max="8700" width="8.6640625" style="211"/>
    <col min="8701" max="8707" width="11.33203125" style="211" bestFit="1" customWidth="1"/>
    <col min="8708" max="8710" width="10.6640625" style="211" bestFit="1" customWidth="1"/>
    <col min="8711" max="8949" width="8.6640625" style="211"/>
    <col min="8950" max="8950" width="11.5" style="211" bestFit="1" customWidth="1"/>
    <col min="8951" max="8951" width="14" style="211" customWidth="1"/>
    <col min="8952" max="8952" width="12.6640625" style="211" bestFit="1" customWidth="1"/>
    <col min="8953" max="8953" width="10" style="211" customWidth="1"/>
    <col min="8954" max="8954" width="10.5" style="211" customWidth="1"/>
    <col min="8955" max="8955" width="11" style="211" customWidth="1"/>
    <col min="8956" max="8956" width="8.6640625" style="211"/>
    <col min="8957" max="8963" width="11.33203125" style="211" bestFit="1" customWidth="1"/>
    <col min="8964" max="8966" width="10.6640625" style="211" bestFit="1" customWidth="1"/>
    <col min="8967" max="9205" width="8.6640625" style="211"/>
    <col min="9206" max="9206" width="11.5" style="211" bestFit="1" customWidth="1"/>
    <col min="9207" max="9207" width="14" style="211" customWidth="1"/>
    <col min="9208" max="9208" width="12.6640625" style="211" bestFit="1" customWidth="1"/>
    <col min="9209" max="9209" width="10" style="211" customWidth="1"/>
    <col min="9210" max="9210" width="10.5" style="211" customWidth="1"/>
    <col min="9211" max="9211" width="11" style="211" customWidth="1"/>
    <col min="9212" max="9212" width="8.6640625" style="211"/>
    <col min="9213" max="9219" width="11.33203125" style="211" bestFit="1" customWidth="1"/>
    <col min="9220" max="9222" width="10.6640625" style="211" bestFit="1" customWidth="1"/>
    <col min="9223" max="9461" width="8.6640625" style="211"/>
    <col min="9462" max="9462" width="11.5" style="211" bestFit="1" customWidth="1"/>
    <col min="9463" max="9463" width="14" style="211" customWidth="1"/>
    <col min="9464" max="9464" width="12.6640625" style="211" bestFit="1" customWidth="1"/>
    <col min="9465" max="9465" width="10" style="211" customWidth="1"/>
    <col min="9466" max="9466" width="10.5" style="211" customWidth="1"/>
    <col min="9467" max="9467" width="11" style="211" customWidth="1"/>
    <col min="9468" max="9468" width="8.6640625" style="211"/>
    <col min="9469" max="9475" width="11.33203125" style="211" bestFit="1" customWidth="1"/>
    <col min="9476" max="9478" width="10.6640625" style="211" bestFit="1" customWidth="1"/>
    <col min="9479" max="9717" width="8.6640625" style="211"/>
    <col min="9718" max="9718" width="11.5" style="211" bestFit="1" customWidth="1"/>
    <col min="9719" max="9719" width="14" style="211" customWidth="1"/>
    <col min="9720" max="9720" width="12.6640625" style="211" bestFit="1" customWidth="1"/>
    <col min="9721" max="9721" width="10" style="211" customWidth="1"/>
    <col min="9722" max="9722" width="10.5" style="211" customWidth="1"/>
    <col min="9723" max="9723" width="11" style="211" customWidth="1"/>
    <col min="9724" max="9724" width="8.6640625" style="211"/>
    <col min="9725" max="9731" width="11.33203125" style="211" bestFit="1" customWidth="1"/>
    <col min="9732" max="9734" width="10.6640625" style="211" bestFit="1" customWidth="1"/>
    <col min="9735" max="9973" width="8.6640625" style="211"/>
    <col min="9974" max="9974" width="11.5" style="211" bestFit="1" customWidth="1"/>
    <col min="9975" max="9975" width="14" style="211" customWidth="1"/>
    <col min="9976" max="9976" width="12.6640625" style="211" bestFit="1" customWidth="1"/>
    <col min="9977" max="9977" width="10" style="211" customWidth="1"/>
    <col min="9978" max="9978" width="10.5" style="211" customWidth="1"/>
    <col min="9979" max="9979" width="11" style="211" customWidth="1"/>
    <col min="9980" max="9980" width="8.6640625" style="211"/>
    <col min="9981" max="9987" width="11.33203125" style="211" bestFit="1" customWidth="1"/>
    <col min="9988" max="9990" width="10.6640625" style="211" bestFit="1" customWidth="1"/>
    <col min="9991" max="10229" width="8.6640625" style="211"/>
    <col min="10230" max="10230" width="11.5" style="211" bestFit="1" customWidth="1"/>
    <col min="10231" max="10231" width="14" style="211" customWidth="1"/>
    <col min="10232" max="10232" width="12.6640625" style="211" bestFit="1" customWidth="1"/>
    <col min="10233" max="10233" width="10" style="211" customWidth="1"/>
    <col min="10234" max="10234" width="10.5" style="211" customWidth="1"/>
    <col min="10235" max="10235" width="11" style="211" customWidth="1"/>
    <col min="10236" max="10236" width="8.6640625" style="211"/>
    <col min="10237" max="10243" width="11.33203125" style="211" bestFit="1" customWidth="1"/>
    <col min="10244" max="10246" width="10.6640625" style="211" bestFit="1" customWidth="1"/>
    <col min="10247" max="10485" width="8.6640625" style="211"/>
    <col min="10486" max="10486" width="11.5" style="211" bestFit="1" customWidth="1"/>
    <col min="10487" max="10487" width="14" style="211" customWidth="1"/>
    <col min="10488" max="10488" width="12.6640625" style="211" bestFit="1" customWidth="1"/>
    <col min="10489" max="10489" width="10" style="211" customWidth="1"/>
    <col min="10490" max="10490" width="10.5" style="211" customWidth="1"/>
    <col min="10491" max="10491" width="11" style="211" customWidth="1"/>
    <col min="10492" max="10492" width="8.6640625" style="211"/>
    <col min="10493" max="10499" width="11.33203125" style="211" bestFit="1" customWidth="1"/>
    <col min="10500" max="10502" width="10.6640625" style="211" bestFit="1" customWidth="1"/>
    <col min="10503" max="10741" width="8.6640625" style="211"/>
    <col min="10742" max="10742" width="11.5" style="211" bestFit="1" customWidth="1"/>
    <col min="10743" max="10743" width="14" style="211" customWidth="1"/>
    <col min="10744" max="10744" width="12.6640625" style="211" bestFit="1" customWidth="1"/>
    <col min="10745" max="10745" width="10" style="211" customWidth="1"/>
    <col min="10746" max="10746" width="10.5" style="211" customWidth="1"/>
    <col min="10747" max="10747" width="11" style="211" customWidth="1"/>
    <col min="10748" max="10748" width="8.6640625" style="211"/>
    <col min="10749" max="10755" width="11.33203125" style="211" bestFit="1" customWidth="1"/>
    <col min="10756" max="10758" width="10.6640625" style="211" bestFit="1" customWidth="1"/>
    <col min="10759" max="10997" width="8.6640625" style="211"/>
    <col min="10998" max="10998" width="11.5" style="211" bestFit="1" customWidth="1"/>
    <col min="10999" max="10999" width="14" style="211" customWidth="1"/>
    <col min="11000" max="11000" width="12.6640625" style="211" bestFit="1" customWidth="1"/>
    <col min="11001" max="11001" width="10" style="211" customWidth="1"/>
    <col min="11002" max="11002" width="10.5" style="211" customWidth="1"/>
    <col min="11003" max="11003" width="11" style="211" customWidth="1"/>
    <col min="11004" max="11004" width="8.6640625" style="211"/>
    <col min="11005" max="11011" width="11.33203125" style="211" bestFit="1" customWidth="1"/>
    <col min="11012" max="11014" width="10.6640625" style="211" bestFit="1" customWidth="1"/>
    <col min="11015" max="11253" width="8.6640625" style="211"/>
    <col min="11254" max="11254" width="11.5" style="211" bestFit="1" customWidth="1"/>
    <col min="11255" max="11255" width="14" style="211" customWidth="1"/>
    <col min="11256" max="11256" width="12.6640625" style="211" bestFit="1" customWidth="1"/>
    <col min="11257" max="11257" width="10" style="211" customWidth="1"/>
    <col min="11258" max="11258" width="10.5" style="211" customWidth="1"/>
    <col min="11259" max="11259" width="11" style="211" customWidth="1"/>
    <col min="11260" max="11260" width="8.6640625" style="211"/>
    <col min="11261" max="11267" width="11.33203125" style="211" bestFit="1" customWidth="1"/>
    <col min="11268" max="11270" width="10.6640625" style="211" bestFit="1" customWidth="1"/>
    <col min="11271" max="11509" width="8.6640625" style="211"/>
    <col min="11510" max="11510" width="11.5" style="211" bestFit="1" customWidth="1"/>
    <col min="11511" max="11511" width="14" style="211" customWidth="1"/>
    <col min="11512" max="11512" width="12.6640625" style="211" bestFit="1" customWidth="1"/>
    <col min="11513" max="11513" width="10" style="211" customWidth="1"/>
    <col min="11514" max="11514" width="10.5" style="211" customWidth="1"/>
    <col min="11515" max="11515" width="11" style="211" customWidth="1"/>
    <col min="11516" max="11516" width="8.6640625" style="211"/>
    <col min="11517" max="11523" width="11.33203125" style="211" bestFit="1" customWidth="1"/>
    <col min="11524" max="11526" width="10.6640625" style="211" bestFit="1" customWidth="1"/>
    <col min="11527" max="11765" width="8.6640625" style="211"/>
    <col min="11766" max="11766" width="11.5" style="211" bestFit="1" customWidth="1"/>
    <col min="11767" max="11767" width="14" style="211" customWidth="1"/>
    <col min="11768" max="11768" width="12.6640625" style="211" bestFit="1" customWidth="1"/>
    <col min="11769" max="11769" width="10" style="211" customWidth="1"/>
    <col min="11770" max="11770" width="10.5" style="211" customWidth="1"/>
    <col min="11771" max="11771" width="11" style="211" customWidth="1"/>
    <col min="11772" max="11772" width="8.6640625" style="211"/>
    <col min="11773" max="11779" width="11.33203125" style="211" bestFit="1" customWidth="1"/>
    <col min="11780" max="11782" width="10.6640625" style="211" bestFit="1" customWidth="1"/>
    <col min="11783" max="12021" width="8.6640625" style="211"/>
    <col min="12022" max="12022" width="11.5" style="211" bestFit="1" customWidth="1"/>
    <col min="12023" max="12023" width="14" style="211" customWidth="1"/>
    <col min="12024" max="12024" width="12.6640625" style="211" bestFit="1" customWidth="1"/>
    <col min="12025" max="12025" width="10" style="211" customWidth="1"/>
    <col min="12026" max="12026" width="10.5" style="211" customWidth="1"/>
    <col min="12027" max="12027" width="11" style="211" customWidth="1"/>
    <col min="12028" max="12028" width="8.6640625" style="211"/>
    <col min="12029" max="12035" width="11.33203125" style="211" bestFit="1" customWidth="1"/>
    <col min="12036" max="12038" width="10.6640625" style="211" bestFit="1" customWidth="1"/>
    <col min="12039" max="12277" width="8.6640625" style="211"/>
    <col min="12278" max="12278" width="11.5" style="211" bestFit="1" customWidth="1"/>
    <col min="12279" max="12279" width="14" style="211" customWidth="1"/>
    <col min="12280" max="12280" width="12.6640625" style="211" bestFit="1" customWidth="1"/>
    <col min="12281" max="12281" width="10" style="211" customWidth="1"/>
    <col min="12282" max="12282" width="10.5" style="211" customWidth="1"/>
    <col min="12283" max="12283" width="11" style="211" customWidth="1"/>
    <col min="12284" max="12284" width="8.6640625" style="211"/>
    <col min="12285" max="12291" width="11.33203125" style="211" bestFit="1" customWidth="1"/>
    <col min="12292" max="12294" width="10.6640625" style="211" bestFit="1" customWidth="1"/>
    <col min="12295" max="12533" width="8.6640625" style="211"/>
    <col min="12534" max="12534" width="11.5" style="211" bestFit="1" customWidth="1"/>
    <col min="12535" max="12535" width="14" style="211" customWidth="1"/>
    <col min="12536" max="12536" width="12.6640625" style="211" bestFit="1" customWidth="1"/>
    <col min="12537" max="12537" width="10" style="211" customWidth="1"/>
    <col min="12538" max="12538" width="10.5" style="211" customWidth="1"/>
    <col min="12539" max="12539" width="11" style="211" customWidth="1"/>
    <col min="12540" max="12540" width="8.6640625" style="211"/>
    <col min="12541" max="12547" width="11.33203125" style="211" bestFit="1" customWidth="1"/>
    <col min="12548" max="12550" width="10.6640625" style="211" bestFit="1" customWidth="1"/>
    <col min="12551" max="12789" width="8.6640625" style="211"/>
    <col min="12790" max="12790" width="11.5" style="211" bestFit="1" customWidth="1"/>
    <col min="12791" max="12791" width="14" style="211" customWidth="1"/>
    <col min="12792" max="12792" width="12.6640625" style="211" bestFit="1" customWidth="1"/>
    <col min="12793" max="12793" width="10" style="211" customWidth="1"/>
    <col min="12794" max="12794" width="10.5" style="211" customWidth="1"/>
    <col min="12795" max="12795" width="11" style="211" customWidth="1"/>
    <col min="12796" max="12796" width="8.6640625" style="211"/>
    <col min="12797" max="12803" width="11.33203125" style="211" bestFit="1" customWidth="1"/>
    <col min="12804" max="12806" width="10.6640625" style="211" bestFit="1" customWidth="1"/>
    <col min="12807" max="13045" width="8.6640625" style="211"/>
    <col min="13046" max="13046" width="11.5" style="211" bestFit="1" customWidth="1"/>
    <col min="13047" max="13047" width="14" style="211" customWidth="1"/>
    <col min="13048" max="13048" width="12.6640625" style="211" bestFit="1" customWidth="1"/>
    <col min="13049" max="13049" width="10" style="211" customWidth="1"/>
    <col min="13050" max="13050" width="10.5" style="211" customWidth="1"/>
    <col min="13051" max="13051" width="11" style="211" customWidth="1"/>
    <col min="13052" max="13052" width="8.6640625" style="211"/>
    <col min="13053" max="13059" width="11.33203125" style="211" bestFit="1" customWidth="1"/>
    <col min="13060" max="13062" width="10.6640625" style="211" bestFit="1" customWidth="1"/>
    <col min="13063" max="13301" width="8.6640625" style="211"/>
    <col min="13302" max="13302" width="11.5" style="211" bestFit="1" customWidth="1"/>
    <col min="13303" max="13303" width="14" style="211" customWidth="1"/>
    <col min="13304" max="13304" width="12.6640625" style="211" bestFit="1" customWidth="1"/>
    <col min="13305" max="13305" width="10" style="211" customWidth="1"/>
    <col min="13306" max="13306" width="10.5" style="211" customWidth="1"/>
    <col min="13307" max="13307" width="11" style="211" customWidth="1"/>
    <col min="13308" max="13308" width="8.6640625" style="211"/>
    <col min="13309" max="13315" width="11.33203125" style="211" bestFit="1" customWidth="1"/>
    <col min="13316" max="13318" width="10.6640625" style="211" bestFit="1" customWidth="1"/>
    <col min="13319" max="13557" width="8.6640625" style="211"/>
    <col min="13558" max="13558" width="11.5" style="211" bestFit="1" customWidth="1"/>
    <col min="13559" max="13559" width="14" style="211" customWidth="1"/>
    <col min="13560" max="13560" width="12.6640625" style="211" bestFit="1" customWidth="1"/>
    <col min="13561" max="13561" width="10" style="211" customWidth="1"/>
    <col min="13562" max="13562" width="10.5" style="211" customWidth="1"/>
    <col min="13563" max="13563" width="11" style="211" customWidth="1"/>
    <col min="13564" max="13564" width="8.6640625" style="211"/>
    <col min="13565" max="13571" width="11.33203125" style="211" bestFit="1" customWidth="1"/>
    <col min="13572" max="13574" width="10.6640625" style="211" bestFit="1" customWidth="1"/>
    <col min="13575" max="13813" width="8.6640625" style="211"/>
    <col min="13814" max="13814" width="11.5" style="211" bestFit="1" customWidth="1"/>
    <col min="13815" max="13815" width="14" style="211" customWidth="1"/>
    <col min="13816" max="13816" width="12.6640625" style="211" bestFit="1" customWidth="1"/>
    <col min="13817" max="13817" width="10" style="211" customWidth="1"/>
    <col min="13818" max="13818" width="10.5" style="211" customWidth="1"/>
    <col min="13819" max="13819" width="11" style="211" customWidth="1"/>
    <col min="13820" max="13820" width="8.6640625" style="211"/>
    <col min="13821" max="13827" width="11.33203125" style="211" bestFit="1" customWidth="1"/>
    <col min="13828" max="13830" width="10.6640625" style="211" bestFit="1" customWidth="1"/>
    <col min="13831" max="14069" width="8.6640625" style="211"/>
    <col min="14070" max="14070" width="11.5" style="211" bestFit="1" customWidth="1"/>
    <col min="14071" max="14071" width="14" style="211" customWidth="1"/>
    <col min="14072" max="14072" width="12.6640625" style="211" bestFit="1" customWidth="1"/>
    <col min="14073" max="14073" width="10" style="211" customWidth="1"/>
    <col min="14074" max="14074" width="10.5" style="211" customWidth="1"/>
    <col min="14075" max="14075" width="11" style="211" customWidth="1"/>
    <col min="14076" max="14076" width="8.6640625" style="211"/>
    <col min="14077" max="14083" width="11.33203125" style="211" bestFit="1" customWidth="1"/>
    <col min="14084" max="14086" width="10.6640625" style="211" bestFit="1" customWidth="1"/>
    <col min="14087" max="14325" width="8.6640625" style="211"/>
    <col min="14326" max="14326" width="11.5" style="211" bestFit="1" customWidth="1"/>
    <col min="14327" max="14327" width="14" style="211" customWidth="1"/>
    <col min="14328" max="14328" width="12.6640625" style="211" bestFit="1" customWidth="1"/>
    <col min="14329" max="14329" width="10" style="211" customWidth="1"/>
    <col min="14330" max="14330" width="10.5" style="211" customWidth="1"/>
    <col min="14331" max="14331" width="11" style="211" customWidth="1"/>
    <col min="14332" max="14332" width="8.6640625" style="211"/>
    <col min="14333" max="14339" width="11.33203125" style="211" bestFit="1" customWidth="1"/>
    <col min="14340" max="14342" width="10.6640625" style="211" bestFit="1" customWidth="1"/>
    <col min="14343" max="14581" width="8.6640625" style="211"/>
    <col min="14582" max="14582" width="11.5" style="211" bestFit="1" customWidth="1"/>
    <col min="14583" max="14583" width="14" style="211" customWidth="1"/>
    <col min="14584" max="14584" width="12.6640625" style="211" bestFit="1" customWidth="1"/>
    <col min="14585" max="14585" width="10" style="211" customWidth="1"/>
    <col min="14586" max="14586" width="10.5" style="211" customWidth="1"/>
    <col min="14587" max="14587" width="11" style="211" customWidth="1"/>
    <col min="14588" max="14588" width="8.6640625" style="211"/>
    <col min="14589" max="14595" width="11.33203125" style="211" bestFit="1" customWidth="1"/>
    <col min="14596" max="14598" width="10.6640625" style="211" bestFit="1" customWidth="1"/>
    <col min="14599" max="14837" width="8.6640625" style="211"/>
    <col min="14838" max="14838" width="11.5" style="211" bestFit="1" customWidth="1"/>
    <col min="14839" max="14839" width="14" style="211" customWidth="1"/>
    <col min="14840" max="14840" width="12.6640625" style="211" bestFit="1" customWidth="1"/>
    <col min="14841" max="14841" width="10" style="211" customWidth="1"/>
    <col min="14842" max="14842" width="10.5" style="211" customWidth="1"/>
    <col min="14843" max="14843" width="11" style="211" customWidth="1"/>
    <col min="14844" max="14844" width="8.6640625" style="211"/>
    <col min="14845" max="14851" width="11.33203125" style="211" bestFit="1" customWidth="1"/>
    <col min="14852" max="14854" width="10.6640625" style="211" bestFit="1" customWidth="1"/>
    <col min="14855" max="15093" width="8.6640625" style="211"/>
    <col min="15094" max="15094" width="11.5" style="211" bestFit="1" customWidth="1"/>
    <col min="15095" max="15095" width="14" style="211" customWidth="1"/>
    <col min="15096" max="15096" width="12.6640625" style="211" bestFit="1" customWidth="1"/>
    <col min="15097" max="15097" width="10" style="211" customWidth="1"/>
    <col min="15098" max="15098" width="10.5" style="211" customWidth="1"/>
    <col min="15099" max="15099" width="11" style="211" customWidth="1"/>
    <col min="15100" max="15100" width="8.6640625" style="211"/>
    <col min="15101" max="15107" width="11.33203125" style="211" bestFit="1" customWidth="1"/>
    <col min="15108" max="15110" width="10.6640625" style="211" bestFit="1" customWidth="1"/>
    <col min="15111" max="15349" width="8.6640625" style="211"/>
    <col min="15350" max="15350" width="11.5" style="211" bestFit="1" customWidth="1"/>
    <col min="15351" max="15351" width="14" style="211" customWidth="1"/>
    <col min="15352" max="15352" width="12.6640625" style="211" bestFit="1" customWidth="1"/>
    <col min="15353" max="15353" width="10" style="211" customWidth="1"/>
    <col min="15354" max="15354" width="10.5" style="211" customWidth="1"/>
    <col min="15355" max="15355" width="11" style="211" customWidth="1"/>
    <col min="15356" max="15356" width="8.6640625" style="211"/>
    <col min="15357" max="15363" width="11.33203125" style="211" bestFit="1" customWidth="1"/>
    <col min="15364" max="15366" width="10.6640625" style="211" bestFit="1" customWidth="1"/>
    <col min="15367" max="15605" width="8.6640625" style="211"/>
    <col min="15606" max="15606" width="11.5" style="211" bestFit="1" customWidth="1"/>
    <col min="15607" max="15607" width="14" style="211" customWidth="1"/>
    <col min="15608" max="15608" width="12.6640625" style="211" bestFit="1" customWidth="1"/>
    <col min="15609" max="15609" width="10" style="211" customWidth="1"/>
    <col min="15610" max="15610" width="10.5" style="211" customWidth="1"/>
    <col min="15611" max="15611" width="11" style="211" customWidth="1"/>
    <col min="15612" max="15612" width="8.6640625" style="211"/>
    <col min="15613" max="15619" width="11.33203125" style="211" bestFit="1" customWidth="1"/>
    <col min="15620" max="15622" width="10.6640625" style="211" bestFit="1" customWidth="1"/>
    <col min="15623" max="15861" width="8.6640625" style="211"/>
    <col min="15862" max="15862" width="11.5" style="211" bestFit="1" customWidth="1"/>
    <col min="15863" max="15863" width="14" style="211" customWidth="1"/>
    <col min="15864" max="15864" width="12.6640625" style="211" bestFit="1" customWidth="1"/>
    <col min="15865" max="15865" width="10" style="211" customWidth="1"/>
    <col min="15866" max="15866" width="10.5" style="211" customWidth="1"/>
    <col min="15867" max="15867" width="11" style="211" customWidth="1"/>
    <col min="15868" max="15868" width="8.6640625" style="211"/>
    <col min="15869" max="15875" width="11.33203125" style="211" bestFit="1" customWidth="1"/>
    <col min="15876" max="15878" width="10.6640625" style="211" bestFit="1" customWidth="1"/>
    <col min="15879" max="16117" width="8.6640625" style="211"/>
    <col min="16118" max="16118" width="11.5" style="211" bestFit="1" customWidth="1"/>
    <col min="16119" max="16119" width="14" style="211" customWidth="1"/>
    <col min="16120" max="16120" width="12.6640625" style="211" bestFit="1" customWidth="1"/>
    <col min="16121" max="16121" width="10" style="211" customWidth="1"/>
    <col min="16122" max="16122" width="10.5" style="211" customWidth="1"/>
    <col min="16123" max="16123" width="11" style="211" customWidth="1"/>
    <col min="16124" max="16124" width="8.6640625" style="211"/>
    <col min="16125" max="16131" width="11.33203125" style="211" bestFit="1" customWidth="1"/>
    <col min="16132" max="16134" width="10.6640625" style="211" bestFit="1" customWidth="1"/>
    <col min="16135" max="16372" width="8.6640625" style="211"/>
    <col min="16373" max="16384" width="8.6640625" style="211" customWidth="1"/>
  </cols>
  <sheetData>
    <row r="1" spans="1:7">
      <c r="A1" s="209">
        <f>'10 Years Mixed'!A1:Q1</f>
        <v>0</v>
      </c>
      <c r="B1" s="209"/>
      <c r="C1" s="210"/>
      <c r="D1" s="210"/>
      <c r="E1" s="210"/>
      <c r="F1" s="210"/>
    </row>
    <row r="2" spans="1:7">
      <c r="A2" s="210">
        <f>'Municipality Benefits Analysis'!I29</f>
        <v>0</v>
      </c>
      <c r="B2" s="210" t="s">
        <v>8</v>
      </c>
      <c r="C2" s="210"/>
      <c r="D2" s="212">
        <f>'Cash Flow + Debt'!D20</f>
        <v>0</v>
      </c>
      <c r="E2" s="210"/>
      <c r="F2" s="210"/>
    </row>
    <row r="3" spans="1:7">
      <c r="A3" s="210"/>
      <c r="B3" s="210"/>
      <c r="C3" s="210"/>
      <c r="D3" s="213">
        <f>'Cash Flow + Debt'!D23</f>
        <v>0</v>
      </c>
      <c r="E3" s="210"/>
      <c r="F3" s="210"/>
    </row>
    <row r="4" spans="1:7">
      <c r="A4" s="210" t="s">
        <v>203</v>
      </c>
      <c r="B4" s="210"/>
      <c r="C4" s="210"/>
      <c r="D4" s="210">
        <f>'Cash Flow + Debt'!D24*12</f>
        <v>0</v>
      </c>
      <c r="E4" s="210" t="s">
        <v>204</v>
      </c>
      <c r="F4" s="210"/>
    </row>
    <row r="5" spans="1:7">
      <c r="A5" s="209" t="s">
        <v>205</v>
      </c>
      <c r="B5" s="209"/>
      <c r="D5" s="212">
        <f>IFERROR(PMT(D3/12,D4,-D2),0)</f>
        <v>0</v>
      </c>
      <c r="E5" s="212"/>
      <c r="F5" s="212"/>
      <c r="G5" s="212"/>
    </row>
    <row r="6" spans="1:7">
      <c r="C6" s="212"/>
      <c r="D6" s="212"/>
      <c r="E6" s="212"/>
      <c r="F6" s="212"/>
    </row>
    <row r="7" spans="1:7">
      <c r="A7" s="214" t="s">
        <v>206</v>
      </c>
      <c r="B7" s="214" t="s">
        <v>207</v>
      </c>
      <c r="C7" s="215" t="s">
        <v>208</v>
      </c>
      <c r="D7" s="215" t="s">
        <v>209</v>
      </c>
      <c r="E7" s="215" t="s">
        <v>5</v>
      </c>
      <c r="F7" s="215" t="s">
        <v>210</v>
      </c>
      <c r="G7" s="215" t="s">
        <v>211</v>
      </c>
    </row>
    <row r="8" spans="1:7">
      <c r="A8" s="216">
        <v>1</v>
      </c>
      <c r="B8" s="217">
        <f>'Summary Page'!A3+120</f>
        <v>46233</v>
      </c>
      <c r="C8" s="212">
        <f>D2</f>
        <v>0</v>
      </c>
      <c r="D8" s="212">
        <f>IFERROR(PV($D$3/12,($D$4-A8),-$D$5),0)</f>
        <v>0</v>
      </c>
      <c r="E8" s="212">
        <f t="shared" ref="E8:E71" si="0">IF(C8=0,0,$D$5)</f>
        <v>0</v>
      </c>
      <c r="F8" s="212">
        <f t="shared" ref="F8:F71" si="1">E8-(C8-D8)</f>
        <v>0</v>
      </c>
      <c r="G8" s="212">
        <f t="shared" ref="G8:G71" si="2">E8-F8</f>
        <v>0</v>
      </c>
    </row>
    <row r="9" spans="1:7">
      <c r="A9" s="216">
        <v>2</v>
      </c>
      <c r="B9" s="217">
        <f>B8+31</f>
        <v>46264</v>
      </c>
      <c r="C9" s="212">
        <f t="shared" ref="C9:C72" si="3">D8</f>
        <v>0</v>
      </c>
      <c r="D9" s="212">
        <f>IFERROR(PV($D$3/12,($D$4-A9),-$D$5),0)</f>
        <v>0</v>
      </c>
      <c r="E9" s="212">
        <f t="shared" si="0"/>
        <v>0</v>
      </c>
      <c r="F9" s="212">
        <f t="shared" si="1"/>
        <v>0</v>
      </c>
      <c r="G9" s="212">
        <f t="shared" si="2"/>
        <v>0</v>
      </c>
    </row>
    <row r="10" spans="1:7">
      <c r="A10" s="216">
        <v>3</v>
      </c>
      <c r="B10" s="217">
        <f>B9+30</f>
        <v>46294</v>
      </c>
      <c r="C10" s="212">
        <f t="shared" si="3"/>
        <v>0</v>
      </c>
      <c r="D10" s="212"/>
      <c r="E10" s="212">
        <f t="shared" si="0"/>
        <v>0</v>
      </c>
      <c r="F10" s="212">
        <f t="shared" si="1"/>
        <v>0</v>
      </c>
      <c r="G10" s="212">
        <f t="shared" si="2"/>
        <v>0</v>
      </c>
    </row>
    <row r="11" spans="1:7">
      <c r="A11" s="216">
        <v>4</v>
      </c>
      <c r="B11" s="217">
        <f>B10+31</f>
        <v>46325</v>
      </c>
      <c r="C11" s="212">
        <f t="shared" si="3"/>
        <v>0</v>
      </c>
      <c r="D11" s="215">
        <f>IFERROR(PV($D$3/12,($D$4-A11),-$D$5),0)</f>
        <v>0</v>
      </c>
      <c r="E11" s="212">
        <f t="shared" si="0"/>
        <v>0</v>
      </c>
      <c r="F11" s="212">
        <f t="shared" si="1"/>
        <v>0</v>
      </c>
      <c r="G11" s="212">
        <f t="shared" si="2"/>
        <v>0</v>
      </c>
    </row>
    <row r="12" spans="1:7">
      <c r="A12" s="216">
        <v>5</v>
      </c>
      <c r="B12" s="217">
        <f>B11+30</f>
        <v>46355</v>
      </c>
      <c r="C12" s="212">
        <f t="shared" si="3"/>
        <v>0</v>
      </c>
      <c r="D12" s="212">
        <f>IFERROR(PV($D$3/12,($D$4-A12),-$D$5),0)</f>
        <v>0</v>
      </c>
      <c r="E12" s="212">
        <f t="shared" si="0"/>
        <v>0</v>
      </c>
      <c r="F12" s="212">
        <f t="shared" si="1"/>
        <v>0</v>
      </c>
      <c r="G12" s="212">
        <f t="shared" si="2"/>
        <v>0</v>
      </c>
    </row>
    <row r="13" spans="1:7">
      <c r="A13" s="216">
        <v>6</v>
      </c>
      <c r="B13" s="217">
        <f>B12+31</f>
        <v>46386</v>
      </c>
      <c r="C13" s="212">
        <f t="shared" si="3"/>
        <v>0</v>
      </c>
      <c r="D13" s="212">
        <f t="shared" ref="D13:D71" si="4">PV($D$3/12,($D$4-A13),-$D$5)</f>
        <v>0</v>
      </c>
      <c r="E13" s="212">
        <f t="shared" si="0"/>
        <v>0</v>
      </c>
      <c r="F13" s="212">
        <f t="shared" si="1"/>
        <v>0</v>
      </c>
      <c r="G13" s="212">
        <f t="shared" si="2"/>
        <v>0</v>
      </c>
    </row>
    <row r="14" spans="1:7">
      <c r="A14" s="216">
        <v>7</v>
      </c>
      <c r="B14" s="217">
        <f>B13+31</f>
        <v>46417</v>
      </c>
      <c r="C14" s="212">
        <f t="shared" si="3"/>
        <v>0</v>
      </c>
      <c r="D14" s="212">
        <f t="shared" si="4"/>
        <v>0</v>
      </c>
      <c r="E14" s="212">
        <f t="shared" si="0"/>
        <v>0</v>
      </c>
      <c r="F14" s="212">
        <f t="shared" si="1"/>
        <v>0</v>
      </c>
      <c r="G14" s="212">
        <f t="shared" si="2"/>
        <v>0</v>
      </c>
    </row>
    <row r="15" spans="1:7">
      <c r="A15" s="216">
        <v>8</v>
      </c>
      <c r="B15" s="217">
        <f>B14+30</f>
        <v>46447</v>
      </c>
      <c r="C15" s="212">
        <f t="shared" si="3"/>
        <v>0</v>
      </c>
      <c r="D15" s="212">
        <f t="shared" si="4"/>
        <v>0</v>
      </c>
      <c r="E15" s="212">
        <f t="shared" si="0"/>
        <v>0</v>
      </c>
      <c r="F15" s="212">
        <f t="shared" si="1"/>
        <v>0</v>
      </c>
      <c r="G15" s="212">
        <f t="shared" si="2"/>
        <v>0</v>
      </c>
    </row>
    <row r="16" spans="1:7">
      <c r="A16" s="216">
        <v>9</v>
      </c>
      <c r="B16" s="217">
        <f>B15+31</f>
        <v>46478</v>
      </c>
      <c r="C16" s="212">
        <f t="shared" si="3"/>
        <v>0</v>
      </c>
      <c r="D16" s="212">
        <f t="shared" si="4"/>
        <v>0</v>
      </c>
      <c r="E16" s="212">
        <f t="shared" si="0"/>
        <v>0</v>
      </c>
      <c r="F16" s="212">
        <f t="shared" si="1"/>
        <v>0</v>
      </c>
      <c r="G16" s="212">
        <f t="shared" si="2"/>
        <v>0</v>
      </c>
    </row>
    <row r="17" spans="1:7">
      <c r="A17" s="216">
        <f t="shared" ref="A17:A80" si="5">A16+1</f>
        <v>10</v>
      </c>
      <c r="B17" s="217">
        <f>B16+30</f>
        <v>46508</v>
      </c>
      <c r="C17" s="212">
        <f t="shared" si="3"/>
        <v>0</v>
      </c>
      <c r="D17" s="212">
        <f t="shared" si="4"/>
        <v>0</v>
      </c>
      <c r="E17" s="212">
        <f t="shared" si="0"/>
        <v>0</v>
      </c>
      <c r="F17" s="212">
        <f t="shared" si="1"/>
        <v>0</v>
      </c>
      <c r="G17" s="212">
        <f t="shared" si="2"/>
        <v>0</v>
      </c>
    </row>
    <row r="18" spans="1:7">
      <c r="A18" s="216">
        <f t="shared" si="5"/>
        <v>11</v>
      </c>
      <c r="B18" s="217">
        <f>B17+31</f>
        <v>46539</v>
      </c>
      <c r="C18" s="212">
        <f t="shared" si="3"/>
        <v>0</v>
      </c>
      <c r="D18" s="212">
        <f t="shared" si="4"/>
        <v>0</v>
      </c>
      <c r="E18" s="212">
        <f t="shared" si="0"/>
        <v>0</v>
      </c>
      <c r="F18" s="212">
        <f t="shared" si="1"/>
        <v>0</v>
      </c>
      <c r="G18" s="212">
        <f t="shared" si="2"/>
        <v>0</v>
      </c>
    </row>
    <row r="19" spans="1:7">
      <c r="A19" s="216">
        <f t="shared" si="5"/>
        <v>12</v>
      </c>
      <c r="B19" s="217">
        <f>B18+31</f>
        <v>46570</v>
      </c>
      <c r="C19" s="212">
        <f t="shared" si="3"/>
        <v>0</v>
      </c>
      <c r="D19" s="212">
        <f t="shared" si="4"/>
        <v>0</v>
      </c>
      <c r="E19" s="212">
        <f t="shared" si="0"/>
        <v>0</v>
      </c>
      <c r="F19" s="212">
        <f t="shared" si="1"/>
        <v>0</v>
      </c>
      <c r="G19" s="212">
        <f t="shared" si="2"/>
        <v>0</v>
      </c>
    </row>
    <row r="20" spans="1:7">
      <c r="A20" s="216">
        <f t="shared" si="5"/>
        <v>13</v>
      </c>
      <c r="B20" s="217">
        <f>B19+29</f>
        <v>46599</v>
      </c>
      <c r="C20" s="212">
        <f t="shared" si="3"/>
        <v>0</v>
      </c>
      <c r="D20" s="212">
        <f t="shared" si="4"/>
        <v>0</v>
      </c>
      <c r="E20" s="212">
        <f t="shared" si="0"/>
        <v>0</v>
      </c>
      <c r="F20" s="212">
        <f t="shared" si="1"/>
        <v>0</v>
      </c>
      <c r="G20" s="212">
        <f t="shared" si="2"/>
        <v>0</v>
      </c>
    </row>
    <row r="21" spans="1:7">
      <c r="A21" s="216">
        <f t="shared" si="5"/>
        <v>14</v>
      </c>
      <c r="B21" s="217">
        <f>B20+31</f>
        <v>46630</v>
      </c>
      <c r="C21" s="212">
        <f t="shared" si="3"/>
        <v>0</v>
      </c>
      <c r="D21" s="212">
        <f t="shared" si="4"/>
        <v>0</v>
      </c>
      <c r="E21" s="212">
        <f t="shared" si="0"/>
        <v>0</v>
      </c>
      <c r="F21" s="212">
        <f t="shared" si="1"/>
        <v>0</v>
      </c>
      <c r="G21" s="212">
        <f t="shared" si="2"/>
        <v>0</v>
      </c>
    </row>
    <row r="22" spans="1:7">
      <c r="A22" s="216">
        <f t="shared" si="5"/>
        <v>15</v>
      </c>
      <c r="B22" s="217">
        <f>B21+30</f>
        <v>46660</v>
      </c>
      <c r="C22" s="212">
        <f t="shared" si="3"/>
        <v>0</v>
      </c>
      <c r="D22" s="212">
        <f t="shared" si="4"/>
        <v>0</v>
      </c>
      <c r="E22" s="212">
        <f t="shared" si="0"/>
        <v>0</v>
      </c>
      <c r="F22" s="212">
        <f t="shared" si="1"/>
        <v>0</v>
      </c>
      <c r="G22" s="212">
        <f t="shared" si="2"/>
        <v>0</v>
      </c>
    </row>
    <row r="23" spans="1:7">
      <c r="A23" s="216">
        <f t="shared" si="5"/>
        <v>16</v>
      </c>
      <c r="B23" s="217">
        <f>B22+31</f>
        <v>46691</v>
      </c>
      <c r="C23" s="212">
        <f t="shared" si="3"/>
        <v>0</v>
      </c>
      <c r="D23" s="212">
        <f t="shared" si="4"/>
        <v>0</v>
      </c>
      <c r="E23" s="212">
        <f t="shared" si="0"/>
        <v>0</v>
      </c>
      <c r="F23" s="212">
        <f t="shared" si="1"/>
        <v>0</v>
      </c>
      <c r="G23" s="212">
        <f t="shared" si="2"/>
        <v>0</v>
      </c>
    </row>
    <row r="24" spans="1:7">
      <c r="A24" s="216">
        <f t="shared" si="5"/>
        <v>17</v>
      </c>
      <c r="B24" s="217">
        <f>B23+30</f>
        <v>46721</v>
      </c>
      <c r="C24" s="212">
        <f t="shared" si="3"/>
        <v>0</v>
      </c>
      <c r="D24" s="212">
        <f t="shared" si="4"/>
        <v>0</v>
      </c>
      <c r="E24" s="212">
        <f t="shared" si="0"/>
        <v>0</v>
      </c>
      <c r="F24" s="212">
        <f t="shared" si="1"/>
        <v>0</v>
      </c>
      <c r="G24" s="212">
        <f t="shared" si="2"/>
        <v>0</v>
      </c>
    </row>
    <row r="25" spans="1:7">
      <c r="A25" s="216">
        <f t="shared" si="5"/>
        <v>18</v>
      </c>
      <c r="B25" s="217">
        <f>B24+31</f>
        <v>46752</v>
      </c>
      <c r="C25" s="212">
        <f t="shared" si="3"/>
        <v>0</v>
      </c>
      <c r="D25" s="212">
        <f t="shared" si="4"/>
        <v>0</v>
      </c>
      <c r="E25" s="212">
        <f t="shared" si="0"/>
        <v>0</v>
      </c>
      <c r="F25" s="212">
        <f t="shared" si="1"/>
        <v>0</v>
      </c>
      <c r="G25" s="212">
        <f t="shared" si="2"/>
        <v>0</v>
      </c>
    </row>
    <row r="26" spans="1:7">
      <c r="A26" s="216">
        <f t="shared" si="5"/>
        <v>19</v>
      </c>
      <c r="B26" s="217">
        <f>B25+31</f>
        <v>46783</v>
      </c>
      <c r="C26" s="212">
        <f t="shared" si="3"/>
        <v>0</v>
      </c>
      <c r="D26" s="212">
        <f t="shared" si="4"/>
        <v>0</v>
      </c>
      <c r="E26" s="212">
        <f t="shared" si="0"/>
        <v>0</v>
      </c>
      <c r="F26" s="212">
        <f t="shared" si="1"/>
        <v>0</v>
      </c>
      <c r="G26" s="212">
        <f t="shared" si="2"/>
        <v>0</v>
      </c>
    </row>
    <row r="27" spans="1:7">
      <c r="A27" s="216">
        <f t="shared" si="5"/>
        <v>20</v>
      </c>
      <c r="B27" s="217">
        <f>B26+30</f>
        <v>46813</v>
      </c>
      <c r="C27" s="212">
        <f t="shared" si="3"/>
        <v>0</v>
      </c>
      <c r="D27" s="212">
        <f t="shared" si="4"/>
        <v>0</v>
      </c>
      <c r="E27" s="212">
        <f t="shared" si="0"/>
        <v>0</v>
      </c>
      <c r="F27" s="212">
        <f t="shared" si="1"/>
        <v>0</v>
      </c>
      <c r="G27" s="212">
        <f t="shared" si="2"/>
        <v>0</v>
      </c>
    </row>
    <row r="28" spans="1:7">
      <c r="A28" s="216">
        <f t="shared" si="5"/>
        <v>21</v>
      </c>
      <c r="B28" s="217">
        <f>B27+31</f>
        <v>46844</v>
      </c>
      <c r="C28" s="212">
        <f t="shared" si="3"/>
        <v>0</v>
      </c>
      <c r="D28" s="212">
        <f t="shared" si="4"/>
        <v>0</v>
      </c>
      <c r="E28" s="212">
        <f t="shared" si="0"/>
        <v>0</v>
      </c>
      <c r="F28" s="212">
        <f t="shared" si="1"/>
        <v>0</v>
      </c>
      <c r="G28" s="212">
        <f t="shared" si="2"/>
        <v>0</v>
      </c>
    </row>
    <row r="29" spans="1:7">
      <c r="A29" s="216">
        <f t="shared" si="5"/>
        <v>22</v>
      </c>
      <c r="B29" s="217">
        <f>B28+30</f>
        <v>46874</v>
      </c>
      <c r="C29" s="212">
        <f t="shared" si="3"/>
        <v>0</v>
      </c>
      <c r="D29" s="212">
        <f t="shared" si="4"/>
        <v>0</v>
      </c>
      <c r="E29" s="212">
        <f t="shared" si="0"/>
        <v>0</v>
      </c>
      <c r="F29" s="212">
        <f t="shared" si="1"/>
        <v>0</v>
      </c>
      <c r="G29" s="212">
        <f t="shared" si="2"/>
        <v>0</v>
      </c>
    </row>
    <row r="30" spans="1:7">
      <c r="A30" s="216">
        <f t="shared" si="5"/>
        <v>23</v>
      </c>
      <c r="B30" s="217">
        <f>B29+31</f>
        <v>46905</v>
      </c>
      <c r="C30" s="212">
        <f t="shared" si="3"/>
        <v>0</v>
      </c>
      <c r="D30" s="212">
        <f t="shared" si="4"/>
        <v>0</v>
      </c>
      <c r="E30" s="212">
        <f t="shared" si="0"/>
        <v>0</v>
      </c>
      <c r="F30" s="212">
        <f t="shared" si="1"/>
        <v>0</v>
      </c>
      <c r="G30" s="212">
        <f t="shared" si="2"/>
        <v>0</v>
      </c>
    </row>
    <row r="31" spans="1:7">
      <c r="A31" s="216">
        <f t="shared" si="5"/>
        <v>24</v>
      </c>
      <c r="B31" s="217">
        <f>B30+31</f>
        <v>46936</v>
      </c>
      <c r="C31" s="212">
        <f t="shared" si="3"/>
        <v>0</v>
      </c>
      <c r="D31" s="212">
        <f t="shared" si="4"/>
        <v>0</v>
      </c>
      <c r="E31" s="212">
        <f t="shared" si="0"/>
        <v>0</v>
      </c>
      <c r="F31" s="212">
        <f t="shared" si="1"/>
        <v>0</v>
      </c>
      <c r="G31" s="212">
        <f t="shared" si="2"/>
        <v>0</v>
      </c>
    </row>
    <row r="32" spans="1:7">
      <c r="A32" s="216">
        <f t="shared" si="5"/>
        <v>25</v>
      </c>
      <c r="B32" s="217">
        <f>B31+28</f>
        <v>46964</v>
      </c>
      <c r="C32" s="212">
        <f t="shared" si="3"/>
        <v>0</v>
      </c>
      <c r="D32" s="212">
        <f t="shared" si="4"/>
        <v>0</v>
      </c>
      <c r="E32" s="212">
        <f t="shared" si="0"/>
        <v>0</v>
      </c>
      <c r="F32" s="212">
        <f t="shared" si="1"/>
        <v>0</v>
      </c>
      <c r="G32" s="212">
        <f t="shared" si="2"/>
        <v>0</v>
      </c>
    </row>
    <row r="33" spans="1:7">
      <c r="A33" s="216">
        <f t="shared" si="5"/>
        <v>26</v>
      </c>
      <c r="B33" s="217">
        <f>B32+31</f>
        <v>46995</v>
      </c>
      <c r="C33" s="212">
        <f t="shared" si="3"/>
        <v>0</v>
      </c>
      <c r="D33" s="212">
        <f t="shared" si="4"/>
        <v>0</v>
      </c>
      <c r="E33" s="212">
        <f t="shared" si="0"/>
        <v>0</v>
      </c>
      <c r="F33" s="212">
        <f t="shared" si="1"/>
        <v>0</v>
      </c>
      <c r="G33" s="212">
        <f t="shared" si="2"/>
        <v>0</v>
      </c>
    </row>
    <row r="34" spans="1:7">
      <c r="A34" s="216">
        <f t="shared" si="5"/>
        <v>27</v>
      </c>
      <c r="B34" s="217">
        <f>B33+30</f>
        <v>47025</v>
      </c>
      <c r="C34" s="212">
        <f t="shared" si="3"/>
        <v>0</v>
      </c>
      <c r="D34" s="212">
        <f t="shared" si="4"/>
        <v>0</v>
      </c>
      <c r="E34" s="212">
        <f t="shared" si="0"/>
        <v>0</v>
      </c>
      <c r="F34" s="212">
        <f t="shared" si="1"/>
        <v>0</v>
      </c>
      <c r="G34" s="212">
        <f t="shared" si="2"/>
        <v>0</v>
      </c>
    </row>
    <row r="35" spans="1:7">
      <c r="A35" s="216">
        <f t="shared" si="5"/>
        <v>28</v>
      </c>
      <c r="B35" s="217">
        <f>B34+31</f>
        <v>47056</v>
      </c>
      <c r="C35" s="212">
        <f t="shared" si="3"/>
        <v>0</v>
      </c>
      <c r="D35" s="212">
        <f t="shared" si="4"/>
        <v>0</v>
      </c>
      <c r="E35" s="212">
        <f t="shared" si="0"/>
        <v>0</v>
      </c>
      <c r="F35" s="212">
        <f t="shared" si="1"/>
        <v>0</v>
      </c>
      <c r="G35" s="212">
        <f t="shared" si="2"/>
        <v>0</v>
      </c>
    </row>
    <row r="36" spans="1:7">
      <c r="A36" s="216">
        <f t="shared" si="5"/>
        <v>29</v>
      </c>
      <c r="B36" s="217">
        <f>B35+30</f>
        <v>47086</v>
      </c>
      <c r="C36" s="212">
        <f t="shared" si="3"/>
        <v>0</v>
      </c>
      <c r="D36" s="212">
        <f t="shared" si="4"/>
        <v>0</v>
      </c>
      <c r="E36" s="212">
        <f t="shared" si="0"/>
        <v>0</v>
      </c>
      <c r="F36" s="212">
        <f t="shared" si="1"/>
        <v>0</v>
      </c>
      <c r="G36" s="212">
        <f t="shared" si="2"/>
        <v>0</v>
      </c>
    </row>
    <row r="37" spans="1:7">
      <c r="A37" s="216">
        <f t="shared" si="5"/>
        <v>30</v>
      </c>
      <c r="B37" s="217">
        <f>B36+31</f>
        <v>47117</v>
      </c>
      <c r="C37" s="212">
        <f t="shared" si="3"/>
        <v>0</v>
      </c>
      <c r="D37" s="212">
        <f t="shared" si="4"/>
        <v>0</v>
      </c>
      <c r="E37" s="212">
        <f t="shared" si="0"/>
        <v>0</v>
      </c>
      <c r="F37" s="212">
        <f t="shared" si="1"/>
        <v>0</v>
      </c>
      <c r="G37" s="212">
        <f t="shared" si="2"/>
        <v>0</v>
      </c>
    </row>
    <row r="38" spans="1:7">
      <c r="A38" s="216">
        <f t="shared" si="5"/>
        <v>31</v>
      </c>
      <c r="B38" s="217">
        <f>B37+31</f>
        <v>47148</v>
      </c>
      <c r="C38" s="212">
        <f t="shared" si="3"/>
        <v>0</v>
      </c>
      <c r="D38" s="212">
        <f t="shared" si="4"/>
        <v>0</v>
      </c>
      <c r="E38" s="212">
        <f t="shared" si="0"/>
        <v>0</v>
      </c>
      <c r="F38" s="212">
        <f t="shared" si="1"/>
        <v>0</v>
      </c>
      <c r="G38" s="212">
        <f t="shared" si="2"/>
        <v>0</v>
      </c>
    </row>
    <row r="39" spans="1:7">
      <c r="A39" s="216">
        <f t="shared" si="5"/>
        <v>32</v>
      </c>
      <c r="B39" s="217">
        <f>B38+30</f>
        <v>47178</v>
      </c>
      <c r="C39" s="212">
        <f t="shared" si="3"/>
        <v>0</v>
      </c>
      <c r="D39" s="212">
        <f t="shared" si="4"/>
        <v>0</v>
      </c>
      <c r="E39" s="212">
        <f t="shared" si="0"/>
        <v>0</v>
      </c>
      <c r="F39" s="212">
        <f t="shared" si="1"/>
        <v>0</v>
      </c>
      <c r="G39" s="212">
        <f t="shared" si="2"/>
        <v>0</v>
      </c>
    </row>
    <row r="40" spans="1:7">
      <c r="A40" s="216">
        <f t="shared" si="5"/>
        <v>33</v>
      </c>
      <c r="B40" s="217">
        <f>B39+31</f>
        <v>47209</v>
      </c>
      <c r="C40" s="212">
        <f t="shared" si="3"/>
        <v>0</v>
      </c>
      <c r="D40" s="212">
        <f t="shared" si="4"/>
        <v>0</v>
      </c>
      <c r="E40" s="212">
        <f t="shared" si="0"/>
        <v>0</v>
      </c>
      <c r="F40" s="212">
        <f t="shared" si="1"/>
        <v>0</v>
      </c>
      <c r="G40" s="212">
        <f t="shared" si="2"/>
        <v>0</v>
      </c>
    </row>
    <row r="41" spans="1:7">
      <c r="A41" s="216">
        <f t="shared" si="5"/>
        <v>34</v>
      </c>
      <c r="B41" s="217">
        <f>B40+30</f>
        <v>47239</v>
      </c>
      <c r="C41" s="212">
        <f t="shared" si="3"/>
        <v>0</v>
      </c>
      <c r="D41" s="212">
        <f t="shared" si="4"/>
        <v>0</v>
      </c>
      <c r="E41" s="212">
        <f t="shared" si="0"/>
        <v>0</v>
      </c>
      <c r="F41" s="212">
        <f t="shared" si="1"/>
        <v>0</v>
      </c>
      <c r="G41" s="212">
        <f t="shared" si="2"/>
        <v>0</v>
      </c>
    </row>
    <row r="42" spans="1:7">
      <c r="A42" s="216">
        <f t="shared" si="5"/>
        <v>35</v>
      </c>
      <c r="B42" s="217">
        <f>B41+31</f>
        <v>47270</v>
      </c>
      <c r="C42" s="212">
        <f t="shared" si="3"/>
        <v>0</v>
      </c>
      <c r="D42" s="212">
        <f t="shared" si="4"/>
        <v>0</v>
      </c>
      <c r="E42" s="212">
        <f t="shared" si="0"/>
        <v>0</v>
      </c>
      <c r="F42" s="212">
        <f t="shared" si="1"/>
        <v>0</v>
      </c>
      <c r="G42" s="212">
        <f t="shared" si="2"/>
        <v>0</v>
      </c>
    </row>
    <row r="43" spans="1:7">
      <c r="A43" s="216">
        <f t="shared" si="5"/>
        <v>36</v>
      </c>
      <c r="B43" s="217">
        <f>B42+31</f>
        <v>47301</v>
      </c>
      <c r="C43" s="212">
        <f t="shared" si="3"/>
        <v>0</v>
      </c>
      <c r="D43" s="212">
        <f t="shared" si="4"/>
        <v>0</v>
      </c>
      <c r="E43" s="212">
        <f t="shared" si="0"/>
        <v>0</v>
      </c>
      <c r="F43" s="212">
        <f t="shared" si="1"/>
        <v>0</v>
      </c>
      <c r="G43" s="212">
        <f t="shared" si="2"/>
        <v>0</v>
      </c>
    </row>
    <row r="44" spans="1:7">
      <c r="A44" s="216">
        <f t="shared" si="5"/>
        <v>37</v>
      </c>
      <c r="B44" s="217">
        <f>B43+28</f>
        <v>47329</v>
      </c>
      <c r="C44" s="212">
        <f t="shared" si="3"/>
        <v>0</v>
      </c>
      <c r="D44" s="212">
        <f t="shared" si="4"/>
        <v>0</v>
      </c>
      <c r="E44" s="212">
        <f t="shared" si="0"/>
        <v>0</v>
      </c>
      <c r="F44" s="212">
        <f t="shared" si="1"/>
        <v>0</v>
      </c>
      <c r="G44" s="212">
        <f t="shared" si="2"/>
        <v>0</v>
      </c>
    </row>
    <row r="45" spans="1:7">
      <c r="A45" s="216">
        <f t="shared" si="5"/>
        <v>38</v>
      </c>
      <c r="B45" s="217">
        <f>B44+31</f>
        <v>47360</v>
      </c>
      <c r="C45" s="212">
        <f t="shared" si="3"/>
        <v>0</v>
      </c>
      <c r="D45" s="212">
        <f t="shared" si="4"/>
        <v>0</v>
      </c>
      <c r="E45" s="212">
        <f t="shared" si="0"/>
        <v>0</v>
      </c>
      <c r="F45" s="212">
        <f t="shared" si="1"/>
        <v>0</v>
      </c>
      <c r="G45" s="212">
        <f t="shared" si="2"/>
        <v>0</v>
      </c>
    </row>
    <row r="46" spans="1:7">
      <c r="A46" s="216">
        <f t="shared" si="5"/>
        <v>39</v>
      </c>
      <c r="B46" s="217">
        <f>B45+30</f>
        <v>47390</v>
      </c>
      <c r="C46" s="212">
        <f t="shared" si="3"/>
        <v>0</v>
      </c>
      <c r="D46" s="212">
        <f t="shared" si="4"/>
        <v>0</v>
      </c>
      <c r="E46" s="212">
        <f t="shared" si="0"/>
        <v>0</v>
      </c>
      <c r="F46" s="212">
        <f t="shared" si="1"/>
        <v>0</v>
      </c>
      <c r="G46" s="212">
        <f t="shared" si="2"/>
        <v>0</v>
      </c>
    </row>
    <row r="47" spans="1:7">
      <c r="A47" s="216">
        <f t="shared" si="5"/>
        <v>40</v>
      </c>
      <c r="B47" s="217">
        <f>B46+31</f>
        <v>47421</v>
      </c>
      <c r="C47" s="212">
        <f t="shared" si="3"/>
        <v>0</v>
      </c>
      <c r="D47" s="212">
        <f t="shared" si="4"/>
        <v>0</v>
      </c>
      <c r="E47" s="212">
        <f t="shared" si="0"/>
        <v>0</v>
      </c>
      <c r="F47" s="212">
        <f t="shared" si="1"/>
        <v>0</v>
      </c>
      <c r="G47" s="212">
        <f t="shared" si="2"/>
        <v>0</v>
      </c>
    </row>
    <row r="48" spans="1:7">
      <c r="A48" s="216">
        <f t="shared" si="5"/>
        <v>41</v>
      </c>
      <c r="B48" s="217">
        <f>B47+31</f>
        <v>47452</v>
      </c>
      <c r="C48" s="212">
        <f t="shared" si="3"/>
        <v>0</v>
      </c>
      <c r="D48" s="212">
        <f t="shared" si="4"/>
        <v>0</v>
      </c>
      <c r="E48" s="212">
        <f t="shared" si="0"/>
        <v>0</v>
      </c>
      <c r="F48" s="212">
        <f t="shared" si="1"/>
        <v>0</v>
      </c>
      <c r="G48" s="212">
        <f t="shared" si="2"/>
        <v>0</v>
      </c>
    </row>
    <row r="49" spans="1:7">
      <c r="A49" s="216">
        <f t="shared" si="5"/>
        <v>42</v>
      </c>
      <c r="B49" s="217">
        <f>B48+31</f>
        <v>47483</v>
      </c>
      <c r="C49" s="212">
        <f t="shared" si="3"/>
        <v>0</v>
      </c>
      <c r="D49" s="212">
        <f t="shared" si="4"/>
        <v>0</v>
      </c>
      <c r="E49" s="212">
        <f t="shared" si="0"/>
        <v>0</v>
      </c>
      <c r="F49" s="212">
        <f t="shared" si="1"/>
        <v>0</v>
      </c>
      <c r="G49" s="212">
        <f t="shared" si="2"/>
        <v>0</v>
      </c>
    </row>
    <row r="50" spans="1:7">
      <c r="A50" s="216">
        <f t="shared" si="5"/>
        <v>43</v>
      </c>
      <c r="B50" s="217">
        <f>B49+31</f>
        <v>47514</v>
      </c>
      <c r="C50" s="212">
        <f t="shared" si="3"/>
        <v>0</v>
      </c>
      <c r="D50" s="212">
        <f t="shared" si="4"/>
        <v>0</v>
      </c>
      <c r="E50" s="212">
        <f t="shared" si="0"/>
        <v>0</v>
      </c>
      <c r="F50" s="212">
        <f t="shared" si="1"/>
        <v>0</v>
      </c>
      <c r="G50" s="212">
        <f t="shared" si="2"/>
        <v>0</v>
      </c>
    </row>
    <row r="51" spans="1:7">
      <c r="A51" s="216">
        <f t="shared" si="5"/>
        <v>44</v>
      </c>
      <c r="B51" s="217">
        <f>B50+30</f>
        <v>47544</v>
      </c>
      <c r="C51" s="212">
        <f t="shared" si="3"/>
        <v>0</v>
      </c>
      <c r="D51" s="212">
        <f t="shared" si="4"/>
        <v>0</v>
      </c>
      <c r="E51" s="212">
        <f t="shared" si="0"/>
        <v>0</v>
      </c>
      <c r="F51" s="212">
        <f t="shared" si="1"/>
        <v>0</v>
      </c>
      <c r="G51" s="212">
        <f t="shared" si="2"/>
        <v>0</v>
      </c>
    </row>
    <row r="52" spans="1:7">
      <c r="A52" s="216">
        <f t="shared" si="5"/>
        <v>45</v>
      </c>
      <c r="B52" s="217">
        <f>B51+31</f>
        <v>47575</v>
      </c>
      <c r="C52" s="212">
        <f t="shared" si="3"/>
        <v>0</v>
      </c>
      <c r="D52" s="212">
        <f t="shared" si="4"/>
        <v>0</v>
      </c>
      <c r="E52" s="212">
        <f t="shared" si="0"/>
        <v>0</v>
      </c>
      <c r="F52" s="212">
        <f t="shared" si="1"/>
        <v>0</v>
      </c>
      <c r="G52" s="212">
        <f t="shared" si="2"/>
        <v>0</v>
      </c>
    </row>
    <row r="53" spans="1:7">
      <c r="A53" s="216">
        <f t="shared" si="5"/>
        <v>46</v>
      </c>
      <c r="B53" s="217">
        <f>B52+30</f>
        <v>47605</v>
      </c>
      <c r="C53" s="212">
        <f t="shared" si="3"/>
        <v>0</v>
      </c>
      <c r="D53" s="212">
        <f t="shared" si="4"/>
        <v>0</v>
      </c>
      <c r="E53" s="212">
        <f t="shared" si="0"/>
        <v>0</v>
      </c>
      <c r="F53" s="212">
        <f t="shared" si="1"/>
        <v>0</v>
      </c>
      <c r="G53" s="212">
        <f t="shared" si="2"/>
        <v>0</v>
      </c>
    </row>
    <row r="54" spans="1:7">
      <c r="A54" s="216">
        <f t="shared" si="5"/>
        <v>47</v>
      </c>
      <c r="B54" s="217">
        <f>B53+31</f>
        <v>47636</v>
      </c>
      <c r="C54" s="212">
        <f t="shared" si="3"/>
        <v>0</v>
      </c>
      <c r="D54" s="212">
        <f t="shared" si="4"/>
        <v>0</v>
      </c>
      <c r="E54" s="212">
        <f t="shared" si="0"/>
        <v>0</v>
      </c>
      <c r="F54" s="212">
        <f t="shared" si="1"/>
        <v>0</v>
      </c>
      <c r="G54" s="212">
        <f t="shared" si="2"/>
        <v>0</v>
      </c>
    </row>
    <row r="55" spans="1:7">
      <c r="A55" s="216">
        <f t="shared" si="5"/>
        <v>48</v>
      </c>
      <c r="B55" s="217">
        <f>B54+31</f>
        <v>47667</v>
      </c>
      <c r="C55" s="212">
        <f t="shared" si="3"/>
        <v>0</v>
      </c>
      <c r="D55" s="212">
        <f t="shared" si="4"/>
        <v>0</v>
      </c>
      <c r="E55" s="212">
        <f t="shared" si="0"/>
        <v>0</v>
      </c>
      <c r="F55" s="212">
        <f t="shared" si="1"/>
        <v>0</v>
      </c>
      <c r="G55" s="212">
        <f t="shared" si="2"/>
        <v>0</v>
      </c>
    </row>
    <row r="56" spans="1:7">
      <c r="A56" s="216">
        <f t="shared" si="5"/>
        <v>49</v>
      </c>
      <c r="B56" s="217">
        <f>B55+30</f>
        <v>47697</v>
      </c>
      <c r="C56" s="212">
        <f t="shared" si="3"/>
        <v>0</v>
      </c>
      <c r="D56" s="212">
        <f t="shared" si="4"/>
        <v>0</v>
      </c>
      <c r="E56" s="212">
        <f t="shared" si="0"/>
        <v>0</v>
      </c>
      <c r="F56" s="212">
        <f t="shared" si="1"/>
        <v>0</v>
      </c>
      <c r="G56" s="212">
        <f t="shared" si="2"/>
        <v>0</v>
      </c>
    </row>
    <row r="57" spans="1:7">
      <c r="A57" s="216">
        <f t="shared" si="5"/>
        <v>50</v>
      </c>
      <c r="B57" s="217">
        <f>B56+31</f>
        <v>47728</v>
      </c>
      <c r="C57" s="212">
        <f t="shared" si="3"/>
        <v>0</v>
      </c>
      <c r="D57" s="212">
        <f t="shared" si="4"/>
        <v>0</v>
      </c>
      <c r="E57" s="212">
        <f t="shared" si="0"/>
        <v>0</v>
      </c>
      <c r="F57" s="212">
        <f t="shared" si="1"/>
        <v>0</v>
      </c>
      <c r="G57" s="212">
        <f t="shared" si="2"/>
        <v>0</v>
      </c>
    </row>
    <row r="58" spans="1:7">
      <c r="A58" s="216">
        <f t="shared" si="5"/>
        <v>51</v>
      </c>
      <c r="B58" s="217">
        <f>B57+30</f>
        <v>47758</v>
      </c>
      <c r="C58" s="212">
        <f t="shared" si="3"/>
        <v>0</v>
      </c>
      <c r="D58" s="212">
        <f t="shared" si="4"/>
        <v>0</v>
      </c>
      <c r="E58" s="212">
        <f t="shared" si="0"/>
        <v>0</v>
      </c>
      <c r="F58" s="212">
        <f t="shared" si="1"/>
        <v>0</v>
      </c>
      <c r="G58" s="212">
        <f t="shared" si="2"/>
        <v>0</v>
      </c>
    </row>
    <row r="59" spans="1:7">
      <c r="A59" s="216">
        <f t="shared" si="5"/>
        <v>52</v>
      </c>
      <c r="B59" s="217">
        <f>B58+31</f>
        <v>47789</v>
      </c>
      <c r="C59" s="212">
        <f t="shared" si="3"/>
        <v>0</v>
      </c>
      <c r="D59" s="212">
        <f t="shared" si="4"/>
        <v>0</v>
      </c>
      <c r="E59" s="212">
        <f t="shared" si="0"/>
        <v>0</v>
      </c>
      <c r="F59" s="212">
        <f t="shared" si="1"/>
        <v>0</v>
      </c>
      <c r="G59" s="212">
        <f t="shared" si="2"/>
        <v>0</v>
      </c>
    </row>
    <row r="60" spans="1:7">
      <c r="A60" s="216">
        <f t="shared" si="5"/>
        <v>53</v>
      </c>
      <c r="B60" s="217">
        <f>B59+31</f>
        <v>47820</v>
      </c>
      <c r="C60" s="212">
        <f t="shared" si="3"/>
        <v>0</v>
      </c>
      <c r="D60" s="212">
        <f t="shared" si="4"/>
        <v>0</v>
      </c>
      <c r="E60" s="212">
        <f t="shared" si="0"/>
        <v>0</v>
      </c>
      <c r="F60" s="212">
        <f t="shared" si="1"/>
        <v>0</v>
      </c>
      <c r="G60" s="212">
        <f t="shared" si="2"/>
        <v>0</v>
      </c>
    </row>
    <row r="61" spans="1:7">
      <c r="A61" s="216">
        <f t="shared" si="5"/>
        <v>54</v>
      </c>
      <c r="B61" s="217">
        <f>B60+28</f>
        <v>47848</v>
      </c>
      <c r="C61" s="212">
        <f t="shared" si="3"/>
        <v>0</v>
      </c>
      <c r="D61" s="212">
        <f t="shared" si="4"/>
        <v>0</v>
      </c>
      <c r="E61" s="212">
        <f t="shared" si="0"/>
        <v>0</v>
      </c>
      <c r="F61" s="212">
        <f t="shared" si="1"/>
        <v>0</v>
      </c>
      <c r="G61" s="212">
        <f t="shared" si="2"/>
        <v>0</v>
      </c>
    </row>
    <row r="62" spans="1:7">
      <c r="A62" s="216">
        <f t="shared" si="5"/>
        <v>55</v>
      </c>
      <c r="B62" s="217">
        <f>B61+31</f>
        <v>47879</v>
      </c>
      <c r="C62" s="212">
        <f t="shared" si="3"/>
        <v>0</v>
      </c>
      <c r="D62" s="212">
        <f t="shared" si="4"/>
        <v>0</v>
      </c>
      <c r="E62" s="212">
        <f t="shared" si="0"/>
        <v>0</v>
      </c>
      <c r="F62" s="212">
        <f t="shared" si="1"/>
        <v>0</v>
      </c>
      <c r="G62" s="212">
        <f t="shared" si="2"/>
        <v>0</v>
      </c>
    </row>
    <row r="63" spans="1:7">
      <c r="A63" s="216">
        <f t="shared" si="5"/>
        <v>56</v>
      </c>
      <c r="B63" s="217">
        <f>B62+30</f>
        <v>47909</v>
      </c>
      <c r="C63" s="212">
        <f t="shared" si="3"/>
        <v>0</v>
      </c>
      <c r="D63" s="212">
        <f t="shared" si="4"/>
        <v>0</v>
      </c>
      <c r="E63" s="212">
        <f t="shared" si="0"/>
        <v>0</v>
      </c>
      <c r="F63" s="212">
        <f t="shared" si="1"/>
        <v>0</v>
      </c>
      <c r="G63" s="212">
        <f t="shared" si="2"/>
        <v>0</v>
      </c>
    </row>
    <row r="64" spans="1:7">
      <c r="A64" s="216">
        <f t="shared" si="5"/>
        <v>57</v>
      </c>
      <c r="B64" s="217">
        <f>B63+31</f>
        <v>47940</v>
      </c>
      <c r="C64" s="212">
        <f t="shared" si="3"/>
        <v>0</v>
      </c>
      <c r="D64" s="212">
        <f t="shared" si="4"/>
        <v>0</v>
      </c>
      <c r="E64" s="212">
        <f t="shared" si="0"/>
        <v>0</v>
      </c>
      <c r="F64" s="212">
        <f t="shared" si="1"/>
        <v>0</v>
      </c>
      <c r="G64" s="212">
        <f t="shared" si="2"/>
        <v>0</v>
      </c>
    </row>
    <row r="65" spans="1:7">
      <c r="A65" s="216">
        <f t="shared" si="5"/>
        <v>58</v>
      </c>
      <c r="B65" s="217">
        <f>B64+30</f>
        <v>47970</v>
      </c>
      <c r="C65" s="212">
        <f t="shared" si="3"/>
        <v>0</v>
      </c>
      <c r="D65" s="212">
        <f t="shared" si="4"/>
        <v>0</v>
      </c>
      <c r="E65" s="212">
        <f t="shared" si="0"/>
        <v>0</v>
      </c>
      <c r="F65" s="212">
        <f t="shared" si="1"/>
        <v>0</v>
      </c>
      <c r="G65" s="212">
        <f t="shared" si="2"/>
        <v>0</v>
      </c>
    </row>
    <row r="66" spans="1:7">
      <c r="A66" s="216">
        <f t="shared" si="5"/>
        <v>59</v>
      </c>
      <c r="B66" s="217">
        <f>B65+31</f>
        <v>48001</v>
      </c>
      <c r="C66" s="212">
        <f t="shared" si="3"/>
        <v>0</v>
      </c>
      <c r="D66" s="212">
        <f t="shared" si="4"/>
        <v>0</v>
      </c>
      <c r="E66" s="212">
        <f t="shared" si="0"/>
        <v>0</v>
      </c>
      <c r="F66" s="212">
        <f t="shared" si="1"/>
        <v>0</v>
      </c>
      <c r="G66" s="212">
        <f t="shared" si="2"/>
        <v>0</v>
      </c>
    </row>
    <row r="67" spans="1:7">
      <c r="A67" s="216">
        <f t="shared" si="5"/>
        <v>60</v>
      </c>
      <c r="B67" s="217">
        <f>B66+31</f>
        <v>48032</v>
      </c>
      <c r="C67" s="212">
        <f t="shared" si="3"/>
        <v>0</v>
      </c>
      <c r="D67" s="212">
        <f t="shared" si="4"/>
        <v>0</v>
      </c>
      <c r="E67" s="212">
        <f t="shared" si="0"/>
        <v>0</v>
      </c>
      <c r="F67" s="212">
        <f t="shared" si="1"/>
        <v>0</v>
      </c>
      <c r="G67" s="212">
        <f t="shared" si="2"/>
        <v>0</v>
      </c>
    </row>
    <row r="68" spans="1:7">
      <c r="A68" s="216">
        <f t="shared" si="5"/>
        <v>61</v>
      </c>
      <c r="B68" s="217">
        <f>B67+30</f>
        <v>48062</v>
      </c>
      <c r="C68" s="212">
        <f t="shared" si="3"/>
        <v>0</v>
      </c>
      <c r="D68" s="212">
        <f t="shared" si="4"/>
        <v>0</v>
      </c>
      <c r="E68" s="212">
        <f t="shared" si="0"/>
        <v>0</v>
      </c>
      <c r="F68" s="212">
        <f t="shared" si="1"/>
        <v>0</v>
      </c>
      <c r="G68" s="212">
        <f t="shared" si="2"/>
        <v>0</v>
      </c>
    </row>
    <row r="69" spans="1:7">
      <c r="A69" s="216">
        <f t="shared" si="5"/>
        <v>62</v>
      </c>
      <c r="B69" s="217">
        <f>B68+31</f>
        <v>48093</v>
      </c>
      <c r="C69" s="212">
        <f t="shared" si="3"/>
        <v>0</v>
      </c>
      <c r="D69" s="212">
        <f t="shared" si="4"/>
        <v>0</v>
      </c>
      <c r="E69" s="212">
        <f t="shared" si="0"/>
        <v>0</v>
      </c>
      <c r="F69" s="212">
        <f t="shared" si="1"/>
        <v>0</v>
      </c>
      <c r="G69" s="212">
        <f t="shared" si="2"/>
        <v>0</v>
      </c>
    </row>
    <row r="70" spans="1:7">
      <c r="A70" s="216">
        <f t="shared" si="5"/>
        <v>63</v>
      </c>
      <c r="B70" s="217">
        <f>B69+30</f>
        <v>48123</v>
      </c>
      <c r="C70" s="212">
        <f t="shared" si="3"/>
        <v>0</v>
      </c>
      <c r="D70" s="212">
        <f t="shared" si="4"/>
        <v>0</v>
      </c>
      <c r="E70" s="212">
        <f t="shared" si="0"/>
        <v>0</v>
      </c>
      <c r="F70" s="212">
        <f t="shared" si="1"/>
        <v>0</v>
      </c>
      <c r="G70" s="212">
        <f t="shared" si="2"/>
        <v>0</v>
      </c>
    </row>
    <row r="71" spans="1:7">
      <c r="A71" s="216">
        <f t="shared" si="5"/>
        <v>64</v>
      </c>
      <c r="B71" s="217">
        <f>B70+31</f>
        <v>48154</v>
      </c>
      <c r="C71" s="212">
        <f t="shared" si="3"/>
        <v>0</v>
      </c>
      <c r="D71" s="212">
        <f t="shared" si="4"/>
        <v>0</v>
      </c>
      <c r="E71" s="212">
        <f t="shared" si="0"/>
        <v>0</v>
      </c>
      <c r="F71" s="212">
        <f t="shared" si="1"/>
        <v>0</v>
      </c>
      <c r="G71" s="212">
        <f t="shared" si="2"/>
        <v>0</v>
      </c>
    </row>
    <row r="72" spans="1:7">
      <c r="A72" s="216">
        <f t="shared" si="5"/>
        <v>65</v>
      </c>
      <c r="B72" s="217">
        <f>B71+31</f>
        <v>48185</v>
      </c>
      <c r="C72" s="212">
        <f t="shared" si="3"/>
        <v>0</v>
      </c>
      <c r="D72" s="212">
        <f t="shared" ref="D72:D135" si="6">PV($D$3/12,($D$4-A72),-$D$5)</f>
        <v>0</v>
      </c>
      <c r="E72" s="212">
        <f t="shared" ref="E72:E135" si="7">IF(C72=0,0,$D$5)</f>
        <v>0</v>
      </c>
      <c r="F72" s="212">
        <f t="shared" ref="F72:F135" si="8">E72-(C72-D72)</f>
        <v>0</v>
      </c>
      <c r="G72" s="212">
        <f t="shared" ref="G72:G135" si="9">E72-F72</f>
        <v>0</v>
      </c>
    </row>
    <row r="73" spans="1:7">
      <c r="A73" s="216">
        <f t="shared" si="5"/>
        <v>66</v>
      </c>
      <c r="B73" s="217">
        <f>B72+28</f>
        <v>48213</v>
      </c>
      <c r="C73" s="212">
        <f t="shared" ref="C73:C136" si="10">D72</f>
        <v>0</v>
      </c>
      <c r="D73" s="212">
        <f t="shared" si="6"/>
        <v>0</v>
      </c>
      <c r="E73" s="212">
        <f t="shared" si="7"/>
        <v>0</v>
      </c>
      <c r="F73" s="212">
        <f t="shared" si="8"/>
        <v>0</v>
      </c>
      <c r="G73" s="212">
        <f t="shared" si="9"/>
        <v>0</v>
      </c>
    </row>
    <row r="74" spans="1:7">
      <c r="A74" s="216">
        <f t="shared" si="5"/>
        <v>67</v>
      </c>
      <c r="B74" s="217">
        <f>B73+31</f>
        <v>48244</v>
      </c>
      <c r="C74" s="212">
        <f t="shared" si="10"/>
        <v>0</v>
      </c>
      <c r="D74" s="212">
        <f t="shared" si="6"/>
        <v>0</v>
      </c>
      <c r="E74" s="212">
        <f t="shared" si="7"/>
        <v>0</v>
      </c>
      <c r="F74" s="212">
        <f t="shared" si="8"/>
        <v>0</v>
      </c>
      <c r="G74" s="212">
        <f t="shared" si="9"/>
        <v>0</v>
      </c>
    </row>
    <row r="75" spans="1:7">
      <c r="A75" s="216">
        <f t="shared" si="5"/>
        <v>68</v>
      </c>
      <c r="B75" s="217">
        <f>B74+30</f>
        <v>48274</v>
      </c>
      <c r="C75" s="212">
        <f t="shared" si="10"/>
        <v>0</v>
      </c>
      <c r="D75" s="212">
        <f t="shared" si="6"/>
        <v>0</v>
      </c>
      <c r="E75" s="212">
        <f t="shared" si="7"/>
        <v>0</v>
      </c>
      <c r="F75" s="212">
        <f t="shared" si="8"/>
        <v>0</v>
      </c>
      <c r="G75" s="212">
        <f t="shared" si="9"/>
        <v>0</v>
      </c>
    </row>
    <row r="76" spans="1:7">
      <c r="A76" s="216">
        <f t="shared" si="5"/>
        <v>69</v>
      </c>
      <c r="B76" s="217">
        <f>B75+31</f>
        <v>48305</v>
      </c>
      <c r="C76" s="212">
        <f t="shared" si="10"/>
        <v>0</v>
      </c>
      <c r="D76" s="212">
        <f t="shared" si="6"/>
        <v>0</v>
      </c>
      <c r="E76" s="212">
        <f t="shared" si="7"/>
        <v>0</v>
      </c>
      <c r="F76" s="212">
        <f t="shared" si="8"/>
        <v>0</v>
      </c>
      <c r="G76" s="212">
        <f t="shared" si="9"/>
        <v>0</v>
      </c>
    </row>
    <row r="77" spans="1:7">
      <c r="A77" s="216">
        <f t="shared" si="5"/>
        <v>70</v>
      </c>
      <c r="B77" s="217">
        <f>B76+30</f>
        <v>48335</v>
      </c>
      <c r="C77" s="212">
        <f t="shared" si="10"/>
        <v>0</v>
      </c>
      <c r="D77" s="212">
        <f t="shared" si="6"/>
        <v>0</v>
      </c>
      <c r="E77" s="212">
        <f t="shared" si="7"/>
        <v>0</v>
      </c>
      <c r="F77" s="212">
        <f t="shared" si="8"/>
        <v>0</v>
      </c>
      <c r="G77" s="212">
        <f t="shared" si="9"/>
        <v>0</v>
      </c>
    </row>
    <row r="78" spans="1:7">
      <c r="A78" s="216">
        <f t="shared" si="5"/>
        <v>71</v>
      </c>
      <c r="B78" s="217">
        <f>B77+31</f>
        <v>48366</v>
      </c>
      <c r="C78" s="212">
        <f t="shared" si="10"/>
        <v>0</v>
      </c>
      <c r="D78" s="212">
        <f t="shared" si="6"/>
        <v>0</v>
      </c>
      <c r="E78" s="212">
        <f t="shared" si="7"/>
        <v>0</v>
      </c>
      <c r="F78" s="212">
        <f t="shared" si="8"/>
        <v>0</v>
      </c>
      <c r="G78" s="212">
        <f t="shared" si="9"/>
        <v>0</v>
      </c>
    </row>
    <row r="79" spans="1:7">
      <c r="A79" s="216">
        <f t="shared" si="5"/>
        <v>72</v>
      </c>
      <c r="B79" s="217">
        <f>B78+31</f>
        <v>48397</v>
      </c>
      <c r="C79" s="212">
        <f t="shared" si="10"/>
        <v>0</v>
      </c>
      <c r="D79" s="212">
        <f t="shared" si="6"/>
        <v>0</v>
      </c>
      <c r="E79" s="212">
        <f t="shared" si="7"/>
        <v>0</v>
      </c>
      <c r="F79" s="212">
        <f t="shared" si="8"/>
        <v>0</v>
      </c>
      <c r="G79" s="212">
        <f t="shared" si="9"/>
        <v>0</v>
      </c>
    </row>
    <row r="80" spans="1:7">
      <c r="A80" s="216">
        <f t="shared" si="5"/>
        <v>73</v>
      </c>
      <c r="B80" s="217">
        <f>B79+30</f>
        <v>48427</v>
      </c>
      <c r="C80" s="212">
        <f t="shared" si="10"/>
        <v>0</v>
      </c>
      <c r="D80" s="212">
        <f t="shared" si="6"/>
        <v>0</v>
      </c>
      <c r="E80" s="212">
        <f t="shared" si="7"/>
        <v>0</v>
      </c>
      <c r="F80" s="212">
        <f t="shared" si="8"/>
        <v>0</v>
      </c>
      <c r="G80" s="212">
        <f t="shared" si="9"/>
        <v>0</v>
      </c>
    </row>
    <row r="81" spans="1:7">
      <c r="A81" s="216">
        <f t="shared" ref="A81:A144" si="11">A80+1</f>
        <v>74</v>
      </c>
      <c r="B81" s="217">
        <f>B80+31</f>
        <v>48458</v>
      </c>
      <c r="C81" s="212">
        <f t="shared" si="10"/>
        <v>0</v>
      </c>
      <c r="D81" s="212">
        <f t="shared" si="6"/>
        <v>0</v>
      </c>
      <c r="E81" s="212">
        <f t="shared" si="7"/>
        <v>0</v>
      </c>
      <c r="F81" s="212">
        <f t="shared" si="8"/>
        <v>0</v>
      </c>
      <c r="G81" s="212">
        <f t="shared" si="9"/>
        <v>0</v>
      </c>
    </row>
    <row r="82" spans="1:7">
      <c r="A82" s="216">
        <f t="shared" si="11"/>
        <v>75</v>
      </c>
      <c r="B82" s="217">
        <f>B81+30</f>
        <v>48488</v>
      </c>
      <c r="C82" s="212">
        <f t="shared" si="10"/>
        <v>0</v>
      </c>
      <c r="D82" s="212">
        <f t="shared" si="6"/>
        <v>0</v>
      </c>
      <c r="E82" s="212">
        <f t="shared" si="7"/>
        <v>0</v>
      </c>
      <c r="F82" s="212">
        <f t="shared" si="8"/>
        <v>0</v>
      </c>
      <c r="G82" s="212">
        <f t="shared" si="9"/>
        <v>0</v>
      </c>
    </row>
    <row r="83" spans="1:7">
      <c r="A83" s="216">
        <f t="shared" si="11"/>
        <v>76</v>
      </c>
      <c r="B83" s="217">
        <f>B82+31</f>
        <v>48519</v>
      </c>
      <c r="C83" s="212">
        <f t="shared" si="10"/>
        <v>0</v>
      </c>
      <c r="D83" s="212">
        <f t="shared" si="6"/>
        <v>0</v>
      </c>
      <c r="E83" s="212">
        <f t="shared" si="7"/>
        <v>0</v>
      </c>
      <c r="F83" s="212">
        <f t="shared" si="8"/>
        <v>0</v>
      </c>
      <c r="G83" s="212">
        <f t="shared" si="9"/>
        <v>0</v>
      </c>
    </row>
    <row r="84" spans="1:7">
      <c r="A84" s="216">
        <f t="shared" si="11"/>
        <v>77</v>
      </c>
      <c r="B84" s="217">
        <f>B83+31</f>
        <v>48550</v>
      </c>
      <c r="C84" s="212">
        <f t="shared" si="10"/>
        <v>0</v>
      </c>
      <c r="D84" s="212">
        <f t="shared" si="6"/>
        <v>0</v>
      </c>
      <c r="E84" s="212">
        <f t="shared" si="7"/>
        <v>0</v>
      </c>
      <c r="F84" s="212">
        <f t="shared" si="8"/>
        <v>0</v>
      </c>
      <c r="G84" s="212">
        <f t="shared" si="9"/>
        <v>0</v>
      </c>
    </row>
    <row r="85" spans="1:7">
      <c r="A85" s="216">
        <f t="shared" si="11"/>
        <v>78</v>
      </c>
      <c r="B85" s="217">
        <f>B84+29</f>
        <v>48579</v>
      </c>
      <c r="C85" s="212">
        <f t="shared" si="10"/>
        <v>0</v>
      </c>
      <c r="D85" s="212">
        <f t="shared" si="6"/>
        <v>0</v>
      </c>
      <c r="E85" s="212">
        <f t="shared" si="7"/>
        <v>0</v>
      </c>
      <c r="F85" s="212">
        <f t="shared" si="8"/>
        <v>0</v>
      </c>
      <c r="G85" s="212">
        <f t="shared" si="9"/>
        <v>0</v>
      </c>
    </row>
    <row r="86" spans="1:7">
      <c r="A86" s="216">
        <f t="shared" si="11"/>
        <v>79</v>
      </c>
      <c r="B86" s="217">
        <f>B85+31</f>
        <v>48610</v>
      </c>
      <c r="C86" s="212">
        <f t="shared" si="10"/>
        <v>0</v>
      </c>
      <c r="D86" s="212">
        <f t="shared" si="6"/>
        <v>0</v>
      </c>
      <c r="E86" s="212">
        <f t="shared" si="7"/>
        <v>0</v>
      </c>
      <c r="F86" s="212">
        <f t="shared" si="8"/>
        <v>0</v>
      </c>
      <c r="G86" s="212">
        <f t="shared" si="9"/>
        <v>0</v>
      </c>
    </row>
    <row r="87" spans="1:7">
      <c r="A87" s="216">
        <f t="shared" si="11"/>
        <v>80</v>
      </c>
      <c r="B87" s="217">
        <f>B86+30</f>
        <v>48640</v>
      </c>
      <c r="C87" s="212">
        <f t="shared" si="10"/>
        <v>0</v>
      </c>
      <c r="D87" s="212">
        <f t="shared" si="6"/>
        <v>0</v>
      </c>
      <c r="E87" s="212">
        <f t="shared" si="7"/>
        <v>0</v>
      </c>
      <c r="F87" s="212">
        <f t="shared" si="8"/>
        <v>0</v>
      </c>
      <c r="G87" s="212">
        <f t="shared" si="9"/>
        <v>0</v>
      </c>
    </row>
    <row r="88" spans="1:7">
      <c r="A88" s="216">
        <f t="shared" si="11"/>
        <v>81</v>
      </c>
      <c r="B88" s="217">
        <f>B87+31</f>
        <v>48671</v>
      </c>
      <c r="C88" s="212">
        <f t="shared" si="10"/>
        <v>0</v>
      </c>
      <c r="D88" s="212">
        <f t="shared" si="6"/>
        <v>0</v>
      </c>
      <c r="E88" s="212">
        <f t="shared" si="7"/>
        <v>0</v>
      </c>
      <c r="F88" s="212">
        <f t="shared" si="8"/>
        <v>0</v>
      </c>
      <c r="G88" s="212">
        <f t="shared" si="9"/>
        <v>0</v>
      </c>
    </row>
    <row r="89" spans="1:7">
      <c r="A89" s="216">
        <f t="shared" si="11"/>
        <v>82</v>
      </c>
      <c r="B89" s="217">
        <f>B88+30</f>
        <v>48701</v>
      </c>
      <c r="C89" s="212">
        <f t="shared" si="10"/>
        <v>0</v>
      </c>
      <c r="D89" s="212">
        <f t="shared" si="6"/>
        <v>0</v>
      </c>
      <c r="E89" s="212">
        <f t="shared" si="7"/>
        <v>0</v>
      </c>
      <c r="F89" s="212">
        <f t="shared" si="8"/>
        <v>0</v>
      </c>
      <c r="G89" s="212">
        <f t="shared" si="9"/>
        <v>0</v>
      </c>
    </row>
    <row r="90" spans="1:7">
      <c r="A90" s="216">
        <f t="shared" si="11"/>
        <v>83</v>
      </c>
      <c r="B90" s="217">
        <f>B89+31</f>
        <v>48732</v>
      </c>
      <c r="C90" s="212">
        <f t="shared" si="10"/>
        <v>0</v>
      </c>
      <c r="D90" s="212">
        <f t="shared" si="6"/>
        <v>0</v>
      </c>
      <c r="E90" s="212">
        <f t="shared" si="7"/>
        <v>0</v>
      </c>
      <c r="F90" s="212">
        <f t="shared" si="8"/>
        <v>0</v>
      </c>
      <c r="G90" s="212">
        <f t="shared" si="9"/>
        <v>0</v>
      </c>
    </row>
    <row r="91" spans="1:7">
      <c r="A91" s="216">
        <f t="shared" si="11"/>
        <v>84</v>
      </c>
      <c r="B91" s="217">
        <f>B90+31</f>
        <v>48763</v>
      </c>
      <c r="C91" s="212">
        <f t="shared" si="10"/>
        <v>0</v>
      </c>
      <c r="D91" s="212">
        <f t="shared" si="6"/>
        <v>0</v>
      </c>
      <c r="E91" s="212">
        <f t="shared" si="7"/>
        <v>0</v>
      </c>
      <c r="F91" s="212">
        <f t="shared" si="8"/>
        <v>0</v>
      </c>
      <c r="G91" s="212">
        <f t="shared" si="9"/>
        <v>0</v>
      </c>
    </row>
    <row r="92" spans="1:7">
      <c r="A92" s="216">
        <f t="shared" si="11"/>
        <v>85</v>
      </c>
      <c r="B92" s="217">
        <f>B91+30</f>
        <v>48793</v>
      </c>
      <c r="C92" s="212">
        <f t="shared" si="10"/>
        <v>0</v>
      </c>
      <c r="D92" s="212">
        <f t="shared" si="6"/>
        <v>0</v>
      </c>
      <c r="E92" s="212">
        <f t="shared" si="7"/>
        <v>0</v>
      </c>
      <c r="F92" s="212">
        <f t="shared" si="8"/>
        <v>0</v>
      </c>
      <c r="G92" s="212">
        <f t="shared" si="9"/>
        <v>0</v>
      </c>
    </row>
    <row r="93" spans="1:7">
      <c r="A93" s="216">
        <f t="shared" si="11"/>
        <v>86</v>
      </c>
      <c r="B93" s="217">
        <f>B92+31</f>
        <v>48824</v>
      </c>
      <c r="C93" s="212">
        <f t="shared" si="10"/>
        <v>0</v>
      </c>
      <c r="D93" s="212">
        <f t="shared" si="6"/>
        <v>0</v>
      </c>
      <c r="E93" s="212">
        <f t="shared" si="7"/>
        <v>0</v>
      </c>
      <c r="F93" s="212">
        <f t="shared" si="8"/>
        <v>0</v>
      </c>
      <c r="G93" s="212">
        <f t="shared" si="9"/>
        <v>0</v>
      </c>
    </row>
    <row r="94" spans="1:7">
      <c r="A94" s="216">
        <f t="shared" si="11"/>
        <v>87</v>
      </c>
      <c r="B94" s="217">
        <f>B93+30</f>
        <v>48854</v>
      </c>
      <c r="C94" s="212">
        <f t="shared" si="10"/>
        <v>0</v>
      </c>
      <c r="D94" s="212">
        <f t="shared" si="6"/>
        <v>0</v>
      </c>
      <c r="E94" s="212">
        <f t="shared" si="7"/>
        <v>0</v>
      </c>
      <c r="F94" s="212">
        <f t="shared" si="8"/>
        <v>0</v>
      </c>
      <c r="G94" s="212">
        <f t="shared" si="9"/>
        <v>0</v>
      </c>
    </row>
    <row r="95" spans="1:7">
      <c r="A95" s="216">
        <f t="shared" si="11"/>
        <v>88</v>
      </c>
      <c r="B95" s="217">
        <f>B94+31</f>
        <v>48885</v>
      </c>
      <c r="C95" s="212">
        <f t="shared" si="10"/>
        <v>0</v>
      </c>
      <c r="D95" s="212">
        <f t="shared" si="6"/>
        <v>0</v>
      </c>
      <c r="E95" s="212">
        <f t="shared" si="7"/>
        <v>0</v>
      </c>
      <c r="F95" s="212">
        <f t="shared" si="8"/>
        <v>0</v>
      </c>
      <c r="G95" s="212">
        <f t="shared" si="9"/>
        <v>0</v>
      </c>
    </row>
    <row r="96" spans="1:7">
      <c r="A96" s="216">
        <f t="shared" si="11"/>
        <v>89</v>
      </c>
      <c r="B96" s="217">
        <f>B95+31</f>
        <v>48916</v>
      </c>
      <c r="C96" s="212">
        <f t="shared" si="10"/>
        <v>0</v>
      </c>
      <c r="D96" s="212">
        <f t="shared" si="6"/>
        <v>0</v>
      </c>
      <c r="E96" s="212">
        <f t="shared" si="7"/>
        <v>0</v>
      </c>
      <c r="F96" s="212">
        <f t="shared" si="8"/>
        <v>0</v>
      </c>
      <c r="G96" s="212">
        <f t="shared" si="9"/>
        <v>0</v>
      </c>
    </row>
    <row r="97" spans="1:7">
      <c r="A97" s="216">
        <f t="shared" si="11"/>
        <v>90</v>
      </c>
      <c r="B97" s="217">
        <f>B96+28</f>
        <v>48944</v>
      </c>
      <c r="C97" s="212">
        <f t="shared" si="10"/>
        <v>0</v>
      </c>
      <c r="D97" s="212">
        <f t="shared" si="6"/>
        <v>0</v>
      </c>
      <c r="E97" s="212">
        <f t="shared" si="7"/>
        <v>0</v>
      </c>
      <c r="F97" s="212">
        <f t="shared" si="8"/>
        <v>0</v>
      </c>
      <c r="G97" s="212">
        <f t="shared" si="9"/>
        <v>0</v>
      </c>
    </row>
    <row r="98" spans="1:7">
      <c r="A98" s="216">
        <f t="shared" si="11"/>
        <v>91</v>
      </c>
      <c r="B98" s="217">
        <f>B97+31</f>
        <v>48975</v>
      </c>
      <c r="C98" s="212">
        <f t="shared" si="10"/>
        <v>0</v>
      </c>
      <c r="D98" s="212">
        <f t="shared" si="6"/>
        <v>0</v>
      </c>
      <c r="E98" s="212">
        <f t="shared" si="7"/>
        <v>0</v>
      </c>
      <c r="F98" s="212">
        <f t="shared" si="8"/>
        <v>0</v>
      </c>
      <c r="G98" s="212">
        <f t="shared" si="9"/>
        <v>0</v>
      </c>
    </row>
    <row r="99" spans="1:7">
      <c r="A99" s="216">
        <f t="shared" si="11"/>
        <v>92</v>
      </c>
      <c r="B99" s="217">
        <f>B98+30</f>
        <v>49005</v>
      </c>
      <c r="C99" s="212">
        <f t="shared" si="10"/>
        <v>0</v>
      </c>
      <c r="D99" s="212">
        <f t="shared" si="6"/>
        <v>0</v>
      </c>
      <c r="E99" s="212">
        <f t="shared" si="7"/>
        <v>0</v>
      </c>
      <c r="F99" s="212">
        <f t="shared" si="8"/>
        <v>0</v>
      </c>
      <c r="G99" s="212">
        <f t="shared" si="9"/>
        <v>0</v>
      </c>
    </row>
    <row r="100" spans="1:7">
      <c r="A100" s="216">
        <f t="shared" si="11"/>
        <v>93</v>
      </c>
      <c r="B100" s="218">
        <f>IFERROR(B99+31,0)</f>
        <v>49036</v>
      </c>
      <c r="C100" s="212">
        <f t="shared" si="10"/>
        <v>0</v>
      </c>
      <c r="D100" s="212">
        <f t="shared" si="6"/>
        <v>0</v>
      </c>
      <c r="E100" s="212">
        <f t="shared" si="7"/>
        <v>0</v>
      </c>
      <c r="F100" s="212">
        <f t="shared" si="8"/>
        <v>0</v>
      </c>
      <c r="G100" s="212">
        <f t="shared" si="9"/>
        <v>0</v>
      </c>
    </row>
    <row r="101" spans="1:7">
      <c r="A101" s="216">
        <f t="shared" si="11"/>
        <v>94</v>
      </c>
      <c r="B101" s="217">
        <f>B100+30</f>
        <v>49066</v>
      </c>
      <c r="C101" s="212">
        <f t="shared" si="10"/>
        <v>0</v>
      </c>
      <c r="D101" s="212">
        <f t="shared" si="6"/>
        <v>0</v>
      </c>
      <c r="E101" s="212">
        <f t="shared" si="7"/>
        <v>0</v>
      </c>
      <c r="F101" s="212">
        <f t="shared" si="8"/>
        <v>0</v>
      </c>
      <c r="G101" s="212">
        <f t="shared" si="9"/>
        <v>0</v>
      </c>
    </row>
    <row r="102" spans="1:7">
      <c r="A102" s="216">
        <f t="shared" si="11"/>
        <v>95</v>
      </c>
      <c r="B102" s="217">
        <f>B101+31</f>
        <v>49097</v>
      </c>
      <c r="C102" s="212">
        <f t="shared" si="10"/>
        <v>0</v>
      </c>
      <c r="D102" s="212">
        <f t="shared" si="6"/>
        <v>0</v>
      </c>
      <c r="E102" s="212">
        <f t="shared" si="7"/>
        <v>0</v>
      </c>
      <c r="F102" s="212">
        <f t="shared" si="8"/>
        <v>0</v>
      </c>
      <c r="G102" s="212">
        <f t="shared" si="9"/>
        <v>0</v>
      </c>
    </row>
    <row r="103" spans="1:7">
      <c r="A103" s="216">
        <f t="shared" si="11"/>
        <v>96</v>
      </c>
      <c r="B103" s="217">
        <f>B102+31</f>
        <v>49128</v>
      </c>
      <c r="C103" s="212">
        <f t="shared" si="10"/>
        <v>0</v>
      </c>
      <c r="D103" s="212">
        <f t="shared" si="6"/>
        <v>0</v>
      </c>
      <c r="E103" s="212">
        <f t="shared" si="7"/>
        <v>0</v>
      </c>
      <c r="F103" s="212">
        <f t="shared" si="8"/>
        <v>0</v>
      </c>
      <c r="G103" s="212">
        <f t="shared" si="9"/>
        <v>0</v>
      </c>
    </row>
    <row r="104" spans="1:7">
      <c r="A104" s="216">
        <f t="shared" si="11"/>
        <v>97</v>
      </c>
      <c r="B104" s="217">
        <f>B103+30</f>
        <v>49158</v>
      </c>
      <c r="C104" s="212">
        <f t="shared" si="10"/>
        <v>0</v>
      </c>
      <c r="D104" s="212">
        <f t="shared" si="6"/>
        <v>0</v>
      </c>
      <c r="E104" s="212">
        <f t="shared" si="7"/>
        <v>0</v>
      </c>
      <c r="F104" s="212">
        <f t="shared" si="8"/>
        <v>0</v>
      </c>
      <c r="G104" s="212">
        <f t="shared" si="9"/>
        <v>0</v>
      </c>
    </row>
    <row r="105" spans="1:7">
      <c r="A105" s="216">
        <f t="shared" si="11"/>
        <v>98</v>
      </c>
      <c r="B105" s="217">
        <f>B104+31</f>
        <v>49189</v>
      </c>
      <c r="C105" s="212">
        <f t="shared" si="10"/>
        <v>0</v>
      </c>
      <c r="D105" s="212">
        <f t="shared" si="6"/>
        <v>0</v>
      </c>
      <c r="E105" s="212">
        <f t="shared" si="7"/>
        <v>0</v>
      </c>
      <c r="F105" s="212">
        <f t="shared" si="8"/>
        <v>0</v>
      </c>
      <c r="G105" s="212">
        <f t="shared" si="9"/>
        <v>0</v>
      </c>
    </row>
    <row r="106" spans="1:7">
      <c r="A106" s="216">
        <f t="shared" si="11"/>
        <v>99</v>
      </c>
      <c r="B106" s="217">
        <f>B105+30</f>
        <v>49219</v>
      </c>
      <c r="C106" s="212">
        <f t="shared" si="10"/>
        <v>0</v>
      </c>
      <c r="D106" s="212">
        <f t="shared" si="6"/>
        <v>0</v>
      </c>
      <c r="E106" s="212">
        <f t="shared" si="7"/>
        <v>0</v>
      </c>
      <c r="F106" s="212">
        <f t="shared" si="8"/>
        <v>0</v>
      </c>
      <c r="G106" s="212">
        <f t="shared" si="9"/>
        <v>0</v>
      </c>
    </row>
    <row r="107" spans="1:7">
      <c r="A107" s="216">
        <f t="shared" si="11"/>
        <v>100</v>
      </c>
      <c r="B107" s="217">
        <f>B106+31</f>
        <v>49250</v>
      </c>
      <c r="C107" s="212">
        <f t="shared" si="10"/>
        <v>0</v>
      </c>
      <c r="D107" s="212">
        <f t="shared" si="6"/>
        <v>0</v>
      </c>
      <c r="E107" s="212">
        <f t="shared" si="7"/>
        <v>0</v>
      </c>
      <c r="F107" s="212">
        <f t="shared" si="8"/>
        <v>0</v>
      </c>
      <c r="G107" s="212">
        <f t="shared" si="9"/>
        <v>0</v>
      </c>
    </row>
    <row r="108" spans="1:7">
      <c r="A108" s="216">
        <f t="shared" si="11"/>
        <v>101</v>
      </c>
      <c r="B108" s="217">
        <f>B107+31</f>
        <v>49281</v>
      </c>
      <c r="C108" s="212">
        <f t="shared" si="10"/>
        <v>0</v>
      </c>
      <c r="D108" s="212">
        <f t="shared" si="6"/>
        <v>0</v>
      </c>
      <c r="E108" s="212">
        <f t="shared" si="7"/>
        <v>0</v>
      </c>
      <c r="F108" s="212">
        <f t="shared" si="8"/>
        <v>0</v>
      </c>
      <c r="G108" s="212">
        <f t="shared" si="9"/>
        <v>0</v>
      </c>
    </row>
    <row r="109" spans="1:7">
      <c r="A109" s="216">
        <f t="shared" si="11"/>
        <v>102</v>
      </c>
      <c r="B109" s="217">
        <f>B108+28</f>
        <v>49309</v>
      </c>
      <c r="C109" s="212">
        <f t="shared" si="10"/>
        <v>0</v>
      </c>
      <c r="D109" s="212">
        <f t="shared" si="6"/>
        <v>0</v>
      </c>
      <c r="E109" s="212">
        <f t="shared" si="7"/>
        <v>0</v>
      </c>
      <c r="F109" s="212">
        <f t="shared" si="8"/>
        <v>0</v>
      </c>
      <c r="G109" s="212">
        <f t="shared" si="9"/>
        <v>0</v>
      </c>
    </row>
    <row r="110" spans="1:7">
      <c r="A110" s="216">
        <f t="shared" si="11"/>
        <v>103</v>
      </c>
      <c r="B110" s="217">
        <f>B109+31</f>
        <v>49340</v>
      </c>
      <c r="C110" s="212">
        <f t="shared" si="10"/>
        <v>0</v>
      </c>
      <c r="D110" s="212">
        <f t="shared" si="6"/>
        <v>0</v>
      </c>
      <c r="E110" s="212">
        <f t="shared" si="7"/>
        <v>0</v>
      </c>
      <c r="F110" s="212">
        <f t="shared" si="8"/>
        <v>0</v>
      </c>
      <c r="G110" s="212">
        <f t="shared" si="9"/>
        <v>0</v>
      </c>
    </row>
    <row r="111" spans="1:7">
      <c r="A111" s="216">
        <f t="shared" si="11"/>
        <v>104</v>
      </c>
      <c r="B111" s="217">
        <f>B110+30</f>
        <v>49370</v>
      </c>
      <c r="C111" s="212">
        <f t="shared" si="10"/>
        <v>0</v>
      </c>
      <c r="D111" s="212">
        <f t="shared" si="6"/>
        <v>0</v>
      </c>
      <c r="E111" s="212">
        <f t="shared" si="7"/>
        <v>0</v>
      </c>
      <c r="F111" s="212">
        <f t="shared" si="8"/>
        <v>0</v>
      </c>
      <c r="G111" s="212">
        <f t="shared" si="9"/>
        <v>0</v>
      </c>
    </row>
    <row r="112" spans="1:7">
      <c r="A112" s="216">
        <f t="shared" si="11"/>
        <v>105</v>
      </c>
      <c r="B112" s="217">
        <f>B111+31</f>
        <v>49401</v>
      </c>
      <c r="C112" s="212">
        <f t="shared" si="10"/>
        <v>0</v>
      </c>
      <c r="D112" s="212">
        <f t="shared" si="6"/>
        <v>0</v>
      </c>
      <c r="E112" s="212">
        <f t="shared" si="7"/>
        <v>0</v>
      </c>
      <c r="F112" s="212">
        <f t="shared" si="8"/>
        <v>0</v>
      </c>
      <c r="G112" s="212">
        <f t="shared" si="9"/>
        <v>0</v>
      </c>
    </row>
    <row r="113" spans="1:7">
      <c r="A113" s="216">
        <f t="shared" si="11"/>
        <v>106</v>
      </c>
      <c r="B113" s="217">
        <f>B112+30</f>
        <v>49431</v>
      </c>
      <c r="C113" s="212">
        <f t="shared" si="10"/>
        <v>0</v>
      </c>
      <c r="D113" s="212">
        <f t="shared" si="6"/>
        <v>0</v>
      </c>
      <c r="E113" s="212">
        <f t="shared" si="7"/>
        <v>0</v>
      </c>
      <c r="F113" s="212">
        <f t="shared" si="8"/>
        <v>0</v>
      </c>
      <c r="G113" s="212">
        <f t="shared" si="9"/>
        <v>0</v>
      </c>
    </row>
    <row r="114" spans="1:7">
      <c r="A114" s="216">
        <f t="shared" si="11"/>
        <v>107</v>
      </c>
      <c r="B114" s="217">
        <f>B113+31</f>
        <v>49462</v>
      </c>
      <c r="C114" s="212">
        <f t="shared" si="10"/>
        <v>0</v>
      </c>
      <c r="D114" s="212">
        <f t="shared" si="6"/>
        <v>0</v>
      </c>
      <c r="E114" s="212">
        <f t="shared" si="7"/>
        <v>0</v>
      </c>
      <c r="F114" s="212">
        <f t="shared" si="8"/>
        <v>0</v>
      </c>
      <c r="G114" s="212">
        <f t="shared" si="9"/>
        <v>0</v>
      </c>
    </row>
    <row r="115" spans="1:7">
      <c r="A115" s="216">
        <f t="shared" si="11"/>
        <v>108</v>
      </c>
      <c r="B115" s="217">
        <f>B114+31</f>
        <v>49493</v>
      </c>
      <c r="C115" s="212">
        <f t="shared" si="10"/>
        <v>0</v>
      </c>
      <c r="D115" s="212">
        <f t="shared" si="6"/>
        <v>0</v>
      </c>
      <c r="E115" s="212">
        <f t="shared" si="7"/>
        <v>0</v>
      </c>
      <c r="F115" s="212">
        <f t="shared" si="8"/>
        <v>0</v>
      </c>
      <c r="G115" s="212">
        <f t="shared" si="9"/>
        <v>0</v>
      </c>
    </row>
    <row r="116" spans="1:7">
      <c r="A116" s="216">
        <f t="shared" si="11"/>
        <v>109</v>
      </c>
      <c r="B116" s="217">
        <f>B115+30</f>
        <v>49523</v>
      </c>
      <c r="C116" s="212">
        <f t="shared" si="10"/>
        <v>0</v>
      </c>
      <c r="D116" s="212">
        <f t="shared" si="6"/>
        <v>0</v>
      </c>
      <c r="E116" s="212">
        <f t="shared" si="7"/>
        <v>0</v>
      </c>
      <c r="F116" s="212">
        <f t="shared" si="8"/>
        <v>0</v>
      </c>
      <c r="G116" s="212">
        <f t="shared" si="9"/>
        <v>0</v>
      </c>
    </row>
    <row r="117" spans="1:7">
      <c r="A117" s="216">
        <f t="shared" si="11"/>
        <v>110</v>
      </c>
      <c r="B117" s="217">
        <f>B116+31</f>
        <v>49554</v>
      </c>
      <c r="C117" s="212">
        <f t="shared" si="10"/>
        <v>0</v>
      </c>
      <c r="D117" s="212">
        <f t="shared" si="6"/>
        <v>0</v>
      </c>
      <c r="E117" s="212">
        <f t="shared" si="7"/>
        <v>0</v>
      </c>
      <c r="F117" s="212">
        <f t="shared" si="8"/>
        <v>0</v>
      </c>
      <c r="G117" s="212">
        <f t="shared" si="9"/>
        <v>0</v>
      </c>
    </row>
    <row r="118" spans="1:7">
      <c r="A118" s="216">
        <f t="shared" si="11"/>
        <v>111</v>
      </c>
      <c r="B118" s="217">
        <f>B117+30</f>
        <v>49584</v>
      </c>
      <c r="C118" s="212">
        <f t="shared" si="10"/>
        <v>0</v>
      </c>
      <c r="D118" s="212">
        <f t="shared" si="6"/>
        <v>0</v>
      </c>
      <c r="E118" s="212">
        <f t="shared" si="7"/>
        <v>0</v>
      </c>
      <c r="F118" s="212">
        <f t="shared" si="8"/>
        <v>0</v>
      </c>
      <c r="G118" s="212">
        <f t="shared" si="9"/>
        <v>0</v>
      </c>
    </row>
    <row r="119" spans="1:7">
      <c r="A119" s="216">
        <f t="shared" si="11"/>
        <v>112</v>
      </c>
      <c r="B119" s="217">
        <f>B118+31</f>
        <v>49615</v>
      </c>
      <c r="C119" s="212">
        <f t="shared" si="10"/>
        <v>0</v>
      </c>
      <c r="D119" s="212">
        <f t="shared" si="6"/>
        <v>0</v>
      </c>
      <c r="E119" s="212">
        <f t="shared" si="7"/>
        <v>0</v>
      </c>
      <c r="F119" s="212">
        <f t="shared" si="8"/>
        <v>0</v>
      </c>
      <c r="G119" s="212">
        <f t="shared" si="9"/>
        <v>0</v>
      </c>
    </row>
    <row r="120" spans="1:7">
      <c r="A120" s="216">
        <f t="shared" si="11"/>
        <v>113</v>
      </c>
      <c r="B120" s="217">
        <f>B119+31</f>
        <v>49646</v>
      </c>
      <c r="C120" s="212">
        <f t="shared" si="10"/>
        <v>0</v>
      </c>
      <c r="D120" s="212">
        <f t="shared" si="6"/>
        <v>0</v>
      </c>
      <c r="E120" s="212">
        <f t="shared" si="7"/>
        <v>0</v>
      </c>
      <c r="F120" s="212">
        <f t="shared" si="8"/>
        <v>0</v>
      </c>
      <c r="G120" s="212">
        <f t="shared" si="9"/>
        <v>0</v>
      </c>
    </row>
    <row r="121" spans="1:7">
      <c r="A121" s="216">
        <f t="shared" si="11"/>
        <v>114</v>
      </c>
      <c r="B121" s="217">
        <f>B120+28</f>
        <v>49674</v>
      </c>
      <c r="C121" s="212">
        <f t="shared" si="10"/>
        <v>0</v>
      </c>
      <c r="D121" s="212">
        <f t="shared" si="6"/>
        <v>0</v>
      </c>
      <c r="E121" s="212">
        <f t="shared" si="7"/>
        <v>0</v>
      </c>
      <c r="F121" s="212">
        <f t="shared" si="8"/>
        <v>0</v>
      </c>
      <c r="G121" s="212">
        <f t="shared" si="9"/>
        <v>0</v>
      </c>
    </row>
    <row r="122" spans="1:7">
      <c r="A122" s="216">
        <f t="shared" si="11"/>
        <v>115</v>
      </c>
      <c r="B122" s="217">
        <f>B121+31</f>
        <v>49705</v>
      </c>
      <c r="C122" s="212">
        <f t="shared" si="10"/>
        <v>0</v>
      </c>
      <c r="D122" s="212">
        <f t="shared" si="6"/>
        <v>0</v>
      </c>
      <c r="E122" s="212">
        <f t="shared" si="7"/>
        <v>0</v>
      </c>
      <c r="F122" s="212">
        <f t="shared" si="8"/>
        <v>0</v>
      </c>
      <c r="G122" s="212">
        <f t="shared" si="9"/>
        <v>0</v>
      </c>
    </row>
    <row r="123" spans="1:7">
      <c r="A123" s="216">
        <f t="shared" si="11"/>
        <v>116</v>
      </c>
      <c r="B123" s="217">
        <f>B122+30</f>
        <v>49735</v>
      </c>
      <c r="C123" s="212">
        <f t="shared" si="10"/>
        <v>0</v>
      </c>
      <c r="D123" s="212">
        <f t="shared" si="6"/>
        <v>0</v>
      </c>
      <c r="E123" s="212">
        <f t="shared" si="7"/>
        <v>0</v>
      </c>
      <c r="F123" s="212">
        <f t="shared" si="8"/>
        <v>0</v>
      </c>
      <c r="G123" s="212">
        <f t="shared" si="9"/>
        <v>0</v>
      </c>
    </row>
    <row r="124" spans="1:7">
      <c r="A124" s="216">
        <f t="shared" si="11"/>
        <v>117</v>
      </c>
      <c r="B124" s="217">
        <f>B123+31</f>
        <v>49766</v>
      </c>
      <c r="C124" s="212">
        <f t="shared" si="10"/>
        <v>0</v>
      </c>
      <c r="D124" s="212">
        <f t="shared" si="6"/>
        <v>0</v>
      </c>
      <c r="E124" s="212">
        <f t="shared" si="7"/>
        <v>0</v>
      </c>
      <c r="F124" s="212">
        <f t="shared" si="8"/>
        <v>0</v>
      </c>
      <c r="G124" s="212">
        <f t="shared" si="9"/>
        <v>0</v>
      </c>
    </row>
    <row r="125" spans="1:7">
      <c r="A125" s="216">
        <f t="shared" si="11"/>
        <v>118</v>
      </c>
      <c r="B125" s="217">
        <f>B124+30</f>
        <v>49796</v>
      </c>
      <c r="C125" s="212">
        <f t="shared" si="10"/>
        <v>0</v>
      </c>
      <c r="D125" s="212">
        <f t="shared" si="6"/>
        <v>0</v>
      </c>
      <c r="E125" s="212">
        <f t="shared" si="7"/>
        <v>0</v>
      </c>
      <c r="F125" s="212">
        <f t="shared" si="8"/>
        <v>0</v>
      </c>
      <c r="G125" s="212">
        <f t="shared" si="9"/>
        <v>0</v>
      </c>
    </row>
    <row r="126" spans="1:7">
      <c r="A126" s="216">
        <f t="shared" si="11"/>
        <v>119</v>
      </c>
      <c r="B126" s="217">
        <f>B125+31</f>
        <v>49827</v>
      </c>
      <c r="C126" s="212">
        <f t="shared" si="10"/>
        <v>0</v>
      </c>
      <c r="D126" s="212">
        <f t="shared" si="6"/>
        <v>0</v>
      </c>
      <c r="E126" s="212">
        <f t="shared" si="7"/>
        <v>0</v>
      </c>
      <c r="F126" s="212">
        <f t="shared" si="8"/>
        <v>0</v>
      </c>
      <c r="G126" s="212">
        <f t="shared" si="9"/>
        <v>0</v>
      </c>
    </row>
    <row r="127" spans="1:7">
      <c r="A127" s="216">
        <f t="shared" si="11"/>
        <v>120</v>
      </c>
      <c r="B127" s="217">
        <f>B126+31</f>
        <v>49858</v>
      </c>
      <c r="C127" s="212">
        <f t="shared" si="10"/>
        <v>0</v>
      </c>
      <c r="D127" s="212">
        <f t="shared" si="6"/>
        <v>0</v>
      </c>
      <c r="E127" s="212">
        <f t="shared" si="7"/>
        <v>0</v>
      </c>
      <c r="F127" s="212">
        <f t="shared" si="8"/>
        <v>0</v>
      </c>
      <c r="G127" s="212">
        <f t="shared" si="9"/>
        <v>0</v>
      </c>
    </row>
    <row r="128" spans="1:7">
      <c r="A128" s="216">
        <f t="shared" si="11"/>
        <v>121</v>
      </c>
      <c r="B128" s="217">
        <f>B127+30</f>
        <v>49888</v>
      </c>
      <c r="C128" s="212">
        <f t="shared" si="10"/>
        <v>0</v>
      </c>
      <c r="D128" s="212">
        <f t="shared" si="6"/>
        <v>0</v>
      </c>
      <c r="E128" s="212">
        <f t="shared" si="7"/>
        <v>0</v>
      </c>
      <c r="F128" s="212">
        <f t="shared" si="8"/>
        <v>0</v>
      </c>
      <c r="G128" s="212">
        <f t="shared" si="9"/>
        <v>0</v>
      </c>
    </row>
    <row r="129" spans="1:7">
      <c r="A129" s="216">
        <f t="shared" si="11"/>
        <v>122</v>
      </c>
      <c r="B129" s="217">
        <f>B128+31</f>
        <v>49919</v>
      </c>
      <c r="C129" s="212">
        <f t="shared" si="10"/>
        <v>0</v>
      </c>
      <c r="D129" s="212">
        <f t="shared" si="6"/>
        <v>0</v>
      </c>
      <c r="E129" s="212">
        <f t="shared" si="7"/>
        <v>0</v>
      </c>
      <c r="F129" s="212">
        <f t="shared" si="8"/>
        <v>0</v>
      </c>
      <c r="G129" s="212">
        <f t="shared" si="9"/>
        <v>0</v>
      </c>
    </row>
    <row r="130" spans="1:7">
      <c r="A130" s="216">
        <f t="shared" si="11"/>
        <v>123</v>
      </c>
      <c r="B130" s="217">
        <f>B129+30</f>
        <v>49949</v>
      </c>
      <c r="C130" s="212">
        <f t="shared" si="10"/>
        <v>0</v>
      </c>
      <c r="D130" s="212">
        <f t="shared" si="6"/>
        <v>0</v>
      </c>
      <c r="E130" s="212">
        <f t="shared" si="7"/>
        <v>0</v>
      </c>
      <c r="F130" s="212">
        <f t="shared" si="8"/>
        <v>0</v>
      </c>
      <c r="G130" s="212">
        <f t="shared" si="9"/>
        <v>0</v>
      </c>
    </row>
    <row r="131" spans="1:7">
      <c r="A131" s="216">
        <f t="shared" si="11"/>
        <v>124</v>
      </c>
      <c r="B131" s="217">
        <f>B130+31</f>
        <v>49980</v>
      </c>
      <c r="C131" s="212">
        <f t="shared" si="10"/>
        <v>0</v>
      </c>
      <c r="D131" s="212">
        <f t="shared" si="6"/>
        <v>0</v>
      </c>
      <c r="E131" s="212">
        <f t="shared" si="7"/>
        <v>0</v>
      </c>
      <c r="F131" s="212">
        <f t="shared" si="8"/>
        <v>0</v>
      </c>
      <c r="G131" s="212">
        <f t="shared" si="9"/>
        <v>0</v>
      </c>
    </row>
    <row r="132" spans="1:7">
      <c r="A132" s="216">
        <f t="shared" si="11"/>
        <v>125</v>
      </c>
      <c r="B132" s="217">
        <f>B131+31</f>
        <v>50011</v>
      </c>
      <c r="C132" s="212">
        <f t="shared" si="10"/>
        <v>0</v>
      </c>
      <c r="D132" s="212">
        <f t="shared" si="6"/>
        <v>0</v>
      </c>
      <c r="E132" s="212">
        <f t="shared" si="7"/>
        <v>0</v>
      </c>
      <c r="F132" s="212">
        <f t="shared" si="8"/>
        <v>0</v>
      </c>
      <c r="G132" s="212">
        <f t="shared" si="9"/>
        <v>0</v>
      </c>
    </row>
    <row r="133" spans="1:7">
      <c r="A133" s="216">
        <f t="shared" si="11"/>
        <v>126</v>
      </c>
      <c r="B133" s="217">
        <f>B132+29</f>
        <v>50040</v>
      </c>
      <c r="C133" s="212">
        <f t="shared" si="10"/>
        <v>0</v>
      </c>
      <c r="D133" s="212">
        <f t="shared" si="6"/>
        <v>0</v>
      </c>
      <c r="E133" s="212">
        <f t="shared" si="7"/>
        <v>0</v>
      </c>
      <c r="F133" s="212">
        <f t="shared" si="8"/>
        <v>0</v>
      </c>
      <c r="G133" s="212">
        <f t="shared" si="9"/>
        <v>0</v>
      </c>
    </row>
    <row r="134" spans="1:7">
      <c r="A134" s="216">
        <f t="shared" si="11"/>
        <v>127</v>
      </c>
      <c r="B134" s="217">
        <f>B133+31</f>
        <v>50071</v>
      </c>
      <c r="C134" s="212">
        <f t="shared" si="10"/>
        <v>0</v>
      </c>
      <c r="D134" s="212">
        <f t="shared" si="6"/>
        <v>0</v>
      </c>
      <c r="E134" s="212">
        <f t="shared" si="7"/>
        <v>0</v>
      </c>
      <c r="F134" s="212">
        <f t="shared" si="8"/>
        <v>0</v>
      </c>
      <c r="G134" s="212">
        <f t="shared" si="9"/>
        <v>0</v>
      </c>
    </row>
    <row r="135" spans="1:7">
      <c r="A135" s="216">
        <f t="shared" si="11"/>
        <v>128</v>
      </c>
      <c r="B135" s="217">
        <f>B134+30</f>
        <v>50101</v>
      </c>
      <c r="C135" s="212">
        <f t="shared" si="10"/>
        <v>0</v>
      </c>
      <c r="D135" s="212">
        <f t="shared" si="6"/>
        <v>0</v>
      </c>
      <c r="E135" s="212">
        <f t="shared" si="7"/>
        <v>0</v>
      </c>
      <c r="F135" s="212">
        <f t="shared" si="8"/>
        <v>0</v>
      </c>
      <c r="G135" s="212">
        <f t="shared" si="9"/>
        <v>0</v>
      </c>
    </row>
    <row r="136" spans="1:7">
      <c r="A136" s="216">
        <f t="shared" si="11"/>
        <v>129</v>
      </c>
      <c r="B136" s="217">
        <f>B135+31</f>
        <v>50132</v>
      </c>
      <c r="C136" s="212">
        <f t="shared" si="10"/>
        <v>0</v>
      </c>
      <c r="D136" s="212">
        <f t="shared" ref="D136:D199" si="12">PV($D$3/12,($D$4-A136),-$D$5)</f>
        <v>0</v>
      </c>
      <c r="E136" s="212">
        <f t="shared" ref="E136:E199" si="13">IF(C136=0,0,$D$5)</f>
        <v>0</v>
      </c>
      <c r="F136" s="212">
        <f t="shared" ref="F136:F199" si="14">E136-(C136-D136)</f>
        <v>0</v>
      </c>
      <c r="G136" s="212">
        <f t="shared" ref="G136:G199" si="15">E136-F136</f>
        <v>0</v>
      </c>
    </row>
    <row r="137" spans="1:7">
      <c r="A137" s="216">
        <f t="shared" si="11"/>
        <v>130</v>
      </c>
      <c r="B137" s="217">
        <f>B136+30</f>
        <v>50162</v>
      </c>
      <c r="C137" s="212">
        <f t="shared" ref="C137:C200" si="16">D136</f>
        <v>0</v>
      </c>
      <c r="D137" s="212">
        <f t="shared" si="12"/>
        <v>0</v>
      </c>
      <c r="E137" s="212">
        <f t="shared" si="13"/>
        <v>0</v>
      </c>
      <c r="F137" s="212">
        <f t="shared" si="14"/>
        <v>0</v>
      </c>
      <c r="G137" s="212">
        <f t="shared" si="15"/>
        <v>0</v>
      </c>
    </row>
    <row r="138" spans="1:7">
      <c r="A138" s="216">
        <f t="shared" si="11"/>
        <v>131</v>
      </c>
      <c r="B138" s="217">
        <f>B137+31</f>
        <v>50193</v>
      </c>
      <c r="C138" s="212">
        <f t="shared" si="16"/>
        <v>0</v>
      </c>
      <c r="D138" s="212">
        <f t="shared" si="12"/>
        <v>0</v>
      </c>
      <c r="E138" s="212">
        <f t="shared" si="13"/>
        <v>0</v>
      </c>
      <c r="F138" s="212">
        <f t="shared" si="14"/>
        <v>0</v>
      </c>
      <c r="G138" s="212">
        <f t="shared" si="15"/>
        <v>0</v>
      </c>
    </row>
    <row r="139" spans="1:7">
      <c r="A139" s="216">
        <f t="shared" si="11"/>
        <v>132</v>
      </c>
      <c r="B139" s="217">
        <f>B138+31</f>
        <v>50224</v>
      </c>
      <c r="C139" s="212">
        <f t="shared" si="16"/>
        <v>0</v>
      </c>
      <c r="D139" s="212">
        <f t="shared" si="12"/>
        <v>0</v>
      </c>
      <c r="E139" s="212">
        <f t="shared" si="13"/>
        <v>0</v>
      </c>
      <c r="F139" s="212">
        <f t="shared" si="14"/>
        <v>0</v>
      </c>
      <c r="G139" s="212">
        <f t="shared" si="15"/>
        <v>0</v>
      </c>
    </row>
    <row r="140" spans="1:7">
      <c r="A140" s="216">
        <f t="shared" si="11"/>
        <v>133</v>
      </c>
      <c r="B140" s="217">
        <f>B139+30</f>
        <v>50254</v>
      </c>
      <c r="C140" s="212">
        <f t="shared" si="16"/>
        <v>0</v>
      </c>
      <c r="D140" s="212">
        <f t="shared" si="12"/>
        <v>0</v>
      </c>
      <c r="E140" s="212">
        <f t="shared" si="13"/>
        <v>0</v>
      </c>
      <c r="F140" s="212">
        <f t="shared" si="14"/>
        <v>0</v>
      </c>
      <c r="G140" s="212">
        <f t="shared" si="15"/>
        <v>0</v>
      </c>
    </row>
    <row r="141" spans="1:7">
      <c r="A141" s="216">
        <f t="shared" si="11"/>
        <v>134</v>
      </c>
      <c r="B141" s="217">
        <f>B140+31</f>
        <v>50285</v>
      </c>
      <c r="C141" s="212">
        <f t="shared" si="16"/>
        <v>0</v>
      </c>
      <c r="D141" s="212">
        <f t="shared" si="12"/>
        <v>0</v>
      </c>
      <c r="E141" s="212">
        <f t="shared" si="13"/>
        <v>0</v>
      </c>
      <c r="F141" s="212">
        <f t="shared" si="14"/>
        <v>0</v>
      </c>
      <c r="G141" s="212">
        <f t="shared" si="15"/>
        <v>0</v>
      </c>
    </row>
    <row r="142" spans="1:7">
      <c r="A142" s="216">
        <f t="shared" si="11"/>
        <v>135</v>
      </c>
      <c r="B142" s="217">
        <f>B141+30</f>
        <v>50315</v>
      </c>
      <c r="C142" s="212">
        <f t="shared" si="16"/>
        <v>0</v>
      </c>
      <c r="D142" s="212">
        <f t="shared" si="12"/>
        <v>0</v>
      </c>
      <c r="E142" s="212">
        <f t="shared" si="13"/>
        <v>0</v>
      </c>
      <c r="F142" s="212">
        <f t="shared" si="14"/>
        <v>0</v>
      </c>
      <c r="G142" s="212">
        <f t="shared" si="15"/>
        <v>0</v>
      </c>
    </row>
    <row r="143" spans="1:7">
      <c r="A143" s="216">
        <f t="shared" si="11"/>
        <v>136</v>
      </c>
      <c r="B143" s="217">
        <f>B142+31</f>
        <v>50346</v>
      </c>
      <c r="C143" s="212">
        <f t="shared" si="16"/>
        <v>0</v>
      </c>
      <c r="D143" s="212">
        <f t="shared" si="12"/>
        <v>0</v>
      </c>
      <c r="E143" s="212">
        <f t="shared" si="13"/>
        <v>0</v>
      </c>
      <c r="F143" s="212">
        <f t="shared" si="14"/>
        <v>0</v>
      </c>
      <c r="G143" s="212">
        <f t="shared" si="15"/>
        <v>0</v>
      </c>
    </row>
    <row r="144" spans="1:7">
      <c r="A144" s="216">
        <f t="shared" si="11"/>
        <v>137</v>
      </c>
      <c r="B144" s="217">
        <f>B143+31</f>
        <v>50377</v>
      </c>
      <c r="C144" s="212">
        <f t="shared" si="16"/>
        <v>0</v>
      </c>
      <c r="D144" s="212">
        <f t="shared" si="12"/>
        <v>0</v>
      </c>
      <c r="E144" s="212">
        <f t="shared" si="13"/>
        <v>0</v>
      </c>
      <c r="F144" s="212">
        <f t="shared" si="14"/>
        <v>0</v>
      </c>
      <c r="G144" s="212">
        <f t="shared" si="15"/>
        <v>0</v>
      </c>
    </row>
    <row r="145" spans="1:7">
      <c r="A145" s="216">
        <f t="shared" ref="A145:A208" si="17">A144+1</f>
        <v>138</v>
      </c>
      <c r="B145" s="217">
        <f>B144+28</f>
        <v>50405</v>
      </c>
      <c r="C145" s="212">
        <f t="shared" si="16"/>
        <v>0</v>
      </c>
      <c r="D145" s="212">
        <f t="shared" si="12"/>
        <v>0</v>
      </c>
      <c r="E145" s="212">
        <f t="shared" si="13"/>
        <v>0</v>
      </c>
      <c r="F145" s="212">
        <f t="shared" si="14"/>
        <v>0</v>
      </c>
      <c r="G145" s="212">
        <f t="shared" si="15"/>
        <v>0</v>
      </c>
    </row>
    <row r="146" spans="1:7">
      <c r="A146" s="216">
        <f t="shared" si="17"/>
        <v>139</v>
      </c>
      <c r="B146" s="217">
        <f>B145+31</f>
        <v>50436</v>
      </c>
      <c r="C146" s="212">
        <f t="shared" si="16"/>
        <v>0</v>
      </c>
      <c r="D146" s="212">
        <f t="shared" si="12"/>
        <v>0</v>
      </c>
      <c r="E146" s="212">
        <f t="shared" si="13"/>
        <v>0</v>
      </c>
      <c r="F146" s="212">
        <f t="shared" si="14"/>
        <v>0</v>
      </c>
      <c r="G146" s="212">
        <f t="shared" si="15"/>
        <v>0</v>
      </c>
    </row>
    <row r="147" spans="1:7">
      <c r="A147" s="216">
        <f t="shared" si="17"/>
        <v>140</v>
      </c>
      <c r="B147" s="217">
        <f>B146+30</f>
        <v>50466</v>
      </c>
      <c r="C147" s="212">
        <f t="shared" si="16"/>
        <v>0</v>
      </c>
      <c r="D147" s="212">
        <f t="shared" si="12"/>
        <v>0</v>
      </c>
      <c r="E147" s="212">
        <f t="shared" si="13"/>
        <v>0</v>
      </c>
      <c r="F147" s="212">
        <f t="shared" si="14"/>
        <v>0</v>
      </c>
      <c r="G147" s="212">
        <f t="shared" si="15"/>
        <v>0</v>
      </c>
    </row>
    <row r="148" spans="1:7">
      <c r="A148" s="216">
        <f t="shared" si="17"/>
        <v>141</v>
      </c>
      <c r="B148" s="217">
        <f>B147+31</f>
        <v>50497</v>
      </c>
      <c r="C148" s="212">
        <f t="shared" si="16"/>
        <v>0</v>
      </c>
      <c r="D148" s="212">
        <f t="shared" si="12"/>
        <v>0</v>
      </c>
      <c r="E148" s="212">
        <f t="shared" si="13"/>
        <v>0</v>
      </c>
      <c r="F148" s="212">
        <f t="shared" si="14"/>
        <v>0</v>
      </c>
      <c r="G148" s="212">
        <f t="shared" si="15"/>
        <v>0</v>
      </c>
    </row>
    <row r="149" spans="1:7">
      <c r="A149" s="216">
        <f t="shared" si="17"/>
        <v>142</v>
      </c>
      <c r="B149" s="217">
        <f>B148+30</f>
        <v>50527</v>
      </c>
      <c r="C149" s="212">
        <f t="shared" si="16"/>
        <v>0</v>
      </c>
      <c r="D149" s="212">
        <f t="shared" si="12"/>
        <v>0</v>
      </c>
      <c r="E149" s="212">
        <f t="shared" si="13"/>
        <v>0</v>
      </c>
      <c r="F149" s="212">
        <f t="shared" si="14"/>
        <v>0</v>
      </c>
      <c r="G149" s="212">
        <f t="shared" si="15"/>
        <v>0</v>
      </c>
    </row>
    <row r="150" spans="1:7">
      <c r="A150" s="216">
        <f t="shared" si="17"/>
        <v>143</v>
      </c>
      <c r="B150" s="217">
        <f>B149+31</f>
        <v>50558</v>
      </c>
      <c r="C150" s="212">
        <f t="shared" si="16"/>
        <v>0</v>
      </c>
      <c r="D150" s="212">
        <f t="shared" si="12"/>
        <v>0</v>
      </c>
      <c r="E150" s="212">
        <f t="shared" si="13"/>
        <v>0</v>
      </c>
      <c r="F150" s="212">
        <f t="shared" si="14"/>
        <v>0</v>
      </c>
      <c r="G150" s="212">
        <f t="shared" si="15"/>
        <v>0</v>
      </c>
    </row>
    <row r="151" spans="1:7">
      <c r="A151" s="216">
        <f t="shared" si="17"/>
        <v>144</v>
      </c>
      <c r="B151" s="217">
        <f>B150+31</f>
        <v>50589</v>
      </c>
      <c r="C151" s="212">
        <f t="shared" si="16"/>
        <v>0</v>
      </c>
      <c r="D151" s="212">
        <f t="shared" si="12"/>
        <v>0</v>
      </c>
      <c r="E151" s="212">
        <f t="shared" si="13"/>
        <v>0</v>
      </c>
      <c r="F151" s="212">
        <f t="shared" si="14"/>
        <v>0</v>
      </c>
      <c r="G151" s="212">
        <f t="shared" si="15"/>
        <v>0</v>
      </c>
    </row>
    <row r="152" spans="1:7">
      <c r="A152" s="216">
        <f t="shared" si="17"/>
        <v>145</v>
      </c>
      <c r="B152" s="217">
        <f>B151+30</f>
        <v>50619</v>
      </c>
      <c r="C152" s="212">
        <f t="shared" si="16"/>
        <v>0</v>
      </c>
      <c r="D152" s="212">
        <f t="shared" si="12"/>
        <v>0</v>
      </c>
      <c r="E152" s="212">
        <f t="shared" si="13"/>
        <v>0</v>
      </c>
      <c r="F152" s="212">
        <f t="shared" si="14"/>
        <v>0</v>
      </c>
      <c r="G152" s="212">
        <f t="shared" si="15"/>
        <v>0</v>
      </c>
    </row>
    <row r="153" spans="1:7">
      <c r="A153" s="216">
        <f t="shared" si="17"/>
        <v>146</v>
      </c>
      <c r="B153" s="217">
        <f>B152+31</f>
        <v>50650</v>
      </c>
      <c r="C153" s="212">
        <f t="shared" si="16"/>
        <v>0</v>
      </c>
      <c r="D153" s="212">
        <f t="shared" si="12"/>
        <v>0</v>
      </c>
      <c r="E153" s="212">
        <f t="shared" si="13"/>
        <v>0</v>
      </c>
      <c r="F153" s="212">
        <f t="shared" si="14"/>
        <v>0</v>
      </c>
      <c r="G153" s="212">
        <f t="shared" si="15"/>
        <v>0</v>
      </c>
    </row>
    <row r="154" spans="1:7">
      <c r="A154" s="216">
        <f t="shared" si="17"/>
        <v>147</v>
      </c>
      <c r="B154" s="217">
        <f>B153+30</f>
        <v>50680</v>
      </c>
      <c r="C154" s="212">
        <f t="shared" si="16"/>
        <v>0</v>
      </c>
      <c r="D154" s="212">
        <f t="shared" si="12"/>
        <v>0</v>
      </c>
      <c r="E154" s="212">
        <f t="shared" si="13"/>
        <v>0</v>
      </c>
      <c r="F154" s="212">
        <f t="shared" si="14"/>
        <v>0</v>
      </c>
      <c r="G154" s="212">
        <f t="shared" si="15"/>
        <v>0</v>
      </c>
    </row>
    <row r="155" spans="1:7">
      <c r="A155" s="216">
        <f t="shared" si="17"/>
        <v>148</v>
      </c>
      <c r="B155" s="217">
        <f>B154+31</f>
        <v>50711</v>
      </c>
      <c r="C155" s="212">
        <f t="shared" si="16"/>
        <v>0</v>
      </c>
      <c r="D155" s="212">
        <f t="shared" si="12"/>
        <v>0</v>
      </c>
      <c r="E155" s="212">
        <f t="shared" si="13"/>
        <v>0</v>
      </c>
      <c r="F155" s="212">
        <f t="shared" si="14"/>
        <v>0</v>
      </c>
      <c r="G155" s="212">
        <f t="shared" si="15"/>
        <v>0</v>
      </c>
    </row>
    <row r="156" spans="1:7">
      <c r="A156" s="216">
        <f t="shared" si="17"/>
        <v>149</v>
      </c>
      <c r="B156" s="217">
        <f>B155+31</f>
        <v>50742</v>
      </c>
      <c r="C156" s="212">
        <f t="shared" si="16"/>
        <v>0</v>
      </c>
      <c r="D156" s="212">
        <f t="shared" si="12"/>
        <v>0</v>
      </c>
      <c r="E156" s="212">
        <f t="shared" si="13"/>
        <v>0</v>
      </c>
      <c r="F156" s="212">
        <f t="shared" si="14"/>
        <v>0</v>
      </c>
      <c r="G156" s="212">
        <f t="shared" si="15"/>
        <v>0</v>
      </c>
    </row>
    <row r="157" spans="1:7">
      <c r="A157" s="216">
        <f t="shared" si="17"/>
        <v>150</v>
      </c>
      <c r="B157" s="217">
        <f>B156+28</f>
        <v>50770</v>
      </c>
      <c r="C157" s="212">
        <f t="shared" si="16"/>
        <v>0</v>
      </c>
      <c r="D157" s="212">
        <f t="shared" si="12"/>
        <v>0</v>
      </c>
      <c r="E157" s="212">
        <f t="shared" si="13"/>
        <v>0</v>
      </c>
      <c r="F157" s="212">
        <f t="shared" si="14"/>
        <v>0</v>
      </c>
      <c r="G157" s="212">
        <f t="shared" si="15"/>
        <v>0</v>
      </c>
    </row>
    <row r="158" spans="1:7">
      <c r="A158" s="216">
        <f t="shared" si="17"/>
        <v>151</v>
      </c>
      <c r="B158" s="217">
        <f>B157+31</f>
        <v>50801</v>
      </c>
      <c r="C158" s="212">
        <f t="shared" si="16"/>
        <v>0</v>
      </c>
      <c r="D158" s="212">
        <f t="shared" si="12"/>
        <v>0</v>
      </c>
      <c r="E158" s="212">
        <f t="shared" si="13"/>
        <v>0</v>
      </c>
      <c r="F158" s="212">
        <f t="shared" si="14"/>
        <v>0</v>
      </c>
      <c r="G158" s="212">
        <f t="shared" si="15"/>
        <v>0</v>
      </c>
    </row>
    <row r="159" spans="1:7">
      <c r="A159" s="216">
        <f t="shared" si="17"/>
        <v>152</v>
      </c>
      <c r="B159" s="217">
        <f>B158+30</f>
        <v>50831</v>
      </c>
      <c r="C159" s="212">
        <f t="shared" si="16"/>
        <v>0</v>
      </c>
      <c r="D159" s="212">
        <f t="shared" si="12"/>
        <v>0</v>
      </c>
      <c r="E159" s="212">
        <f t="shared" si="13"/>
        <v>0</v>
      </c>
      <c r="F159" s="212">
        <f t="shared" si="14"/>
        <v>0</v>
      </c>
      <c r="G159" s="212">
        <f t="shared" si="15"/>
        <v>0</v>
      </c>
    </row>
    <row r="160" spans="1:7">
      <c r="A160" s="216">
        <f t="shared" si="17"/>
        <v>153</v>
      </c>
      <c r="B160" s="217">
        <f>B159+31</f>
        <v>50862</v>
      </c>
      <c r="C160" s="212">
        <f t="shared" si="16"/>
        <v>0</v>
      </c>
      <c r="D160" s="212">
        <f t="shared" si="12"/>
        <v>0</v>
      </c>
      <c r="E160" s="212">
        <f t="shared" si="13"/>
        <v>0</v>
      </c>
      <c r="F160" s="212">
        <f t="shared" si="14"/>
        <v>0</v>
      </c>
      <c r="G160" s="212">
        <f t="shared" si="15"/>
        <v>0</v>
      </c>
    </row>
    <row r="161" spans="1:7">
      <c r="A161" s="216">
        <f t="shared" si="17"/>
        <v>154</v>
      </c>
      <c r="B161" s="217">
        <f>B160+30</f>
        <v>50892</v>
      </c>
      <c r="C161" s="212">
        <f t="shared" si="16"/>
        <v>0</v>
      </c>
      <c r="D161" s="212">
        <f t="shared" si="12"/>
        <v>0</v>
      </c>
      <c r="E161" s="212">
        <f t="shared" si="13"/>
        <v>0</v>
      </c>
      <c r="F161" s="212">
        <f t="shared" si="14"/>
        <v>0</v>
      </c>
      <c r="G161" s="212">
        <f t="shared" si="15"/>
        <v>0</v>
      </c>
    </row>
    <row r="162" spans="1:7">
      <c r="A162" s="216">
        <f t="shared" si="17"/>
        <v>155</v>
      </c>
      <c r="B162" s="217">
        <f>B161+31</f>
        <v>50923</v>
      </c>
      <c r="C162" s="212">
        <f t="shared" si="16"/>
        <v>0</v>
      </c>
      <c r="D162" s="212">
        <f t="shared" si="12"/>
        <v>0</v>
      </c>
      <c r="E162" s="212">
        <f t="shared" si="13"/>
        <v>0</v>
      </c>
      <c r="F162" s="212">
        <f t="shared" si="14"/>
        <v>0</v>
      </c>
      <c r="G162" s="212">
        <f t="shared" si="15"/>
        <v>0</v>
      </c>
    </row>
    <row r="163" spans="1:7">
      <c r="A163" s="216">
        <f t="shared" si="17"/>
        <v>156</v>
      </c>
      <c r="B163" s="217">
        <f>B162+31</f>
        <v>50954</v>
      </c>
      <c r="C163" s="212">
        <f t="shared" si="16"/>
        <v>0</v>
      </c>
      <c r="D163" s="212">
        <f t="shared" si="12"/>
        <v>0</v>
      </c>
      <c r="E163" s="212">
        <f t="shared" si="13"/>
        <v>0</v>
      </c>
      <c r="F163" s="212">
        <f t="shared" si="14"/>
        <v>0</v>
      </c>
      <c r="G163" s="212">
        <f t="shared" si="15"/>
        <v>0</v>
      </c>
    </row>
    <row r="164" spans="1:7">
      <c r="A164" s="216">
        <f t="shared" si="17"/>
        <v>157</v>
      </c>
      <c r="B164" s="217">
        <f>B163+30</f>
        <v>50984</v>
      </c>
      <c r="C164" s="212">
        <f t="shared" si="16"/>
        <v>0</v>
      </c>
      <c r="D164" s="212">
        <f t="shared" si="12"/>
        <v>0</v>
      </c>
      <c r="E164" s="212">
        <f t="shared" si="13"/>
        <v>0</v>
      </c>
      <c r="F164" s="212">
        <f t="shared" si="14"/>
        <v>0</v>
      </c>
      <c r="G164" s="212">
        <f t="shared" si="15"/>
        <v>0</v>
      </c>
    </row>
    <row r="165" spans="1:7">
      <c r="A165" s="216">
        <f t="shared" si="17"/>
        <v>158</v>
      </c>
      <c r="B165" s="217">
        <f>B164+31</f>
        <v>51015</v>
      </c>
      <c r="C165" s="212">
        <f t="shared" si="16"/>
        <v>0</v>
      </c>
      <c r="D165" s="212">
        <f t="shared" si="12"/>
        <v>0</v>
      </c>
      <c r="E165" s="212">
        <f t="shared" si="13"/>
        <v>0</v>
      </c>
      <c r="F165" s="212">
        <f t="shared" si="14"/>
        <v>0</v>
      </c>
      <c r="G165" s="212">
        <f t="shared" si="15"/>
        <v>0</v>
      </c>
    </row>
    <row r="166" spans="1:7">
      <c r="A166" s="216">
        <f t="shared" si="17"/>
        <v>159</v>
      </c>
      <c r="B166" s="217">
        <f>B165+30</f>
        <v>51045</v>
      </c>
      <c r="C166" s="212">
        <f t="shared" si="16"/>
        <v>0</v>
      </c>
      <c r="D166" s="212">
        <f t="shared" si="12"/>
        <v>0</v>
      </c>
      <c r="E166" s="212">
        <f t="shared" si="13"/>
        <v>0</v>
      </c>
      <c r="F166" s="212">
        <f t="shared" si="14"/>
        <v>0</v>
      </c>
      <c r="G166" s="212">
        <f t="shared" si="15"/>
        <v>0</v>
      </c>
    </row>
    <row r="167" spans="1:7">
      <c r="A167" s="216">
        <f t="shared" si="17"/>
        <v>160</v>
      </c>
      <c r="B167" s="217">
        <f>B166+31</f>
        <v>51076</v>
      </c>
      <c r="C167" s="212">
        <f t="shared" si="16"/>
        <v>0</v>
      </c>
      <c r="D167" s="212">
        <f t="shared" si="12"/>
        <v>0</v>
      </c>
      <c r="E167" s="212">
        <f t="shared" si="13"/>
        <v>0</v>
      </c>
      <c r="F167" s="212">
        <f t="shared" si="14"/>
        <v>0</v>
      </c>
      <c r="G167" s="212">
        <f t="shared" si="15"/>
        <v>0</v>
      </c>
    </row>
    <row r="168" spans="1:7">
      <c r="A168" s="216">
        <f t="shared" si="17"/>
        <v>161</v>
      </c>
      <c r="B168" s="217">
        <f>B167+31</f>
        <v>51107</v>
      </c>
      <c r="C168" s="212">
        <f t="shared" si="16"/>
        <v>0</v>
      </c>
      <c r="D168" s="212">
        <f t="shared" si="12"/>
        <v>0</v>
      </c>
      <c r="E168" s="212">
        <f t="shared" si="13"/>
        <v>0</v>
      </c>
      <c r="F168" s="212">
        <f t="shared" si="14"/>
        <v>0</v>
      </c>
      <c r="G168" s="212">
        <f t="shared" si="15"/>
        <v>0</v>
      </c>
    </row>
    <row r="169" spans="1:7">
      <c r="A169" s="216">
        <f t="shared" si="17"/>
        <v>162</v>
      </c>
      <c r="B169" s="217">
        <f>B168+28</f>
        <v>51135</v>
      </c>
      <c r="C169" s="212">
        <f t="shared" si="16"/>
        <v>0</v>
      </c>
      <c r="D169" s="212">
        <f t="shared" si="12"/>
        <v>0</v>
      </c>
      <c r="E169" s="212">
        <f t="shared" si="13"/>
        <v>0</v>
      </c>
      <c r="F169" s="212">
        <f t="shared" si="14"/>
        <v>0</v>
      </c>
      <c r="G169" s="212">
        <f t="shared" si="15"/>
        <v>0</v>
      </c>
    </row>
    <row r="170" spans="1:7">
      <c r="A170" s="216">
        <f t="shared" si="17"/>
        <v>163</v>
      </c>
      <c r="B170" s="217">
        <f>B169+31</f>
        <v>51166</v>
      </c>
      <c r="C170" s="212">
        <f t="shared" si="16"/>
        <v>0</v>
      </c>
      <c r="D170" s="212">
        <f t="shared" si="12"/>
        <v>0</v>
      </c>
      <c r="E170" s="212">
        <f t="shared" si="13"/>
        <v>0</v>
      </c>
      <c r="F170" s="212">
        <f t="shared" si="14"/>
        <v>0</v>
      </c>
      <c r="G170" s="212">
        <f t="shared" si="15"/>
        <v>0</v>
      </c>
    </row>
    <row r="171" spans="1:7">
      <c r="A171" s="216">
        <f t="shared" si="17"/>
        <v>164</v>
      </c>
      <c r="B171" s="217">
        <f>B170+30</f>
        <v>51196</v>
      </c>
      <c r="C171" s="212">
        <f t="shared" si="16"/>
        <v>0</v>
      </c>
      <c r="D171" s="212">
        <f t="shared" si="12"/>
        <v>0</v>
      </c>
      <c r="E171" s="212">
        <f t="shared" si="13"/>
        <v>0</v>
      </c>
      <c r="F171" s="212">
        <f t="shared" si="14"/>
        <v>0</v>
      </c>
      <c r="G171" s="212">
        <f t="shared" si="15"/>
        <v>0</v>
      </c>
    </row>
    <row r="172" spans="1:7">
      <c r="A172" s="216">
        <f t="shared" si="17"/>
        <v>165</v>
      </c>
      <c r="B172" s="217">
        <f>B171+31</f>
        <v>51227</v>
      </c>
      <c r="C172" s="212">
        <f t="shared" si="16"/>
        <v>0</v>
      </c>
      <c r="D172" s="212">
        <f t="shared" si="12"/>
        <v>0</v>
      </c>
      <c r="E172" s="212">
        <f t="shared" si="13"/>
        <v>0</v>
      </c>
      <c r="F172" s="212">
        <f t="shared" si="14"/>
        <v>0</v>
      </c>
      <c r="G172" s="212">
        <f t="shared" si="15"/>
        <v>0</v>
      </c>
    </row>
    <row r="173" spans="1:7">
      <c r="A173" s="216">
        <f t="shared" si="17"/>
        <v>166</v>
      </c>
      <c r="B173" s="217">
        <f>B172+30</f>
        <v>51257</v>
      </c>
      <c r="C173" s="212">
        <f t="shared" si="16"/>
        <v>0</v>
      </c>
      <c r="D173" s="212">
        <f t="shared" si="12"/>
        <v>0</v>
      </c>
      <c r="E173" s="212">
        <f t="shared" si="13"/>
        <v>0</v>
      </c>
      <c r="F173" s="212">
        <f t="shared" si="14"/>
        <v>0</v>
      </c>
      <c r="G173" s="212">
        <f t="shared" si="15"/>
        <v>0</v>
      </c>
    </row>
    <row r="174" spans="1:7">
      <c r="A174" s="216">
        <f t="shared" si="17"/>
        <v>167</v>
      </c>
      <c r="B174" s="217">
        <f>B173+31</f>
        <v>51288</v>
      </c>
      <c r="C174" s="212">
        <f t="shared" si="16"/>
        <v>0</v>
      </c>
      <c r="D174" s="212">
        <f t="shared" si="12"/>
        <v>0</v>
      </c>
      <c r="E174" s="212">
        <f t="shared" si="13"/>
        <v>0</v>
      </c>
      <c r="F174" s="212">
        <f t="shared" si="14"/>
        <v>0</v>
      </c>
      <c r="G174" s="212">
        <f t="shared" si="15"/>
        <v>0</v>
      </c>
    </row>
    <row r="175" spans="1:7">
      <c r="A175" s="216">
        <f t="shared" si="17"/>
        <v>168</v>
      </c>
      <c r="B175" s="217">
        <f>B174+31</f>
        <v>51319</v>
      </c>
      <c r="C175" s="212">
        <f t="shared" si="16"/>
        <v>0</v>
      </c>
      <c r="D175" s="212">
        <f t="shared" si="12"/>
        <v>0</v>
      </c>
      <c r="E175" s="212">
        <f t="shared" si="13"/>
        <v>0</v>
      </c>
      <c r="F175" s="212">
        <f t="shared" si="14"/>
        <v>0</v>
      </c>
      <c r="G175" s="212">
        <f t="shared" si="15"/>
        <v>0</v>
      </c>
    </row>
    <row r="176" spans="1:7">
      <c r="A176" s="216">
        <f t="shared" si="17"/>
        <v>169</v>
      </c>
      <c r="B176" s="217">
        <f>B175+30</f>
        <v>51349</v>
      </c>
      <c r="C176" s="212">
        <f t="shared" si="16"/>
        <v>0</v>
      </c>
      <c r="D176" s="212">
        <f t="shared" si="12"/>
        <v>0</v>
      </c>
      <c r="E176" s="212">
        <f t="shared" si="13"/>
        <v>0</v>
      </c>
      <c r="F176" s="212">
        <f t="shared" si="14"/>
        <v>0</v>
      </c>
      <c r="G176" s="212">
        <f t="shared" si="15"/>
        <v>0</v>
      </c>
    </row>
    <row r="177" spans="1:7">
      <c r="A177" s="216">
        <f t="shared" si="17"/>
        <v>170</v>
      </c>
      <c r="B177" s="217">
        <f>B176+31</f>
        <v>51380</v>
      </c>
      <c r="C177" s="212">
        <f t="shared" si="16"/>
        <v>0</v>
      </c>
      <c r="D177" s="212">
        <f t="shared" si="12"/>
        <v>0</v>
      </c>
      <c r="E177" s="212">
        <f t="shared" si="13"/>
        <v>0</v>
      </c>
      <c r="F177" s="212">
        <f t="shared" si="14"/>
        <v>0</v>
      </c>
      <c r="G177" s="212">
        <f t="shared" si="15"/>
        <v>0</v>
      </c>
    </row>
    <row r="178" spans="1:7">
      <c r="A178" s="216">
        <f t="shared" si="17"/>
        <v>171</v>
      </c>
      <c r="B178" s="217">
        <f>B177+30</f>
        <v>51410</v>
      </c>
      <c r="C178" s="212">
        <f t="shared" si="16"/>
        <v>0</v>
      </c>
      <c r="D178" s="212">
        <f t="shared" si="12"/>
        <v>0</v>
      </c>
      <c r="E178" s="212">
        <f t="shared" si="13"/>
        <v>0</v>
      </c>
      <c r="F178" s="212">
        <f t="shared" si="14"/>
        <v>0</v>
      </c>
      <c r="G178" s="212">
        <f t="shared" si="15"/>
        <v>0</v>
      </c>
    </row>
    <row r="179" spans="1:7">
      <c r="A179" s="216">
        <f t="shared" si="17"/>
        <v>172</v>
      </c>
      <c r="B179" s="217">
        <f>B178+31</f>
        <v>51441</v>
      </c>
      <c r="C179" s="212">
        <f t="shared" si="16"/>
        <v>0</v>
      </c>
      <c r="D179" s="212">
        <f t="shared" si="12"/>
        <v>0</v>
      </c>
      <c r="E179" s="212">
        <f t="shared" si="13"/>
        <v>0</v>
      </c>
      <c r="F179" s="212">
        <f t="shared" si="14"/>
        <v>0</v>
      </c>
      <c r="G179" s="212">
        <f t="shared" si="15"/>
        <v>0</v>
      </c>
    </row>
    <row r="180" spans="1:7">
      <c r="A180" s="216">
        <f t="shared" si="17"/>
        <v>173</v>
      </c>
      <c r="B180" s="217">
        <f>B179+31</f>
        <v>51472</v>
      </c>
      <c r="C180" s="212">
        <f t="shared" si="16"/>
        <v>0</v>
      </c>
      <c r="D180" s="212">
        <f t="shared" si="12"/>
        <v>0</v>
      </c>
      <c r="E180" s="212">
        <f t="shared" si="13"/>
        <v>0</v>
      </c>
      <c r="F180" s="212">
        <f t="shared" si="14"/>
        <v>0</v>
      </c>
      <c r="G180" s="212">
        <f t="shared" si="15"/>
        <v>0</v>
      </c>
    </row>
    <row r="181" spans="1:7">
      <c r="A181" s="216">
        <f t="shared" si="17"/>
        <v>174</v>
      </c>
      <c r="B181" s="217">
        <f>B180+29</f>
        <v>51501</v>
      </c>
      <c r="C181" s="212">
        <f t="shared" si="16"/>
        <v>0</v>
      </c>
      <c r="D181" s="212">
        <f t="shared" si="12"/>
        <v>0</v>
      </c>
      <c r="E181" s="212">
        <f t="shared" si="13"/>
        <v>0</v>
      </c>
      <c r="F181" s="212">
        <f t="shared" si="14"/>
        <v>0</v>
      </c>
      <c r="G181" s="212">
        <f t="shared" si="15"/>
        <v>0</v>
      </c>
    </row>
    <row r="182" spans="1:7">
      <c r="A182" s="216">
        <f t="shared" si="17"/>
        <v>175</v>
      </c>
      <c r="B182" s="217">
        <f>B181+31</f>
        <v>51532</v>
      </c>
      <c r="C182" s="212">
        <f t="shared" si="16"/>
        <v>0</v>
      </c>
      <c r="D182" s="212">
        <f t="shared" si="12"/>
        <v>0</v>
      </c>
      <c r="E182" s="212">
        <f t="shared" si="13"/>
        <v>0</v>
      </c>
      <c r="F182" s="212">
        <f t="shared" si="14"/>
        <v>0</v>
      </c>
      <c r="G182" s="212">
        <f t="shared" si="15"/>
        <v>0</v>
      </c>
    </row>
    <row r="183" spans="1:7">
      <c r="A183" s="216">
        <f t="shared" si="17"/>
        <v>176</v>
      </c>
      <c r="B183" s="217">
        <f>B182+30</f>
        <v>51562</v>
      </c>
      <c r="C183" s="212">
        <f t="shared" si="16"/>
        <v>0</v>
      </c>
      <c r="D183" s="212">
        <f t="shared" si="12"/>
        <v>0</v>
      </c>
      <c r="E183" s="212">
        <f t="shared" si="13"/>
        <v>0</v>
      </c>
      <c r="F183" s="212">
        <f t="shared" si="14"/>
        <v>0</v>
      </c>
      <c r="G183" s="212">
        <f t="shared" si="15"/>
        <v>0</v>
      </c>
    </row>
    <row r="184" spans="1:7">
      <c r="A184" s="216">
        <f t="shared" si="17"/>
        <v>177</v>
      </c>
      <c r="B184" s="217">
        <f>B183+31</f>
        <v>51593</v>
      </c>
      <c r="C184" s="212">
        <f t="shared" si="16"/>
        <v>0</v>
      </c>
      <c r="D184" s="212">
        <f t="shared" si="12"/>
        <v>0</v>
      </c>
      <c r="E184" s="212">
        <f t="shared" si="13"/>
        <v>0</v>
      </c>
      <c r="F184" s="212">
        <f t="shared" si="14"/>
        <v>0</v>
      </c>
      <c r="G184" s="212">
        <f t="shared" si="15"/>
        <v>0</v>
      </c>
    </row>
    <row r="185" spans="1:7">
      <c r="A185" s="216">
        <f t="shared" si="17"/>
        <v>178</v>
      </c>
      <c r="B185" s="217">
        <f>B184+30</f>
        <v>51623</v>
      </c>
      <c r="C185" s="212">
        <f t="shared" si="16"/>
        <v>0</v>
      </c>
      <c r="D185" s="212">
        <f t="shared" si="12"/>
        <v>0</v>
      </c>
      <c r="E185" s="212">
        <f t="shared" si="13"/>
        <v>0</v>
      </c>
      <c r="F185" s="212">
        <f t="shared" si="14"/>
        <v>0</v>
      </c>
      <c r="G185" s="212">
        <f t="shared" si="15"/>
        <v>0</v>
      </c>
    </row>
    <row r="186" spans="1:7">
      <c r="A186" s="216">
        <f t="shared" si="17"/>
        <v>179</v>
      </c>
      <c r="B186" s="217">
        <f>B185+31</f>
        <v>51654</v>
      </c>
      <c r="C186" s="212">
        <f t="shared" si="16"/>
        <v>0</v>
      </c>
      <c r="D186" s="212">
        <f t="shared" si="12"/>
        <v>0</v>
      </c>
      <c r="E186" s="212">
        <f t="shared" si="13"/>
        <v>0</v>
      </c>
      <c r="F186" s="212">
        <f t="shared" si="14"/>
        <v>0</v>
      </c>
      <c r="G186" s="212">
        <f t="shared" si="15"/>
        <v>0</v>
      </c>
    </row>
    <row r="187" spans="1:7">
      <c r="A187" s="216">
        <f t="shared" si="17"/>
        <v>180</v>
      </c>
      <c r="B187" s="217">
        <f>B186+31</f>
        <v>51685</v>
      </c>
      <c r="C187" s="212">
        <f t="shared" si="16"/>
        <v>0</v>
      </c>
      <c r="D187" s="212">
        <f t="shared" si="12"/>
        <v>0</v>
      </c>
      <c r="E187" s="212">
        <f t="shared" si="13"/>
        <v>0</v>
      </c>
      <c r="F187" s="212">
        <f t="shared" si="14"/>
        <v>0</v>
      </c>
      <c r="G187" s="212">
        <f t="shared" si="15"/>
        <v>0</v>
      </c>
    </row>
    <row r="188" spans="1:7">
      <c r="A188" s="216">
        <f t="shared" si="17"/>
        <v>181</v>
      </c>
      <c r="B188" s="217">
        <f>B187+30</f>
        <v>51715</v>
      </c>
      <c r="C188" s="212">
        <f t="shared" si="16"/>
        <v>0</v>
      </c>
      <c r="D188" s="212">
        <f t="shared" si="12"/>
        <v>0</v>
      </c>
      <c r="E188" s="212">
        <f t="shared" si="13"/>
        <v>0</v>
      </c>
      <c r="F188" s="212">
        <f t="shared" si="14"/>
        <v>0</v>
      </c>
      <c r="G188" s="212">
        <f t="shared" si="15"/>
        <v>0</v>
      </c>
    </row>
    <row r="189" spans="1:7">
      <c r="A189" s="216">
        <f t="shared" si="17"/>
        <v>182</v>
      </c>
      <c r="B189" s="217">
        <f>B188+31</f>
        <v>51746</v>
      </c>
      <c r="C189" s="212">
        <f t="shared" si="16"/>
        <v>0</v>
      </c>
      <c r="D189" s="212">
        <f t="shared" si="12"/>
        <v>0</v>
      </c>
      <c r="E189" s="212">
        <f t="shared" si="13"/>
        <v>0</v>
      </c>
      <c r="F189" s="212">
        <f t="shared" si="14"/>
        <v>0</v>
      </c>
      <c r="G189" s="212">
        <f t="shared" si="15"/>
        <v>0</v>
      </c>
    </row>
    <row r="190" spans="1:7">
      <c r="A190" s="216">
        <f t="shared" si="17"/>
        <v>183</v>
      </c>
      <c r="B190" s="217">
        <f>B189+30</f>
        <v>51776</v>
      </c>
      <c r="C190" s="212">
        <f t="shared" si="16"/>
        <v>0</v>
      </c>
      <c r="D190" s="212">
        <f t="shared" si="12"/>
        <v>0</v>
      </c>
      <c r="E190" s="212">
        <f t="shared" si="13"/>
        <v>0</v>
      </c>
      <c r="F190" s="212">
        <f t="shared" si="14"/>
        <v>0</v>
      </c>
      <c r="G190" s="212">
        <f t="shared" si="15"/>
        <v>0</v>
      </c>
    </row>
    <row r="191" spans="1:7">
      <c r="A191" s="216">
        <f t="shared" si="17"/>
        <v>184</v>
      </c>
      <c r="B191" s="217">
        <f>B190+31</f>
        <v>51807</v>
      </c>
      <c r="C191" s="212">
        <f t="shared" si="16"/>
        <v>0</v>
      </c>
      <c r="D191" s="212">
        <f t="shared" si="12"/>
        <v>0</v>
      </c>
      <c r="E191" s="212">
        <f t="shared" si="13"/>
        <v>0</v>
      </c>
      <c r="F191" s="212">
        <f t="shared" si="14"/>
        <v>0</v>
      </c>
      <c r="G191" s="212">
        <f t="shared" si="15"/>
        <v>0</v>
      </c>
    </row>
    <row r="192" spans="1:7">
      <c r="A192" s="216">
        <f t="shared" si="17"/>
        <v>185</v>
      </c>
      <c r="B192" s="217">
        <f>B191+31</f>
        <v>51838</v>
      </c>
      <c r="C192" s="212">
        <f t="shared" si="16"/>
        <v>0</v>
      </c>
      <c r="D192" s="212">
        <f t="shared" si="12"/>
        <v>0</v>
      </c>
      <c r="E192" s="212">
        <f t="shared" si="13"/>
        <v>0</v>
      </c>
      <c r="F192" s="212">
        <f t="shared" si="14"/>
        <v>0</v>
      </c>
      <c r="G192" s="212">
        <f t="shared" si="15"/>
        <v>0</v>
      </c>
    </row>
    <row r="193" spans="1:7">
      <c r="A193" s="216">
        <f t="shared" si="17"/>
        <v>186</v>
      </c>
      <c r="B193" s="217">
        <f>B192+28</f>
        <v>51866</v>
      </c>
      <c r="C193" s="212">
        <f t="shared" si="16"/>
        <v>0</v>
      </c>
      <c r="D193" s="212">
        <f t="shared" si="12"/>
        <v>0</v>
      </c>
      <c r="E193" s="212">
        <f t="shared" si="13"/>
        <v>0</v>
      </c>
      <c r="F193" s="212">
        <f t="shared" si="14"/>
        <v>0</v>
      </c>
      <c r="G193" s="212">
        <f t="shared" si="15"/>
        <v>0</v>
      </c>
    </row>
    <row r="194" spans="1:7">
      <c r="A194" s="216">
        <f t="shared" si="17"/>
        <v>187</v>
      </c>
      <c r="B194" s="217">
        <f>B193+31</f>
        <v>51897</v>
      </c>
      <c r="C194" s="212">
        <f t="shared" si="16"/>
        <v>0</v>
      </c>
      <c r="D194" s="212">
        <f t="shared" si="12"/>
        <v>0</v>
      </c>
      <c r="E194" s="212">
        <f t="shared" si="13"/>
        <v>0</v>
      </c>
      <c r="F194" s="212">
        <f t="shared" si="14"/>
        <v>0</v>
      </c>
      <c r="G194" s="212">
        <f t="shared" si="15"/>
        <v>0</v>
      </c>
    </row>
    <row r="195" spans="1:7">
      <c r="A195" s="216">
        <f t="shared" si="17"/>
        <v>188</v>
      </c>
      <c r="B195" s="217">
        <f>B194+30</f>
        <v>51927</v>
      </c>
      <c r="C195" s="212">
        <f t="shared" si="16"/>
        <v>0</v>
      </c>
      <c r="D195" s="212">
        <f t="shared" si="12"/>
        <v>0</v>
      </c>
      <c r="E195" s="212">
        <f t="shared" si="13"/>
        <v>0</v>
      </c>
      <c r="F195" s="212">
        <f t="shared" si="14"/>
        <v>0</v>
      </c>
      <c r="G195" s="212">
        <f t="shared" si="15"/>
        <v>0</v>
      </c>
    </row>
    <row r="196" spans="1:7">
      <c r="A196" s="216">
        <f t="shared" si="17"/>
        <v>189</v>
      </c>
      <c r="B196" s="217">
        <f>B195+31</f>
        <v>51958</v>
      </c>
      <c r="C196" s="212">
        <f t="shared" si="16"/>
        <v>0</v>
      </c>
      <c r="D196" s="212">
        <f t="shared" si="12"/>
        <v>0</v>
      </c>
      <c r="E196" s="212">
        <f t="shared" si="13"/>
        <v>0</v>
      </c>
      <c r="F196" s="212">
        <f t="shared" si="14"/>
        <v>0</v>
      </c>
      <c r="G196" s="212">
        <f t="shared" si="15"/>
        <v>0</v>
      </c>
    </row>
    <row r="197" spans="1:7">
      <c r="A197" s="216">
        <f t="shared" si="17"/>
        <v>190</v>
      </c>
      <c r="B197" s="217">
        <f>B196+30</f>
        <v>51988</v>
      </c>
      <c r="C197" s="212">
        <f t="shared" si="16"/>
        <v>0</v>
      </c>
      <c r="D197" s="212">
        <f t="shared" si="12"/>
        <v>0</v>
      </c>
      <c r="E197" s="212">
        <f t="shared" si="13"/>
        <v>0</v>
      </c>
      <c r="F197" s="212">
        <f t="shared" si="14"/>
        <v>0</v>
      </c>
      <c r="G197" s="212">
        <f t="shared" si="15"/>
        <v>0</v>
      </c>
    </row>
    <row r="198" spans="1:7">
      <c r="A198" s="216">
        <f t="shared" si="17"/>
        <v>191</v>
      </c>
      <c r="B198" s="217">
        <f>B197+31</f>
        <v>52019</v>
      </c>
      <c r="C198" s="212">
        <f t="shared" si="16"/>
        <v>0</v>
      </c>
      <c r="D198" s="212">
        <f t="shared" si="12"/>
        <v>0</v>
      </c>
      <c r="E198" s="212">
        <f t="shared" si="13"/>
        <v>0</v>
      </c>
      <c r="F198" s="212">
        <f t="shared" si="14"/>
        <v>0</v>
      </c>
      <c r="G198" s="212">
        <f t="shared" si="15"/>
        <v>0</v>
      </c>
    </row>
    <row r="199" spans="1:7">
      <c r="A199" s="216">
        <f t="shared" si="17"/>
        <v>192</v>
      </c>
      <c r="B199" s="217">
        <f>B198+31</f>
        <v>52050</v>
      </c>
      <c r="C199" s="212">
        <f t="shared" si="16"/>
        <v>0</v>
      </c>
      <c r="D199" s="212">
        <f t="shared" si="12"/>
        <v>0</v>
      </c>
      <c r="E199" s="212">
        <f t="shared" si="13"/>
        <v>0</v>
      </c>
      <c r="F199" s="212">
        <f t="shared" si="14"/>
        <v>0</v>
      </c>
      <c r="G199" s="212">
        <f t="shared" si="15"/>
        <v>0</v>
      </c>
    </row>
    <row r="200" spans="1:7">
      <c r="A200" s="216">
        <f t="shared" si="17"/>
        <v>193</v>
      </c>
      <c r="B200" s="217">
        <f>B199+30</f>
        <v>52080</v>
      </c>
      <c r="C200" s="212">
        <f t="shared" si="16"/>
        <v>0</v>
      </c>
      <c r="D200" s="212">
        <f t="shared" ref="D200:D263" si="18">PV($D$3/12,($D$4-A200),-$D$5)</f>
        <v>0</v>
      </c>
      <c r="E200" s="212">
        <f t="shared" ref="E200:E263" si="19">IF(C200=0,0,$D$5)</f>
        <v>0</v>
      </c>
      <c r="F200" s="212">
        <f t="shared" ref="F200:F263" si="20">E200-(C200-D200)</f>
        <v>0</v>
      </c>
      <c r="G200" s="212">
        <f t="shared" ref="G200:G263" si="21">E200-F200</f>
        <v>0</v>
      </c>
    </row>
    <row r="201" spans="1:7">
      <c r="A201" s="216">
        <f t="shared" si="17"/>
        <v>194</v>
      </c>
      <c r="B201" s="217">
        <f>B200+31</f>
        <v>52111</v>
      </c>
      <c r="C201" s="212">
        <f t="shared" ref="C201:C264" si="22">D200</f>
        <v>0</v>
      </c>
      <c r="D201" s="212">
        <f t="shared" si="18"/>
        <v>0</v>
      </c>
      <c r="E201" s="212">
        <f t="shared" si="19"/>
        <v>0</v>
      </c>
      <c r="F201" s="212">
        <f t="shared" si="20"/>
        <v>0</v>
      </c>
      <c r="G201" s="212">
        <f t="shared" si="21"/>
        <v>0</v>
      </c>
    </row>
    <row r="202" spans="1:7">
      <c r="A202" s="216">
        <f t="shared" si="17"/>
        <v>195</v>
      </c>
      <c r="B202" s="217">
        <f>B201+30</f>
        <v>52141</v>
      </c>
      <c r="C202" s="212">
        <f t="shared" si="22"/>
        <v>0</v>
      </c>
      <c r="D202" s="212">
        <f t="shared" si="18"/>
        <v>0</v>
      </c>
      <c r="E202" s="212">
        <f t="shared" si="19"/>
        <v>0</v>
      </c>
      <c r="F202" s="212">
        <f t="shared" si="20"/>
        <v>0</v>
      </c>
      <c r="G202" s="212">
        <f t="shared" si="21"/>
        <v>0</v>
      </c>
    </row>
    <row r="203" spans="1:7">
      <c r="A203" s="216">
        <f t="shared" si="17"/>
        <v>196</v>
      </c>
      <c r="B203" s="217">
        <f>B202+31</f>
        <v>52172</v>
      </c>
      <c r="C203" s="212">
        <f t="shared" si="22"/>
        <v>0</v>
      </c>
      <c r="D203" s="212">
        <f t="shared" si="18"/>
        <v>0</v>
      </c>
      <c r="E203" s="212">
        <f t="shared" si="19"/>
        <v>0</v>
      </c>
      <c r="F203" s="212">
        <f t="shared" si="20"/>
        <v>0</v>
      </c>
      <c r="G203" s="212">
        <f t="shared" si="21"/>
        <v>0</v>
      </c>
    </row>
    <row r="204" spans="1:7">
      <c r="A204" s="216">
        <f t="shared" si="17"/>
        <v>197</v>
      </c>
      <c r="B204" s="217">
        <f>B203+31</f>
        <v>52203</v>
      </c>
      <c r="C204" s="212">
        <f t="shared" si="22"/>
        <v>0</v>
      </c>
      <c r="D204" s="212">
        <f t="shared" si="18"/>
        <v>0</v>
      </c>
      <c r="E204" s="212">
        <f t="shared" si="19"/>
        <v>0</v>
      </c>
      <c r="F204" s="212">
        <f t="shared" si="20"/>
        <v>0</v>
      </c>
      <c r="G204" s="212">
        <f t="shared" si="21"/>
        <v>0</v>
      </c>
    </row>
    <row r="205" spans="1:7">
      <c r="A205" s="216">
        <f t="shared" si="17"/>
        <v>198</v>
      </c>
      <c r="B205" s="217">
        <f>B204+28</f>
        <v>52231</v>
      </c>
      <c r="C205" s="212">
        <f t="shared" si="22"/>
        <v>0</v>
      </c>
      <c r="D205" s="212">
        <f t="shared" si="18"/>
        <v>0</v>
      </c>
      <c r="E205" s="212">
        <f t="shared" si="19"/>
        <v>0</v>
      </c>
      <c r="F205" s="212">
        <f t="shared" si="20"/>
        <v>0</v>
      </c>
      <c r="G205" s="212">
        <f t="shared" si="21"/>
        <v>0</v>
      </c>
    </row>
    <row r="206" spans="1:7">
      <c r="A206" s="216">
        <f t="shared" si="17"/>
        <v>199</v>
      </c>
      <c r="B206" s="217">
        <f>B205+31</f>
        <v>52262</v>
      </c>
      <c r="C206" s="212">
        <f t="shared" si="22"/>
        <v>0</v>
      </c>
      <c r="D206" s="212">
        <f t="shared" si="18"/>
        <v>0</v>
      </c>
      <c r="E206" s="212">
        <f t="shared" si="19"/>
        <v>0</v>
      </c>
      <c r="F206" s="212">
        <f t="shared" si="20"/>
        <v>0</v>
      </c>
      <c r="G206" s="212">
        <f t="shared" si="21"/>
        <v>0</v>
      </c>
    </row>
    <row r="207" spans="1:7">
      <c r="A207" s="216">
        <f t="shared" si="17"/>
        <v>200</v>
      </c>
      <c r="B207" s="217">
        <f>B206+30</f>
        <v>52292</v>
      </c>
      <c r="C207" s="212">
        <f t="shared" si="22"/>
        <v>0</v>
      </c>
      <c r="D207" s="212">
        <f t="shared" si="18"/>
        <v>0</v>
      </c>
      <c r="E207" s="212">
        <f t="shared" si="19"/>
        <v>0</v>
      </c>
      <c r="F207" s="212">
        <f t="shared" si="20"/>
        <v>0</v>
      </c>
      <c r="G207" s="212">
        <f t="shared" si="21"/>
        <v>0</v>
      </c>
    </row>
    <row r="208" spans="1:7">
      <c r="A208" s="216">
        <f t="shared" si="17"/>
        <v>201</v>
      </c>
      <c r="B208" s="217">
        <f>B207+31</f>
        <v>52323</v>
      </c>
      <c r="C208" s="212">
        <f t="shared" si="22"/>
        <v>0</v>
      </c>
      <c r="D208" s="212">
        <f t="shared" si="18"/>
        <v>0</v>
      </c>
      <c r="E208" s="212">
        <f t="shared" si="19"/>
        <v>0</v>
      </c>
      <c r="F208" s="212">
        <f t="shared" si="20"/>
        <v>0</v>
      </c>
      <c r="G208" s="212">
        <f t="shared" si="21"/>
        <v>0</v>
      </c>
    </row>
    <row r="209" spans="1:7">
      <c r="A209" s="216">
        <f t="shared" ref="A209:A272" si="23">A208+1</f>
        <v>202</v>
      </c>
      <c r="B209" s="217">
        <f>B208+30</f>
        <v>52353</v>
      </c>
      <c r="C209" s="212">
        <f t="shared" si="22"/>
        <v>0</v>
      </c>
      <c r="D209" s="212">
        <f t="shared" si="18"/>
        <v>0</v>
      </c>
      <c r="E209" s="212">
        <f t="shared" si="19"/>
        <v>0</v>
      </c>
      <c r="F209" s="212">
        <f t="shared" si="20"/>
        <v>0</v>
      </c>
      <c r="G209" s="212">
        <f t="shared" si="21"/>
        <v>0</v>
      </c>
    </row>
    <row r="210" spans="1:7">
      <c r="A210" s="216">
        <f t="shared" si="23"/>
        <v>203</v>
      </c>
      <c r="B210" s="217">
        <f>B209+31</f>
        <v>52384</v>
      </c>
      <c r="C210" s="212">
        <f t="shared" si="22"/>
        <v>0</v>
      </c>
      <c r="D210" s="212">
        <f t="shared" si="18"/>
        <v>0</v>
      </c>
      <c r="E210" s="212">
        <f t="shared" si="19"/>
        <v>0</v>
      </c>
      <c r="F210" s="212">
        <f t="shared" si="20"/>
        <v>0</v>
      </c>
      <c r="G210" s="212">
        <f t="shared" si="21"/>
        <v>0</v>
      </c>
    </row>
    <row r="211" spans="1:7">
      <c r="A211" s="216">
        <f t="shared" si="23"/>
        <v>204</v>
      </c>
      <c r="B211" s="217">
        <f>B210+31</f>
        <v>52415</v>
      </c>
      <c r="C211" s="212">
        <f t="shared" si="22"/>
        <v>0</v>
      </c>
      <c r="D211" s="212">
        <f t="shared" si="18"/>
        <v>0</v>
      </c>
      <c r="E211" s="212">
        <f t="shared" si="19"/>
        <v>0</v>
      </c>
      <c r="F211" s="212">
        <f t="shared" si="20"/>
        <v>0</v>
      </c>
      <c r="G211" s="212">
        <f t="shared" si="21"/>
        <v>0</v>
      </c>
    </row>
    <row r="212" spans="1:7">
      <c r="A212" s="216">
        <f t="shared" si="23"/>
        <v>205</v>
      </c>
      <c r="B212" s="217">
        <f>B211+30</f>
        <v>52445</v>
      </c>
      <c r="C212" s="212">
        <f t="shared" si="22"/>
        <v>0</v>
      </c>
      <c r="D212" s="212">
        <f t="shared" si="18"/>
        <v>0</v>
      </c>
      <c r="E212" s="212">
        <f t="shared" si="19"/>
        <v>0</v>
      </c>
      <c r="F212" s="212">
        <f t="shared" si="20"/>
        <v>0</v>
      </c>
      <c r="G212" s="212">
        <f t="shared" si="21"/>
        <v>0</v>
      </c>
    </row>
    <row r="213" spans="1:7">
      <c r="A213" s="216">
        <f t="shared" si="23"/>
        <v>206</v>
      </c>
      <c r="B213" s="217">
        <f>B212+31</f>
        <v>52476</v>
      </c>
      <c r="C213" s="212">
        <f t="shared" si="22"/>
        <v>0</v>
      </c>
      <c r="D213" s="212">
        <f t="shared" si="18"/>
        <v>0</v>
      </c>
      <c r="E213" s="212">
        <f t="shared" si="19"/>
        <v>0</v>
      </c>
      <c r="F213" s="212">
        <f t="shared" si="20"/>
        <v>0</v>
      </c>
      <c r="G213" s="212">
        <f t="shared" si="21"/>
        <v>0</v>
      </c>
    </row>
    <row r="214" spans="1:7">
      <c r="A214" s="216">
        <f t="shared" si="23"/>
        <v>207</v>
      </c>
      <c r="B214" s="217">
        <f>B213+30</f>
        <v>52506</v>
      </c>
      <c r="C214" s="212">
        <f t="shared" si="22"/>
        <v>0</v>
      </c>
      <c r="D214" s="212">
        <f t="shared" si="18"/>
        <v>0</v>
      </c>
      <c r="E214" s="212">
        <f t="shared" si="19"/>
        <v>0</v>
      </c>
      <c r="F214" s="212">
        <f t="shared" si="20"/>
        <v>0</v>
      </c>
      <c r="G214" s="212">
        <f t="shared" si="21"/>
        <v>0</v>
      </c>
    </row>
    <row r="215" spans="1:7">
      <c r="A215" s="216">
        <f t="shared" si="23"/>
        <v>208</v>
      </c>
      <c r="B215" s="217">
        <f>B214+31</f>
        <v>52537</v>
      </c>
      <c r="C215" s="212">
        <f t="shared" si="22"/>
        <v>0</v>
      </c>
      <c r="D215" s="212">
        <f t="shared" si="18"/>
        <v>0</v>
      </c>
      <c r="E215" s="212">
        <f t="shared" si="19"/>
        <v>0</v>
      </c>
      <c r="F215" s="212">
        <f t="shared" si="20"/>
        <v>0</v>
      </c>
      <c r="G215" s="212">
        <f t="shared" si="21"/>
        <v>0</v>
      </c>
    </row>
    <row r="216" spans="1:7">
      <c r="A216" s="216">
        <f t="shared" si="23"/>
        <v>209</v>
      </c>
      <c r="B216" s="217">
        <f>B215+31</f>
        <v>52568</v>
      </c>
      <c r="C216" s="212">
        <f t="shared" si="22"/>
        <v>0</v>
      </c>
      <c r="D216" s="212">
        <f t="shared" si="18"/>
        <v>0</v>
      </c>
      <c r="E216" s="212">
        <f t="shared" si="19"/>
        <v>0</v>
      </c>
      <c r="F216" s="212">
        <f t="shared" si="20"/>
        <v>0</v>
      </c>
      <c r="G216" s="212">
        <f t="shared" si="21"/>
        <v>0</v>
      </c>
    </row>
    <row r="217" spans="1:7">
      <c r="A217" s="216">
        <f t="shared" si="23"/>
        <v>210</v>
      </c>
      <c r="B217" s="217">
        <f>B216+28</f>
        <v>52596</v>
      </c>
      <c r="C217" s="212">
        <f t="shared" si="22"/>
        <v>0</v>
      </c>
      <c r="D217" s="212">
        <f t="shared" si="18"/>
        <v>0</v>
      </c>
      <c r="E217" s="212">
        <f t="shared" si="19"/>
        <v>0</v>
      </c>
      <c r="F217" s="212">
        <f t="shared" si="20"/>
        <v>0</v>
      </c>
      <c r="G217" s="212">
        <f t="shared" si="21"/>
        <v>0</v>
      </c>
    </row>
    <row r="218" spans="1:7">
      <c r="A218" s="216">
        <f t="shared" si="23"/>
        <v>211</v>
      </c>
      <c r="B218" s="217">
        <f>B217+31</f>
        <v>52627</v>
      </c>
      <c r="C218" s="212">
        <f t="shared" si="22"/>
        <v>0</v>
      </c>
      <c r="D218" s="212">
        <f t="shared" si="18"/>
        <v>0</v>
      </c>
      <c r="E218" s="212">
        <f t="shared" si="19"/>
        <v>0</v>
      </c>
      <c r="F218" s="212">
        <f t="shared" si="20"/>
        <v>0</v>
      </c>
      <c r="G218" s="212">
        <f t="shared" si="21"/>
        <v>0</v>
      </c>
    </row>
    <row r="219" spans="1:7">
      <c r="A219" s="216">
        <f t="shared" si="23"/>
        <v>212</v>
      </c>
      <c r="B219" s="217">
        <f>B218+30</f>
        <v>52657</v>
      </c>
      <c r="C219" s="212">
        <f t="shared" si="22"/>
        <v>0</v>
      </c>
      <c r="D219" s="212">
        <f t="shared" si="18"/>
        <v>0</v>
      </c>
      <c r="E219" s="212">
        <f t="shared" si="19"/>
        <v>0</v>
      </c>
      <c r="F219" s="212">
        <f t="shared" si="20"/>
        <v>0</v>
      </c>
      <c r="G219" s="212">
        <f t="shared" si="21"/>
        <v>0</v>
      </c>
    </row>
    <row r="220" spans="1:7">
      <c r="A220" s="216">
        <f t="shared" si="23"/>
        <v>213</v>
      </c>
      <c r="B220" s="217">
        <f>B219+31</f>
        <v>52688</v>
      </c>
      <c r="C220" s="212">
        <f t="shared" si="22"/>
        <v>0</v>
      </c>
      <c r="D220" s="212">
        <f t="shared" si="18"/>
        <v>0</v>
      </c>
      <c r="E220" s="212">
        <f t="shared" si="19"/>
        <v>0</v>
      </c>
      <c r="F220" s="212">
        <f t="shared" si="20"/>
        <v>0</v>
      </c>
      <c r="G220" s="212">
        <f t="shared" si="21"/>
        <v>0</v>
      </c>
    </row>
    <row r="221" spans="1:7">
      <c r="A221" s="216">
        <f t="shared" si="23"/>
        <v>214</v>
      </c>
      <c r="B221" s="217">
        <f>B220+30</f>
        <v>52718</v>
      </c>
      <c r="C221" s="212">
        <f t="shared" si="22"/>
        <v>0</v>
      </c>
      <c r="D221" s="212">
        <f t="shared" si="18"/>
        <v>0</v>
      </c>
      <c r="E221" s="212">
        <f t="shared" si="19"/>
        <v>0</v>
      </c>
      <c r="F221" s="212">
        <f t="shared" si="20"/>
        <v>0</v>
      </c>
      <c r="G221" s="212">
        <f t="shared" si="21"/>
        <v>0</v>
      </c>
    </row>
    <row r="222" spans="1:7">
      <c r="A222" s="216">
        <f t="shared" si="23"/>
        <v>215</v>
      </c>
      <c r="B222" s="217">
        <f>B221+31</f>
        <v>52749</v>
      </c>
      <c r="C222" s="212">
        <f t="shared" si="22"/>
        <v>0</v>
      </c>
      <c r="D222" s="212">
        <f t="shared" si="18"/>
        <v>0</v>
      </c>
      <c r="E222" s="212">
        <f t="shared" si="19"/>
        <v>0</v>
      </c>
      <c r="F222" s="212">
        <f t="shared" si="20"/>
        <v>0</v>
      </c>
      <c r="G222" s="212">
        <f t="shared" si="21"/>
        <v>0</v>
      </c>
    </row>
    <row r="223" spans="1:7">
      <c r="A223" s="216">
        <f t="shared" si="23"/>
        <v>216</v>
      </c>
      <c r="B223" s="217">
        <f>B222+31</f>
        <v>52780</v>
      </c>
      <c r="C223" s="212">
        <f t="shared" si="22"/>
        <v>0</v>
      </c>
      <c r="D223" s="212">
        <f t="shared" si="18"/>
        <v>0</v>
      </c>
      <c r="E223" s="212">
        <f t="shared" si="19"/>
        <v>0</v>
      </c>
      <c r="F223" s="212">
        <f t="shared" si="20"/>
        <v>0</v>
      </c>
      <c r="G223" s="212">
        <f t="shared" si="21"/>
        <v>0</v>
      </c>
    </row>
    <row r="224" spans="1:7">
      <c r="A224" s="216">
        <f t="shared" si="23"/>
        <v>217</v>
      </c>
      <c r="B224" s="217">
        <f>B223+30</f>
        <v>52810</v>
      </c>
      <c r="C224" s="212">
        <f t="shared" si="22"/>
        <v>0</v>
      </c>
      <c r="D224" s="212">
        <f t="shared" si="18"/>
        <v>0</v>
      </c>
      <c r="E224" s="212">
        <f t="shared" si="19"/>
        <v>0</v>
      </c>
      <c r="F224" s="212">
        <f t="shared" si="20"/>
        <v>0</v>
      </c>
      <c r="G224" s="212">
        <f t="shared" si="21"/>
        <v>0</v>
      </c>
    </row>
    <row r="225" spans="1:7">
      <c r="A225" s="216">
        <f t="shared" si="23"/>
        <v>218</v>
      </c>
      <c r="B225" s="217">
        <f>B224+31</f>
        <v>52841</v>
      </c>
      <c r="C225" s="212">
        <f t="shared" si="22"/>
        <v>0</v>
      </c>
      <c r="D225" s="212">
        <f t="shared" si="18"/>
        <v>0</v>
      </c>
      <c r="E225" s="212">
        <f t="shared" si="19"/>
        <v>0</v>
      </c>
      <c r="F225" s="212">
        <f t="shared" si="20"/>
        <v>0</v>
      </c>
      <c r="G225" s="212">
        <f t="shared" si="21"/>
        <v>0</v>
      </c>
    </row>
    <row r="226" spans="1:7">
      <c r="A226" s="216">
        <f t="shared" si="23"/>
        <v>219</v>
      </c>
      <c r="B226" s="217">
        <f>B225+30</f>
        <v>52871</v>
      </c>
      <c r="C226" s="212">
        <f t="shared" si="22"/>
        <v>0</v>
      </c>
      <c r="D226" s="212">
        <f t="shared" si="18"/>
        <v>0</v>
      </c>
      <c r="E226" s="212">
        <f t="shared" si="19"/>
        <v>0</v>
      </c>
      <c r="F226" s="212">
        <f t="shared" si="20"/>
        <v>0</v>
      </c>
      <c r="G226" s="212">
        <f t="shared" si="21"/>
        <v>0</v>
      </c>
    </row>
    <row r="227" spans="1:7">
      <c r="A227" s="216">
        <f t="shared" si="23"/>
        <v>220</v>
      </c>
      <c r="B227" s="217">
        <f>B226+31</f>
        <v>52902</v>
      </c>
      <c r="C227" s="212">
        <f t="shared" si="22"/>
        <v>0</v>
      </c>
      <c r="D227" s="212">
        <f t="shared" si="18"/>
        <v>0</v>
      </c>
      <c r="E227" s="212">
        <f t="shared" si="19"/>
        <v>0</v>
      </c>
      <c r="F227" s="212">
        <f t="shared" si="20"/>
        <v>0</v>
      </c>
      <c r="G227" s="212">
        <f t="shared" si="21"/>
        <v>0</v>
      </c>
    </row>
    <row r="228" spans="1:7">
      <c r="A228" s="216">
        <f t="shared" si="23"/>
        <v>221</v>
      </c>
      <c r="B228" s="217">
        <f>B227+31</f>
        <v>52933</v>
      </c>
      <c r="C228" s="212">
        <f t="shared" si="22"/>
        <v>0</v>
      </c>
      <c r="D228" s="212">
        <f t="shared" si="18"/>
        <v>0</v>
      </c>
      <c r="E228" s="212">
        <f t="shared" si="19"/>
        <v>0</v>
      </c>
      <c r="F228" s="212">
        <f t="shared" si="20"/>
        <v>0</v>
      </c>
      <c r="G228" s="212">
        <f t="shared" si="21"/>
        <v>0</v>
      </c>
    </row>
    <row r="229" spans="1:7">
      <c r="A229" s="216">
        <f t="shared" si="23"/>
        <v>222</v>
      </c>
      <c r="B229" s="217">
        <f>B228+29</f>
        <v>52962</v>
      </c>
      <c r="C229" s="212">
        <f t="shared" si="22"/>
        <v>0</v>
      </c>
      <c r="D229" s="212">
        <f t="shared" si="18"/>
        <v>0</v>
      </c>
      <c r="E229" s="212">
        <f t="shared" si="19"/>
        <v>0</v>
      </c>
      <c r="F229" s="212">
        <f t="shared" si="20"/>
        <v>0</v>
      </c>
      <c r="G229" s="212">
        <f t="shared" si="21"/>
        <v>0</v>
      </c>
    </row>
    <row r="230" spans="1:7">
      <c r="A230" s="216">
        <f t="shared" si="23"/>
        <v>223</v>
      </c>
      <c r="B230" s="217">
        <f>B229+31</f>
        <v>52993</v>
      </c>
      <c r="C230" s="212">
        <f t="shared" si="22"/>
        <v>0</v>
      </c>
      <c r="D230" s="212">
        <f t="shared" si="18"/>
        <v>0</v>
      </c>
      <c r="E230" s="212">
        <f t="shared" si="19"/>
        <v>0</v>
      </c>
      <c r="F230" s="212">
        <f t="shared" si="20"/>
        <v>0</v>
      </c>
      <c r="G230" s="212">
        <f t="shared" si="21"/>
        <v>0</v>
      </c>
    </row>
    <row r="231" spans="1:7">
      <c r="A231" s="216">
        <f t="shared" si="23"/>
        <v>224</v>
      </c>
      <c r="B231" s="217">
        <f>B230+30</f>
        <v>53023</v>
      </c>
      <c r="C231" s="212">
        <f t="shared" si="22"/>
        <v>0</v>
      </c>
      <c r="D231" s="212">
        <f t="shared" si="18"/>
        <v>0</v>
      </c>
      <c r="E231" s="212">
        <f t="shared" si="19"/>
        <v>0</v>
      </c>
      <c r="F231" s="212">
        <f t="shared" si="20"/>
        <v>0</v>
      </c>
      <c r="G231" s="212">
        <f t="shared" si="21"/>
        <v>0</v>
      </c>
    </row>
    <row r="232" spans="1:7">
      <c r="A232" s="216">
        <f t="shared" si="23"/>
        <v>225</v>
      </c>
      <c r="B232" s="217">
        <f>B231+31</f>
        <v>53054</v>
      </c>
      <c r="C232" s="212">
        <f t="shared" si="22"/>
        <v>0</v>
      </c>
      <c r="D232" s="212">
        <f t="shared" si="18"/>
        <v>0</v>
      </c>
      <c r="E232" s="212">
        <f t="shared" si="19"/>
        <v>0</v>
      </c>
      <c r="F232" s="212">
        <f t="shared" si="20"/>
        <v>0</v>
      </c>
      <c r="G232" s="212">
        <f t="shared" si="21"/>
        <v>0</v>
      </c>
    </row>
    <row r="233" spans="1:7">
      <c r="A233" s="216">
        <f t="shared" si="23"/>
        <v>226</v>
      </c>
      <c r="B233" s="217">
        <f>B232+30</f>
        <v>53084</v>
      </c>
      <c r="C233" s="212">
        <f t="shared" si="22"/>
        <v>0</v>
      </c>
      <c r="D233" s="212">
        <f t="shared" si="18"/>
        <v>0</v>
      </c>
      <c r="E233" s="212">
        <f t="shared" si="19"/>
        <v>0</v>
      </c>
      <c r="F233" s="212">
        <f t="shared" si="20"/>
        <v>0</v>
      </c>
      <c r="G233" s="212">
        <f t="shared" si="21"/>
        <v>0</v>
      </c>
    </row>
    <row r="234" spans="1:7">
      <c r="A234" s="216">
        <f t="shared" si="23"/>
        <v>227</v>
      </c>
      <c r="B234" s="217">
        <f>B233+31</f>
        <v>53115</v>
      </c>
      <c r="C234" s="212">
        <f t="shared" si="22"/>
        <v>0</v>
      </c>
      <c r="D234" s="212">
        <f t="shared" si="18"/>
        <v>0</v>
      </c>
      <c r="E234" s="212">
        <f t="shared" si="19"/>
        <v>0</v>
      </c>
      <c r="F234" s="212">
        <f t="shared" si="20"/>
        <v>0</v>
      </c>
      <c r="G234" s="212">
        <f t="shared" si="21"/>
        <v>0</v>
      </c>
    </row>
    <row r="235" spans="1:7">
      <c r="A235" s="216">
        <f t="shared" si="23"/>
        <v>228</v>
      </c>
      <c r="B235" s="217">
        <f>B234+31</f>
        <v>53146</v>
      </c>
      <c r="C235" s="212">
        <f t="shared" si="22"/>
        <v>0</v>
      </c>
      <c r="D235" s="212">
        <f t="shared" si="18"/>
        <v>0</v>
      </c>
      <c r="E235" s="212">
        <f t="shared" si="19"/>
        <v>0</v>
      </c>
      <c r="F235" s="212">
        <f t="shared" si="20"/>
        <v>0</v>
      </c>
      <c r="G235" s="212">
        <f t="shared" si="21"/>
        <v>0</v>
      </c>
    </row>
    <row r="236" spans="1:7">
      <c r="A236" s="216">
        <f t="shared" si="23"/>
        <v>229</v>
      </c>
      <c r="B236" s="217">
        <f>B235+30</f>
        <v>53176</v>
      </c>
      <c r="C236" s="212">
        <f t="shared" si="22"/>
        <v>0</v>
      </c>
      <c r="D236" s="212">
        <f t="shared" si="18"/>
        <v>0</v>
      </c>
      <c r="E236" s="212">
        <f t="shared" si="19"/>
        <v>0</v>
      </c>
      <c r="F236" s="212">
        <f t="shared" si="20"/>
        <v>0</v>
      </c>
      <c r="G236" s="212">
        <f t="shared" si="21"/>
        <v>0</v>
      </c>
    </row>
    <row r="237" spans="1:7">
      <c r="A237" s="216">
        <f t="shared" si="23"/>
        <v>230</v>
      </c>
      <c r="B237" s="217">
        <f>B236+31</f>
        <v>53207</v>
      </c>
      <c r="C237" s="212">
        <f t="shared" si="22"/>
        <v>0</v>
      </c>
      <c r="D237" s="212">
        <f t="shared" si="18"/>
        <v>0</v>
      </c>
      <c r="E237" s="212">
        <f t="shared" si="19"/>
        <v>0</v>
      </c>
      <c r="F237" s="212">
        <f t="shared" si="20"/>
        <v>0</v>
      </c>
      <c r="G237" s="212">
        <f t="shared" si="21"/>
        <v>0</v>
      </c>
    </row>
    <row r="238" spans="1:7">
      <c r="A238" s="216">
        <f t="shared" si="23"/>
        <v>231</v>
      </c>
      <c r="B238" s="217">
        <f>B237+30</f>
        <v>53237</v>
      </c>
      <c r="C238" s="212">
        <f t="shared" si="22"/>
        <v>0</v>
      </c>
      <c r="D238" s="212">
        <f t="shared" si="18"/>
        <v>0</v>
      </c>
      <c r="E238" s="212">
        <f t="shared" si="19"/>
        <v>0</v>
      </c>
      <c r="F238" s="212">
        <f t="shared" si="20"/>
        <v>0</v>
      </c>
      <c r="G238" s="212">
        <f t="shared" si="21"/>
        <v>0</v>
      </c>
    </row>
    <row r="239" spans="1:7">
      <c r="A239" s="216">
        <f t="shared" si="23"/>
        <v>232</v>
      </c>
      <c r="B239" s="217">
        <f>B238+31</f>
        <v>53268</v>
      </c>
      <c r="C239" s="212">
        <f t="shared" si="22"/>
        <v>0</v>
      </c>
      <c r="D239" s="212">
        <f t="shared" si="18"/>
        <v>0</v>
      </c>
      <c r="E239" s="212">
        <f t="shared" si="19"/>
        <v>0</v>
      </c>
      <c r="F239" s="212">
        <f t="shared" si="20"/>
        <v>0</v>
      </c>
      <c r="G239" s="212">
        <f t="shared" si="21"/>
        <v>0</v>
      </c>
    </row>
    <row r="240" spans="1:7">
      <c r="A240" s="216">
        <f t="shared" si="23"/>
        <v>233</v>
      </c>
      <c r="B240" s="217">
        <f>B239+31</f>
        <v>53299</v>
      </c>
      <c r="C240" s="212">
        <f t="shared" si="22"/>
        <v>0</v>
      </c>
      <c r="D240" s="212">
        <f t="shared" si="18"/>
        <v>0</v>
      </c>
      <c r="E240" s="212">
        <f t="shared" si="19"/>
        <v>0</v>
      </c>
      <c r="F240" s="212">
        <f t="shared" si="20"/>
        <v>0</v>
      </c>
      <c r="G240" s="212">
        <f t="shared" si="21"/>
        <v>0</v>
      </c>
    </row>
    <row r="241" spans="1:7">
      <c r="A241" s="216">
        <f t="shared" si="23"/>
        <v>234</v>
      </c>
      <c r="B241" s="217">
        <f>B240+28</f>
        <v>53327</v>
      </c>
      <c r="C241" s="212">
        <f t="shared" si="22"/>
        <v>0</v>
      </c>
      <c r="D241" s="212">
        <f t="shared" si="18"/>
        <v>0</v>
      </c>
      <c r="E241" s="212">
        <f t="shared" si="19"/>
        <v>0</v>
      </c>
      <c r="F241" s="212">
        <f t="shared" si="20"/>
        <v>0</v>
      </c>
      <c r="G241" s="212">
        <f t="shared" si="21"/>
        <v>0</v>
      </c>
    </row>
    <row r="242" spans="1:7">
      <c r="A242" s="216">
        <f t="shared" si="23"/>
        <v>235</v>
      </c>
      <c r="B242" s="217">
        <f>B241+31</f>
        <v>53358</v>
      </c>
      <c r="C242" s="212">
        <f t="shared" si="22"/>
        <v>0</v>
      </c>
      <c r="D242" s="212">
        <f t="shared" si="18"/>
        <v>0</v>
      </c>
      <c r="E242" s="212">
        <f t="shared" si="19"/>
        <v>0</v>
      </c>
      <c r="F242" s="212">
        <f t="shared" si="20"/>
        <v>0</v>
      </c>
      <c r="G242" s="212">
        <f t="shared" si="21"/>
        <v>0</v>
      </c>
    </row>
    <row r="243" spans="1:7">
      <c r="A243" s="216">
        <f t="shared" si="23"/>
        <v>236</v>
      </c>
      <c r="B243" s="217">
        <f>B242+30</f>
        <v>53388</v>
      </c>
      <c r="C243" s="212">
        <f t="shared" si="22"/>
        <v>0</v>
      </c>
      <c r="D243" s="212">
        <f t="shared" si="18"/>
        <v>0</v>
      </c>
      <c r="E243" s="212">
        <f t="shared" si="19"/>
        <v>0</v>
      </c>
      <c r="F243" s="212">
        <f t="shared" si="20"/>
        <v>0</v>
      </c>
      <c r="G243" s="212">
        <f t="shared" si="21"/>
        <v>0</v>
      </c>
    </row>
    <row r="244" spans="1:7">
      <c r="A244" s="216">
        <f t="shared" si="23"/>
        <v>237</v>
      </c>
      <c r="B244" s="217">
        <f>B243+31</f>
        <v>53419</v>
      </c>
      <c r="C244" s="212">
        <f t="shared" si="22"/>
        <v>0</v>
      </c>
      <c r="D244" s="212">
        <f t="shared" si="18"/>
        <v>0</v>
      </c>
      <c r="E244" s="212">
        <f t="shared" si="19"/>
        <v>0</v>
      </c>
      <c r="F244" s="212">
        <f t="shared" si="20"/>
        <v>0</v>
      </c>
      <c r="G244" s="212">
        <f t="shared" si="21"/>
        <v>0</v>
      </c>
    </row>
    <row r="245" spans="1:7">
      <c r="A245" s="216">
        <f t="shared" si="23"/>
        <v>238</v>
      </c>
      <c r="B245" s="217">
        <f>B244+30</f>
        <v>53449</v>
      </c>
      <c r="C245" s="212">
        <f t="shared" si="22"/>
        <v>0</v>
      </c>
      <c r="D245" s="212">
        <f t="shared" si="18"/>
        <v>0</v>
      </c>
      <c r="E245" s="212">
        <f t="shared" si="19"/>
        <v>0</v>
      </c>
      <c r="F245" s="212">
        <f t="shared" si="20"/>
        <v>0</v>
      </c>
      <c r="G245" s="212">
        <f t="shared" si="21"/>
        <v>0</v>
      </c>
    </row>
    <row r="246" spans="1:7">
      <c r="A246" s="216">
        <f t="shared" si="23"/>
        <v>239</v>
      </c>
      <c r="B246" s="217">
        <f>B245+31</f>
        <v>53480</v>
      </c>
      <c r="C246" s="212">
        <f t="shared" si="22"/>
        <v>0</v>
      </c>
      <c r="D246" s="212">
        <f t="shared" si="18"/>
        <v>0</v>
      </c>
      <c r="E246" s="212">
        <f t="shared" si="19"/>
        <v>0</v>
      </c>
      <c r="F246" s="212">
        <f t="shared" si="20"/>
        <v>0</v>
      </c>
      <c r="G246" s="212">
        <f t="shared" si="21"/>
        <v>0</v>
      </c>
    </row>
    <row r="247" spans="1:7">
      <c r="A247" s="216">
        <f t="shared" si="23"/>
        <v>240</v>
      </c>
      <c r="B247" s="217">
        <f>B246+31</f>
        <v>53511</v>
      </c>
      <c r="C247" s="212">
        <f t="shared" si="22"/>
        <v>0</v>
      </c>
      <c r="D247" s="212">
        <f t="shared" si="18"/>
        <v>0</v>
      </c>
      <c r="E247" s="212">
        <f t="shared" si="19"/>
        <v>0</v>
      </c>
      <c r="F247" s="212">
        <f t="shared" si="20"/>
        <v>0</v>
      </c>
      <c r="G247" s="212">
        <f t="shared" si="21"/>
        <v>0</v>
      </c>
    </row>
    <row r="248" spans="1:7">
      <c r="A248" s="216">
        <f t="shared" si="23"/>
        <v>241</v>
      </c>
      <c r="B248" s="217">
        <f>B247+30</f>
        <v>53541</v>
      </c>
      <c r="C248" s="212">
        <f t="shared" si="22"/>
        <v>0</v>
      </c>
      <c r="D248" s="212">
        <f t="shared" si="18"/>
        <v>0</v>
      </c>
      <c r="E248" s="212">
        <f t="shared" si="19"/>
        <v>0</v>
      </c>
      <c r="F248" s="212">
        <f t="shared" si="20"/>
        <v>0</v>
      </c>
      <c r="G248" s="212">
        <f t="shared" si="21"/>
        <v>0</v>
      </c>
    </row>
    <row r="249" spans="1:7">
      <c r="A249" s="216">
        <f t="shared" si="23"/>
        <v>242</v>
      </c>
      <c r="B249" s="217">
        <f>B248+31</f>
        <v>53572</v>
      </c>
      <c r="C249" s="212">
        <f t="shared" si="22"/>
        <v>0</v>
      </c>
      <c r="D249" s="212">
        <f t="shared" si="18"/>
        <v>0</v>
      </c>
      <c r="E249" s="212">
        <f t="shared" si="19"/>
        <v>0</v>
      </c>
      <c r="F249" s="212">
        <f t="shared" si="20"/>
        <v>0</v>
      </c>
      <c r="G249" s="212">
        <f t="shared" si="21"/>
        <v>0</v>
      </c>
    </row>
    <row r="250" spans="1:7">
      <c r="A250" s="216">
        <f t="shared" si="23"/>
        <v>243</v>
      </c>
      <c r="B250" s="217">
        <f>B249+30</f>
        <v>53602</v>
      </c>
      <c r="C250" s="212">
        <f t="shared" si="22"/>
        <v>0</v>
      </c>
      <c r="D250" s="212">
        <f t="shared" si="18"/>
        <v>0</v>
      </c>
      <c r="E250" s="212">
        <f t="shared" si="19"/>
        <v>0</v>
      </c>
      <c r="F250" s="212">
        <f t="shared" si="20"/>
        <v>0</v>
      </c>
      <c r="G250" s="212">
        <f t="shared" si="21"/>
        <v>0</v>
      </c>
    </row>
    <row r="251" spans="1:7">
      <c r="A251" s="216">
        <f t="shared" si="23"/>
        <v>244</v>
      </c>
      <c r="B251" s="217">
        <f>B250+31</f>
        <v>53633</v>
      </c>
      <c r="C251" s="212">
        <f t="shared" si="22"/>
        <v>0</v>
      </c>
      <c r="D251" s="212">
        <f t="shared" si="18"/>
        <v>0</v>
      </c>
      <c r="E251" s="212">
        <f t="shared" si="19"/>
        <v>0</v>
      </c>
      <c r="F251" s="212">
        <f t="shared" si="20"/>
        <v>0</v>
      </c>
      <c r="G251" s="212">
        <f t="shared" si="21"/>
        <v>0</v>
      </c>
    </row>
    <row r="252" spans="1:7">
      <c r="A252" s="216">
        <f t="shared" si="23"/>
        <v>245</v>
      </c>
      <c r="B252" s="217">
        <f>B251+31</f>
        <v>53664</v>
      </c>
      <c r="C252" s="212">
        <f t="shared" si="22"/>
        <v>0</v>
      </c>
      <c r="D252" s="212">
        <f t="shared" si="18"/>
        <v>0</v>
      </c>
      <c r="E252" s="212">
        <f t="shared" si="19"/>
        <v>0</v>
      </c>
      <c r="F252" s="212">
        <f t="shared" si="20"/>
        <v>0</v>
      </c>
      <c r="G252" s="212">
        <f t="shared" si="21"/>
        <v>0</v>
      </c>
    </row>
    <row r="253" spans="1:7">
      <c r="A253" s="216">
        <f t="shared" si="23"/>
        <v>246</v>
      </c>
      <c r="B253" s="217">
        <f>B252+28</f>
        <v>53692</v>
      </c>
      <c r="C253" s="212">
        <f t="shared" si="22"/>
        <v>0</v>
      </c>
      <c r="D253" s="212">
        <f t="shared" si="18"/>
        <v>0</v>
      </c>
      <c r="E253" s="212">
        <f t="shared" si="19"/>
        <v>0</v>
      </c>
      <c r="F253" s="212">
        <f t="shared" si="20"/>
        <v>0</v>
      </c>
      <c r="G253" s="212">
        <f t="shared" si="21"/>
        <v>0</v>
      </c>
    </row>
    <row r="254" spans="1:7">
      <c r="A254" s="216">
        <f t="shared" si="23"/>
        <v>247</v>
      </c>
      <c r="B254" s="217">
        <f>B253+31</f>
        <v>53723</v>
      </c>
      <c r="C254" s="212">
        <f t="shared" si="22"/>
        <v>0</v>
      </c>
      <c r="D254" s="212">
        <f t="shared" si="18"/>
        <v>0</v>
      </c>
      <c r="E254" s="212">
        <f t="shared" si="19"/>
        <v>0</v>
      </c>
      <c r="F254" s="212">
        <f t="shared" si="20"/>
        <v>0</v>
      </c>
      <c r="G254" s="212">
        <f t="shared" si="21"/>
        <v>0</v>
      </c>
    </row>
    <row r="255" spans="1:7">
      <c r="A255" s="216">
        <f t="shared" si="23"/>
        <v>248</v>
      </c>
      <c r="B255" s="217">
        <f>B254+30</f>
        <v>53753</v>
      </c>
      <c r="C255" s="212">
        <f t="shared" si="22"/>
        <v>0</v>
      </c>
      <c r="D255" s="212">
        <f t="shared" si="18"/>
        <v>0</v>
      </c>
      <c r="E255" s="212">
        <f t="shared" si="19"/>
        <v>0</v>
      </c>
      <c r="F255" s="212">
        <f t="shared" si="20"/>
        <v>0</v>
      </c>
      <c r="G255" s="212">
        <f t="shared" si="21"/>
        <v>0</v>
      </c>
    </row>
    <row r="256" spans="1:7">
      <c r="A256" s="216">
        <f t="shared" si="23"/>
        <v>249</v>
      </c>
      <c r="B256" s="217">
        <f>B255+31</f>
        <v>53784</v>
      </c>
      <c r="C256" s="212">
        <f t="shared" si="22"/>
        <v>0</v>
      </c>
      <c r="D256" s="212">
        <f t="shared" si="18"/>
        <v>0</v>
      </c>
      <c r="E256" s="212">
        <f t="shared" si="19"/>
        <v>0</v>
      </c>
      <c r="F256" s="212">
        <f t="shared" si="20"/>
        <v>0</v>
      </c>
      <c r="G256" s="212">
        <f t="shared" si="21"/>
        <v>0</v>
      </c>
    </row>
    <row r="257" spans="1:7">
      <c r="A257" s="216">
        <f t="shared" si="23"/>
        <v>250</v>
      </c>
      <c r="B257" s="217">
        <f>B256+30</f>
        <v>53814</v>
      </c>
      <c r="C257" s="212">
        <f t="shared" si="22"/>
        <v>0</v>
      </c>
      <c r="D257" s="212">
        <f t="shared" si="18"/>
        <v>0</v>
      </c>
      <c r="E257" s="212">
        <f t="shared" si="19"/>
        <v>0</v>
      </c>
      <c r="F257" s="212">
        <f t="shared" si="20"/>
        <v>0</v>
      </c>
      <c r="G257" s="212">
        <f t="shared" si="21"/>
        <v>0</v>
      </c>
    </row>
    <row r="258" spans="1:7">
      <c r="A258" s="216">
        <f t="shared" si="23"/>
        <v>251</v>
      </c>
      <c r="B258" s="217">
        <f>B257+31</f>
        <v>53845</v>
      </c>
      <c r="C258" s="212">
        <f t="shared" si="22"/>
        <v>0</v>
      </c>
      <c r="D258" s="212">
        <f t="shared" si="18"/>
        <v>0</v>
      </c>
      <c r="E258" s="212">
        <f t="shared" si="19"/>
        <v>0</v>
      </c>
      <c r="F258" s="212">
        <f t="shared" si="20"/>
        <v>0</v>
      </c>
      <c r="G258" s="212">
        <f t="shared" si="21"/>
        <v>0</v>
      </c>
    </row>
    <row r="259" spans="1:7">
      <c r="A259" s="216">
        <f t="shared" si="23"/>
        <v>252</v>
      </c>
      <c r="B259" s="217">
        <f>B258+31</f>
        <v>53876</v>
      </c>
      <c r="C259" s="212">
        <f t="shared" si="22"/>
        <v>0</v>
      </c>
      <c r="D259" s="212">
        <f t="shared" si="18"/>
        <v>0</v>
      </c>
      <c r="E259" s="212">
        <f t="shared" si="19"/>
        <v>0</v>
      </c>
      <c r="F259" s="212">
        <f t="shared" si="20"/>
        <v>0</v>
      </c>
      <c r="G259" s="212">
        <f t="shared" si="21"/>
        <v>0</v>
      </c>
    </row>
    <row r="260" spans="1:7">
      <c r="A260" s="216">
        <f t="shared" si="23"/>
        <v>253</v>
      </c>
      <c r="B260" s="217">
        <f>B259+30</f>
        <v>53906</v>
      </c>
      <c r="C260" s="212">
        <f t="shared" si="22"/>
        <v>0</v>
      </c>
      <c r="D260" s="212">
        <f t="shared" si="18"/>
        <v>0</v>
      </c>
      <c r="E260" s="212">
        <f t="shared" si="19"/>
        <v>0</v>
      </c>
      <c r="F260" s="212">
        <f t="shared" si="20"/>
        <v>0</v>
      </c>
      <c r="G260" s="212">
        <f t="shared" si="21"/>
        <v>0</v>
      </c>
    </row>
    <row r="261" spans="1:7">
      <c r="A261" s="216">
        <f t="shared" si="23"/>
        <v>254</v>
      </c>
      <c r="B261" s="217">
        <f>B260+31</f>
        <v>53937</v>
      </c>
      <c r="C261" s="212">
        <f t="shared" si="22"/>
        <v>0</v>
      </c>
      <c r="D261" s="212">
        <f t="shared" si="18"/>
        <v>0</v>
      </c>
      <c r="E261" s="212">
        <f t="shared" si="19"/>
        <v>0</v>
      </c>
      <c r="F261" s="212">
        <f t="shared" si="20"/>
        <v>0</v>
      </c>
      <c r="G261" s="212">
        <f t="shared" si="21"/>
        <v>0</v>
      </c>
    </row>
    <row r="262" spans="1:7">
      <c r="A262" s="216">
        <f t="shared" si="23"/>
        <v>255</v>
      </c>
      <c r="B262" s="217">
        <f>B261+30</f>
        <v>53967</v>
      </c>
      <c r="C262" s="212">
        <f t="shared" si="22"/>
        <v>0</v>
      </c>
      <c r="D262" s="212">
        <f t="shared" si="18"/>
        <v>0</v>
      </c>
      <c r="E262" s="212">
        <f t="shared" si="19"/>
        <v>0</v>
      </c>
      <c r="F262" s="212">
        <f t="shared" si="20"/>
        <v>0</v>
      </c>
      <c r="G262" s="212">
        <f t="shared" si="21"/>
        <v>0</v>
      </c>
    </row>
    <row r="263" spans="1:7">
      <c r="A263" s="216">
        <f t="shared" si="23"/>
        <v>256</v>
      </c>
      <c r="B263" s="217">
        <f>B262+31</f>
        <v>53998</v>
      </c>
      <c r="C263" s="212">
        <f t="shared" si="22"/>
        <v>0</v>
      </c>
      <c r="D263" s="212">
        <f t="shared" si="18"/>
        <v>0</v>
      </c>
      <c r="E263" s="212">
        <f t="shared" si="19"/>
        <v>0</v>
      </c>
      <c r="F263" s="212">
        <f t="shared" si="20"/>
        <v>0</v>
      </c>
      <c r="G263" s="212">
        <f t="shared" si="21"/>
        <v>0</v>
      </c>
    </row>
    <row r="264" spans="1:7">
      <c r="A264" s="216">
        <f t="shared" si="23"/>
        <v>257</v>
      </c>
      <c r="B264" s="217">
        <f>B263+31</f>
        <v>54029</v>
      </c>
      <c r="C264" s="212">
        <f t="shared" si="22"/>
        <v>0</v>
      </c>
      <c r="D264" s="212">
        <f t="shared" ref="D264:D327" si="24">PV($D$3/12,($D$4-A264),-$D$5)</f>
        <v>0</v>
      </c>
      <c r="E264" s="212">
        <f t="shared" ref="E264:E327" si="25">IF(C264=0,0,$D$5)</f>
        <v>0</v>
      </c>
      <c r="F264" s="212">
        <f t="shared" ref="F264:F327" si="26">E264-(C264-D264)</f>
        <v>0</v>
      </c>
      <c r="G264" s="212">
        <f t="shared" ref="G264:G327" si="27">E264-F264</f>
        <v>0</v>
      </c>
    </row>
    <row r="265" spans="1:7">
      <c r="A265" s="216">
        <f t="shared" si="23"/>
        <v>258</v>
      </c>
      <c r="B265" s="217">
        <f>B264+28</f>
        <v>54057</v>
      </c>
      <c r="C265" s="212">
        <f t="shared" ref="C265:C328" si="28">D264</f>
        <v>0</v>
      </c>
      <c r="D265" s="212">
        <f t="shared" si="24"/>
        <v>0</v>
      </c>
      <c r="E265" s="212">
        <f t="shared" si="25"/>
        <v>0</v>
      </c>
      <c r="F265" s="212">
        <f t="shared" si="26"/>
        <v>0</v>
      </c>
      <c r="G265" s="212">
        <f t="shared" si="27"/>
        <v>0</v>
      </c>
    </row>
    <row r="266" spans="1:7">
      <c r="A266" s="216">
        <f t="shared" si="23"/>
        <v>259</v>
      </c>
      <c r="B266" s="217">
        <f>B265+31</f>
        <v>54088</v>
      </c>
      <c r="C266" s="212">
        <f t="shared" si="28"/>
        <v>0</v>
      </c>
      <c r="D266" s="212">
        <f t="shared" si="24"/>
        <v>0</v>
      </c>
      <c r="E266" s="212">
        <f t="shared" si="25"/>
        <v>0</v>
      </c>
      <c r="F266" s="212">
        <f t="shared" si="26"/>
        <v>0</v>
      </c>
      <c r="G266" s="212">
        <f t="shared" si="27"/>
        <v>0</v>
      </c>
    </row>
    <row r="267" spans="1:7">
      <c r="A267" s="216">
        <f t="shared" si="23"/>
        <v>260</v>
      </c>
      <c r="B267" s="217">
        <f>B266+30</f>
        <v>54118</v>
      </c>
      <c r="C267" s="212">
        <f t="shared" si="28"/>
        <v>0</v>
      </c>
      <c r="D267" s="212">
        <f t="shared" si="24"/>
        <v>0</v>
      </c>
      <c r="E267" s="212">
        <f t="shared" si="25"/>
        <v>0</v>
      </c>
      <c r="F267" s="212">
        <f t="shared" si="26"/>
        <v>0</v>
      </c>
      <c r="G267" s="212">
        <f t="shared" si="27"/>
        <v>0</v>
      </c>
    </row>
    <row r="268" spans="1:7">
      <c r="A268" s="216">
        <f t="shared" si="23"/>
        <v>261</v>
      </c>
      <c r="B268" s="217">
        <f>B267+31</f>
        <v>54149</v>
      </c>
      <c r="C268" s="212">
        <f t="shared" si="28"/>
        <v>0</v>
      </c>
      <c r="D268" s="212">
        <f t="shared" si="24"/>
        <v>0</v>
      </c>
      <c r="E268" s="212">
        <f t="shared" si="25"/>
        <v>0</v>
      </c>
      <c r="F268" s="212">
        <f t="shared" si="26"/>
        <v>0</v>
      </c>
      <c r="G268" s="212">
        <f t="shared" si="27"/>
        <v>0</v>
      </c>
    </row>
    <row r="269" spans="1:7">
      <c r="A269" s="216">
        <f t="shared" si="23"/>
        <v>262</v>
      </c>
      <c r="B269" s="217">
        <f>B268+30</f>
        <v>54179</v>
      </c>
      <c r="C269" s="212">
        <f t="shared" si="28"/>
        <v>0</v>
      </c>
      <c r="D269" s="212">
        <f t="shared" si="24"/>
        <v>0</v>
      </c>
      <c r="E269" s="212">
        <f t="shared" si="25"/>
        <v>0</v>
      </c>
      <c r="F269" s="212">
        <f t="shared" si="26"/>
        <v>0</v>
      </c>
      <c r="G269" s="212">
        <f t="shared" si="27"/>
        <v>0</v>
      </c>
    </row>
    <row r="270" spans="1:7">
      <c r="A270" s="216">
        <f t="shared" si="23"/>
        <v>263</v>
      </c>
      <c r="B270" s="217">
        <f>B269+31</f>
        <v>54210</v>
      </c>
      <c r="C270" s="212">
        <f t="shared" si="28"/>
        <v>0</v>
      </c>
      <c r="D270" s="212">
        <f t="shared" si="24"/>
        <v>0</v>
      </c>
      <c r="E270" s="212">
        <f t="shared" si="25"/>
        <v>0</v>
      </c>
      <c r="F270" s="212">
        <f t="shared" si="26"/>
        <v>0</v>
      </c>
      <c r="G270" s="212">
        <f t="shared" si="27"/>
        <v>0</v>
      </c>
    </row>
    <row r="271" spans="1:7">
      <c r="A271" s="216">
        <f t="shared" si="23"/>
        <v>264</v>
      </c>
      <c r="B271" s="217">
        <f>B270+31</f>
        <v>54241</v>
      </c>
      <c r="C271" s="212">
        <f t="shared" si="28"/>
        <v>0</v>
      </c>
      <c r="D271" s="212">
        <f t="shared" si="24"/>
        <v>0</v>
      </c>
      <c r="E271" s="212">
        <f t="shared" si="25"/>
        <v>0</v>
      </c>
      <c r="F271" s="212">
        <f t="shared" si="26"/>
        <v>0</v>
      </c>
      <c r="G271" s="212">
        <f t="shared" si="27"/>
        <v>0</v>
      </c>
    </row>
    <row r="272" spans="1:7">
      <c r="A272" s="216">
        <f t="shared" si="23"/>
        <v>265</v>
      </c>
      <c r="B272" s="217">
        <f>B271+30</f>
        <v>54271</v>
      </c>
      <c r="C272" s="212">
        <f t="shared" si="28"/>
        <v>0</v>
      </c>
      <c r="D272" s="212">
        <f t="shared" si="24"/>
        <v>0</v>
      </c>
      <c r="E272" s="212">
        <f t="shared" si="25"/>
        <v>0</v>
      </c>
      <c r="F272" s="212">
        <f t="shared" si="26"/>
        <v>0</v>
      </c>
      <c r="G272" s="212">
        <f t="shared" si="27"/>
        <v>0</v>
      </c>
    </row>
    <row r="273" spans="1:7">
      <c r="A273" s="216">
        <f t="shared" ref="A273:A336" si="29">A272+1</f>
        <v>266</v>
      </c>
      <c r="B273" s="217">
        <f>B272+31</f>
        <v>54302</v>
      </c>
      <c r="C273" s="212">
        <f t="shared" si="28"/>
        <v>0</v>
      </c>
      <c r="D273" s="212">
        <f t="shared" si="24"/>
        <v>0</v>
      </c>
      <c r="E273" s="212">
        <f t="shared" si="25"/>
        <v>0</v>
      </c>
      <c r="F273" s="212">
        <f t="shared" si="26"/>
        <v>0</v>
      </c>
      <c r="G273" s="212">
        <f t="shared" si="27"/>
        <v>0</v>
      </c>
    </row>
    <row r="274" spans="1:7">
      <c r="A274" s="216">
        <f t="shared" si="29"/>
        <v>267</v>
      </c>
      <c r="B274" s="217">
        <f>B273+30</f>
        <v>54332</v>
      </c>
      <c r="C274" s="212">
        <f t="shared" si="28"/>
        <v>0</v>
      </c>
      <c r="D274" s="212">
        <f t="shared" si="24"/>
        <v>0</v>
      </c>
      <c r="E274" s="212">
        <f t="shared" si="25"/>
        <v>0</v>
      </c>
      <c r="F274" s="212">
        <f t="shared" si="26"/>
        <v>0</v>
      </c>
      <c r="G274" s="212">
        <f t="shared" si="27"/>
        <v>0</v>
      </c>
    </row>
    <row r="275" spans="1:7">
      <c r="A275" s="216">
        <f t="shared" si="29"/>
        <v>268</v>
      </c>
      <c r="B275" s="217">
        <f>B274+31</f>
        <v>54363</v>
      </c>
      <c r="C275" s="212">
        <f t="shared" si="28"/>
        <v>0</v>
      </c>
      <c r="D275" s="212">
        <f t="shared" si="24"/>
        <v>0</v>
      </c>
      <c r="E275" s="212">
        <f t="shared" si="25"/>
        <v>0</v>
      </c>
      <c r="F275" s="212">
        <f t="shared" si="26"/>
        <v>0</v>
      </c>
      <c r="G275" s="212">
        <f t="shared" si="27"/>
        <v>0</v>
      </c>
    </row>
    <row r="276" spans="1:7">
      <c r="A276" s="216">
        <f t="shared" si="29"/>
        <v>269</v>
      </c>
      <c r="B276" s="217">
        <f>B275+31</f>
        <v>54394</v>
      </c>
      <c r="C276" s="212">
        <f t="shared" si="28"/>
        <v>0</v>
      </c>
      <c r="D276" s="212">
        <f t="shared" si="24"/>
        <v>0</v>
      </c>
      <c r="E276" s="212">
        <f t="shared" si="25"/>
        <v>0</v>
      </c>
      <c r="F276" s="212">
        <f t="shared" si="26"/>
        <v>0</v>
      </c>
      <c r="G276" s="212">
        <f t="shared" si="27"/>
        <v>0</v>
      </c>
    </row>
    <row r="277" spans="1:7">
      <c r="A277" s="216">
        <f t="shared" si="29"/>
        <v>270</v>
      </c>
      <c r="B277" s="217">
        <f>B276+29</f>
        <v>54423</v>
      </c>
      <c r="C277" s="212">
        <f t="shared" si="28"/>
        <v>0</v>
      </c>
      <c r="D277" s="212">
        <f t="shared" si="24"/>
        <v>0</v>
      </c>
      <c r="E277" s="212">
        <f t="shared" si="25"/>
        <v>0</v>
      </c>
      <c r="F277" s="212">
        <f t="shared" si="26"/>
        <v>0</v>
      </c>
      <c r="G277" s="212">
        <f t="shared" si="27"/>
        <v>0</v>
      </c>
    </row>
    <row r="278" spans="1:7">
      <c r="A278" s="216">
        <f t="shared" si="29"/>
        <v>271</v>
      </c>
      <c r="B278" s="217">
        <f>B277+31</f>
        <v>54454</v>
      </c>
      <c r="C278" s="212">
        <f t="shared" si="28"/>
        <v>0</v>
      </c>
      <c r="D278" s="212">
        <f t="shared" si="24"/>
        <v>0</v>
      </c>
      <c r="E278" s="212">
        <f t="shared" si="25"/>
        <v>0</v>
      </c>
      <c r="F278" s="212">
        <f t="shared" si="26"/>
        <v>0</v>
      </c>
      <c r="G278" s="212">
        <f t="shared" si="27"/>
        <v>0</v>
      </c>
    </row>
    <row r="279" spans="1:7">
      <c r="A279" s="216">
        <f t="shared" si="29"/>
        <v>272</v>
      </c>
      <c r="B279" s="217">
        <f>B278+30</f>
        <v>54484</v>
      </c>
      <c r="C279" s="212">
        <f t="shared" si="28"/>
        <v>0</v>
      </c>
      <c r="D279" s="212">
        <f t="shared" si="24"/>
        <v>0</v>
      </c>
      <c r="E279" s="212">
        <f t="shared" si="25"/>
        <v>0</v>
      </c>
      <c r="F279" s="212">
        <f t="shared" si="26"/>
        <v>0</v>
      </c>
      <c r="G279" s="212">
        <f t="shared" si="27"/>
        <v>0</v>
      </c>
    </row>
    <row r="280" spans="1:7">
      <c r="A280" s="216">
        <f t="shared" si="29"/>
        <v>273</v>
      </c>
      <c r="B280" s="217">
        <f>B279+31</f>
        <v>54515</v>
      </c>
      <c r="C280" s="212">
        <f t="shared" si="28"/>
        <v>0</v>
      </c>
      <c r="D280" s="212">
        <f t="shared" si="24"/>
        <v>0</v>
      </c>
      <c r="E280" s="212">
        <f t="shared" si="25"/>
        <v>0</v>
      </c>
      <c r="F280" s="212">
        <f t="shared" si="26"/>
        <v>0</v>
      </c>
      <c r="G280" s="212">
        <f t="shared" si="27"/>
        <v>0</v>
      </c>
    </row>
    <row r="281" spans="1:7">
      <c r="A281" s="216">
        <f t="shared" si="29"/>
        <v>274</v>
      </c>
      <c r="B281" s="217">
        <f>B280+30</f>
        <v>54545</v>
      </c>
      <c r="C281" s="212">
        <f t="shared" si="28"/>
        <v>0</v>
      </c>
      <c r="D281" s="212">
        <f t="shared" si="24"/>
        <v>0</v>
      </c>
      <c r="E281" s="212">
        <f t="shared" si="25"/>
        <v>0</v>
      </c>
      <c r="F281" s="212">
        <f t="shared" si="26"/>
        <v>0</v>
      </c>
      <c r="G281" s="212">
        <f t="shared" si="27"/>
        <v>0</v>
      </c>
    </row>
    <row r="282" spans="1:7">
      <c r="A282" s="216">
        <f t="shared" si="29"/>
        <v>275</v>
      </c>
      <c r="B282" s="217">
        <f>B281+31</f>
        <v>54576</v>
      </c>
      <c r="C282" s="212">
        <f t="shared" si="28"/>
        <v>0</v>
      </c>
      <c r="D282" s="212">
        <f t="shared" si="24"/>
        <v>0</v>
      </c>
      <c r="E282" s="212">
        <f t="shared" si="25"/>
        <v>0</v>
      </c>
      <c r="F282" s="212">
        <f t="shared" si="26"/>
        <v>0</v>
      </c>
      <c r="G282" s="212">
        <f t="shared" si="27"/>
        <v>0</v>
      </c>
    </row>
    <row r="283" spans="1:7">
      <c r="A283" s="216">
        <f t="shared" si="29"/>
        <v>276</v>
      </c>
      <c r="B283" s="217">
        <f>B282+31</f>
        <v>54607</v>
      </c>
      <c r="C283" s="212">
        <f t="shared" si="28"/>
        <v>0</v>
      </c>
      <c r="D283" s="212">
        <f t="shared" si="24"/>
        <v>0</v>
      </c>
      <c r="E283" s="212">
        <f t="shared" si="25"/>
        <v>0</v>
      </c>
      <c r="F283" s="212">
        <f t="shared" si="26"/>
        <v>0</v>
      </c>
      <c r="G283" s="212">
        <f t="shared" si="27"/>
        <v>0</v>
      </c>
    </row>
    <row r="284" spans="1:7">
      <c r="A284" s="216">
        <f t="shared" si="29"/>
        <v>277</v>
      </c>
      <c r="B284" s="217">
        <f>B283+30</f>
        <v>54637</v>
      </c>
      <c r="C284" s="212">
        <f t="shared" si="28"/>
        <v>0</v>
      </c>
      <c r="D284" s="212">
        <f t="shared" si="24"/>
        <v>0</v>
      </c>
      <c r="E284" s="212">
        <f t="shared" si="25"/>
        <v>0</v>
      </c>
      <c r="F284" s="212">
        <f t="shared" si="26"/>
        <v>0</v>
      </c>
      <c r="G284" s="212">
        <f t="shared" si="27"/>
        <v>0</v>
      </c>
    </row>
    <row r="285" spans="1:7">
      <c r="A285" s="216">
        <f t="shared" si="29"/>
        <v>278</v>
      </c>
      <c r="B285" s="217">
        <f>B284+31</f>
        <v>54668</v>
      </c>
      <c r="C285" s="212">
        <f t="shared" si="28"/>
        <v>0</v>
      </c>
      <c r="D285" s="212">
        <f t="shared" si="24"/>
        <v>0</v>
      </c>
      <c r="E285" s="212">
        <f t="shared" si="25"/>
        <v>0</v>
      </c>
      <c r="F285" s="212">
        <f t="shared" si="26"/>
        <v>0</v>
      </c>
      <c r="G285" s="212">
        <f t="shared" si="27"/>
        <v>0</v>
      </c>
    </row>
    <row r="286" spans="1:7">
      <c r="A286" s="216">
        <f t="shared" si="29"/>
        <v>279</v>
      </c>
      <c r="B286" s="217">
        <f>B285+30</f>
        <v>54698</v>
      </c>
      <c r="C286" s="212">
        <f t="shared" si="28"/>
        <v>0</v>
      </c>
      <c r="D286" s="212">
        <f t="shared" si="24"/>
        <v>0</v>
      </c>
      <c r="E286" s="212">
        <f t="shared" si="25"/>
        <v>0</v>
      </c>
      <c r="F286" s="212">
        <f t="shared" si="26"/>
        <v>0</v>
      </c>
      <c r="G286" s="212">
        <f t="shared" si="27"/>
        <v>0</v>
      </c>
    </row>
    <row r="287" spans="1:7">
      <c r="A287" s="216">
        <f t="shared" si="29"/>
        <v>280</v>
      </c>
      <c r="B287" s="217">
        <f>B286+31</f>
        <v>54729</v>
      </c>
      <c r="C287" s="212">
        <f t="shared" si="28"/>
        <v>0</v>
      </c>
      <c r="D287" s="212">
        <f t="shared" si="24"/>
        <v>0</v>
      </c>
      <c r="E287" s="212">
        <f t="shared" si="25"/>
        <v>0</v>
      </c>
      <c r="F287" s="212">
        <f t="shared" si="26"/>
        <v>0</v>
      </c>
      <c r="G287" s="212">
        <f t="shared" si="27"/>
        <v>0</v>
      </c>
    </row>
    <row r="288" spans="1:7">
      <c r="A288" s="216">
        <f t="shared" si="29"/>
        <v>281</v>
      </c>
      <c r="B288" s="217">
        <f>B287+31</f>
        <v>54760</v>
      </c>
      <c r="C288" s="212">
        <f t="shared" si="28"/>
        <v>0</v>
      </c>
      <c r="D288" s="212">
        <f t="shared" si="24"/>
        <v>0</v>
      </c>
      <c r="E288" s="212">
        <f t="shared" si="25"/>
        <v>0</v>
      </c>
      <c r="F288" s="212">
        <f t="shared" si="26"/>
        <v>0</v>
      </c>
      <c r="G288" s="212">
        <f t="shared" si="27"/>
        <v>0</v>
      </c>
    </row>
    <row r="289" spans="1:7">
      <c r="A289" s="216">
        <f t="shared" si="29"/>
        <v>282</v>
      </c>
      <c r="B289" s="217">
        <f>B288+28</f>
        <v>54788</v>
      </c>
      <c r="C289" s="212">
        <f t="shared" si="28"/>
        <v>0</v>
      </c>
      <c r="D289" s="212">
        <f t="shared" si="24"/>
        <v>0</v>
      </c>
      <c r="E289" s="212">
        <f t="shared" si="25"/>
        <v>0</v>
      </c>
      <c r="F289" s="212">
        <f t="shared" si="26"/>
        <v>0</v>
      </c>
      <c r="G289" s="212">
        <f t="shared" si="27"/>
        <v>0</v>
      </c>
    </row>
    <row r="290" spans="1:7">
      <c r="A290" s="216">
        <f t="shared" si="29"/>
        <v>283</v>
      </c>
      <c r="B290" s="217">
        <f>B289+31</f>
        <v>54819</v>
      </c>
      <c r="C290" s="212">
        <f t="shared" si="28"/>
        <v>0</v>
      </c>
      <c r="D290" s="212">
        <f t="shared" si="24"/>
        <v>0</v>
      </c>
      <c r="E290" s="212">
        <f t="shared" si="25"/>
        <v>0</v>
      </c>
      <c r="F290" s="212">
        <f t="shared" si="26"/>
        <v>0</v>
      </c>
      <c r="G290" s="212">
        <f t="shared" si="27"/>
        <v>0</v>
      </c>
    </row>
    <row r="291" spans="1:7">
      <c r="A291" s="216">
        <f t="shared" si="29"/>
        <v>284</v>
      </c>
      <c r="B291" s="217">
        <f>B290+30</f>
        <v>54849</v>
      </c>
      <c r="C291" s="212">
        <f t="shared" si="28"/>
        <v>0</v>
      </c>
      <c r="D291" s="212">
        <f t="shared" si="24"/>
        <v>0</v>
      </c>
      <c r="E291" s="212">
        <f t="shared" si="25"/>
        <v>0</v>
      </c>
      <c r="F291" s="212">
        <f t="shared" si="26"/>
        <v>0</v>
      </c>
      <c r="G291" s="212">
        <f t="shared" si="27"/>
        <v>0</v>
      </c>
    </row>
    <row r="292" spans="1:7">
      <c r="A292" s="216">
        <f t="shared" si="29"/>
        <v>285</v>
      </c>
      <c r="B292" s="217">
        <f>B291+31</f>
        <v>54880</v>
      </c>
      <c r="C292" s="212">
        <f t="shared" si="28"/>
        <v>0</v>
      </c>
      <c r="D292" s="212">
        <f t="shared" si="24"/>
        <v>0</v>
      </c>
      <c r="E292" s="212">
        <f t="shared" si="25"/>
        <v>0</v>
      </c>
      <c r="F292" s="212">
        <f t="shared" si="26"/>
        <v>0</v>
      </c>
      <c r="G292" s="212">
        <f t="shared" si="27"/>
        <v>0</v>
      </c>
    </row>
    <row r="293" spans="1:7">
      <c r="A293" s="216">
        <f t="shared" si="29"/>
        <v>286</v>
      </c>
      <c r="B293" s="217">
        <f>B292+30</f>
        <v>54910</v>
      </c>
      <c r="C293" s="212">
        <f t="shared" si="28"/>
        <v>0</v>
      </c>
      <c r="D293" s="212">
        <f t="shared" si="24"/>
        <v>0</v>
      </c>
      <c r="E293" s="212">
        <f t="shared" si="25"/>
        <v>0</v>
      </c>
      <c r="F293" s="212">
        <f t="shared" si="26"/>
        <v>0</v>
      </c>
      <c r="G293" s="212">
        <f t="shared" si="27"/>
        <v>0</v>
      </c>
    </row>
    <row r="294" spans="1:7">
      <c r="A294" s="216">
        <f t="shared" si="29"/>
        <v>287</v>
      </c>
      <c r="B294" s="217">
        <f>B293+31</f>
        <v>54941</v>
      </c>
      <c r="C294" s="212">
        <f t="shared" si="28"/>
        <v>0</v>
      </c>
      <c r="D294" s="212">
        <f t="shared" si="24"/>
        <v>0</v>
      </c>
      <c r="E294" s="212">
        <f t="shared" si="25"/>
        <v>0</v>
      </c>
      <c r="F294" s="212">
        <f t="shared" si="26"/>
        <v>0</v>
      </c>
      <c r="G294" s="212">
        <f t="shared" si="27"/>
        <v>0</v>
      </c>
    </row>
    <row r="295" spans="1:7">
      <c r="A295" s="216">
        <f t="shared" si="29"/>
        <v>288</v>
      </c>
      <c r="B295" s="217">
        <f>B294+31</f>
        <v>54972</v>
      </c>
      <c r="C295" s="212">
        <f t="shared" si="28"/>
        <v>0</v>
      </c>
      <c r="D295" s="212">
        <f t="shared" si="24"/>
        <v>0</v>
      </c>
      <c r="E295" s="212">
        <f t="shared" si="25"/>
        <v>0</v>
      </c>
      <c r="F295" s="212">
        <f t="shared" si="26"/>
        <v>0</v>
      </c>
      <c r="G295" s="212">
        <f t="shared" si="27"/>
        <v>0</v>
      </c>
    </row>
    <row r="296" spans="1:7">
      <c r="A296" s="216">
        <f t="shared" si="29"/>
        <v>289</v>
      </c>
      <c r="B296" s="217">
        <f>B295+30</f>
        <v>55002</v>
      </c>
      <c r="C296" s="212">
        <f t="shared" si="28"/>
        <v>0</v>
      </c>
      <c r="D296" s="212">
        <f t="shared" si="24"/>
        <v>0</v>
      </c>
      <c r="E296" s="212">
        <f t="shared" si="25"/>
        <v>0</v>
      </c>
      <c r="F296" s="212">
        <f t="shared" si="26"/>
        <v>0</v>
      </c>
      <c r="G296" s="212">
        <f t="shared" si="27"/>
        <v>0</v>
      </c>
    </row>
    <row r="297" spans="1:7">
      <c r="A297" s="216">
        <f t="shared" si="29"/>
        <v>290</v>
      </c>
      <c r="B297" s="217">
        <f>B296+31</f>
        <v>55033</v>
      </c>
      <c r="C297" s="212">
        <f t="shared" si="28"/>
        <v>0</v>
      </c>
      <c r="D297" s="212">
        <f t="shared" si="24"/>
        <v>0</v>
      </c>
      <c r="E297" s="212">
        <f t="shared" si="25"/>
        <v>0</v>
      </c>
      <c r="F297" s="212">
        <f t="shared" si="26"/>
        <v>0</v>
      </c>
      <c r="G297" s="212">
        <f t="shared" si="27"/>
        <v>0</v>
      </c>
    </row>
    <row r="298" spans="1:7">
      <c r="A298" s="216">
        <f t="shared" si="29"/>
        <v>291</v>
      </c>
      <c r="B298" s="217">
        <f>B297+30</f>
        <v>55063</v>
      </c>
      <c r="C298" s="212">
        <f t="shared" si="28"/>
        <v>0</v>
      </c>
      <c r="D298" s="212">
        <f t="shared" si="24"/>
        <v>0</v>
      </c>
      <c r="E298" s="212">
        <f t="shared" si="25"/>
        <v>0</v>
      </c>
      <c r="F298" s="212">
        <f t="shared" si="26"/>
        <v>0</v>
      </c>
      <c r="G298" s="212">
        <f t="shared" si="27"/>
        <v>0</v>
      </c>
    </row>
    <row r="299" spans="1:7">
      <c r="A299" s="216">
        <f t="shared" si="29"/>
        <v>292</v>
      </c>
      <c r="B299" s="217">
        <f>B298+31</f>
        <v>55094</v>
      </c>
      <c r="C299" s="212">
        <f t="shared" si="28"/>
        <v>0</v>
      </c>
      <c r="D299" s="212">
        <f t="shared" si="24"/>
        <v>0</v>
      </c>
      <c r="E299" s="212">
        <f t="shared" si="25"/>
        <v>0</v>
      </c>
      <c r="F299" s="212">
        <f t="shared" si="26"/>
        <v>0</v>
      </c>
      <c r="G299" s="212">
        <f t="shared" si="27"/>
        <v>0</v>
      </c>
    </row>
    <row r="300" spans="1:7">
      <c r="A300" s="216">
        <f t="shared" si="29"/>
        <v>293</v>
      </c>
      <c r="B300" s="217">
        <f>B299+31</f>
        <v>55125</v>
      </c>
      <c r="C300" s="212">
        <f t="shared" si="28"/>
        <v>0</v>
      </c>
      <c r="D300" s="212">
        <f t="shared" si="24"/>
        <v>0</v>
      </c>
      <c r="E300" s="212">
        <f t="shared" si="25"/>
        <v>0</v>
      </c>
      <c r="F300" s="212">
        <f t="shared" si="26"/>
        <v>0</v>
      </c>
      <c r="G300" s="212">
        <f t="shared" si="27"/>
        <v>0</v>
      </c>
    </row>
    <row r="301" spans="1:7">
      <c r="A301" s="216">
        <f t="shared" si="29"/>
        <v>294</v>
      </c>
      <c r="B301" s="217">
        <f>B300+28</f>
        <v>55153</v>
      </c>
      <c r="C301" s="212">
        <f t="shared" si="28"/>
        <v>0</v>
      </c>
      <c r="D301" s="212">
        <f t="shared" si="24"/>
        <v>0</v>
      </c>
      <c r="E301" s="212">
        <f t="shared" si="25"/>
        <v>0</v>
      </c>
      <c r="F301" s="212">
        <f t="shared" si="26"/>
        <v>0</v>
      </c>
      <c r="G301" s="212">
        <f t="shared" si="27"/>
        <v>0</v>
      </c>
    </row>
    <row r="302" spans="1:7">
      <c r="A302" s="216">
        <f t="shared" si="29"/>
        <v>295</v>
      </c>
      <c r="B302" s="217">
        <f>B301+31</f>
        <v>55184</v>
      </c>
      <c r="C302" s="212">
        <f t="shared" si="28"/>
        <v>0</v>
      </c>
      <c r="D302" s="212">
        <f t="shared" si="24"/>
        <v>0</v>
      </c>
      <c r="E302" s="212">
        <f t="shared" si="25"/>
        <v>0</v>
      </c>
      <c r="F302" s="212">
        <f t="shared" si="26"/>
        <v>0</v>
      </c>
      <c r="G302" s="212">
        <f t="shared" si="27"/>
        <v>0</v>
      </c>
    </row>
    <row r="303" spans="1:7">
      <c r="A303" s="216">
        <f t="shared" si="29"/>
        <v>296</v>
      </c>
      <c r="B303" s="217">
        <f>B302+30</f>
        <v>55214</v>
      </c>
      <c r="C303" s="212">
        <f t="shared" si="28"/>
        <v>0</v>
      </c>
      <c r="D303" s="212">
        <f t="shared" si="24"/>
        <v>0</v>
      </c>
      <c r="E303" s="212">
        <f t="shared" si="25"/>
        <v>0</v>
      </c>
      <c r="F303" s="212">
        <f t="shared" si="26"/>
        <v>0</v>
      </c>
      <c r="G303" s="212">
        <f t="shared" si="27"/>
        <v>0</v>
      </c>
    </row>
    <row r="304" spans="1:7">
      <c r="A304" s="216">
        <f t="shared" si="29"/>
        <v>297</v>
      </c>
      <c r="B304" s="217">
        <f>B303+31</f>
        <v>55245</v>
      </c>
      <c r="C304" s="212">
        <f t="shared" si="28"/>
        <v>0</v>
      </c>
      <c r="D304" s="212">
        <f t="shared" si="24"/>
        <v>0</v>
      </c>
      <c r="E304" s="212">
        <f t="shared" si="25"/>
        <v>0</v>
      </c>
      <c r="F304" s="212">
        <f t="shared" si="26"/>
        <v>0</v>
      </c>
      <c r="G304" s="212">
        <f t="shared" si="27"/>
        <v>0</v>
      </c>
    </row>
    <row r="305" spans="1:7">
      <c r="A305" s="216">
        <f t="shared" si="29"/>
        <v>298</v>
      </c>
      <c r="B305" s="217">
        <f>B304+30</f>
        <v>55275</v>
      </c>
      <c r="C305" s="212">
        <f t="shared" si="28"/>
        <v>0</v>
      </c>
      <c r="D305" s="212">
        <f t="shared" si="24"/>
        <v>0</v>
      </c>
      <c r="E305" s="212">
        <f t="shared" si="25"/>
        <v>0</v>
      </c>
      <c r="F305" s="212">
        <f t="shared" si="26"/>
        <v>0</v>
      </c>
      <c r="G305" s="212">
        <f t="shared" si="27"/>
        <v>0</v>
      </c>
    </row>
    <row r="306" spans="1:7">
      <c r="A306" s="216">
        <f t="shared" si="29"/>
        <v>299</v>
      </c>
      <c r="B306" s="217">
        <f>B305+31</f>
        <v>55306</v>
      </c>
      <c r="C306" s="212">
        <f t="shared" si="28"/>
        <v>0</v>
      </c>
      <c r="D306" s="212">
        <f t="shared" si="24"/>
        <v>0</v>
      </c>
      <c r="E306" s="212">
        <f t="shared" si="25"/>
        <v>0</v>
      </c>
      <c r="F306" s="212">
        <f t="shared" si="26"/>
        <v>0</v>
      </c>
      <c r="G306" s="212">
        <f t="shared" si="27"/>
        <v>0</v>
      </c>
    </row>
    <row r="307" spans="1:7">
      <c r="A307" s="216">
        <f t="shared" si="29"/>
        <v>300</v>
      </c>
      <c r="B307" s="217">
        <f>B306+31</f>
        <v>55337</v>
      </c>
      <c r="C307" s="212">
        <f t="shared" si="28"/>
        <v>0</v>
      </c>
      <c r="D307" s="212">
        <f t="shared" si="24"/>
        <v>0</v>
      </c>
      <c r="E307" s="212">
        <f t="shared" si="25"/>
        <v>0</v>
      </c>
      <c r="F307" s="212">
        <f t="shared" si="26"/>
        <v>0</v>
      </c>
      <c r="G307" s="212">
        <f t="shared" si="27"/>
        <v>0</v>
      </c>
    </row>
    <row r="308" spans="1:7">
      <c r="A308" s="216">
        <f t="shared" si="29"/>
        <v>301</v>
      </c>
      <c r="B308" s="217">
        <f>B307+30</f>
        <v>55367</v>
      </c>
      <c r="C308" s="212">
        <f t="shared" si="28"/>
        <v>0</v>
      </c>
      <c r="D308" s="212">
        <f t="shared" si="24"/>
        <v>0</v>
      </c>
      <c r="E308" s="212">
        <f t="shared" si="25"/>
        <v>0</v>
      </c>
      <c r="F308" s="212">
        <f t="shared" si="26"/>
        <v>0</v>
      </c>
      <c r="G308" s="212">
        <f t="shared" si="27"/>
        <v>0</v>
      </c>
    </row>
    <row r="309" spans="1:7">
      <c r="A309" s="216">
        <f t="shared" si="29"/>
        <v>302</v>
      </c>
      <c r="B309" s="217">
        <f>B308+31</f>
        <v>55398</v>
      </c>
      <c r="C309" s="212">
        <f t="shared" si="28"/>
        <v>0</v>
      </c>
      <c r="D309" s="212">
        <f t="shared" si="24"/>
        <v>0</v>
      </c>
      <c r="E309" s="212">
        <f t="shared" si="25"/>
        <v>0</v>
      </c>
      <c r="F309" s="212">
        <f t="shared" si="26"/>
        <v>0</v>
      </c>
      <c r="G309" s="212">
        <f t="shared" si="27"/>
        <v>0</v>
      </c>
    </row>
    <row r="310" spans="1:7">
      <c r="A310" s="216">
        <f t="shared" si="29"/>
        <v>303</v>
      </c>
      <c r="B310" s="217">
        <f>B309+30</f>
        <v>55428</v>
      </c>
      <c r="C310" s="212">
        <f t="shared" si="28"/>
        <v>0</v>
      </c>
      <c r="D310" s="212">
        <f t="shared" si="24"/>
        <v>0</v>
      </c>
      <c r="E310" s="212">
        <f t="shared" si="25"/>
        <v>0</v>
      </c>
      <c r="F310" s="212">
        <f t="shared" si="26"/>
        <v>0</v>
      </c>
      <c r="G310" s="212">
        <f t="shared" si="27"/>
        <v>0</v>
      </c>
    </row>
    <row r="311" spans="1:7">
      <c r="A311" s="216">
        <f t="shared" si="29"/>
        <v>304</v>
      </c>
      <c r="B311" s="217">
        <f>B310+31</f>
        <v>55459</v>
      </c>
      <c r="C311" s="212">
        <f t="shared" si="28"/>
        <v>0</v>
      </c>
      <c r="D311" s="212">
        <f t="shared" si="24"/>
        <v>0</v>
      </c>
      <c r="E311" s="212">
        <f t="shared" si="25"/>
        <v>0</v>
      </c>
      <c r="F311" s="212">
        <f t="shared" si="26"/>
        <v>0</v>
      </c>
      <c r="G311" s="212">
        <f t="shared" si="27"/>
        <v>0</v>
      </c>
    </row>
    <row r="312" spans="1:7">
      <c r="A312" s="216">
        <f t="shared" si="29"/>
        <v>305</v>
      </c>
      <c r="B312" s="217">
        <f>B311+31</f>
        <v>55490</v>
      </c>
      <c r="C312" s="212">
        <f t="shared" si="28"/>
        <v>0</v>
      </c>
      <c r="D312" s="212">
        <f t="shared" si="24"/>
        <v>0</v>
      </c>
      <c r="E312" s="212">
        <f t="shared" si="25"/>
        <v>0</v>
      </c>
      <c r="F312" s="212">
        <f t="shared" si="26"/>
        <v>0</v>
      </c>
      <c r="G312" s="212">
        <f t="shared" si="27"/>
        <v>0</v>
      </c>
    </row>
    <row r="313" spans="1:7">
      <c r="A313" s="216">
        <f t="shared" si="29"/>
        <v>306</v>
      </c>
      <c r="B313" s="217">
        <f>B312+28</f>
        <v>55518</v>
      </c>
      <c r="C313" s="212">
        <f t="shared" si="28"/>
        <v>0</v>
      </c>
      <c r="D313" s="212">
        <f t="shared" si="24"/>
        <v>0</v>
      </c>
      <c r="E313" s="212">
        <f t="shared" si="25"/>
        <v>0</v>
      </c>
      <c r="F313" s="212">
        <f t="shared" si="26"/>
        <v>0</v>
      </c>
      <c r="G313" s="212">
        <f t="shared" si="27"/>
        <v>0</v>
      </c>
    </row>
    <row r="314" spans="1:7">
      <c r="A314" s="216">
        <f t="shared" si="29"/>
        <v>307</v>
      </c>
      <c r="B314" s="217">
        <f>B313+31</f>
        <v>55549</v>
      </c>
      <c r="C314" s="212">
        <f t="shared" si="28"/>
        <v>0</v>
      </c>
      <c r="D314" s="212">
        <f t="shared" si="24"/>
        <v>0</v>
      </c>
      <c r="E314" s="212">
        <f t="shared" si="25"/>
        <v>0</v>
      </c>
      <c r="F314" s="212">
        <f t="shared" si="26"/>
        <v>0</v>
      </c>
      <c r="G314" s="212">
        <f t="shared" si="27"/>
        <v>0</v>
      </c>
    </row>
    <row r="315" spans="1:7">
      <c r="A315" s="216">
        <f t="shared" si="29"/>
        <v>308</v>
      </c>
      <c r="B315" s="217">
        <f>B314+30</f>
        <v>55579</v>
      </c>
      <c r="C315" s="212">
        <f t="shared" si="28"/>
        <v>0</v>
      </c>
      <c r="D315" s="212">
        <f t="shared" si="24"/>
        <v>0</v>
      </c>
      <c r="E315" s="212">
        <f t="shared" si="25"/>
        <v>0</v>
      </c>
      <c r="F315" s="212">
        <f t="shared" si="26"/>
        <v>0</v>
      </c>
      <c r="G315" s="212">
        <f t="shared" si="27"/>
        <v>0</v>
      </c>
    </row>
    <row r="316" spans="1:7">
      <c r="A316" s="216">
        <f t="shared" si="29"/>
        <v>309</v>
      </c>
      <c r="B316" s="217">
        <f>B315+31</f>
        <v>55610</v>
      </c>
      <c r="C316" s="212">
        <f t="shared" si="28"/>
        <v>0</v>
      </c>
      <c r="D316" s="212">
        <f t="shared" si="24"/>
        <v>0</v>
      </c>
      <c r="E316" s="212">
        <f t="shared" si="25"/>
        <v>0</v>
      </c>
      <c r="F316" s="212">
        <f t="shared" si="26"/>
        <v>0</v>
      </c>
      <c r="G316" s="212">
        <f t="shared" si="27"/>
        <v>0</v>
      </c>
    </row>
    <row r="317" spans="1:7">
      <c r="A317" s="216">
        <f t="shared" si="29"/>
        <v>310</v>
      </c>
      <c r="B317" s="217">
        <f>B316+30</f>
        <v>55640</v>
      </c>
      <c r="C317" s="212">
        <f t="shared" si="28"/>
        <v>0</v>
      </c>
      <c r="D317" s="212">
        <f t="shared" si="24"/>
        <v>0</v>
      </c>
      <c r="E317" s="212">
        <f t="shared" si="25"/>
        <v>0</v>
      </c>
      <c r="F317" s="212">
        <f t="shared" si="26"/>
        <v>0</v>
      </c>
      <c r="G317" s="212">
        <f t="shared" si="27"/>
        <v>0</v>
      </c>
    </row>
    <row r="318" spans="1:7">
      <c r="A318" s="216">
        <f t="shared" si="29"/>
        <v>311</v>
      </c>
      <c r="B318" s="217">
        <f>B317+31</f>
        <v>55671</v>
      </c>
      <c r="C318" s="212">
        <f t="shared" si="28"/>
        <v>0</v>
      </c>
      <c r="D318" s="212">
        <f t="shared" si="24"/>
        <v>0</v>
      </c>
      <c r="E318" s="212">
        <f t="shared" si="25"/>
        <v>0</v>
      </c>
      <c r="F318" s="212">
        <f t="shared" si="26"/>
        <v>0</v>
      </c>
      <c r="G318" s="212">
        <f t="shared" si="27"/>
        <v>0</v>
      </c>
    </row>
    <row r="319" spans="1:7">
      <c r="A319" s="216">
        <f t="shared" si="29"/>
        <v>312</v>
      </c>
      <c r="B319" s="217">
        <f>B318+31</f>
        <v>55702</v>
      </c>
      <c r="C319" s="212">
        <f t="shared" si="28"/>
        <v>0</v>
      </c>
      <c r="D319" s="212">
        <f t="shared" si="24"/>
        <v>0</v>
      </c>
      <c r="E319" s="212">
        <f t="shared" si="25"/>
        <v>0</v>
      </c>
      <c r="F319" s="212">
        <f t="shared" si="26"/>
        <v>0</v>
      </c>
      <c r="G319" s="212">
        <f t="shared" si="27"/>
        <v>0</v>
      </c>
    </row>
    <row r="320" spans="1:7">
      <c r="A320" s="216">
        <f t="shared" si="29"/>
        <v>313</v>
      </c>
      <c r="B320" s="217">
        <f>B319+30</f>
        <v>55732</v>
      </c>
      <c r="C320" s="212">
        <f t="shared" si="28"/>
        <v>0</v>
      </c>
      <c r="D320" s="212">
        <f t="shared" si="24"/>
        <v>0</v>
      </c>
      <c r="E320" s="212">
        <f t="shared" si="25"/>
        <v>0</v>
      </c>
      <c r="F320" s="212">
        <f t="shared" si="26"/>
        <v>0</v>
      </c>
      <c r="G320" s="212">
        <f t="shared" si="27"/>
        <v>0</v>
      </c>
    </row>
    <row r="321" spans="1:7">
      <c r="A321" s="216">
        <f t="shared" si="29"/>
        <v>314</v>
      </c>
      <c r="B321" s="217">
        <f>B320+31</f>
        <v>55763</v>
      </c>
      <c r="C321" s="212">
        <f t="shared" si="28"/>
        <v>0</v>
      </c>
      <c r="D321" s="212">
        <f t="shared" si="24"/>
        <v>0</v>
      </c>
      <c r="E321" s="212">
        <f t="shared" si="25"/>
        <v>0</v>
      </c>
      <c r="F321" s="212">
        <f t="shared" si="26"/>
        <v>0</v>
      </c>
      <c r="G321" s="212">
        <f t="shared" si="27"/>
        <v>0</v>
      </c>
    </row>
    <row r="322" spans="1:7">
      <c r="A322" s="216">
        <f t="shared" si="29"/>
        <v>315</v>
      </c>
      <c r="B322" s="217">
        <f>B321+30</f>
        <v>55793</v>
      </c>
      <c r="C322" s="212">
        <f t="shared" si="28"/>
        <v>0</v>
      </c>
      <c r="D322" s="212">
        <f t="shared" si="24"/>
        <v>0</v>
      </c>
      <c r="E322" s="212">
        <f t="shared" si="25"/>
        <v>0</v>
      </c>
      <c r="F322" s="212">
        <f t="shared" si="26"/>
        <v>0</v>
      </c>
      <c r="G322" s="212">
        <f t="shared" si="27"/>
        <v>0</v>
      </c>
    </row>
    <row r="323" spans="1:7">
      <c r="A323" s="216">
        <f t="shared" si="29"/>
        <v>316</v>
      </c>
      <c r="B323" s="217">
        <f>B322+31</f>
        <v>55824</v>
      </c>
      <c r="C323" s="212">
        <f t="shared" si="28"/>
        <v>0</v>
      </c>
      <c r="D323" s="212">
        <f t="shared" si="24"/>
        <v>0</v>
      </c>
      <c r="E323" s="212">
        <f t="shared" si="25"/>
        <v>0</v>
      </c>
      <c r="F323" s="212">
        <f t="shared" si="26"/>
        <v>0</v>
      </c>
      <c r="G323" s="212">
        <f t="shared" si="27"/>
        <v>0</v>
      </c>
    </row>
    <row r="324" spans="1:7">
      <c r="A324" s="216">
        <f t="shared" si="29"/>
        <v>317</v>
      </c>
      <c r="B324" s="217">
        <f>B323+31</f>
        <v>55855</v>
      </c>
      <c r="C324" s="212">
        <f t="shared" si="28"/>
        <v>0</v>
      </c>
      <c r="D324" s="212">
        <f t="shared" si="24"/>
        <v>0</v>
      </c>
      <c r="E324" s="212">
        <f t="shared" si="25"/>
        <v>0</v>
      </c>
      <c r="F324" s="212">
        <f t="shared" si="26"/>
        <v>0</v>
      </c>
      <c r="G324" s="212">
        <f t="shared" si="27"/>
        <v>0</v>
      </c>
    </row>
    <row r="325" spans="1:7">
      <c r="A325" s="216">
        <f t="shared" si="29"/>
        <v>318</v>
      </c>
      <c r="B325" s="217">
        <f>B324+29</f>
        <v>55884</v>
      </c>
      <c r="C325" s="212">
        <f t="shared" si="28"/>
        <v>0</v>
      </c>
      <c r="D325" s="212">
        <f t="shared" si="24"/>
        <v>0</v>
      </c>
      <c r="E325" s="212">
        <f t="shared" si="25"/>
        <v>0</v>
      </c>
      <c r="F325" s="212">
        <f t="shared" si="26"/>
        <v>0</v>
      </c>
      <c r="G325" s="212">
        <f t="shared" si="27"/>
        <v>0</v>
      </c>
    </row>
    <row r="326" spans="1:7">
      <c r="A326" s="216">
        <f t="shared" si="29"/>
        <v>319</v>
      </c>
      <c r="B326" s="217">
        <f>B325+31</f>
        <v>55915</v>
      </c>
      <c r="C326" s="212">
        <f t="shared" si="28"/>
        <v>0</v>
      </c>
      <c r="D326" s="212">
        <f t="shared" si="24"/>
        <v>0</v>
      </c>
      <c r="E326" s="212">
        <f t="shared" si="25"/>
        <v>0</v>
      </c>
      <c r="F326" s="212">
        <f t="shared" si="26"/>
        <v>0</v>
      </c>
      <c r="G326" s="212">
        <f t="shared" si="27"/>
        <v>0</v>
      </c>
    </row>
    <row r="327" spans="1:7">
      <c r="A327" s="216">
        <f t="shared" si="29"/>
        <v>320</v>
      </c>
      <c r="B327" s="217">
        <f>B326+30</f>
        <v>55945</v>
      </c>
      <c r="C327" s="212">
        <f t="shared" si="28"/>
        <v>0</v>
      </c>
      <c r="D327" s="212">
        <f t="shared" si="24"/>
        <v>0</v>
      </c>
      <c r="E327" s="212">
        <f t="shared" si="25"/>
        <v>0</v>
      </c>
      <c r="F327" s="212">
        <f t="shared" si="26"/>
        <v>0</v>
      </c>
      <c r="G327" s="212">
        <f t="shared" si="27"/>
        <v>0</v>
      </c>
    </row>
    <row r="328" spans="1:7">
      <c r="A328" s="216">
        <f t="shared" si="29"/>
        <v>321</v>
      </c>
      <c r="B328" s="217">
        <f>B327+31</f>
        <v>55976</v>
      </c>
      <c r="C328" s="212">
        <f t="shared" si="28"/>
        <v>0</v>
      </c>
      <c r="D328" s="212">
        <f t="shared" ref="D328:D367" si="30">PV($D$3/12,($D$4-A328),-$D$5)</f>
        <v>0</v>
      </c>
      <c r="E328" s="212">
        <f t="shared" ref="E328:E367" si="31">IF(C328=0,0,$D$5)</f>
        <v>0</v>
      </c>
      <c r="F328" s="212">
        <f t="shared" ref="F328:F367" si="32">E328-(C328-D328)</f>
        <v>0</v>
      </c>
      <c r="G328" s="212">
        <f t="shared" ref="G328:G367" si="33">E328-F328</f>
        <v>0</v>
      </c>
    </row>
    <row r="329" spans="1:7">
      <c r="A329" s="216">
        <f t="shared" si="29"/>
        <v>322</v>
      </c>
      <c r="B329" s="217">
        <f>B328+30</f>
        <v>56006</v>
      </c>
      <c r="C329" s="212">
        <f t="shared" ref="C329:C367" si="34">D328</f>
        <v>0</v>
      </c>
      <c r="D329" s="212">
        <f t="shared" si="30"/>
        <v>0</v>
      </c>
      <c r="E329" s="212">
        <f t="shared" si="31"/>
        <v>0</v>
      </c>
      <c r="F329" s="212">
        <f t="shared" si="32"/>
        <v>0</v>
      </c>
      <c r="G329" s="212">
        <f t="shared" si="33"/>
        <v>0</v>
      </c>
    </row>
    <row r="330" spans="1:7">
      <c r="A330" s="216">
        <f t="shared" si="29"/>
        <v>323</v>
      </c>
      <c r="B330" s="217">
        <f>B329+31</f>
        <v>56037</v>
      </c>
      <c r="C330" s="212">
        <f t="shared" si="34"/>
        <v>0</v>
      </c>
      <c r="D330" s="212">
        <f t="shared" si="30"/>
        <v>0</v>
      </c>
      <c r="E330" s="212">
        <f t="shared" si="31"/>
        <v>0</v>
      </c>
      <c r="F330" s="212">
        <f t="shared" si="32"/>
        <v>0</v>
      </c>
      <c r="G330" s="212">
        <f t="shared" si="33"/>
        <v>0</v>
      </c>
    </row>
    <row r="331" spans="1:7">
      <c r="A331" s="216">
        <f t="shared" si="29"/>
        <v>324</v>
      </c>
      <c r="B331" s="217">
        <f>B330+31</f>
        <v>56068</v>
      </c>
      <c r="C331" s="212">
        <f t="shared" si="34"/>
        <v>0</v>
      </c>
      <c r="D331" s="212">
        <f t="shared" si="30"/>
        <v>0</v>
      </c>
      <c r="E331" s="212">
        <f t="shared" si="31"/>
        <v>0</v>
      </c>
      <c r="F331" s="212">
        <f t="shared" si="32"/>
        <v>0</v>
      </c>
      <c r="G331" s="212">
        <f t="shared" si="33"/>
        <v>0</v>
      </c>
    </row>
    <row r="332" spans="1:7">
      <c r="A332" s="216">
        <f t="shared" si="29"/>
        <v>325</v>
      </c>
      <c r="B332" s="217">
        <f>B331+30</f>
        <v>56098</v>
      </c>
      <c r="C332" s="212">
        <f t="shared" si="34"/>
        <v>0</v>
      </c>
      <c r="D332" s="212">
        <f t="shared" si="30"/>
        <v>0</v>
      </c>
      <c r="E332" s="212">
        <f t="shared" si="31"/>
        <v>0</v>
      </c>
      <c r="F332" s="212">
        <f t="shared" si="32"/>
        <v>0</v>
      </c>
      <c r="G332" s="212">
        <f t="shared" si="33"/>
        <v>0</v>
      </c>
    </row>
    <row r="333" spans="1:7">
      <c r="A333" s="216">
        <f t="shared" si="29"/>
        <v>326</v>
      </c>
      <c r="B333" s="217">
        <f>B332+31</f>
        <v>56129</v>
      </c>
      <c r="C333" s="212">
        <f t="shared" si="34"/>
        <v>0</v>
      </c>
      <c r="D333" s="212">
        <f t="shared" si="30"/>
        <v>0</v>
      </c>
      <c r="E333" s="212">
        <f t="shared" si="31"/>
        <v>0</v>
      </c>
      <c r="F333" s="212">
        <f t="shared" si="32"/>
        <v>0</v>
      </c>
      <c r="G333" s="212">
        <f t="shared" si="33"/>
        <v>0</v>
      </c>
    </row>
    <row r="334" spans="1:7">
      <c r="A334" s="216">
        <f t="shared" si="29"/>
        <v>327</v>
      </c>
      <c r="B334" s="217">
        <f>B333+30</f>
        <v>56159</v>
      </c>
      <c r="C334" s="212">
        <f t="shared" si="34"/>
        <v>0</v>
      </c>
      <c r="D334" s="212">
        <f t="shared" si="30"/>
        <v>0</v>
      </c>
      <c r="E334" s="212">
        <f t="shared" si="31"/>
        <v>0</v>
      </c>
      <c r="F334" s="212">
        <f t="shared" si="32"/>
        <v>0</v>
      </c>
      <c r="G334" s="212">
        <f t="shared" si="33"/>
        <v>0</v>
      </c>
    </row>
    <row r="335" spans="1:7">
      <c r="A335" s="216">
        <f t="shared" si="29"/>
        <v>328</v>
      </c>
      <c r="B335" s="217">
        <f>B334+31</f>
        <v>56190</v>
      </c>
      <c r="C335" s="212">
        <f t="shared" si="34"/>
        <v>0</v>
      </c>
      <c r="D335" s="212">
        <f t="shared" si="30"/>
        <v>0</v>
      </c>
      <c r="E335" s="212">
        <f t="shared" si="31"/>
        <v>0</v>
      </c>
      <c r="F335" s="212">
        <f t="shared" si="32"/>
        <v>0</v>
      </c>
      <c r="G335" s="212">
        <f t="shared" si="33"/>
        <v>0</v>
      </c>
    </row>
    <row r="336" spans="1:7">
      <c r="A336" s="216">
        <f t="shared" si="29"/>
        <v>329</v>
      </c>
      <c r="B336" s="217">
        <f>B335+31</f>
        <v>56221</v>
      </c>
      <c r="C336" s="212">
        <f t="shared" si="34"/>
        <v>0</v>
      </c>
      <c r="D336" s="212">
        <f t="shared" si="30"/>
        <v>0</v>
      </c>
      <c r="E336" s="212">
        <f t="shared" si="31"/>
        <v>0</v>
      </c>
      <c r="F336" s="212">
        <f t="shared" si="32"/>
        <v>0</v>
      </c>
      <c r="G336" s="212">
        <f t="shared" si="33"/>
        <v>0</v>
      </c>
    </row>
    <row r="337" spans="1:7">
      <c r="A337" s="216">
        <f t="shared" ref="A337:A367" si="35">A336+1</f>
        <v>330</v>
      </c>
      <c r="B337" s="217">
        <f>B336+28</f>
        <v>56249</v>
      </c>
      <c r="C337" s="212">
        <f t="shared" si="34"/>
        <v>0</v>
      </c>
      <c r="D337" s="212">
        <f t="shared" si="30"/>
        <v>0</v>
      </c>
      <c r="E337" s="212">
        <f t="shared" si="31"/>
        <v>0</v>
      </c>
      <c r="F337" s="212">
        <f t="shared" si="32"/>
        <v>0</v>
      </c>
      <c r="G337" s="212">
        <f t="shared" si="33"/>
        <v>0</v>
      </c>
    </row>
    <row r="338" spans="1:7">
      <c r="A338" s="216">
        <f t="shared" si="35"/>
        <v>331</v>
      </c>
      <c r="B338" s="217">
        <f>B337+31</f>
        <v>56280</v>
      </c>
      <c r="C338" s="212">
        <f t="shared" si="34"/>
        <v>0</v>
      </c>
      <c r="D338" s="212">
        <f t="shared" si="30"/>
        <v>0</v>
      </c>
      <c r="E338" s="212">
        <f t="shared" si="31"/>
        <v>0</v>
      </c>
      <c r="F338" s="212">
        <f t="shared" si="32"/>
        <v>0</v>
      </c>
      <c r="G338" s="212">
        <f t="shared" si="33"/>
        <v>0</v>
      </c>
    </row>
    <row r="339" spans="1:7">
      <c r="A339" s="216">
        <f t="shared" si="35"/>
        <v>332</v>
      </c>
      <c r="B339" s="217">
        <f>B338+30</f>
        <v>56310</v>
      </c>
      <c r="C339" s="212">
        <f t="shared" si="34"/>
        <v>0</v>
      </c>
      <c r="D339" s="212">
        <f t="shared" si="30"/>
        <v>0</v>
      </c>
      <c r="E339" s="212">
        <f t="shared" si="31"/>
        <v>0</v>
      </c>
      <c r="F339" s="212">
        <f t="shared" si="32"/>
        <v>0</v>
      </c>
      <c r="G339" s="212">
        <f t="shared" si="33"/>
        <v>0</v>
      </c>
    </row>
    <row r="340" spans="1:7">
      <c r="A340" s="216">
        <f t="shared" si="35"/>
        <v>333</v>
      </c>
      <c r="B340" s="217">
        <f>B339+31</f>
        <v>56341</v>
      </c>
      <c r="C340" s="212">
        <f t="shared" si="34"/>
        <v>0</v>
      </c>
      <c r="D340" s="212">
        <f t="shared" si="30"/>
        <v>0</v>
      </c>
      <c r="E340" s="212">
        <f t="shared" si="31"/>
        <v>0</v>
      </c>
      <c r="F340" s="212">
        <f t="shared" si="32"/>
        <v>0</v>
      </c>
      <c r="G340" s="212">
        <f t="shared" si="33"/>
        <v>0</v>
      </c>
    </row>
    <row r="341" spans="1:7">
      <c r="A341" s="216">
        <f t="shared" si="35"/>
        <v>334</v>
      </c>
      <c r="B341" s="217">
        <f>B340+30</f>
        <v>56371</v>
      </c>
      <c r="C341" s="212">
        <f t="shared" si="34"/>
        <v>0</v>
      </c>
      <c r="D341" s="212">
        <f t="shared" si="30"/>
        <v>0</v>
      </c>
      <c r="E341" s="212">
        <f t="shared" si="31"/>
        <v>0</v>
      </c>
      <c r="F341" s="212">
        <f t="shared" si="32"/>
        <v>0</v>
      </c>
      <c r="G341" s="212">
        <f t="shared" si="33"/>
        <v>0</v>
      </c>
    </row>
    <row r="342" spans="1:7">
      <c r="A342" s="216">
        <f t="shared" si="35"/>
        <v>335</v>
      </c>
      <c r="B342" s="217">
        <f>B341+31</f>
        <v>56402</v>
      </c>
      <c r="C342" s="212">
        <f t="shared" si="34"/>
        <v>0</v>
      </c>
      <c r="D342" s="212">
        <f t="shared" si="30"/>
        <v>0</v>
      </c>
      <c r="E342" s="212">
        <f t="shared" si="31"/>
        <v>0</v>
      </c>
      <c r="F342" s="212">
        <f t="shared" si="32"/>
        <v>0</v>
      </c>
      <c r="G342" s="212">
        <f t="shared" si="33"/>
        <v>0</v>
      </c>
    </row>
    <row r="343" spans="1:7">
      <c r="A343" s="216">
        <f t="shared" si="35"/>
        <v>336</v>
      </c>
      <c r="B343" s="217">
        <f>B342+31</f>
        <v>56433</v>
      </c>
      <c r="C343" s="212">
        <f t="shared" si="34"/>
        <v>0</v>
      </c>
      <c r="D343" s="212">
        <f t="shared" si="30"/>
        <v>0</v>
      </c>
      <c r="E343" s="212">
        <f t="shared" si="31"/>
        <v>0</v>
      </c>
      <c r="F343" s="212">
        <f t="shared" si="32"/>
        <v>0</v>
      </c>
      <c r="G343" s="212">
        <f t="shared" si="33"/>
        <v>0</v>
      </c>
    </row>
    <row r="344" spans="1:7">
      <c r="A344" s="216">
        <f t="shared" si="35"/>
        <v>337</v>
      </c>
      <c r="B344" s="217">
        <f>B343+30</f>
        <v>56463</v>
      </c>
      <c r="C344" s="212">
        <f t="shared" si="34"/>
        <v>0</v>
      </c>
      <c r="D344" s="212">
        <f t="shared" si="30"/>
        <v>0</v>
      </c>
      <c r="E344" s="212">
        <f t="shared" si="31"/>
        <v>0</v>
      </c>
      <c r="F344" s="212">
        <f t="shared" si="32"/>
        <v>0</v>
      </c>
      <c r="G344" s="212">
        <f t="shared" si="33"/>
        <v>0</v>
      </c>
    </row>
    <row r="345" spans="1:7">
      <c r="A345" s="216">
        <f t="shared" si="35"/>
        <v>338</v>
      </c>
      <c r="B345" s="217">
        <f>B344+31</f>
        <v>56494</v>
      </c>
      <c r="C345" s="212">
        <f t="shared" si="34"/>
        <v>0</v>
      </c>
      <c r="D345" s="212">
        <f t="shared" si="30"/>
        <v>0</v>
      </c>
      <c r="E345" s="212">
        <f t="shared" si="31"/>
        <v>0</v>
      </c>
      <c r="F345" s="212">
        <f t="shared" si="32"/>
        <v>0</v>
      </c>
      <c r="G345" s="212">
        <f t="shared" si="33"/>
        <v>0</v>
      </c>
    </row>
    <row r="346" spans="1:7">
      <c r="A346" s="216">
        <f t="shared" si="35"/>
        <v>339</v>
      </c>
      <c r="B346" s="217">
        <f>B345+30</f>
        <v>56524</v>
      </c>
      <c r="C346" s="212">
        <f t="shared" si="34"/>
        <v>0</v>
      </c>
      <c r="D346" s="212">
        <f t="shared" si="30"/>
        <v>0</v>
      </c>
      <c r="E346" s="212">
        <f t="shared" si="31"/>
        <v>0</v>
      </c>
      <c r="F346" s="212">
        <f t="shared" si="32"/>
        <v>0</v>
      </c>
      <c r="G346" s="212">
        <f t="shared" si="33"/>
        <v>0</v>
      </c>
    </row>
    <row r="347" spans="1:7">
      <c r="A347" s="216">
        <f t="shared" si="35"/>
        <v>340</v>
      </c>
      <c r="B347" s="217">
        <f>B346+31</f>
        <v>56555</v>
      </c>
      <c r="C347" s="212">
        <f t="shared" si="34"/>
        <v>0</v>
      </c>
      <c r="D347" s="212">
        <f t="shared" si="30"/>
        <v>0</v>
      </c>
      <c r="E347" s="212">
        <f t="shared" si="31"/>
        <v>0</v>
      </c>
      <c r="F347" s="212">
        <f t="shared" si="32"/>
        <v>0</v>
      </c>
      <c r="G347" s="212">
        <f t="shared" si="33"/>
        <v>0</v>
      </c>
    </row>
    <row r="348" spans="1:7">
      <c r="A348" s="216">
        <f t="shared" si="35"/>
        <v>341</v>
      </c>
      <c r="B348" s="217">
        <f>B347+31</f>
        <v>56586</v>
      </c>
      <c r="C348" s="212">
        <f t="shared" si="34"/>
        <v>0</v>
      </c>
      <c r="D348" s="212">
        <f t="shared" si="30"/>
        <v>0</v>
      </c>
      <c r="E348" s="212">
        <f t="shared" si="31"/>
        <v>0</v>
      </c>
      <c r="F348" s="212">
        <f t="shared" si="32"/>
        <v>0</v>
      </c>
      <c r="G348" s="212">
        <f t="shared" si="33"/>
        <v>0</v>
      </c>
    </row>
    <row r="349" spans="1:7">
      <c r="A349" s="216">
        <f t="shared" si="35"/>
        <v>342</v>
      </c>
      <c r="B349" s="217">
        <f>B348+28</f>
        <v>56614</v>
      </c>
      <c r="C349" s="212">
        <f t="shared" si="34"/>
        <v>0</v>
      </c>
      <c r="D349" s="212">
        <f t="shared" si="30"/>
        <v>0</v>
      </c>
      <c r="E349" s="212">
        <f t="shared" si="31"/>
        <v>0</v>
      </c>
      <c r="F349" s="212">
        <f t="shared" si="32"/>
        <v>0</v>
      </c>
      <c r="G349" s="212">
        <f t="shared" si="33"/>
        <v>0</v>
      </c>
    </row>
    <row r="350" spans="1:7">
      <c r="A350" s="216">
        <f t="shared" si="35"/>
        <v>343</v>
      </c>
      <c r="B350" s="217">
        <f>B349+31</f>
        <v>56645</v>
      </c>
      <c r="C350" s="212">
        <f t="shared" si="34"/>
        <v>0</v>
      </c>
      <c r="D350" s="212">
        <f t="shared" si="30"/>
        <v>0</v>
      </c>
      <c r="E350" s="212">
        <f t="shared" si="31"/>
        <v>0</v>
      </c>
      <c r="F350" s="212">
        <f t="shared" si="32"/>
        <v>0</v>
      </c>
      <c r="G350" s="212">
        <f t="shared" si="33"/>
        <v>0</v>
      </c>
    </row>
    <row r="351" spans="1:7">
      <c r="A351" s="216">
        <f t="shared" si="35"/>
        <v>344</v>
      </c>
      <c r="B351" s="217">
        <f>B350+30</f>
        <v>56675</v>
      </c>
      <c r="C351" s="212">
        <f t="shared" si="34"/>
        <v>0</v>
      </c>
      <c r="D351" s="212">
        <f t="shared" si="30"/>
        <v>0</v>
      </c>
      <c r="E351" s="212">
        <f t="shared" si="31"/>
        <v>0</v>
      </c>
      <c r="F351" s="212">
        <f t="shared" si="32"/>
        <v>0</v>
      </c>
      <c r="G351" s="212">
        <f t="shared" si="33"/>
        <v>0</v>
      </c>
    </row>
    <row r="352" spans="1:7">
      <c r="A352" s="216">
        <f t="shared" si="35"/>
        <v>345</v>
      </c>
      <c r="B352" s="217">
        <f>B351+31</f>
        <v>56706</v>
      </c>
      <c r="C352" s="212">
        <f t="shared" si="34"/>
        <v>0</v>
      </c>
      <c r="D352" s="212">
        <f t="shared" si="30"/>
        <v>0</v>
      </c>
      <c r="E352" s="212">
        <f t="shared" si="31"/>
        <v>0</v>
      </c>
      <c r="F352" s="212">
        <f t="shared" si="32"/>
        <v>0</v>
      </c>
      <c r="G352" s="212">
        <f t="shared" si="33"/>
        <v>0</v>
      </c>
    </row>
    <row r="353" spans="1:7">
      <c r="A353" s="216">
        <f t="shared" si="35"/>
        <v>346</v>
      </c>
      <c r="B353" s="217">
        <f>B352+30</f>
        <v>56736</v>
      </c>
      <c r="C353" s="212">
        <f t="shared" si="34"/>
        <v>0</v>
      </c>
      <c r="D353" s="212">
        <f t="shared" si="30"/>
        <v>0</v>
      </c>
      <c r="E353" s="212">
        <f t="shared" si="31"/>
        <v>0</v>
      </c>
      <c r="F353" s="212">
        <f t="shared" si="32"/>
        <v>0</v>
      </c>
      <c r="G353" s="212">
        <f t="shared" si="33"/>
        <v>0</v>
      </c>
    </row>
    <row r="354" spans="1:7">
      <c r="A354" s="216">
        <f t="shared" si="35"/>
        <v>347</v>
      </c>
      <c r="B354" s="217">
        <f>B353+31</f>
        <v>56767</v>
      </c>
      <c r="C354" s="212">
        <f t="shared" si="34"/>
        <v>0</v>
      </c>
      <c r="D354" s="212">
        <f t="shared" si="30"/>
        <v>0</v>
      </c>
      <c r="E354" s="212">
        <f t="shared" si="31"/>
        <v>0</v>
      </c>
      <c r="F354" s="212">
        <f t="shared" si="32"/>
        <v>0</v>
      </c>
      <c r="G354" s="212">
        <f t="shared" si="33"/>
        <v>0</v>
      </c>
    </row>
    <row r="355" spans="1:7">
      <c r="A355" s="216">
        <f t="shared" si="35"/>
        <v>348</v>
      </c>
      <c r="B355" s="217">
        <f>B354+31</f>
        <v>56798</v>
      </c>
      <c r="C355" s="212">
        <f t="shared" si="34"/>
        <v>0</v>
      </c>
      <c r="D355" s="212">
        <f t="shared" si="30"/>
        <v>0</v>
      </c>
      <c r="E355" s="212">
        <f t="shared" si="31"/>
        <v>0</v>
      </c>
      <c r="F355" s="212">
        <f t="shared" si="32"/>
        <v>0</v>
      </c>
      <c r="G355" s="212">
        <f t="shared" si="33"/>
        <v>0</v>
      </c>
    </row>
    <row r="356" spans="1:7">
      <c r="A356" s="216">
        <f t="shared" si="35"/>
        <v>349</v>
      </c>
      <c r="B356" s="217">
        <f>B355+30</f>
        <v>56828</v>
      </c>
      <c r="C356" s="212">
        <f t="shared" si="34"/>
        <v>0</v>
      </c>
      <c r="D356" s="212">
        <f t="shared" si="30"/>
        <v>0</v>
      </c>
      <c r="E356" s="212">
        <f t="shared" si="31"/>
        <v>0</v>
      </c>
      <c r="F356" s="212">
        <f t="shared" si="32"/>
        <v>0</v>
      </c>
      <c r="G356" s="212">
        <f t="shared" si="33"/>
        <v>0</v>
      </c>
    </row>
    <row r="357" spans="1:7">
      <c r="A357" s="216">
        <f t="shared" si="35"/>
        <v>350</v>
      </c>
      <c r="B357" s="217">
        <f>B356+31</f>
        <v>56859</v>
      </c>
      <c r="C357" s="212">
        <f t="shared" si="34"/>
        <v>0</v>
      </c>
      <c r="D357" s="212">
        <f t="shared" si="30"/>
        <v>0</v>
      </c>
      <c r="E357" s="212">
        <f t="shared" si="31"/>
        <v>0</v>
      </c>
      <c r="F357" s="212">
        <f t="shared" si="32"/>
        <v>0</v>
      </c>
      <c r="G357" s="212">
        <f t="shared" si="33"/>
        <v>0</v>
      </c>
    </row>
    <row r="358" spans="1:7">
      <c r="A358" s="216">
        <f t="shared" si="35"/>
        <v>351</v>
      </c>
      <c r="B358" s="217">
        <f>B357+30</f>
        <v>56889</v>
      </c>
      <c r="C358" s="212">
        <f t="shared" si="34"/>
        <v>0</v>
      </c>
      <c r="D358" s="212">
        <f t="shared" si="30"/>
        <v>0</v>
      </c>
      <c r="E358" s="212">
        <f t="shared" si="31"/>
        <v>0</v>
      </c>
      <c r="F358" s="212">
        <f t="shared" si="32"/>
        <v>0</v>
      </c>
      <c r="G358" s="212">
        <f t="shared" si="33"/>
        <v>0</v>
      </c>
    </row>
    <row r="359" spans="1:7">
      <c r="A359" s="216">
        <f t="shared" si="35"/>
        <v>352</v>
      </c>
      <c r="B359" s="217">
        <f>B358+31</f>
        <v>56920</v>
      </c>
      <c r="C359" s="212">
        <f t="shared" si="34"/>
        <v>0</v>
      </c>
      <c r="D359" s="212">
        <f t="shared" si="30"/>
        <v>0</v>
      </c>
      <c r="E359" s="212">
        <f t="shared" si="31"/>
        <v>0</v>
      </c>
      <c r="F359" s="212">
        <f t="shared" si="32"/>
        <v>0</v>
      </c>
      <c r="G359" s="212">
        <f t="shared" si="33"/>
        <v>0</v>
      </c>
    </row>
    <row r="360" spans="1:7">
      <c r="A360" s="216">
        <f t="shared" si="35"/>
        <v>353</v>
      </c>
      <c r="B360" s="217">
        <f>B359+31</f>
        <v>56951</v>
      </c>
      <c r="C360" s="212">
        <f t="shared" si="34"/>
        <v>0</v>
      </c>
      <c r="D360" s="212">
        <f t="shared" si="30"/>
        <v>0</v>
      </c>
      <c r="E360" s="212">
        <f t="shared" si="31"/>
        <v>0</v>
      </c>
      <c r="F360" s="212">
        <f t="shared" si="32"/>
        <v>0</v>
      </c>
      <c r="G360" s="212">
        <f t="shared" si="33"/>
        <v>0</v>
      </c>
    </row>
    <row r="361" spans="1:7">
      <c r="A361" s="216">
        <f t="shared" si="35"/>
        <v>354</v>
      </c>
      <c r="B361" s="217">
        <f>B360+28</f>
        <v>56979</v>
      </c>
      <c r="C361" s="212">
        <f t="shared" si="34"/>
        <v>0</v>
      </c>
      <c r="D361" s="212">
        <f t="shared" si="30"/>
        <v>0</v>
      </c>
      <c r="E361" s="212">
        <f t="shared" si="31"/>
        <v>0</v>
      </c>
      <c r="F361" s="212">
        <f t="shared" si="32"/>
        <v>0</v>
      </c>
      <c r="G361" s="212">
        <f t="shared" si="33"/>
        <v>0</v>
      </c>
    </row>
    <row r="362" spans="1:7">
      <c r="A362" s="216">
        <f t="shared" si="35"/>
        <v>355</v>
      </c>
      <c r="B362" s="217">
        <f>B361+31</f>
        <v>57010</v>
      </c>
      <c r="C362" s="212">
        <f t="shared" si="34"/>
        <v>0</v>
      </c>
      <c r="D362" s="212">
        <f t="shared" si="30"/>
        <v>0</v>
      </c>
      <c r="E362" s="212">
        <f t="shared" si="31"/>
        <v>0</v>
      </c>
      <c r="F362" s="212">
        <f t="shared" si="32"/>
        <v>0</v>
      </c>
      <c r="G362" s="212">
        <f t="shared" si="33"/>
        <v>0</v>
      </c>
    </row>
    <row r="363" spans="1:7">
      <c r="A363" s="216">
        <f t="shared" si="35"/>
        <v>356</v>
      </c>
      <c r="B363" s="217">
        <f>B362+30</f>
        <v>57040</v>
      </c>
      <c r="C363" s="212">
        <f t="shared" si="34"/>
        <v>0</v>
      </c>
      <c r="D363" s="212">
        <f t="shared" si="30"/>
        <v>0</v>
      </c>
      <c r="E363" s="212">
        <f t="shared" si="31"/>
        <v>0</v>
      </c>
      <c r="F363" s="212">
        <f t="shared" si="32"/>
        <v>0</v>
      </c>
      <c r="G363" s="212">
        <f t="shared" si="33"/>
        <v>0</v>
      </c>
    </row>
    <row r="364" spans="1:7">
      <c r="A364" s="216">
        <f t="shared" si="35"/>
        <v>357</v>
      </c>
      <c r="B364" s="217">
        <f>B363+31</f>
        <v>57071</v>
      </c>
      <c r="C364" s="212">
        <f t="shared" si="34"/>
        <v>0</v>
      </c>
      <c r="D364" s="212">
        <f t="shared" si="30"/>
        <v>0</v>
      </c>
      <c r="E364" s="212">
        <f t="shared" si="31"/>
        <v>0</v>
      </c>
      <c r="F364" s="212">
        <f t="shared" si="32"/>
        <v>0</v>
      </c>
      <c r="G364" s="212">
        <f t="shared" si="33"/>
        <v>0</v>
      </c>
    </row>
    <row r="365" spans="1:7">
      <c r="A365" s="216">
        <f t="shared" si="35"/>
        <v>358</v>
      </c>
      <c r="B365" s="217">
        <f>B364+30</f>
        <v>57101</v>
      </c>
      <c r="C365" s="212">
        <f t="shared" si="34"/>
        <v>0</v>
      </c>
      <c r="D365" s="212">
        <f t="shared" si="30"/>
        <v>0</v>
      </c>
      <c r="E365" s="212">
        <f t="shared" si="31"/>
        <v>0</v>
      </c>
      <c r="F365" s="212">
        <f t="shared" si="32"/>
        <v>0</v>
      </c>
      <c r="G365" s="212">
        <f t="shared" si="33"/>
        <v>0</v>
      </c>
    </row>
    <row r="366" spans="1:7">
      <c r="A366" s="216">
        <f t="shared" si="35"/>
        <v>359</v>
      </c>
      <c r="B366" s="217">
        <f>B365+31</f>
        <v>57132</v>
      </c>
      <c r="C366" s="212">
        <f t="shared" si="34"/>
        <v>0</v>
      </c>
      <c r="D366" s="212">
        <f t="shared" si="30"/>
        <v>0</v>
      </c>
      <c r="E366" s="212">
        <f t="shared" si="31"/>
        <v>0</v>
      </c>
      <c r="F366" s="212">
        <f t="shared" si="32"/>
        <v>0</v>
      </c>
      <c r="G366" s="212">
        <f t="shared" si="33"/>
        <v>0</v>
      </c>
    </row>
    <row r="367" spans="1:7" ht="14" thickBot="1">
      <c r="A367" s="219">
        <f t="shared" si="35"/>
        <v>360</v>
      </c>
      <c r="B367" s="220">
        <f>B366+31</f>
        <v>57163</v>
      </c>
      <c r="C367" s="221">
        <f t="shared" si="34"/>
        <v>0</v>
      </c>
      <c r="D367" s="221">
        <f t="shared" si="30"/>
        <v>0</v>
      </c>
      <c r="E367" s="221">
        <f t="shared" si="31"/>
        <v>0</v>
      </c>
      <c r="F367" s="221">
        <f t="shared" si="32"/>
        <v>0</v>
      </c>
      <c r="G367" s="221">
        <f t="shared" si="33"/>
        <v>0</v>
      </c>
    </row>
    <row r="368" spans="1:7">
      <c r="B368" s="222"/>
    </row>
    <row r="369" spans="2:2">
      <c r="B369" s="222"/>
    </row>
    <row r="370" spans="2:2">
      <c r="B370" s="222"/>
    </row>
    <row r="371" spans="2:2">
      <c r="B371" s="222"/>
    </row>
    <row r="372" spans="2:2">
      <c r="B372" s="222"/>
    </row>
    <row r="373" spans="2:2">
      <c r="B373" s="222"/>
    </row>
    <row r="374" spans="2:2">
      <c r="B374" s="222"/>
    </row>
    <row r="375" spans="2:2">
      <c r="B375" s="222"/>
    </row>
    <row r="376" spans="2:2">
      <c r="B376" s="222"/>
    </row>
    <row r="377" spans="2:2">
      <c r="B377" s="222"/>
    </row>
    <row r="378" spans="2:2">
      <c r="B378" s="222"/>
    </row>
    <row r="379" spans="2:2">
      <c r="B379" s="222"/>
    </row>
    <row r="380" spans="2:2">
      <c r="B380" s="222"/>
    </row>
    <row r="381" spans="2:2">
      <c r="B381" s="222"/>
    </row>
    <row r="382" spans="2:2">
      <c r="B382" s="222"/>
    </row>
    <row r="383" spans="2:2">
      <c r="B383" s="222"/>
    </row>
    <row r="384" spans="2:2">
      <c r="B384" s="222"/>
    </row>
    <row r="385" spans="2:2">
      <c r="B385" s="222"/>
    </row>
    <row r="386" spans="2:2">
      <c r="B386" s="222"/>
    </row>
    <row r="387" spans="2:2">
      <c r="B387" s="222"/>
    </row>
    <row r="388" spans="2:2">
      <c r="B388" s="222"/>
    </row>
    <row r="389" spans="2:2">
      <c r="B389" s="222"/>
    </row>
    <row r="390" spans="2:2">
      <c r="B390" s="222"/>
    </row>
    <row r="391" spans="2:2">
      <c r="B391" s="222"/>
    </row>
    <row r="392" spans="2:2">
      <c r="B392" s="222"/>
    </row>
    <row r="393" spans="2:2">
      <c r="B393" s="222"/>
    </row>
    <row r="394" spans="2:2">
      <c r="B394" s="222"/>
    </row>
    <row r="395" spans="2:2">
      <c r="B395" s="222"/>
    </row>
    <row r="396" spans="2:2">
      <c r="B396" s="222"/>
    </row>
    <row r="397" spans="2:2">
      <c r="B397" s="222"/>
    </row>
    <row r="398" spans="2:2">
      <c r="B398" s="222"/>
    </row>
    <row r="399" spans="2:2">
      <c r="B399" s="222"/>
    </row>
    <row r="400" spans="2:2">
      <c r="B400" s="222"/>
    </row>
    <row r="401" spans="2:2">
      <c r="B401" s="222"/>
    </row>
    <row r="402" spans="2:2">
      <c r="B402" s="222"/>
    </row>
    <row r="403" spans="2:2">
      <c r="B403" s="222"/>
    </row>
    <row r="404" spans="2:2">
      <c r="B404" s="222"/>
    </row>
    <row r="405" spans="2:2">
      <c r="B405" s="222"/>
    </row>
    <row r="406" spans="2:2">
      <c r="B406" s="222"/>
    </row>
    <row r="407" spans="2:2">
      <c r="B407" s="222"/>
    </row>
    <row r="408" spans="2:2">
      <c r="B408" s="222"/>
    </row>
    <row r="409" spans="2:2">
      <c r="B409" s="222"/>
    </row>
    <row r="410" spans="2:2">
      <c r="B410" s="222"/>
    </row>
    <row r="411" spans="2:2">
      <c r="B411" s="222"/>
    </row>
    <row r="412" spans="2:2">
      <c r="B412" s="222"/>
    </row>
    <row r="413" spans="2:2">
      <c r="B413" s="222"/>
    </row>
    <row r="414" spans="2:2">
      <c r="B414" s="222"/>
    </row>
    <row r="415" spans="2:2">
      <c r="B415" s="222"/>
    </row>
    <row r="416" spans="2:2">
      <c r="B416" s="222"/>
    </row>
    <row r="417" spans="2:2">
      <c r="B417" s="222"/>
    </row>
    <row r="418" spans="2:2">
      <c r="B418" s="222"/>
    </row>
    <row r="419" spans="2:2">
      <c r="B419" s="222"/>
    </row>
    <row r="420" spans="2:2">
      <c r="B420" s="222"/>
    </row>
    <row r="421" spans="2:2">
      <c r="B421" s="222"/>
    </row>
    <row r="422" spans="2:2">
      <c r="B422" s="222"/>
    </row>
    <row r="423" spans="2:2">
      <c r="B423" s="222"/>
    </row>
    <row r="424" spans="2:2">
      <c r="B424" s="222"/>
    </row>
    <row r="425" spans="2:2">
      <c r="B425" s="222"/>
    </row>
    <row r="426" spans="2:2">
      <c r="B426" s="222"/>
    </row>
    <row r="427" spans="2:2">
      <c r="B427" s="222"/>
    </row>
    <row r="428" spans="2:2">
      <c r="B428" s="222"/>
    </row>
    <row r="429" spans="2:2">
      <c r="B429" s="222"/>
    </row>
    <row r="430" spans="2:2">
      <c r="B430" s="222"/>
    </row>
    <row r="431" spans="2:2">
      <c r="B431" s="222"/>
    </row>
    <row r="432" spans="2:2">
      <c r="B432" s="222"/>
    </row>
    <row r="433" spans="2:2">
      <c r="B433" s="222"/>
    </row>
    <row r="434" spans="2:2">
      <c r="B434" s="222"/>
    </row>
    <row r="435" spans="2:2">
      <c r="B435" s="222"/>
    </row>
    <row r="436" spans="2:2">
      <c r="B436" s="222"/>
    </row>
    <row r="437" spans="2:2">
      <c r="B437" s="222"/>
    </row>
    <row r="438" spans="2:2">
      <c r="B438" s="222"/>
    </row>
    <row r="439" spans="2:2">
      <c r="B439" s="222"/>
    </row>
    <row r="440" spans="2:2">
      <c r="B440" s="222"/>
    </row>
    <row r="441" spans="2:2">
      <c r="B441" s="222"/>
    </row>
    <row r="442" spans="2:2">
      <c r="B442" s="222"/>
    </row>
    <row r="443" spans="2:2">
      <c r="B443" s="222"/>
    </row>
    <row r="444" spans="2:2">
      <c r="B444" s="222"/>
    </row>
    <row r="445" spans="2:2">
      <c r="B445" s="222"/>
    </row>
    <row r="446" spans="2:2">
      <c r="B446" s="222"/>
    </row>
    <row r="447" spans="2:2">
      <c r="B447" s="222"/>
    </row>
    <row r="448" spans="2:2">
      <c r="B448" s="222"/>
    </row>
    <row r="449" spans="2:2">
      <c r="B449" s="222"/>
    </row>
    <row r="450" spans="2:2">
      <c r="B450" s="222"/>
    </row>
    <row r="451" spans="2:2">
      <c r="B451" s="222"/>
    </row>
    <row r="452" spans="2:2">
      <c r="B452" s="222"/>
    </row>
    <row r="453" spans="2:2">
      <c r="B453" s="222"/>
    </row>
    <row r="454" spans="2:2">
      <c r="B454" s="222"/>
    </row>
    <row r="455" spans="2:2">
      <c r="B455" s="222"/>
    </row>
    <row r="456" spans="2:2">
      <c r="B456" s="222"/>
    </row>
    <row r="457" spans="2:2">
      <c r="B457" s="222"/>
    </row>
    <row r="458" spans="2:2">
      <c r="B458" s="222"/>
    </row>
    <row r="459" spans="2:2">
      <c r="B459" s="222"/>
    </row>
    <row r="460" spans="2:2">
      <c r="B460" s="222"/>
    </row>
    <row r="461" spans="2:2">
      <c r="B461" s="222"/>
    </row>
    <row r="462" spans="2:2">
      <c r="B462" s="222"/>
    </row>
    <row r="463" spans="2:2">
      <c r="B463" s="222"/>
    </row>
    <row r="464" spans="2:2">
      <c r="B464" s="222"/>
    </row>
    <row r="465" spans="2:2">
      <c r="B465" s="222"/>
    </row>
    <row r="466" spans="2:2">
      <c r="B466" s="222"/>
    </row>
    <row r="467" spans="2:2">
      <c r="B467" s="222"/>
    </row>
    <row r="468" spans="2:2">
      <c r="B468" s="222"/>
    </row>
    <row r="469" spans="2:2">
      <c r="B469" s="222"/>
    </row>
    <row r="470" spans="2:2">
      <c r="B470" s="222"/>
    </row>
    <row r="471" spans="2:2">
      <c r="B471" s="222"/>
    </row>
    <row r="472" spans="2:2">
      <c r="B472" s="222"/>
    </row>
    <row r="473" spans="2:2">
      <c r="B473" s="222"/>
    </row>
    <row r="474" spans="2:2">
      <c r="B474" s="222"/>
    </row>
    <row r="475" spans="2:2">
      <c r="B475" s="222"/>
    </row>
    <row r="476" spans="2:2">
      <c r="B476" s="222"/>
    </row>
    <row r="477" spans="2:2">
      <c r="B477" s="222"/>
    </row>
    <row r="478" spans="2:2">
      <c r="B478" s="222"/>
    </row>
    <row r="479" spans="2:2">
      <c r="B479" s="222"/>
    </row>
    <row r="480" spans="2:2">
      <c r="B480" s="222"/>
    </row>
    <row r="481" spans="2:2">
      <c r="B481" s="222"/>
    </row>
    <row r="482" spans="2:2">
      <c r="B482" s="222"/>
    </row>
    <row r="483" spans="2:2">
      <c r="B483" s="222"/>
    </row>
    <row r="484" spans="2:2">
      <c r="B484" s="222"/>
    </row>
    <row r="485" spans="2:2">
      <c r="B485" s="222"/>
    </row>
    <row r="486" spans="2:2">
      <c r="B486" s="222"/>
    </row>
    <row r="487" spans="2:2">
      <c r="B487" s="222"/>
    </row>
    <row r="488" spans="2:2">
      <c r="B488" s="222"/>
    </row>
    <row r="489" spans="2:2">
      <c r="B489" s="222"/>
    </row>
    <row r="490" spans="2:2">
      <c r="B490" s="222"/>
    </row>
    <row r="491" spans="2:2">
      <c r="B491" s="222"/>
    </row>
    <row r="492" spans="2:2">
      <c r="B492" s="222"/>
    </row>
    <row r="493" spans="2:2">
      <c r="B493" s="222"/>
    </row>
    <row r="494" spans="2:2">
      <c r="B494" s="222"/>
    </row>
    <row r="495" spans="2:2">
      <c r="B495" s="222"/>
    </row>
    <row r="496" spans="2:2">
      <c r="B496" s="222"/>
    </row>
    <row r="497" spans="2:2">
      <c r="B497" s="222"/>
    </row>
    <row r="498" spans="2:2">
      <c r="B498" s="222"/>
    </row>
    <row r="499" spans="2:2">
      <c r="B499" s="222"/>
    </row>
  </sheetData>
  <printOptions gridLines="1" gridLinesSet="0"/>
  <pageMargins left="0.75" right="0.75" top="1" bottom="1" header="0.5" footer="0.5"/>
  <pageSetup orientation="portrait" horizontalDpi="4294967292" verticalDpi="300"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B43B4-5AD4-FA48-AAFA-838616834E03}">
  <dimension ref="A4:I166"/>
  <sheetViews>
    <sheetView topLeftCell="A3" zoomScale="90" zoomScaleNormal="90" workbookViewId="0">
      <selection activeCell="O34" sqref="O34"/>
    </sheetView>
  </sheetViews>
  <sheetFormatPr baseColWidth="10" defaultColWidth="8.83203125" defaultRowHeight="15"/>
  <cols>
    <col min="1" max="1" width="6.6640625" customWidth="1"/>
    <col min="2" max="2" width="7.6640625" customWidth="1"/>
    <col min="3" max="3" width="9.33203125" customWidth="1"/>
    <col min="4" max="4" width="14.6640625" customWidth="1"/>
    <col min="5" max="9" width="8.5" customWidth="1"/>
    <col min="10" max="10" width="9.33203125" customWidth="1"/>
  </cols>
  <sheetData>
    <row r="4" spans="1:9">
      <c r="D4" s="118" t="s">
        <v>353</v>
      </c>
    </row>
    <row r="5" spans="1:9">
      <c r="A5">
        <v>77002</v>
      </c>
      <c r="B5" t="s">
        <v>248</v>
      </c>
      <c r="D5" s="100" t="s">
        <v>249</v>
      </c>
      <c r="E5" s="100" t="s">
        <v>248</v>
      </c>
      <c r="F5" s="100" t="s">
        <v>250</v>
      </c>
      <c r="G5" s="100" t="s">
        <v>233</v>
      </c>
      <c r="H5" s="100" t="s">
        <v>251</v>
      </c>
      <c r="I5" s="100" t="s">
        <v>252</v>
      </c>
    </row>
    <row r="6" spans="1:9">
      <c r="A6">
        <v>77005</v>
      </c>
      <c r="B6" t="s">
        <v>248</v>
      </c>
      <c r="D6" t="s">
        <v>253</v>
      </c>
      <c r="E6" s="101">
        <v>1994</v>
      </c>
      <c r="F6" s="101">
        <v>1739</v>
      </c>
      <c r="G6" s="101">
        <v>1449</v>
      </c>
      <c r="H6" s="101">
        <v>1242</v>
      </c>
      <c r="I6" s="101">
        <v>1063</v>
      </c>
    </row>
    <row r="7" spans="1:9">
      <c r="A7">
        <v>77006</v>
      </c>
      <c r="B7" t="s">
        <v>248</v>
      </c>
      <c r="D7" t="s">
        <v>19</v>
      </c>
      <c r="E7" s="101">
        <v>2118</v>
      </c>
      <c r="F7" s="101">
        <v>1849</v>
      </c>
      <c r="G7" s="101">
        <v>1532</v>
      </c>
      <c r="H7" s="101">
        <v>1325</v>
      </c>
      <c r="I7" s="101">
        <v>1180</v>
      </c>
    </row>
    <row r="8" spans="1:9">
      <c r="A8">
        <v>77007</v>
      </c>
      <c r="B8" t="s">
        <v>248</v>
      </c>
      <c r="D8" t="s">
        <v>20</v>
      </c>
      <c r="E8" s="101">
        <v>2532</v>
      </c>
      <c r="F8" s="101">
        <v>2208</v>
      </c>
      <c r="G8" s="101">
        <v>1835</v>
      </c>
      <c r="H8" s="101">
        <v>1587</v>
      </c>
      <c r="I8" s="101">
        <v>1408</v>
      </c>
    </row>
    <row r="9" spans="1:9">
      <c r="A9">
        <v>77008</v>
      </c>
      <c r="B9" t="s">
        <v>248</v>
      </c>
      <c r="D9" t="s">
        <v>129</v>
      </c>
      <c r="E9" s="101">
        <v>3333</v>
      </c>
      <c r="F9" s="101">
        <v>2912</v>
      </c>
      <c r="G9" s="101">
        <v>2429</v>
      </c>
      <c r="H9" s="101">
        <v>2084</v>
      </c>
      <c r="I9" s="101">
        <v>1849</v>
      </c>
    </row>
    <row r="10" spans="1:9">
      <c r="A10">
        <v>77010</v>
      </c>
      <c r="B10" t="s">
        <v>248</v>
      </c>
      <c r="D10" t="s">
        <v>254</v>
      </c>
      <c r="E10" s="101">
        <v>4313</v>
      </c>
      <c r="F10" s="101">
        <v>3767</v>
      </c>
      <c r="G10" s="101">
        <v>3133</v>
      </c>
      <c r="H10" s="101">
        <v>2705</v>
      </c>
      <c r="I10" s="101">
        <v>2401</v>
      </c>
    </row>
    <row r="11" spans="1:9">
      <c r="A11">
        <v>77019</v>
      </c>
      <c r="B11" t="s">
        <v>248</v>
      </c>
      <c r="D11" s="145"/>
      <c r="E11" s="101"/>
      <c r="F11" s="101"/>
      <c r="G11" s="101"/>
      <c r="H11" s="101"/>
      <c r="I11" s="101"/>
    </row>
    <row r="12" spans="1:9">
      <c r="A12">
        <v>77024</v>
      </c>
      <c r="B12" t="s">
        <v>248</v>
      </c>
      <c r="E12" s="101"/>
      <c r="F12" s="101"/>
      <c r="G12" s="101"/>
      <c r="H12" s="101"/>
      <c r="I12" s="101"/>
    </row>
    <row r="13" spans="1:9">
      <c r="A13">
        <v>77027</v>
      </c>
      <c r="B13" t="s">
        <v>248</v>
      </c>
      <c r="E13" s="101"/>
      <c r="F13" s="101"/>
      <c r="G13" s="101"/>
      <c r="H13" s="101"/>
      <c r="I13" s="101"/>
    </row>
    <row r="14" spans="1:9">
      <c r="A14">
        <v>77030</v>
      </c>
      <c r="B14" t="s">
        <v>248</v>
      </c>
      <c r="E14" s="101"/>
      <c r="F14" s="101"/>
      <c r="G14" s="101"/>
      <c r="H14" s="101"/>
      <c r="I14" s="101"/>
    </row>
    <row r="15" spans="1:9">
      <c r="A15">
        <v>77041</v>
      </c>
      <c r="B15" t="s">
        <v>248</v>
      </c>
    </row>
    <row r="16" spans="1:9">
      <c r="A16">
        <v>77046</v>
      </c>
      <c r="B16" t="s">
        <v>248</v>
      </c>
    </row>
    <row r="17" spans="1:5">
      <c r="A17">
        <v>77054</v>
      </c>
      <c r="B17" t="s">
        <v>248</v>
      </c>
    </row>
    <row r="18" spans="1:5">
      <c r="A18">
        <v>77056</v>
      </c>
      <c r="B18" t="s">
        <v>248</v>
      </c>
      <c r="D18" s="118" t="s">
        <v>354</v>
      </c>
    </row>
    <row r="19" spans="1:5">
      <c r="A19">
        <v>77070</v>
      </c>
      <c r="B19" t="s">
        <v>248</v>
      </c>
      <c r="D19" t="s">
        <v>306</v>
      </c>
      <c r="E19" s="208">
        <v>14.34</v>
      </c>
    </row>
    <row r="20" spans="1:5">
      <c r="A20">
        <v>77077</v>
      </c>
      <c r="B20" t="s">
        <v>248</v>
      </c>
      <c r="D20" t="s">
        <v>307</v>
      </c>
      <c r="E20" s="208">
        <v>19.739999999999998</v>
      </c>
    </row>
    <row r="21" spans="1:5">
      <c r="A21">
        <v>77079</v>
      </c>
      <c r="B21" t="s">
        <v>248</v>
      </c>
      <c r="D21" t="s">
        <v>308</v>
      </c>
      <c r="E21" s="208">
        <v>6.94</v>
      </c>
    </row>
    <row r="22" spans="1:5">
      <c r="A22">
        <v>77094</v>
      </c>
      <c r="B22" t="s">
        <v>248</v>
      </c>
      <c r="D22" t="s">
        <v>309</v>
      </c>
      <c r="E22" s="208">
        <v>12.14</v>
      </c>
    </row>
    <row r="23" spans="1:5">
      <c r="A23">
        <v>77098</v>
      </c>
      <c r="B23" t="s">
        <v>248</v>
      </c>
      <c r="D23" s="145"/>
    </row>
    <row r="24" spans="1:5">
      <c r="A24">
        <v>77345</v>
      </c>
      <c r="B24" t="s">
        <v>248</v>
      </c>
    </row>
    <row r="25" spans="1:5">
      <c r="A25">
        <v>77346</v>
      </c>
      <c r="B25" t="s">
        <v>248</v>
      </c>
    </row>
    <row r="26" spans="1:5">
      <c r="A26">
        <v>77377</v>
      </c>
      <c r="B26" t="s">
        <v>248</v>
      </c>
    </row>
    <row r="27" spans="1:5">
      <c r="A27">
        <v>77380</v>
      </c>
      <c r="B27" t="s">
        <v>248</v>
      </c>
    </row>
    <row r="28" spans="1:5">
      <c r="A28">
        <v>77386</v>
      </c>
      <c r="B28" t="s">
        <v>248</v>
      </c>
    </row>
    <row r="29" spans="1:5">
      <c r="A29">
        <v>77388</v>
      </c>
      <c r="B29" t="s">
        <v>248</v>
      </c>
    </row>
    <row r="30" spans="1:5">
      <c r="A30">
        <v>77389</v>
      </c>
      <c r="B30" t="s">
        <v>248</v>
      </c>
    </row>
    <row r="31" spans="1:5">
      <c r="A31">
        <v>77401</v>
      </c>
      <c r="B31" t="s">
        <v>248</v>
      </c>
    </row>
    <row r="32" spans="1:5">
      <c r="A32">
        <v>77407</v>
      </c>
      <c r="B32" t="s">
        <v>248</v>
      </c>
    </row>
    <row r="33" spans="1:2">
      <c r="A33">
        <v>77429</v>
      </c>
      <c r="B33" t="s">
        <v>248</v>
      </c>
    </row>
    <row r="34" spans="1:2">
      <c r="A34">
        <v>77433</v>
      </c>
      <c r="B34" t="s">
        <v>248</v>
      </c>
    </row>
    <row r="35" spans="1:2">
      <c r="A35">
        <v>77059</v>
      </c>
      <c r="B35" t="s">
        <v>248</v>
      </c>
    </row>
    <row r="36" spans="1:2">
      <c r="A36">
        <v>77362</v>
      </c>
      <c r="B36" t="s">
        <v>248</v>
      </c>
    </row>
    <row r="37" spans="1:2">
      <c r="A37">
        <v>77381</v>
      </c>
      <c r="B37" t="s">
        <v>248</v>
      </c>
    </row>
    <row r="38" spans="1:2">
      <c r="A38">
        <v>77382</v>
      </c>
      <c r="B38" t="s">
        <v>248</v>
      </c>
    </row>
    <row r="39" spans="1:2">
      <c r="A39">
        <v>77384</v>
      </c>
      <c r="B39" t="s">
        <v>248</v>
      </c>
    </row>
    <row r="40" spans="1:2">
      <c r="A40">
        <v>77406</v>
      </c>
      <c r="B40" t="s">
        <v>248</v>
      </c>
    </row>
    <row r="41" spans="1:2">
      <c r="A41">
        <v>77450</v>
      </c>
      <c r="B41" t="s">
        <v>248</v>
      </c>
    </row>
    <row r="42" spans="1:2">
      <c r="A42">
        <v>77479</v>
      </c>
      <c r="B42" t="s">
        <v>248</v>
      </c>
    </row>
    <row r="43" spans="1:2">
      <c r="A43">
        <v>77489</v>
      </c>
      <c r="B43" t="s">
        <v>248</v>
      </c>
    </row>
    <row r="44" spans="1:2">
      <c r="A44">
        <v>77493</v>
      </c>
      <c r="B44" t="s">
        <v>248</v>
      </c>
    </row>
    <row r="45" spans="1:2">
      <c r="A45">
        <v>77494</v>
      </c>
      <c r="B45" t="s">
        <v>248</v>
      </c>
    </row>
    <row r="46" spans="1:2">
      <c r="A46">
        <v>77498</v>
      </c>
      <c r="B46" t="s">
        <v>248</v>
      </c>
    </row>
    <row r="47" spans="1:2">
      <c r="A47">
        <v>77545</v>
      </c>
      <c r="B47" t="s">
        <v>248</v>
      </c>
    </row>
    <row r="48" spans="1:2">
      <c r="A48">
        <v>77546</v>
      </c>
      <c r="B48" t="s">
        <v>248</v>
      </c>
    </row>
    <row r="49" spans="1:2">
      <c r="A49">
        <v>77573</v>
      </c>
      <c r="B49" t="s">
        <v>248</v>
      </c>
    </row>
    <row r="50" spans="1:2">
      <c r="A50">
        <v>77044</v>
      </c>
      <c r="B50" t="s">
        <v>250</v>
      </c>
    </row>
    <row r="51" spans="1:2">
      <c r="A51">
        <v>77339</v>
      </c>
      <c r="B51" t="s">
        <v>250</v>
      </c>
    </row>
    <row r="52" spans="1:2">
      <c r="A52">
        <v>77379</v>
      </c>
      <c r="B52" t="s">
        <v>250</v>
      </c>
    </row>
    <row r="53" spans="1:2">
      <c r="A53">
        <v>77449</v>
      </c>
      <c r="B53" t="s">
        <v>250</v>
      </c>
    </row>
    <row r="54" spans="1:2">
      <c r="A54">
        <v>77385</v>
      </c>
      <c r="B54" t="s">
        <v>250</v>
      </c>
    </row>
    <row r="55" spans="1:2">
      <c r="A55">
        <v>77477</v>
      </c>
      <c r="B55" t="s">
        <v>250</v>
      </c>
    </row>
    <row r="56" spans="1:2">
      <c r="A56">
        <v>77003</v>
      </c>
      <c r="B56" t="s">
        <v>233</v>
      </c>
    </row>
    <row r="57" spans="1:2">
      <c r="A57">
        <v>77025</v>
      </c>
      <c r="B57" t="s">
        <v>233</v>
      </c>
    </row>
    <row r="58" spans="1:2">
      <c r="A58">
        <v>77042</v>
      </c>
      <c r="B58" t="s">
        <v>233</v>
      </c>
    </row>
    <row r="59" spans="1:2">
      <c r="A59">
        <v>77047</v>
      </c>
      <c r="B59" t="s">
        <v>233</v>
      </c>
    </row>
    <row r="60" spans="1:2">
      <c r="A60">
        <v>77057</v>
      </c>
      <c r="B60" t="s">
        <v>233</v>
      </c>
    </row>
    <row r="61" spans="1:2">
      <c r="A61">
        <v>77062</v>
      </c>
      <c r="B61" t="s">
        <v>233</v>
      </c>
    </row>
    <row r="62" spans="1:2">
      <c r="A62">
        <v>77063</v>
      </c>
      <c r="B62" t="s">
        <v>233</v>
      </c>
    </row>
    <row r="63" spans="1:2">
      <c r="A63">
        <v>77064</v>
      </c>
      <c r="B63" t="s">
        <v>233</v>
      </c>
    </row>
    <row r="64" spans="1:2">
      <c r="A64">
        <v>77065</v>
      </c>
      <c r="B64" t="s">
        <v>233</v>
      </c>
    </row>
    <row r="65" spans="1:2">
      <c r="A65">
        <v>77066</v>
      </c>
      <c r="B65" t="s">
        <v>233</v>
      </c>
    </row>
    <row r="66" spans="1:2">
      <c r="A66">
        <v>77069</v>
      </c>
      <c r="B66" t="s">
        <v>233</v>
      </c>
    </row>
    <row r="67" spans="1:2">
      <c r="A67">
        <v>77082</v>
      </c>
      <c r="B67" t="s">
        <v>233</v>
      </c>
    </row>
    <row r="68" spans="1:2">
      <c r="A68">
        <v>77084</v>
      </c>
      <c r="B68" t="s">
        <v>233</v>
      </c>
    </row>
    <row r="69" spans="1:2">
      <c r="A69">
        <v>77085</v>
      </c>
      <c r="B69" t="s">
        <v>233</v>
      </c>
    </row>
    <row r="70" spans="1:2">
      <c r="A70">
        <v>77089</v>
      </c>
      <c r="B70" t="s">
        <v>233</v>
      </c>
    </row>
    <row r="71" spans="1:2">
      <c r="A71">
        <v>77090</v>
      </c>
      <c r="B71" t="s">
        <v>233</v>
      </c>
    </row>
    <row r="72" spans="1:2">
      <c r="A72">
        <v>77095</v>
      </c>
      <c r="B72" t="s">
        <v>233</v>
      </c>
    </row>
    <row r="73" spans="1:2">
      <c r="A73">
        <v>77354</v>
      </c>
      <c r="B73" t="s">
        <v>233</v>
      </c>
    </row>
    <row r="74" spans="1:2">
      <c r="A74">
        <v>77373</v>
      </c>
      <c r="B74" t="s">
        <v>233</v>
      </c>
    </row>
    <row r="75" spans="1:2">
      <c r="A75">
        <v>77375</v>
      </c>
      <c r="B75" t="s">
        <v>233</v>
      </c>
    </row>
    <row r="76" spans="1:2">
      <c r="A76">
        <v>77396</v>
      </c>
      <c r="B76" t="s">
        <v>233</v>
      </c>
    </row>
    <row r="77" spans="1:2">
      <c r="A77">
        <v>77053</v>
      </c>
      <c r="B77" t="s">
        <v>233</v>
      </c>
    </row>
    <row r="78" spans="1:2">
      <c r="A78">
        <v>77058</v>
      </c>
      <c r="B78" t="s">
        <v>233</v>
      </c>
    </row>
    <row r="79" spans="1:2">
      <c r="A79">
        <v>77355</v>
      </c>
      <c r="B79" t="s">
        <v>233</v>
      </c>
    </row>
    <row r="80" spans="1:2">
      <c r="A80">
        <v>77365</v>
      </c>
      <c r="B80" t="s">
        <v>233</v>
      </c>
    </row>
    <row r="81" spans="1:2">
      <c r="A81">
        <v>77441</v>
      </c>
      <c r="B81" t="s">
        <v>233</v>
      </c>
    </row>
    <row r="82" spans="1:2">
      <c r="A82">
        <v>77447</v>
      </c>
      <c r="B82" t="s">
        <v>233</v>
      </c>
    </row>
    <row r="83" spans="1:2">
      <c r="A83">
        <v>77536</v>
      </c>
      <c r="B83" t="s">
        <v>233</v>
      </c>
    </row>
    <row r="84" spans="1:2">
      <c r="A84">
        <v>77565</v>
      </c>
      <c r="B84" t="s">
        <v>233</v>
      </c>
    </row>
    <row r="85" spans="1:2">
      <c r="A85">
        <v>77586</v>
      </c>
      <c r="B85" t="s">
        <v>233</v>
      </c>
    </row>
    <row r="86" spans="1:2">
      <c r="A86">
        <v>77598</v>
      </c>
      <c r="B86" t="s">
        <v>233</v>
      </c>
    </row>
    <row r="87" spans="1:2">
      <c r="A87">
        <v>77004</v>
      </c>
      <c r="B87" t="s">
        <v>251</v>
      </c>
    </row>
    <row r="88" spans="1:2">
      <c r="A88">
        <v>77009</v>
      </c>
      <c r="B88" t="s">
        <v>251</v>
      </c>
    </row>
    <row r="89" spans="1:2">
      <c r="A89">
        <v>77014</v>
      </c>
      <c r="B89" t="s">
        <v>251</v>
      </c>
    </row>
    <row r="90" spans="1:2">
      <c r="A90">
        <v>77032</v>
      </c>
      <c r="B90" t="s">
        <v>251</v>
      </c>
    </row>
    <row r="91" spans="1:2">
      <c r="A91">
        <v>77034</v>
      </c>
      <c r="B91" t="s">
        <v>251</v>
      </c>
    </row>
    <row r="92" spans="1:2">
      <c r="A92">
        <v>77037</v>
      </c>
      <c r="B92" t="s">
        <v>251</v>
      </c>
    </row>
    <row r="93" spans="1:2">
      <c r="A93">
        <v>77038</v>
      </c>
      <c r="B93" t="s">
        <v>251</v>
      </c>
    </row>
    <row r="94" spans="1:2">
      <c r="A94">
        <v>77040</v>
      </c>
      <c r="B94" t="s">
        <v>251</v>
      </c>
    </row>
    <row r="95" spans="1:2">
      <c r="A95">
        <v>77043</v>
      </c>
      <c r="B95" t="s">
        <v>251</v>
      </c>
    </row>
    <row r="96" spans="1:2">
      <c r="A96">
        <v>77045</v>
      </c>
      <c r="B96" t="s">
        <v>251</v>
      </c>
    </row>
    <row r="97" spans="1:2">
      <c r="A97">
        <v>77049</v>
      </c>
      <c r="B97" t="s">
        <v>251</v>
      </c>
    </row>
    <row r="98" spans="1:2">
      <c r="A98">
        <v>77055</v>
      </c>
      <c r="B98" t="s">
        <v>251</v>
      </c>
    </row>
    <row r="99" spans="1:2">
      <c r="A99">
        <v>77067</v>
      </c>
      <c r="B99" t="s">
        <v>251</v>
      </c>
    </row>
    <row r="100" spans="1:2">
      <c r="A100">
        <v>77068</v>
      </c>
      <c r="B100" t="s">
        <v>251</v>
      </c>
    </row>
    <row r="101" spans="1:2">
      <c r="A101">
        <v>77072</v>
      </c>
      <c r="B101" t="s">
        <v>251</v>
      </c>
    </row>
    <row r="102" spans="1:2">
      <c r="A102">
        <v>77073</v>
      </c>
      <c r="B102" t="s">
        <v>251</v>
      </c>
    </row>
    <row r="103" spans="1:2">
      <c r="A103">
        <v>77075</v>
      </c>
      <c r="B103" t="s">
        <v>251</v>
      </c>
    </row>
    <row r="104" spans="1:2">
      <c r="A104">
        <v>77078</v>
      </c>
      <c r="B104" t="s">
        <v>251</v>
      </c>
    </row>
    <row r="105" spans="1:2">
      <c r="A105">
        <v>77080</v>
      </c>
      <c r="B105" t="s">
        <v>251</v>
      </c>
    </row>
    <row r="106" spans="1:2">
      <c r="A106">
        <v>77081</v>
      </c>
      <c r="B106" t="s">
        <v>251</v>
      </c>
    </row>
    <row r="107" spans="1:2">
      <c r="A107">
        <v>77083</v>
      </c>
      <c r="B107" t="s">
        <v>251</v>
      </c>
    </row>
    <row r="108" spans="1:2">
      <c r="A108">
        <v>77086</v>
      </c>
      <c r="B108" t="s">
        <v>251</v>
      </c>
    </row>
    <row r="109" spans="1:2">
      <c r="A109">
        <v>77096</v>
      </c>
      <c r="B109" t="s">
        <v>251</v>
      </c>
    </row>
    <row r="110" spans="1:2">
      <c r="A110">
        <v>77099</v>
      </c>
      <c r="B110" t="s">
        <v>251</v>
      </c>
    </row>
    <row r="111" spans="1:2">
      <c r="A111">
        <v>77336</v>
      </c>
      <c r="B111" t="s">
        <v>251</v>
      </c>
    </row>
    <row r="112" spans="1:2">
      <c r="A112">
        <v>77302</v>
      </c>
      <c r="B112" t="s">
        <v>251</v>
      </c>
    </row>
    <row r="113" spans="1:2">
      <c r="A113">
        <v>77338</v>
      </c>
      <c r="B113" t="s">
        <v>251</v>
      </c>
    </row>
    <row r="114" spans="1:2">
      <c r="A114">
        <v>77471</v>
      </c>
      <c r="B114" t="s">
        <v>251</v>
      </c>
    </row>
    <row r="115" spans="1:2">
      <c r="A115">
        <v>77504</v>
      </c>
      <c r="B115" t="s">
        <v>251</v>
      </c>
    </row>
    <row r="116" spans="1:2">
      <c r="A116">
        <v>77507</v>
      </c>
      <c r="B116" t="s">
        <v>251</v>
      </c>
    </row>
    <row r="117" spans="1:2">
      <c r="A117">
        <v>77511</v>
      </c>
      <c r="B117" t="s">
        <v>251</v>
      </c>
    </row>
    <row r="118" spans="1:2">
      <c r="A118">
        <v>77521</v>
      </c>
      <c r="B118" t="s">
        <v>251</v>
      </c>
    </row>
    <row r="119" spans="1:2">
      <c r="A119">
        <v>77532</v>
      </c>
      <c r="B119" t="s">
        <v>251</v>
      </c>
    </row>
    <row r="120" spans="1:2">
      <c r="A120">
        <v>77539</v>
      </c>
      <c r="B120" t="s">
        <v>251</v>
      </c>
    </row>
    <row r="121" spans="1:2">
      <c r="A121">
        <v>77562</v>
      </c>
      <c r="B121" t="s">
        <v>251</v>
      </c>
    </row>
    <row r="122" spans="1:2">
      <c r="A122">
        <v>77571</v>
      </c>
      <c r="B122" t="s">
        <v>251</v>
      </c>
    </row>
    <row r="123" spans="1:2">
      <c r="A123">
        <v>77011</v>
      </c>
      <c r="B123" t="s">
        <v>252</v>
      </c>
    </row>
    <row r="124" spans="1:2">
      <c r="A124">
        <v>77012</v>
      </c>
      <c r="B124" t="s">
        <v>252</v>
      </c>
    </row>
    <row r="125" spans="1:2">
      <c r="A125">
        <v>77013</v>
      </c>
      <c r="B125" t="s">
        <v>252</v>
      </c>
    </row>
    <row r="126" spans="1:2">
      <c r="A126">
        <v>77015</v>
      </c>
      <c r="B126" t="s">
        <v>252</v>
      </c>
    </row>
    <row r="127" spans="1:2">
      <c r="A127">
        <v>77016</v>
      </c>
      <c r="B127" t="s">
        <v>252</v>
      </c>
    </row>
    <row r="128" spans="1:2">
      <c r="A128">
        <v>77017</v>
      </c>
      <c r="B128" t="s">
        <v>252</v>
      </c>
    </row>
    <row r="129" spans="1:2">
      <c r="A129">
        <v>77018</v>
      </c>
      <c r="B129" t="s">
        <v>252</v>
      </c>
    </row>
    <row r="130" spans="1:2">
      <c r="A130">
        <v>77020</v>
      </c>
      <c r="B130" t="s">
        <v>252</v>
      </c>
    </row>
    <row r="131" spans="1:2">
      <c r="A131">
        <v>77021</v>
      </c>
      <c r="B131" t="s">
        <v>252</v>
      </c>
    </row>
    <row r="132" spans="1:2">
      <c r="A132">
        <v>77022</v>
      </c>
      <c r="B132" t="s">
        <v>252</v>
      </c>
    </row>
    <row r="133" spans="1:2">
      <c r="A133">
        <v>77023</v>
      </c>
      <c r="B133" t="s">
        <v>252</v>
      </c>
    </row>
    <row r="134" spans="1:2">
      <c r="A134">
        <v>77026</v>
      </c>
      <c r="B134" t="s">
        <v>252</v>
      </c>
    </row>
    <row r="135" spans="1:2">
      <c r="A135">
        <v>77028</v>
      </c>
      <c r="B135" t="s">
        <v>252</v>
      </c>
    </row>
    <row r="136" spans="1:2">
      <c r="A136">
        <v>77029</v>
      </c>
      <c r="B136" t="s">
        <v>252</v>
      </c>
    </row>
    <row r="137" spans="1:2">
      <c r="A137">
        <v>77031</v>
      </c>
      <c r="B137" t="s">
        <v>252</v>
      </c>
    </row>
    <row r="138" spans="1:2">
      <c r="A138">
        <v>77035</v>
      </c>
      <c r="B138" t="s">
        <v>252</v>
      </c>
    </row>
    <row r="139" spans="1:2">
      <c r="A139">
        <v>77036</v>
      </c>
      <c r="B139" t="s">
        <v>252</v>
      </c>
    </row>
    <row r="140" spans="1:2">
      <c r="A140">
        <v>77039</v>
      </c>
      <c r="B140" t="s">
        <v>252</v>
      </c>
    </row>
    <row r="141" spans="1:2">
      <c r="A141">
        <v>77048</v>
      </c>
      <c r="B141" t="s">
        <v>252</v>
      </c>
    </row>
    <row r="142" spans="1:2">
      <c r="A142">
        <v>77050</v>
      </c>
      <c r="B142" t="s">
        <v>252</v>
      </c>
    </row>
    <row r="143" spans="1:2">
      <c r="A143">
        <v>77051</v>
      </c>
      <c r="B143" t="s">
        <v>252</v>
      </c>
    </row>
    <row r="144" spans="1:2">
      <c r="A144">
        <v>77060</v>
      </c>
      <c r="B144" t="s">
        <v>252</v>
      </c>
    </row>
    <row r="145" spans="1:2">
      <c r="A145">
        <v>77061</v>
      </c>
      <c r="B145" t="s">
        <v>252</v>
      </c>
    </row>
    <row r="146" spans="1:2">
      <c r="A146">
        <v>77071</v>
      </c>
      <c r="B146" t="s">
        <v>252</v>
      </c>
    </row>
    <row r="147" spans="1:2">
      <c r="A147">
        <v>77074</v>
      </c>
      <c r="B147" t="s">
        <v>252</v>
      </c>
    </row>
    <row r="148" spans="1:2">
      <c r="A148">
        <v>77076</v>
      </c>
      <c r="B148" t="s">
        <v>252</v>
      </c>
    </row>
    <row r="149" spans="1:2">
      <c r="A149">
        <v>77087</v>
      </c>
      <c r="B149" t="s">
        <v>252</v>
      </c>
    </row>
    <row r="150" spans="1:2">
      <c r="A150">
        <v>77088</v>
      </c>
      <c r="B150" t="s">
        <v>252</v>
      </c>
    </row>
    <row r="151" spans="1:2">
      <c r="A151">
        <v>77091</v>
      </c>
      <c r="B151" t="s">
        <v>252</v>
      </c>
    </row>
    <row r="152" spans="1:2">
      <c r="A152">
        <v>77092</v>
      </c>
      <c r="B152" t="s">
        <v>252</v>
      </c>
    </row>
    <row r="153" spans="1:2">
      <c r="A153">
        <v>77093</v>
      </c>
      <c r="B153" t="s">
        <v>252</v>
      </c>
    </row>
    <row r="154" spans="1:2">
      <c r="A154">
        <v>77530</v>
      </c>
      <c r="B154" t="s">
        <v>252</v>
      </c>
    </row>
    <row r="155" spans="1:2">
      <c r="A155">
        <v>77547</v>
      </c>
      <c r="B155" t="s">
        <v>252</v>
      </c>
    </row>
    <row r="156" spans="1:2">
      <c r="A156">
        <v>77584</v>
      </c>
      <c r="B156" t="s">
        <v>252</v>
      </c>
    </row>
    <row r="157" spans="1:2">
      <c r="A157">
        <v>77327</v>
      </c>
      <c r="B157" t="s">
        <v>252</v>
      </c>
    </row>
    <row r="158" spans="1:2">
      <c r="A158">
        <v>77357</v>
      </c>
      <c r="B158" t="s">
        <v>252</v>
      </c>
    </row>
    <row r="159" spans="1:2">
      <c r="A159">
        <v>77423</v>
      </c>
      <c r="B159" t="s">
        <v>252</v>
      </c>
    </row>
    <row r="160" spans="1:2">
      <c r="A160">
        <v>77445</v>
      </c>
      <c r="B160" t="s">
        <v>252</v>
      </c>
    </row>
    <row r="161" spans="1:2">
      <c r="A161">
        <v>77484</v>
      </c>
      <c r="B161" t="s">
        <v>252</v>
      </c>
    </row>
    <row r="162" spans="1:2">
      <c r="A162">
        <v>77503</v>
      </c>
      <c r="B162" t="s">
        <v>252</v>
      </c>
    </row>
    <row r="163" spans="1:2">
      <c r="A163">
        <v>77506</v>
      </c>
      <c r="B163" t="s">
        <v>252</v>
      </c>
    </row>
    <row r="164" spans="1:2">
      <c r="A164">
        <v>77520</v>
      </c>
      <c r="B164" t="s">
        <v>252</v>
      </c>
    </row>
    <row r="165" spans="1:2">
      <c r="A165">
        <v>77535</v>
      </c>
      <c r="B165" t="s">
        <v>252</v>
      </c>
    </row>
    <row r="166" spans="1:2">
      <c r="A166">
        <v>77583</v>
      </c>
      <c r="B166" t="s">
        <v>252</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FC961-112E-40FF-9F5D-8431FAA53A83}">
  <dimension ref="A1:I20"/>
  <sheetViews>
    <sheetView tabSelected="1" zoomScale="90" zoomScaleNormal="90" workbookViewId="0">
      <selection activeCell="F27" sqref="F27"/>
    </sheetView>
  </sheetViews>
  <sheetFormatPr baseColWidth="10" defaultColWidth="8.83203125" defaultRowHeight="15"/>
  <cols>
    <col min="1" max="1" width="18.33203125" customWidth="1"/>
    <col min="2" max="9" width="14.1640625" customWidth="1"/>
    <col min="10" max="10" width="9.33203125" customWidth="1"/>
  </cols>
  <sheetData>
    <row r="1" spans="1:9" ht="19">
      <c r="A1" s="354" t="s">
        <v>357</v>
      </c>
      <c r="B1" s="354"/>
      <c r="C1" s="354"/>
      <c r="D1" s="354"/>
      <c r="E1" s="354"/>
      <c r="F1" s="354"/>
      <c r="G1" s="354"/>
      <c r="H1" s="354"/>
      <c r="I1" s="354"/>
    </row>
    <row r="2" spans="1:9" ht="16">
      <c r="A2" s="355" t="s">
        <v>358</v>
      </c>
      <c r="B2" s="355"/>
      <c r="C2" s="355"/>
      <c r="D2" s="355"/>
      <c r="E2" s="355"/>
      <c r="F2" s="355"/>
      <c r="G2" s="355"/>
      <c r="H2" s="355"/>
      <c r="I2" s="355"/>
    </row>
    <row r="3" spans="1:9">
      <c r="A3" s="360" t="s">
        <v>359</v>
      </c>
      <c r="B3" s="356"/>
      <c r="C3" s="356"/>
      <c r="D3" s="356"/>
      <c r="E3" s="356"/>
      <c r="F3" s="356"/>
      <c r="G3" s="356"/>
      <c r="H3" s="356"/>
      <c r="I3" s="356"/>
    </row>
    <row r="4" spans="1:9">
      <c r="A4" s="360" t="s">
        <v>360</v>
      </c>
      <c r="B4" s="356"/>
      <c r="C4" s="356"/>
      <c r="D4" s="356"/>
      <c r="E4" s="356"/>
      <c r="F4" s="356"/>
      <c r="G4" s="356"/>
      <c r="H4" s="356"/>
      <c r="I4" s="356"/>
    </row>
    <row r="6" spans="1:9">
      <c r="A6" s="351" t="s">
        <v>361</v>
      </c>
      <c r="B6" s="351" t="s">
        <v>362</v>
      </c>
      <c r="C6" s="351" t="s">
        <v>311</v>
      </c>
      <c r="D6" s="351" t="s">
        <v>363</v>
      </c>
      <c r="E6" s="351" t="s">
        <v>364</v>
      </c>
      <c r="F6" s="351" t="s">
        <v>365</v>
      </c>
      <c r="G6" s="351" t="s">
        <v>366</v>
      </c>
      <c r="H6" s="351" t="s">
        <v>367</v>
      </c>
      <c r="I6" s="351" t="s">
        <v>368</v>
      </c>
    </row>
    <row r="7" spans="1:9">
      <c r="A7" s="352">
        <v>70115</v>
      </c>
      <c r="B7" s="361">
        <v>1397</v>
      </c>
      <c r="C7" s="361">
        <v>1573</v>
      </c>
      <c r="D7" s="361">
        <v>1892</v>
      </c>
      <c r="E7" s="361">
        <v>2409</v>
      </c>
      <c r="F7" s="361">
        <v>2860</v>
      </c>
      <c r="G7" s="361">
        <v>3289</v>
      </c>
      <c r="H7" s="361">
        <v>3718</v>
      </c>
      <c r="I7" s="361">
        <v>4147</v>
      </c>
    </row>
    <row r="8" spans="1:9">
      <c r="A8" s="353">
        <v>70116</v>
      </c>
      <c r="B8" s="362">
        <v>1276</v>
      </c>
      <c r="C8" s="362">
        <v>1441</v>
      </c>
      <c r="D8" s="362">
        <v>1727</v>
      </c>
      <c r="E8" s="362">
        <v>2200</v>
      </c>
      <c r="F8" s="362">
        <v>2607</v>
      </c>
      <c r="G8" s="362">
        <v>2998</v>
      </c>
      <c r="H8" s="362">
        <v>3389</v>
      </c>
      <c r="I8" s="362">
        <v>3780</v>
      </c>
    </row>
    <row r="9" spans="1:9">
      <c r="A9" s="352">
        <v>70118</v>
      </c>
      <c r="B9" s="361">
        <v>1122</v>
      </c>
      <c r="C9" s="361">
        <v>1276</v>
      </c>
      <c r="D9" s="361">
        <v>1529</v>
      </c>
      <c r="E9" s="361">
        <v>1947</v>
      </c>
      <c r="F9" s="361">
        <v>2310</v>
      </c>
      <c r="G9" s="361">
        <v>2657</v>
      </c>
      <c r="H9" s="361">
        <v>3003</v>
      </c>
      <c r="I9" s="361">
        <v>3350</v>
      </c>
    </row>
    <row r="10" spans="1:9">
      <c r="A10" s="353">
        <v>70119</v>
      </c>
      <c r="B10" s="362">
        <v>1221</v>
      </c>
      <c r="C10" s="362">
        <v>1386</v>
      </c>
      <c r="D10" s="362">
        <v>1661</v>
      </c>
      <c r="E10" s="362">
        <v>2112</v>
      </c>
      <c r="F10" s="362">
        <v>2508</v>
      </c>
      <c r="G10" s="362">
        <v>2884</v>
      </c>
      <c r="H10" s="362">
        <v>3260</v>
      </c>
      <c r="I10" s="362">
        <v>3637</v>
      </c>
    </row>
    <row r="11" spans="1:9">
      <c r="A11" s="352">
        <v>70122</v>
      </c>
      <c r="B11" s="361">
        <v>1122</v>
      </c>
      <c r="C11" s="361">
        <v>1265</v>
      </c>
      <c r="D11" s="361">
        <v>1518</v>
      </c>
      <c r="E11" s="361">
        <v>1925</v>
      </c>
      <c r="F11" s="361">
        <v>2299</v>
      </c>
      <c r="G11" s="361">
        <v>2644</v>
      </c>
      <c r="H11" s="361">
        <v>2987</v>
      </c>
      <c r="I11" s="361">
        <v>3334</v>
      </c>
    </row>
    <row r="12" spans="1:9">
      <c r="A12" s="353">
        <v>70124</v>
      </c>
      <c r="B12" s="362">
        <v>1562</v>
      </c>
      <c r="C12" s="362">
        <v>1771</v>
      </c>
      <c r="D12" s="362">
        <v>2123</v>
      </c>
      <c r="E12" s="362">
        <v>2695</v>
      </c>
      <c r="F12" s="362">
        <v>3212</v>
      </c>
      <c r="G12" s="362">
        <v>3694</v>
      </c>
      <c r="H12" s="362">
        <v>4176</v>
      </c>
      <c r="I12" s="362">
        <v>4657</v>
      </c>
    </row>
    <row r="13" spans="1:9">
      <c r="A13" s="352">
        <v>70125</v>
      </c>
      <c r="B13" s="361">
        <v>1210</v>
      </c>
      <c r="C13" s="361">
        <v>1364</v>
      </c>
      <c r="D13" s="361">
        <v>1639</v>
      </c>
      <c r="E13" s="361">
        <v>2079</v>
      </c>
      <c r="F13" s="361">
        <v>2475</v>
      </c>
      <c r="G13" s="361">
        <v>2846</v>
      </c>
      <c r="H13" s="361">
        <v>3218</v>
      </c>
      <c r="I13" s="361">
        <v>3589</v>
      </c>
    </row>
    <row r="14" spans="1:9">
      <c r="A14" s="353">
        <v>70128</v>
      </c>
      <c r="B14" s="362">
        <v>1111</v>
      </c>
      <c r="C14" s="362">
        <v>1276</v>
      </c>
      <c r="D14" s="362">
        <v>1518</v>
      </c>
      <c r="E14" s="362">
        <v>1947</v>
      </c>
      <c r="F14" s="362">
        <v>2277</v>
      </c>
      <c r="G14" s="362">
        <v>2619</v>
      </c>
      <c r="H14" s="362">
        <v>2960</v>
      </c>
      <c r="I14" s="362">
        <v>3302</v>
      </c>
    </row>
    <row r="15" spans="1:9">
      <c r="A15" s="352">
        <v>70130</v>
      </c>
      <c r="B15" s="361">
        <v>1617</v>
      </c>
      <c r="C15" s="361">
        <v>1848</v>
      </c>
      <c r="D15" s="361">
        <v>2200</v>
      </c>
      <c r="E15" s="361">
        <v>2816</v>
      </c>
      <c r="F15" s="361">
        <v>3322</v>
      </c>
      <c r="G15" s="361">
        <v>3820</v>
      </c>
      <c r="H15" s="361">
        <v>4319</v>
      </c>
      <c r="I15" s="361">
        <v>4817</v>
      </c>
    </row>
    <row r="16" spans="1:9">
      <c r="A16" s="353" t="s">
        <v>369</v>
      </c>
      <c r="B16" s="362">
        <v>1067</v>
      </c>
      <c r="C16" s="362">
        <v>1232</v>
      </c>
      <c r="D16" s="362">
        <v>1474</v>
      </c>
      <c r="E16" s="362">
        <v>1881</v>
      </c>
      <c r="F16" s="362">
        <v>2200</v>
      </c>
      <c r="G16" s="362">
        <v>2530</v>
      </c>
      <c r="H16" s="362">
        <v>2860</v>
      </c>
      <c r="I16" s="362">
        <v>3190</v>
      </c>
    </row>
    <row r="18" spans="1:9">
      <c r="A18" s="357" t="s">
        <v>370</v>
      </c>
      <c r="B18" s="357"/>
      <c r="C18" s="357"/>
      <c r="D18" s="357"/>
      <c r="E18" s="357"/>
      <c r="F18" s="357"/>
      <c r="G18" s="357"/>
      <c r="H18" s="357"/>
      <c r="I18" s="357"/>
    </row>
    <row r="20" spans="1:9" ht="50" customHeight="1">
      <c r="A20" s="359" t="s">
        <v>371</v>
      </c>
      <c r="B20" s="358"/>
      <c r="C20" s="358"/>
      <c r="D20" s="358"/>
      <c r="E20" s="358"/>
      <c r="F20" s="358"/>
      <c r="G20" s="358"/>
      <c r="H20" s="358"/>
      <c r="I20" s="358"/>
    </row>
  </sheetData>
  <mergeCells count="6">
    <mergeCell ref="A1:I1"/>
    <mergeCell ref="A2:I2"/>
    <mergeCell ref="A3:I3"/>
    <mergeCell ref="A4:I4"/>
    <mergeCell ref="A18:I18"/>
    <mergeCell ref="A20:I20"/>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12</vt:i4>
      </vt:variant>
      <vt:variant>
        <vt:lpstr>Named Ranges</vt:lpstr>
      </vt:variant>
      <vt:variant>
        <vt:i4>3</vt:i4>
      </vt:variant>
    </vt:vector>
  </HeadingPairs>
  <TitlesOfParts>
    <vt:vector size="15" baseType="lpstr">
      <vt:lpstr>Summary Page</vt:lpstr>
      <vt:lpstr>Municipality Benefits Analysis</vt:lpstr>
      <vt:lpstr>Benefits Analysis</vt:lpstr>
      <vt:lpstr>SOURCES and USES of FUNDS</vt:lpstr>
      <vt:lpstr>Cash Flow + Debt</vt:lpstr>
      <vt:lpstr>P&amp;L</vt:lpstr>
      <vt:lpstr>Mixed Rent</vt:lpstr>
      <vt:lpstr>10 Years Mixed</vt:lpstr>
      <vt:lpstr>Project</vt:lpstr>
      <vt:lpstr>Amort Schedule </vt:lpstr>
      <vt:lpstr>Houston Standards </vt:lpstr>
      <vt:lpstr>New Orleans Standards</vt:lpstr>
      <vt:lpstr>'Amort Schedule '!Print_Area</vt:lpstr>
      <vt:lpstr>Project!Print_Area</vt:lpstr>
      <vt:lpstr>'Amort Schedule '!Print_Titles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Lance Gilliam</dc:creator>
  <cp:lastModifiedBy>Steven Kennedy</cp:lastModifiedBy>
  <cp:lastPrinted>2023-04-27T16:31:45Z</cp:lastPrinted>
  <dcterms:created xsi:type="dcterms:W3CDTF">2020-06-10T03:28:38Z</dcterms:created>
  <dcterms:modified xsi:type="dcterms:W3CDTF">2026-04-14T17:27:45Z</dcterms:modified>
</cp:coreProperties>
</file>