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4"/>
  <workbookPr defaultThemeVersion="166925"/>
  <mc:AlternateContent xmlns:mc="http://schemas.openxmlformats.org/markup-compatibility/2006">
    <mc:Choice Requires="x15">
      <x15ac:absPath xmlns:x15ac="http://schemas.microsoft.com/office/spreadsheetml/2010/11/ac" url="/Users/stevenkennedy/Downloads/clearpath-ai/"/>
    </mc:Choice>
  </mc:AlternateContent>
  <xr:revisionPtr revIDLastSave="0" documentId="8_{25F167F9-2C4E-DC4C-BAF2-CA618F66A99B}" xr6:coauthVersionLast="47" xr6:coauthVersionMax="47" xr10:uidLastSave="{00000000-0000-0000-0000-000000000000}"/>
  <bookViews>
    <workbookView xWindow="4420" yWindow="660" windowWidth="25820" windowHeight="17740" activeTab="3" xr2:uid="{4C5ADD49-4151-4A75-8C3C-739BEB9DC527}"/>
  </bookViews>
  <sheets>
    <sheet name="Narrative" sheetId="11" r:id="rId1"/>
    <sheet name="Instructions" sheetId="6" r:id="rId2"/>
    <sheet name="LHC APP DATA" sheetId="5" r:id="rId3"/>
    <sheet name="SBC Summary" sheetId="14" r:id="rId4"/>
    <sheet name="Summary" sheetId="12" r:id="rId5"/>
    <sheet name="Hard Cost Containment" sheetId="7" r:id="rId6"/>
    <sheet name="Adjusted TDC Cost Containment" sheetId="2" r:id="rId7"/>
    <sheet name="Above HUD Moderate Design" sheetId="13" state="hidden" r:id="rId8"/>
    <sheet name="HUD data TDC" sheetId="3" r:id="rId9"/>
    <sheet name="HUD HCC" sheetId="8" r:id="rId10"/>
  </sheets>
  <externalReferences>
    <externalReference r:id="rId11"/>
    <externalReference r:id="rId12"/>
    <externalReference r:id="rId13"/>
  </externalReferences>
  <definedNames>
    <definedName name="_Hlk178155661" localSheetId="0">Narrative!$B$14</definedName>
    <definedName name="_Hlk178158410" localSheetId="0">Narrative!$B$18</definedName>
    <definedName name="_Hlk178271121" localSheetId="0">Narrative!$B$13</definedName>
    <definedName name="jhdsjhf" localSheetId="0" hidden="1">{#N/A,#N/A,FALSE,"Inspection Form";#N/A,#N/A,FALSE,"Underwriting Summary";#N/A,#N/A,FALSE,"MHP Financial Summary";#N/A,#N/A,FALSE,"Historical CF's";#N/A,#N/A,FALSE,"Cash Flow Projections";#N/A,#N/A,FALSE,"Operating Statements";#N/A,#N/A,FALSE,"Property Rent Roll";#N/A,#N/A,FALSE,"Appraisal Summary";#N/A,#N/A,FALSE,"Rental &amp; Sales Comps";#N/A,#N/A,FALSE,"Property Condition";#N/A,#N/A,FALSE,"Environmental Assessment"}</definedName>
    <definedName name="jhdsjhf" hidden="1">{#N/A,#N/A,FALSE,"Inspection Form";#N/A,#N/A,FALSE,"Underwriting Summary";#N/A,#N/A,FALSE,"MHP Financial Summary";#N/A,#N/A,FALSE,"Historical CF's";#N/A,#N/A,FALSE,"Cash Flow Projections";#N/A,#N/A,FALSE,"Operating Statements";#N/A,#N/A,FALSE,"Property Rent Roll";#N/A,#N/A,FALSE,"Appraisal Summary";#N/A,#N/A,FALSE,"Rental &amp; Sales Comps";#N/A,#N/A,FALSE,"Property Condition";#N/A,#N/A,FALSE,"Environmental Assessment"}</definedName>
    <definedName name="LETTER">#REF!</definedName>
    <definedName name="lkjds" localSheetId="0" hidden="1">{#N/A,#N/A,FALSE,"Inspection Form";#N/A,#N/A,FALSE,"Underwriting Summary";#N/A,#N/A,FALSE,"Multi Family Financial Summary";#N/A,#N/A,FALSE,"Historical CF's";#N/A,#N/A,FALSE,"Cash Flow Projections";#N/A,#N/A,FALSE,"Operating Statements";#N/A,#N/A,FALSE,"Property Rent Roll";#N/A,#N/A,FALSE,"Appraisal Summary";#N/A,#N/A,FALSE,"Rental &amp; Sales Comps";#N/A,#N/A,FALSE,"Property Condition";#N/A,#N/A,FALSE,"Environmental Assessment"}</definedName>
    <definedName name="lkjds" hidden="1">{#N/A,#N/A,FALSE,"Inspection Form";#N/A,#N/A,FALSE,"Underwriting Summary";#N/A,#N/A,FALSE,"Multi Family Financial Summary";#N/A,#N/A,FALSE,"Historical CF's";#N/A,#N/A,FALSE,"Cash Flow Projections";#N/A,#N/A,FALSE,"Operating Statements";#N/A,#N/A,FALSE,"Property Rent Roll";#N/A,#N/A,FALSE,"Appraisal Summary";#N/A,#N/A,FALSE,"Rental &amp; Sales Comps";#N/A,#N/A,FALSE,"Property Condition";#N/A,#N/A,FALSE,"Environmental Assessment"}</definedName>
    <definedName name="P2_">'Hard Cost Containment'!$A$1:$H$52</definedName>
    <definedName name="P3_">'Hard Cost Containment'!$A$54:$H$68</definedName>
    <definedName name="_xlnm.Print_Area" localSheetId="5">'Hard Cost Containment'!$A$1:$O$64</definedName>
    <definedName name="_xlnm.Print_Area" localSheetId="1">Instructions!$A$1:$O$17</definedName>
    <definedName name="_xlnm.Print_Area" localSheetId="0">Narrative!$A$1:$C$23</definedName>
    <definedName name="_xlnm.Print_Area" localSheetId="4">Summary!$A$1:$K$46</definedName>
    <definedName name="PRINT2">'Hard Cost Containment'!$A$1:$H$52</definedName>
    <definedName name="PRINT3">'Hard Cost Containment'!$A$54:$H$72</definedName>
    <definedName name="SheetNames">REPLACE(GET.WORKBOOK(1),1,FIND("]",GET.WORKBOOK(1)),"")</definedName>
    <definedName name="wrn.MHP._.UW._.Master.xls." localSheetId="0" hidden="1">{#N/A,#N/A,FALSE,"Inspection Form";#N/A,#N/A,FALSE,"Underwriting Summary";#N/A,#N/A,FALSE,"MHP Financial Summary";#N/A,#N/A,FALSE,"Historical CF's";#N/A,#N/A,FALSE,"Cash Flow Projections";#N/A,#N/A,FALSE,"Operating Statements";#N/A,#N/A,FALSE,"Property Rent Roll";#N/A,#N/A,FALSE,"Appraisal Summary";#N/A,#N/A,FALSE,"Rental &amp; Sales Comps";#N/A,#N/A,FALSE,"Property Condition";#N/A,#N/A,FALSE,"Environmental Assessment"}</definedName>
    <definedName name="wrn.MHP._.UW._.Master.xls." hidden="1">{#N/A,#N/A,FALSE,"Inspection Form";#N/A,#N/A,FALSE,"Underwriting Summary";#N/A,#N/A,FALSE,"MHP Financial Summary";#N/A,#N/A,FALSE,"Historical CF's";#N/A,#N/A,FALSE,"Cash Flow Projections";#N/A,#N/A,FALSE,"Operating Statements";#N/A,#N/A,FALSE,"Property Rent Roll";#N/A,#N/A,FALSE,"Appraisal Summary";#N/A,#N/A,FALSE,"Rental &amp; Sales Comps";#N/A,#N/A,FALSE,"Property Condition";#N/A,#N/A,FALSE,"Environmental Assessment"}</definedName>
    <definedName name="wrn.MultiFamily._.UW._.Master.xls." localSheetId="0" hidden="1">{#N/A,#N/A,FALSE,"Inspection Form";#N/A,#N/A,FALSE,"Underwriting Summary";#N/A,#N/A,FALSE,"Multi Family Financial Summary";#N/A,#N/A,FALSE,"Historical CF's";#N/A,#N/A,FALSE,"Cash Flow Projections";#N/A,#N/A,FALSE,"Operating Statements";#N/A,#N/A,FALSE,"Property Rent Roll";#N/A,#N/A,FALSE,"Appraisal Summary";#N/A,#N/A,FALSE,"Rental &amp; Sales Comps";#N/A,#N/A,FALSE,"Property Condition";#N/A,#N/A,FALSE,"Environmental Assessment"}</definedName>
    <definedName name="wrn.MultiFamily._.UW._.Master.xls." hidden="1">{#N/A,#N/A,FALSE,"Inspection Form";#N/A,#N/A,FALSE,"Underwriting Summary";#N/A,#N/A,FALSE,"Multi Family Financial Summary";#N/A,#N/A,FALSE,"Historical CF's";#N/A,#N/A,FALSE,"Cash Flow Projections";#N/A,#N/A,FALSE,"Operating Statements";#N/A,#N/A,FALSE,"Property Rent Roll";#N/A,#N/A,FALSE,"Appraisal Summary";#N/A,#N/A,FALSE,"Rental &amp; Sales Comps";#N/A,#N/A,FALSE,"Property Condition";#N/A,#N/A,FALSE,"Environmental Assessment"}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2" i="14" l="1" a="1"/>
  <c r="C32" i="14" s="1"/>
  <c r="C39" i="14"/>
  <c r="C38" i="14"/>
  <c r="C34" i="14"/>
  <c r="C15" i="14" l="1"/>
  <c r="C14" i="14"/>
  <c r="C13" i="14"/>
  <c r="C11" i="14" a="1"/>
  <c r="C11" i="14" s="1"/>
  <c r="C31" i="14"/>
  <c r="B31" i="14"/>
  <c r="A31" i="14"/>
  <c r="C24" i="14"/>
  <c r="C23" i="14"/>
  <c r="C22" i="14"/>
  <c r="C20" i="14" a="1"/>
  <c r="C20" i="14" s="1"/>
  <c r="C26" i="14" s="1"/>
  <c r="C35" i="14"/>
  <c r="C17" i="14" l="1"/>
  <c r="C40" i="14"/>
  <c r="C42" i="14" s="1"/>
  <c r="N2" i="7" l="1"/>
  <c r="D2" i="7"/>
  <c r="K60" i="2" l="1"/>
  <c r="C37" i="7" l="1"/>
  <c r="C59" i="7"/>
  <c r="K4" i="2" l="1"/>
  <c r="K1" i="2"/>
  <c r="K20" i="2"/>
  <c r="K19" i="2"/>
  <c r="K18" i="2"/>
  <c r="K22" i="2" s="1"/>
  <c r="C24" i="5"/>
  <c r="G16" i="5"/>
  <c r="C16" i="5"/>
  <c r="B16" i="5"/>
  <c r="C14" i="5"/>
  <c r="B14" i="5"/>
  <c r="C13" i="5"/>
  <c r="B13" i="5"/>
  <c r="C12" i="5"/>
  <c r="B12" i="5"/>
  <c r="C11" i="5"/>
  <c r="B11" i="5"/>
  <c r="C10" i="5"/>
  <c r="B10" i="5"/>
  <c r="F8" i="5"/>
  <c r="E8" i="5"/>
  <c r="C8" i="5"/>
  <c r="B8" i="5"/>
  <c r="F7" i="5"/>
  <c r="C7" i="5"/>
  <c r="B7" i="5"/>
  <c r="C6" i="5"/>
  <c r="B6" i="5"/>
  <c r="C5" i="5"/>
  <c r="B5" i="5"/>
  <c r="B3" i="5"/>
  <c r="D52" i="7" l="1"/>
  <c r="C52" i="7"/>
  <c r="C41" i="7"/>
  <c r="D41" i="7"/>
  <c r="D31" i="12"/>
  <c r="O53" i="2"/>
  <c r="O52" i="2"/>
  <c r="O51" i="2"/>
  <c r="O48" i="2"/>
  <c r="O47" i="2"/>
  <c r="O46" i="2"/>
  <c r="O43" i="2"/>
  <c r="O42" i="2"/>
  <c r="O41" i="2"/>
  <c r="O40" i="2"/>
  <c r="O39" i="2"/>
  <c r="O38" i="2"/>
  <c r="O35" i="2"/>
  <c r="O34" i="2"/>
  <c r="O33" i="2"/>
  <c r="O32" i="2"/>
  <c r="O31" i="2"/>
  <c r="O60" i="2"/>
  <c r="H34" i="12" l="1"/>
  <c r="H31" i="12" l="1"/>
  <c r="J31" i="12"/>
  <c r="B31" i="12"/>
  <c r="L13" i="13" l="1"/>
  <c r="G31" i="5" l="1"/>
  <c r="J31" i="5" s="1"/>
  <c r="G30" i="5"/>
  <c r="J30" i="5" s="1"/>
  <c r="G28" i="5"/>
  <c r="J28" i="5" s="1"/>
  <c r="F4" i="12"/>
  <c r="G32" i="5"/>
  <c r="J32" i="5" s="1"/>
  <c r="G29" i="5"/>
  <c r="J29" i="5" s="1"/>
  <c r="J6" i="12"/>
  <c r="H42" i="12" s="1"/>
  <c r="B26" i="5"/>
  <c r="B29" i="5" l="1"/>
  <c r="E61" i="7"/>
  <c r="E60" i="7"/>
  <c r="E59" i="7"/>
  <c r="E58" i="7"/>
  <c r="E57" i="7"/>
  <c r="E56" i="7"/>
  <c r="E55" i="7"/>
  <c r="E54" i="7"/>
  <c r="E52" i="7"/>
  <c r="E51" i="7"/>
  <c r="E50" i="7"/>
  <c r="E49" i="7"/>
  <c r="E48" i="7"/>
  <c r="E47" i="7"/>
  <c r="E46" i="7"/>
  <c r="E43"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19" i="5" l="1"/>
  <c r="J35" i="8"/>
  <c r="I35" i="8"/>
  <c r="H35" i="8"/>
  <c r="G35" i="8"/>
  <c r="F35" i="8"/>
  <c r="E35" i="8"/>
  <c r="D35" i="8"/>
  <c r="J31" i="8"/>
  <c r="I31" i="8"/>
  <c r="H31" i="8"/>
  <c r="G31" i="8"/>
  <c r="F31" i="8"/>
  <c r="E31" i="8"/>
  <c r="D31" i="8"/>
  <c r="J27" i="8"/>
  <c r="I27" i="8"/>
  <c r="H27" i="8"/>
  <c r="G27" i="8"/>
  <c r="F27" i="8"/>
  <c r="E27" i="8"/>
  <c r="D27" i="8"/>
  <c r="J23" i="8"/>
  <c r="I23" i="8"/>
  <c r="H23" i="8"/>
  <c r="G23" i="8"/>
  <c r="F23" i="8"/>
  <c r="E23" i="8"/>
  <c r="D23" i="8"/>
  <c r="J19" i="8"/>
  <c r="I19" i="8"/>
  <c r="H19" i="8"/>
  <c r="G19" i="8"/>
  <c r="F19" i="8"/>
  <c r="E19" i="8"/>
  <c r="D19" i="8"/>
  <c r="J15" i="8"/>
  <c r="I15" i="8"/>
  <c r="H15" i="8"/>
  <c r="G15" i="8"/>
  <c r="F15" i="8"/>
  <c r="E15" i="8"/>
  <c r="D15" i="8"/>
  <c r="J11" i="8"/>
  <c r="I11" i="8"/>
  <c r="H11" i="8"/>
  <c r="G11" i="8"/>
  <c r="F11" i="8"/>
  <c r="E11" i="8"/>
  <c r="D11" i="8"/>
  <c r="J34" i="8"/>
  <c r="I34" i="8"/>
  <c r="H34" i="8"/>
  <c r="G34" i="8"/>
  <c r="F34" i="8"/>
  <c r="E34" i="8"/>
  <c r="D34" i="8"/>
  <c r="J30" i="8"/>
  <c r="I30" i="8"/>
  <c r="H30" i="8"/>
  <c r="G30" i="8"/>
  <c r="F30" i="8"/>
  <c r="E30" i="8"/>
  <c r="D30" i="8"/>
  <c r="J26" i="8"/>
  <c r="I26" i="8"/>
  <c r="H26" i="8"/>
  <c r="G26" i="8"/>
  <c r="F26" i="8"/>
  <c r="E26" i="8"/>
  <c r="D26" i="8"/>
  <c r="J22" i="8"/>
  <c r="I22" i="8"/>
  <c r="H22" i="8"/>
  <c r="G22" i="8"/>
  <c r="F22" i="8"/>
  <c r="E22" i="8"/>
  <c r="D22" i="8"/>
  <c r="J18" i="8"/>
  <c r="I18" i="8"/>
  <c r="H18" i="8"/>
  <c r="G18" i="8"/>
  <c r="F18" i="8"/>
  <c r="E18" i="8"/>
  <c r="D18" i="8"/>
  <c r="J14" i="8"/>
  <c r="I14" i="8"/>
  <c r="H14" i="8"/>
  <c r="G14" i="8"/>
  <c r="F14" i="8"/>
  <c r="E14" i="8"/>
  <c r="D14" i="8"/>
  <c r="J10" i="8"/>
  <c r="I10" i="8"/>
  <c r="H10" i="8"/>
  <c r="G10" i="8"/>
  <c r="F10" i="8"/>
  <c r="E10" i="8"/>
  <c r="D10" i="8"/>
  <c r="J33" i="8"/>
  <c r="I33" i="8"/>
  <c r="H33" i="8"/>
  <c r="G33" i="8"/>
  <c r="F33" i="8"/>
  <c r="E33" i="8"/>
  <c r="D33" i="8"/>
  <c r="J29" i="8"/>
  <c r="I29" i="8"/>
  <c r="H29" i="8"/>
  <c r="G29" i="8"/>
  <c r="F29" i="8"/>
  <c r="E29" i="8"/>
  <c r="D29" i="8"/>
  <c r="J25" i="8"/>
  <c r="I25" i="8"/>
  <c r="H25" i="8"/>
  <c r="G25" i="8"/>
  <c r="F25" i="8"/>
  <c r="E25" i="8"/>
  <c r="D25" i="8"/>
  <c r="J21" i="8"/>
  <c r="I21" i="8"/>
  <c r="H21" i="8"/>
  <c r="G21" i="8"/>
  <c r="F21" i="8"/>
  <c r="E21" i="8"/>
  <c r="D21" i="8"/>
  <c r="J17" i="8"/>
  <c r="I17" i="8"/>
  <c r="H17" i="8"/>
  <c r="G17" i="8"/>
  <c r="F17" i="8"/>
  <c r="E17" i="8"/>
  <c r="D17" i="8"/>
  <c r="J13" i="8"/>
  <c r="I13" i="8"/>
  <c r="H13" i="8"/>
  <c r="G13" i="8"/>
  <c r="F13" i="8"/>
  <c r="E13" i="8"/>
  <c r="D13" i="8"/>
  <c r="J9" i="8"/>
  <c r="I9" i="8"/>
  <c r="H9" i="8"/>
  <c r="G9" i="8"/>
  <c r="F9" i="8"/>
  <c r="E9" i="8"/>
  <c r="D9" i="8"/>
  <c r="J32" i="8"/>
  <c r="I32" i="8"/>
  <c r="H32" i="8"/>
  <c r="G32" i="8"/>
  <c r="F32" i="8"/>
  <c r="E32" i="8"/>
  <c r="D32" i="8"/>
  <c r="J28" i="8"/>
  <c r="I28" i="8"/>
  <c r="H28" i="8"/>
  <c r="G28" i="8"/>
  <c r="F28" i="8"/>
  <c r="E28" i="8"/>
  <c r="D28" i="8"/>
  <c r="J24" i="8"/>
  <c r="I24" i="8"/>
  <c r="H24" i="8"/>
  <c r="G24" i="8"/>
  <c r="F24" i="8"/>
  <c r="E24" i="8"/>
  <c r="D24" i="8"/>
  <c r="J20" i="8"/>
  <c r="I20" i="8"/>
  <c r="H20" i="8"/>
  <c r="G20" i="8"/>
  <c r="F20" i="8"/>
  <c r="E20" i="8"/>
  <c r="D20" i="8"/>
  <c r="J16" i="8"/>
  <c r="I16" i="8"/>
  <c r="H16" i="8"/>
  <c r="G16" i="8"/>
  <c r="F16" i="8"/>
  <c r="E16" i="8"/>
  <c r="D16" i="8"/>
  <c r="J12" i="8"/>
  <c r="I12" i="8"/>
  <c r="H12" i="8"/>
  <c r="G12" i="8"/>
  <c r="F12" i="8"/>
  <c r="E12" i="8"/>
  <c r="D12" i="8"/>
  <c r="J8" i="8"/>
  <c r="I8" i="8"/>
  <c r="H8" i="8"/>
  <c r="G8" i="8"/>
  <c r="F8" i="8"/>
  <c r="E8" i="8"/>
  <c r="D8"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E41" i="7"/>
  <c r="E44" i="7" s="1"/>
  <c r="E62" i="7" s="1"/>
  <c r="C44" i="7"/>
  <c r="C62" i="7" s="1"/>
  <c r="G61" i="7"/>
  <c r="H61" i="7" s="1"/>
  <c r="G56" i="7"/>
  <c r="H56" i="7" s="1"/>
  <c r="H51" i="7"/>
  <c r="G51" i="7"/>
  <c r="G50" i="7"/>
  <c r="H50" i="7" s="1"/>
  <c r="F61" i="7"/>
  <c r="F60" i="7"/>
  <c r="G60" i="7" s="1"/>
  <c r="H60" i="7" s="1"/>
  <c r="F59" i="7"/>
  <c r="G59" i="7" s="1"/>
  <c r="H59" i="7" s="1"/>
  <c r="F58" i="7"/>
  <c r="G58" i="7" s="1"/>
  <c r="H58" i="7" s="1"/>
  <c r="F57" i="7"/>
  <c r="G57" i="7" s="1"/>
  <c r="H57" i="7" s="1"/>
  <c r="F56" i="7"/>
  <c r="F55" i="7"/>
  <c r="G55" i="7" s="1"/>
  <c r="H55" i="7" s="1"/>
  <c r="F54" i="7"/>
  <c r="G54" i="7" s="1"/>
  <c r="H54" i="7" s="1"/>
  <c r="F52" i="7"/>
  <c r="G52" i="7" s="1"/>
  <c r="H52" i="7" s="1"/>
  <c r="F51" i="7"/>
  <c r="F50" i="7"/>
  <c r="F49" i="7"/>
  <c r="G49" i="7" s="1"/>
  <c r="H49" i="7" s="1"/>
  <c r="F48" i="7"/>
  <c r="G48" i="7" s="1"/>
  <c r="H48" i="7" s="1"/>
  <c r="F47" i="7"/>
  <c r="G47" i="7" s="1"/>
  <c r="H47" i="7" s="1"/>
  <c r="F46" i="7"/>
  <c r="G46" i="7" s="1"/>
  <c r="H46" i="7" s="1"/>
  <c r="F43" i="7"/>
  <c r="G43" i="7" s="1"/>
  <c r="H43" i="7" s="1"/>
  <c r="F40" i="7"/>
  <c r="G40" i="7" s="1"/>
  <c r="H40" i="7" s="1"/>
  <c r="F39" i="7"/>
  <c r="G39" i="7" s="1"/>
  <c r="H39" i="7" s="1"/>
  <c r="F38" i="7"/>
  <c r="G38" i="7" s="1"/>
  <c r="H38" i="7" s="1"/>
  <c r="F37" i="7"/>
  <c r="G37" i="7" s="1"/>
  <c r="H37" i="7" s="1"/>
  <c r="F36" i="7"/>
  <c r="G36" i="7" s="1"/>
  <c r="H36" i="7" s="1"/>
  <c r="F35" i="7"/>
  <c r="G35" i="7" s="1"/>
  <c r="H35" i="7" s="1"/>
  <c r="F34" i="7"/>
  <c r="G34" i="7" s="1"/>
  <c r="H34" i="7" s="1"/>
  <c r="F33" i="7"/>
  <c r="G33" i="7" s="1"/>
  <c r="H33" i="7" s="1"/>
  <c r="F32" i="7"/>
  <c r="G32" i="7" s="1"/>
  <c r="H32" i="7" s="1"/>
  <c r="F31" i="7"/>
  <c r="G31" i="7" s="1"/>
  <c r="H31" i="7" s="1"/>
  <c r="F30" i="7"/>
  <c r="G30" i="7" s="1"/>
  <c r="H30" i="7" s="1"/>
  <c r="F29" i="7"/>
  <c r="G29" i="7" s="1"/>
  <c r="H29" i="7" s="1"/>
  <c r="F28" i="7"/>
  <c r="G28" i="7" s="1"/>
  <c r="H28" i="7" s="1"/>
  <c r="F27" i="7"/>
  <c r="G27" i="7" s="1"/>
  <c r="H27" i="7" s="1"/>
  <c r="F26" i="7"/>
  <c r="G26" i="7" s="1"/>
  <c r="H26" i="7" s="1"/>
  <c r="F25" i="7"/>
  <c r="G25" i="7" s="1"/>
  <c r="H25" i="7" s="1"/>
  <c r="F24" i="7"/>
  <c r="G24" i="7" s="1"/>
  <c r="H24" i="7" s="1"/>
  <c r="F23" i="7"/>
  <c r="G23" i="7" s="1"/>
  <c r="H23" i="7" s="1"/>
  <c r="F22" i="7"/>
  <c r="G22" i="7" s="1"/>
  <c r="H22" i="7" s="1"/>
  <c r="F21" i="7"/>
  <c r="G21" i="7" s="1"/>
  <c r="H21" i="7" s="1"/>
  <c r="F20" i="7"/>
  <c r="G20" i="7" s="1"/>
  <c r="H20" i="7" s="1"/>
  <c r="F19" i="7"/>
  <c r="G19" i="7" s="1"/>
  <c r="H19" i="7" s="1"/>
  <c r="F18" i="7"/>
  <c r="G18" i="7" s="1"/>
  <c r="H18" i="7" s="1"/>
  <c r="F17" i="7"/>
  <c r="G17" i="7" s="1"/>
  <c r="H17" i="7" s="1"/>
  <c r="F16" i="7"/>
  <c r="G16" i="7" s="1"/>
  <c r="H16" i="7" s="1"/>
  <c r="F15" i="7"/>
  <c r="G15" i="7" s="1"/>
  <c r="H15" i="7" s="1"/>
  <c r="F14" i="7"/>
  <c r="G14" i="7" s="1"/>
  <c r="H14" i="7" s="1"/>
  <c r="F13" i="7"/>
  <c r="G13" i="7" s="1"/>
  <c r="H13" i="7" s="1"/>
  <c r="F12" i="7"/>
  <c r="G12" i="7" s="1"/>
  <c r="H12" i="7" s="1"/>
  <c r="F11" i="7"/>
  <c r="G11" i="7" s="1"/>
  <c r="H11" i="7" s="1"/>
  <c r="A11" i="7"/>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3" i="7" s="1"/>
  <c r="A44" i="7" s="1"/>
  <c r="A46" i="7" s="1"/>
  <c r="A47" i="7" s="1"/>
  <c r="A48" i="7" s="1"/>
  <c r="A49" i="7" s="1"/>
  <c r="A50" i="7" s="1"/>
  <c r="A51" i="7" s="1"/>
  <c r="A52" i="7" s="1"/>
  <c r="A54" i="7" s="1"/>
  <c r="A55" i="7" s="1"/>
  <c r="A56" i="7" s="1"/>
  <c r="A57" i="7" s="1"/>
  <c r="A58" i="7" s="1"/>
  <c r="A59" i="7" s="1"/>
  <c r="A60" i="7" s="1"/>
  <c r="A61" i="7" s="1"/>
  <c r="A62" i="7" s="1"/>
  <c r="F10" i="7"/>
  <c r="G10" i="7" s="1"/>
  <c r="H10" i="7" s="1"/>
  <c r="H24" i="12" l="1"/>
  <c r="N3" i="7"/>
  <c r="H15" i="12"/>
  <c r="D3" i="7"/>
  <c r="K10" i="5"/>
  <c r="F41" i="7"/>
  <c r="G41" i="7" s="1"/>
  <c r="H41" i="7" s="1"/>
  <c r="D44" i="7"/>
  <c r="D62" i="7" s="1"/>
  <c r="G15" i="6"/>
  <c r="G14" i="6"/>
  <c r="H23" i="12" l="1"/>
  <c r="K24" i="2"/>
  <c r="K26" i="2" s="1"/>
  <c r="K62" i="2" s="1"/>
  <c r="F10" i="2" s="1"/>
  <c r="O10" i="2" s="1"/>
  <c r="H22" i="12"/>
  <c r="F62" i="7"/>
  <c r="G62" i="7" s="1"/>
  <c r="H62" i="7" s="1"/>
  <c r="H14" i="12"/>
  <c r="E14" i="5"/>
  <c r="F14" i="5" s="1"/>
  <c r="E13" i="5"/>
  <c r="F13" i="5" s="1"/>
  <c r="E12" i="5"/>
  <c r="F12" i="5" s="1"/>
  <c r="E11" i="5"/>
  <c r="F11" i="5" s="1"/>
  <c r="E10" i="5"/>
  <c r="F10" i="5" s="1"/>
  <c r="F44" i="7"/>
  <c r="G44" i="7" s="1"/>
  <c r="H44" i="7" s="1"/>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F16" i="5" l="1"/>
  <c r="E21" i="5" s="1"/>
  <c r="H20" i="12" s="1"/>
  <c r="H26" i="12" s="1"/>
  <c r="N4" i="7" l="1"/>
  <c r="O5" i="7" s="1"/>
  <c r="D4" i="7"/>
  <c r="E5" i="7" s="1"/>
  <c r="H11" i="12"/>
  <c r="H17" i="12" s="1"/>
  <c r="F4" i="7" l="1"/>
  <c r="F5" i="12" l="1"/>
  <c r="F9" i="2" l="1"/>
  <c r="H40" i="12" l="1"/>
  <c r="H32" i="12"/>
  <c r="T9" i="2"/>
  <c r="H35" i="12" l="1"/>
  <c r="H37" i="12" s="1"/>
  <c r="I9" i="2" l="1"/>
  <c r="H43" i="12"/>
  <c r="H45" i="12" s="1"/>
  <c r="I10" i="2"/>
  <c r="O6" i="2"/>
  <c r="P9"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<sst xmlns="http://schemas.openxmlformats.org/spreadsheetml/2006/main" count="425" uniqueCount="277">
  <si>
    <t>TOTAL</t>
  </si>
  <si>
    <t>Asset</t>
  </si>
  <si>
    <t>Number of Units</t>
  </si>
  <si>
    <t>Developer Comments</t>
  </si>
  <si>
    <t>Area</t>
  </si>
  <si>
    <t>Development Type</t>
  </si>
  <si>
    <t>Index</t>
  </si>
  <si>
    <t>0 BR TDC</t>
  </si>
  <si>
    <t>1 BR TDC</t>
  </si>
  <si>
    <t>2 BR TDC</t>
  </si>
  <si>
    <t>3 BR TDC</t>
  </si>
  <si>
    <t>4 BR TDC</t>
  </si>
  <si>
    <t>5 BR TDC</t>
  </si>
  <si>
    <t>6 BR TDC</t>
  </si>
  <si>
    <t>Alexandria</t>
  </si>
  <si>
    <t>Detached / Semi-Detached</t>
  </si>
  <si>
    <t>Row House</t>
  </si>
  <si>
    <t>Walkup</t>
  </si>
  <si>
    <t>Elevator</t>
  </si>
  <si>
    <t>Baton Rouge</t>
  </si>
  <si>
    <t>Lafayette</t>
  </si>
  <si>
    <t>Lake Charles</t>
  </si>
  <si>
    <t>Monroe</t>
  </si>
  <si>
    <t>New Orleans</t>
  </si>
  <si>
    <t>Shreveport</t>
  </si>
  <si>
    <t>Source:</t>
  </si>
  <si>
    <t>Parish</t>
  </si>
  <si>
    <t>Maximum TDC Limit</t>
  </si>
  <si>
    <t>Delta</t>
  </si>
  <si>
    <t>Application:</t>
  </si>
  <si>
    <t>Developer Fee</t>
  </si>
  <si>
    <t>Max Developer Fee</t>
  </si>
  <si>
    <t>TDCs_2022.pdf (hud.gov)</t>
  </si>
  <si>
    <t>V</t>
  </si>
  <si>
    <t>Open the cost reduction template, enable macros and save file locally</t>
  </si>
  <si>
    <t>For 2024 Application</t>
  </si>
  <si>
    <t>Open LIHTC application to pull data from, enable macros and save file locally</t>
  </si>
  <si>
    <t>Cost reduction template year:</t>
  </si>
  <si>
    <t>LIHTC Application:</t>
  </si>
  <si>
    <t>(See below, and row 1 of the analysis tab, it should be the same year for both)</t>
  </si>
  <si>
    <t>TRADE ITEM</t>
  </si>
  <si>
    <t>VARIANCE</t>
  </si>
  <si>
    <t>%</t>
  </si>
  <si>
    <t xml:space="preserve"> Concrete</t>
  </si>
  <si>
    <t xml:space="preserve"> Masonry</t>
  </si>
  <si>
    <t xml:space="preserve"> Metals</t>
  </si>
  <si>
    <t xml:space="preserve"> Rough Carpentry</t>
  </si>
  <si>
    <t xml:space="preserve"> Finish Carpentry</t>
  </si>
  <si>
    <t xml:space="preserve"> Insulation</t>
  </si>
  <si>
    <t xml:space="preserve"> Roofing</t>
  </si>
  <si>
    <t xml:space="preserve"> Sheet Metal</t>
  </si>
  <si>
    <t xml:space="preserve"> Doors</t>
  </si>
  <si>
    <t xml:space="preserve"> Windows</t>
  </si>
  <si>
    <t xml:space="preserve"> Glass</t>
  </si>
  <si>
    <t xml:space="preserve"> Lath and Plaster</t>
  </si>
  <si>
    <t xml:space="preserve"> Drywall</t>
  </si>
  <si>
    <t xml:space="preserve"> Tile Work</t>
  </si>
  <si>
    <t xml:space="preserve"> Wood Flooring</t>
  </si>
  <si>
    <t xml:space="preserve"> Resilient Flooring</t>
  </si>
  <si>
    <t xml:space="preserve"> Painting and Decorating</t>
  </si>
  <si>
    <t xml:space="preserve"> Special Equipment</t>
  </si>
  <si>
    <t xml:space="preserve"> Cabinets</t>
  </si>
  <si>
    <t xml:space="preserve"> Appliances</t>
  </si>
  <si>
    <t xml:space="preserve"> Blinds and Shades</t>
  </si>
  <si>
    <t xml:space="preserve"> Carpets</t>
  </si>
  <si>
    <t xml:space="preserve"> Special Construction </t>
  </si>
  <si>
    <t xml:space="preserve"> Elevators</t>
  </si>
  <si>
    <t xml:space="preserve"> Plumbing and Hot Water</t>
  </si>
  <si>
    <t xml:space="preserve"> Electrical</t>
  </si>
  <si>
    <t xml:space="preserve"> Site Utilities</t>
  </si>
  <si>
    <t xml:space="preserve"> Roads and Walks</t>
  </si>
  <si>
    <t xml:space="preserve"> Site Improvement</t>
  </si>
  <si>
    <t xml:space="preserve"> Lawns and Planting</t>
  </si>
  <si>
    <t xml:space="preserve"> Unusual Site Conditions</t>
  </si>
  <si>
    <t xml:space="preserve"> General Requirements</t>
  </si>
  <si>
    <t xml:space="preserve"> Builder's Overhead</t>
  </si>
  <si>
    <t xml:space="preserve"> Builder's Profit</t>
  </si>
  <si>
    <t xml:space="preserve">Architects Fee </t>
  </si>
  <si>
    <t xml:space="preserve"> Waterproofing</t>
  </si>
  <si>
    <t>TOTAL (Structures)</t>
  </si>
  <si>
    <t>SUBTOTAL (Structures)</t>
  </si>
  <si>
    <t>Earthwork</t>
  </si>
  <si>
    <t>TOTAL (Land Improvements)</t>
  </si>
  <si>
    <t>Other Fee</t>
  </si>
  <si>
    <t>Based on form :HUD-92331-B</t>
  </si>
  <si>
    <t xml:space="preserve"> Acoustical</t>
  </si>
  <si>
    <t xml:space="preserve"> Specialties</t>
  </si>
  <si>
    <t>Accessory Structures</t>
  </si>
  <si>
    <t>Misc. (Labor and Materials)</t>
  </si>
  <si>
    <t>Bond Premium (Contractor)</t>
  </si>
  <si>
    <t>Estimated Cost</t>
  </si>
  <si>
    <t>Threshold Mandate</t>
  </si>
  <si>
    <t>Architect</t>
  </si>
  <si>
    <t>HCC Derived</t>
  </si>
  <si>
    <t>HUD HCC LIMIT</t>
  </si>
  <si>
    <t>HUD 2023 Unit Total Development Cost Limits Database</t>
  </si>
  <si>
    <t>HUD 2023 Unit HCC Limits Database</t>
  </si>
  <si>
    <t xml:space="preserve">Hard Cost Containment Worksheet:   The Hard Cost Containment Worksheet is comparable to HUD’ Estimate and Certificate of Cost that is certified by the developer.  LHC is requiring the Hard Cost Containment Worksheet to be completed by the developer’s Architect.  </t>
  </si>
  <si>
    <t xml:space="preserve">• Incremental Cost from Threshold Mandate Column: Absent policy mandate, LHC understands that the Hard Costs submitted in LHC’s LIHTC Application may have been lower without policy mandates.  This column is intended to have the Architect estimate the portion of the Hard Costs shown in the prior column attributable to policy mandates required by funding sources such as (i) LIHTCs under the QAP (including selection criteria scoring incentives selected by the developer), (ii) PRIME-3 Program (including selection criteria scoring incentives selected by the developer), and (iii) other funding sources evidenced in the project’s development budget sources of funds. </t>
  </si>
  <si>
    <t xml:space="preserve"> • Architect Estimated Cost Column: This column should be completed by the project’s architect to provide the costs of the Trade Items corresponding to the Hard Costs submitted in LHC’s Low-income Housing Tax Credit (LIHTC) Application.</t>
  </si>
  <si>
    <t>TDC Cost Containment Worksheet: The upper portion of TDC Cost Containment Worksheet identifies the name of the Project, parish location, development type, along with other information relating to limits on Developer Fee, Architect Fee, Builder Profit, Builder Overhead, General Requirements, and Syndication Costs that are used by LHC in completing a subsidy layering review (SLR) for projects allocated or allowed LIHTCs.</t>
  </si>
  <si>
    <t>tsqft</t>
  </si>
  <si>
    <t>Hud tsft</t>
  </si>
  <si>
    <t>HUD TDC/sqft Limit</t>
  </si>
  <si>
    <t>HUD HCC/SQFT Limit</t>
  </si>
  <si>
    <t>Total Hard Cost Contractor W/O Thresholds</t>
  </si>
  <si>
    <t>Summary</t>
  </si>
  <si>
    <t>Incremental Costs From Threshold Mandates</t>
  </si>
  <si>
    <t xml:space="preserve">Net Cost Without </t>
  </si>
  <si>
    <t xml:space="preserve">Incremental Cost From </t>
  </si>
  <si>
    <t>Net Cost without Threshold Mandates</t>
  </si>
  <si>
    <t>Amount over Limit</t>
  </si>
  <si>
    <t>IMPUTED HUD HCC / SQFT LIMIT</t>
  </si>
  <si>
    <t>Incremental Costs From Threshold Mandates / SQFT</t>
  </si>
  <si>
    <t>Net Cost without Threshold Mandates / SQFT</t>
  </si>
  <si>
    <t>HUD TDC LIMIT</t>
  </si>
  <si>
    <t>Hard Cost Containment</t>
  </si>
  <si>
    <t>Architect Estimate Total Costs</t>
  </si>
  <si>
    <t>Architect Estimate Total Costs / SQFT</t>
  </si>
  <si>
    <t>TDC Cost Containment</t>
  </si>
  <si>
    <t>Square footage</t>
  </si>
  <si>
    <t>HUD TDC/SQFT LIMIT</t>
  </si>
  <si>
    <t xml:space="preserve">Cost Containment Initiative
In a July 1, 2024 letter to the Louisiana Housing Corporation (LHC), Governor Jeff Landry asked for an increased emphasis on a robust cost containment policy in the proposed 2025 Qualified Allocation Plan (QAP).  
</t>
  </si>
  <si>
    <t xml:space="preserve">Following deferrals of two developments by the Louisiana State Bond Commission (SBC) involving the development of historic facilities located in New Orleans and after discussions with the SBC Executive Director and representatives from the Louisiana Legislative Auditor (LLA), LHC understands that no project to be financed with tax-exempt bonds requiring a volume cap allocation from the Governor’s Office will be placed on the SBC agenda for approval without the project having completed a cost containment analysis.  The cost containment analysis will review and analyze (i) costs of construction and/or rehabilitation (Hard Costs) and (ii) total development costs (TDC Costs).  The cost containment analysis will utilize as a baseline (i) the HUD 2023 Unit HCC Limits as the construction/rehabilitation cost base (Hard Cost Baseline) for evaluating construction costs that are specific to each geographical location throughout the State of Louisiana and (ii) the HUD 2023 Unit Total Development Cost Limits Database (HUD’s Database for evaluating total development costs limits (TDC Baseline) that are specific to geographical regions of the State of Louisiana.  </t>
  </si>
  <si>
    <t xml:space="preserve">HUD’s Database establishes Hard Cost Limits and Total Development Cost Limits on the basis of Unit Bedroom Size (i.e., Efficiency, 1-BR, 2-BR, 3-BR, 4-BR, 5-Br, and 6-BR) and Development Type (i.e., Detached/Semi-Detached, Row House, Walkup, and Elevator) for seven regions across the State of Louisiana (Alexandria, Baton Rouge, Lafayette, Lake Charles, Monroe, New Orleans, and Shreveport.  HUD’s Database takes into account climatic conditions which are assessed as standard, severe, and hostile. These conditions take into consideration insulation requirements, seismic zones, average wind speeds, radon producing areas, average annual snowfall, annual average number of days with hail, annual average total heating degree days, annual average total cooling degree days, and annual average frost penetration. HUD’s Database for Louisiana regions features the base structure for that climate with specific features subtracted and additional features added.  </t>
  </si>
  <si>
    <t xml:space="preserve">To facilitate the cost containment analysis for projects that have received approvals from LHC either for Community Development Block Grant Funds (CDBG Funds) in the PRIME-3 Program and/or for financing with tax-exempt multifamily housing revenue bonds (TE Bonds), LHC now requires each developer to use LHC’s Cost Containment Template to determine if the Hard Costs and TDC Costs for the project exceed either the Hard Cost Baseline and/or the TDC baseline.  </t>
  </si>
  <si>
    <t xml:space="preserve">LHC’s Cost Containment Template automatically computes the unique Hard Cost Baseline and Total Cost Baseline applicable to a project on the basis of the project’s Unit Bedroom Size mix, by its location within one of the seven areas of the State, and  on the basis of Development Type.  </t>
  </si>
  <si>
    <t xml:space="preserve">Cost Containment Worksheet.  These worksheets are to be used to input specified costs and/or cost reductions.  </t>
  </si>
  <si>
    <t xml:space="preserve">Certain cost values will be transferred automatically from LHC’s Low-income Housing Tax Credit (LIHTC) Application but the Architect and the Developer are instructed to reduce cost or to explain why a cost may not be reduced.  For example, if a funding source mandates a fortified roof that involves a cost above a standard roof cost, the Developer may state that the funding source mandates a cost for the fortified roof and thereafter input the additional cost above the standard roof cost in the column labeled “Incremental Cost From Threshold Mandate” in the Hard Cost Containment Worksheet.  Similarly, historic rehab projects may require compliance with rehabilitation standards by the State Historic Preservation Office (SHPO) that involves costs exceeding the renovation of a non-historic building.  Such additional costs above standard renovation costs may be evidenced as an Incremental Cost from Threshold Mandate in the Hard Cost Containment Worksheet. </t>
  </si>
  <si>
    <t xml:space="preserve">Hard Cost Containment Worksheet:   The Hard Cost Containment Worksheet is comparable to HUD’ Estimate and Certificate of Cost that is certified by the developer.  LHC is requiring the Hard Cost Containment Worksheet to be completed by the developer’s Architect.  LHC may accept completion of the Hard Cost Containment Worksheet by a general contractor licensed in the State of Louisiana.  </t>
  </si>
  <si>
    <r>
      <t>·</t>
    </r>
    <r>
      <rPr>
        <sz val="7"/>
        <color theme="1"/>
        <rFont val="Times New Roman"/>
        <family val="1"/>
      </rPr>
      <t xml:space="preserve">         </t>
    </r>
    <r>
      <rPr>
        <sz val="12"/>
        <color theme="1"/>
        <rFont val="Times New Roman"/>
        <family val="1"/>
      </rPr>
      <t>Architect Estimated Cost Column: This column should be completed by the project’s architect (or a general contractor approved by LHC) to provide the costs of the Trade Items corresponding to the Hard Costs submitted in LHC’s Low-income Housing Tax Credit (LIHTC) Application.</t>
    </r>
  </si>
  <si>
    <r>
      <t>·</t>
    </r>
    <r>
      <rPr>
        <sz val="7"/>
        <color theme="1"/>
        <rFont val="Times New Roman"/>
        <family val="1"/>
      </rPr>
      <t xml:space="preserve">         </t>
    </r>
    <r>
      <rPr>
        <sz val="12"/>
        <color theme="1"/>
        <rFont val="Times New Roman"/>
        <family val="1"/>
      </rPr>
      <t xml:space="preserve">Incremental Cost from Threshold Mandate Column: Absent policy mandate, LHC understands that the Hard Costs submitted in LHC’s LIHTC Application may have been lower without policy mandates.  This column is intended to have the Architect or general contractor estimate the portion of the Hard Costs shown in the prior column attributable to policy mandates required by funding sources such as (i) LIHTCs under the QAP (including selection criteria scoring incentives selected by the developer), (ii) PRIME-3 Program (including selection criteria scoring incentives selected by the developer), and (iii) other funding sources evidenced in the project’s development budget sources of funds. </t>
    </r>
  </si>
  <si>
    <r>
      <t>·</t>
    </r>
    <r>
      <rPr>
        <sz val="7"/>
        <color theme="1"/>
        <rFont val="Times New Roman"/>
        <family val="1"/>
      </rPr>
      <t xml:space="preserve">         </t>
    </r>
    <r>
      <rPr>
        <sz val="12"/>
        <color theme="1"/>
        <rFont val="Times New Roman"/>
        <family val="1"/>
      </rPr>
      <t xml:space="preserve">Cost without Threshold Mandate Column:  This column is automatically completed by LHC’s Cost Containment Template and represents a lower Hard Cost budget that would have existed but for policy mandates. </t>
    </r>
  </si>
  <si>
    <r>
      <t>·</t>
    </r>
    <r>
      <rPr>
        <sz val="7"/>
        <color theme="1"/>
        <rFont val="Times New Roman"/>
        <family val="1"/>
      </rPr>
      <t xml:space="preserve">         </t>
    </r>
    <r>
      <rPr>
        <sz val="12"/>
        <color theme="1"/>
        <rFont val="Times New Roman"/>
        <family val="1"/>
      </rPr>
      <t>Developer Comments:  The Developer may provide additional explanations as needed to explain why the Cost Without Threshold Mandate for any Trade Item may not be reduced any further causing the Cost Without Threshold Mandate to exceed the Hard Cost Baseline.</t>
    </r>
  </si>
  <si>
    <r>
      <t>·</t>
    </r>
    <r>
      <rPr>
        <sz val="7"/>
        <color theme="1"/>
        <rFont val="Times New Roman"/>
        <family val="1"/>
      </rPr>
      <t xml:space="preserve">         </t>
    </r>
    <r>
      <rPr>
        <sz val="12"/>
        <color theme="1"/>
        <rFont val="Times New Roman"/>
        <family val="1"/>
      </rPr>
      <t>Application Amount:  The TDC Cost Containment Worksheet extracts data values directly from the LIHTC Application in the column labeled Application Amount and represents the “Uses” component of the project’s Development Budget.</t>
    </r>
  </si>
  <si>
    <r>
      <t>·</t>
    </r>
    <r>
      <rPr>
        <sz val="7"/>
        <color theme="1"/>
        <rFont val="Times New Roman"/>
        <family val="1"/>
      </rPr>
      <t xml:space="preserve">         </t>
    </r>
    <r>
      <rPr>
        <sz val="12"/>
        <color theme="1"/>
        <rFont val="Times New Roman"/>
        <family val="1"/>
      </rPr>
      <t>Post Application Adjustments:  This column permits the Developer to evidence an adjustment of the Application Amount extracted directly from the LIHTC Application to reduce the Development Budget to approximate the TDC Baseline.</t>
    </r>
  </si>
  <si>
    <r>
      <t>·</t>
    </r>
    <r>
      <rPr>
        <sz val="7"/>
        <color theme="1"/>
        <rFont val="Times New Roman"/>
        <family val="1"/>
      </rPr>
      <t xml:space="preserve">         </t>
    </r>
    <r>
      <rPr>
        <sz val="12"/>
        <color theme="1"/>
        <rFont val="Times New Roman"/>
        <family val="1"/>
      </rPr>
      <t>Delta: This column automatically computes the value reductions that the Developer proposed and is the difference between the Application Amount and the Post Application Adjustments.</t>
    </r>
  </si>
  <si>
    <r>
      <t>·</t>
    </r>
    <r>
      <rPr>
        <sz val="7"/>
        <color theme="1"/>
        <rFont val="Times New Roman"/>
        <family val="1"/>
      </rPr>
      <t xml:space="preserve">         </t>
    </r>
    <r>
      <rPr>
        <sz val="12"/>
        <color theme="1"/>
        <rFont val="Times New Roman"/>
        <family val="1"/>
      </rPr>
      <t>Developer Comments:  This column permits the Developer to provide additional explanations as needed as to why a cost item may not be reduced.</t>
    </r>
  </si>
  <si>
    <t>Summary Tab:  The Summary Tab is self-explanatory and automatically reports the HUD HCC Limit and HUD TDC Limit unique to the project and data pulled from the Hard Cost Containment Worksheet and TDC Cost Containment Worksheet after the Developer completes each of the foregoing Worksheets.  The Summary tab identifies how much the project is over the HUD HCC Limit and HUD TDC Limit applicable to the project.</t>
  </si>
  <si>
    <t>Ensure the cost reduction template year matches the year of the LIHTC application</t>
  </si>
  <si>
    <t>Click change source and then link to the LIHTC application to pull data</t>
  </si>
  <si>
    <t>Save cost reduction template when complete</t>
  </si>
  <si>
    <t>From the instructions tab, go to the top ribbon, go to data and then edit links</t>
  </si>
  <si>
    <t>Total HCC W/O Thresholds/SQFT</t>
  </si>
  <si>
    <t>Post App. Adjusted TDC</t>
  </si>
  <si>
    <t>Adjusted TDC/sqft</t>
  </si>
  <si>
    <t>Application Adjusted TDC</t>
  </si>
  <si>
    <t xml:space="preserve">Post Application Adjusted TDC </t>
  </si>
  <si>
    <t>Post Application Adjusted TDC / SQFT</t>
  </si>
  <si>
    <t>Application Adjusted TDC / SQFT</t>
  </si>
  <si>
    <t>Go to Adjusted TDC Cost Containment tab and complete any/all green fill cells</t>
  </si>
  <si>
    <t>Go to HCC Cost Containment tab and complete any/all green fill cells</t>
  </si>
  <si>
    <t xml:space="preserve"> Material costs have significantly increased since the last publication of TDCs.</t>
  </si>
  <si>
    <t xml:space="preserve"> Site acquisition costs are unusual.</t>
  </si>
  <si>
    <t xml:space="preserve"> Transportation costs of materials have increased since the last publication of TDCs.</t>
  </si>
  <si>
    <t xml:space="preserve"> Natural disasters occurring after the last TDC publication date have caused an increase in material, shipping, labor, and other construction costs.</t>
  </si>
  <si>
    <t xml:space="preserve"> Special local conditions exist that result in higher construction costs as verified by historical cost data for building affordable housing in their community.</t>
  </si>
  <si>
    <t xml:space="preserve"> Significant additional costs for incorporating green building, energy efficiency or other innovative practices,</t>
  </si>
  <si>
    <t>a.</t>
  </si>
  <si>
    <t>b.</t>
  </si>
  <si>
    <t>c.</t>
  </si>
  <si>
    <t>d.</t>
  </si>
  <si>
    <t>e.</t>
  </si>
  <si>
    <t>f.</t>
  </si>
  <si>
    <t>The 2023 HUD Limits in the Cost Containment Template utilize Marshall &amp; Swift and R.S. Means Co construction cost indices for “moderately designed housing”!  Moderate design is defined in the HUD Notice: PIH-2024-28 as “housing that is of a size and with amenities consistent with unassisted housing offered for sale in the Tribe’s general geographic area to buyers who are at or below the area median income.”  Affordable rental housing units financed with 4% credits are never above 80% of area median income.  HUD provides for a process to waive those limits upon request.  If not waived following a request,  a housing project exceeding those limits is not deemed by HUD to be affordable housing. As stated in HUD Notice: PIH-2024-28, variance submission requirements must identify the variance requested and include a justification.  Relevant information to include in the justification to support a variance can include, but is not limited to, documentation demonstrating:</t>
  </si>
  <si>
    <t>g</t>
  </si>
  <si>
    <t>Other</t>
  </si>
  <si>
    <t>g.</t>
  </si>
  <si>
    <t>Above HUD Moderate Design:</t>
  </si>
  <si>
    <t>Total Above HUD Moderate Design:</t>
  </si>
  <si>
    <t>Appraisal Date :</t>
  </si>
  <si>
    <t>Appraisal Amount :</t>
  </si>
  <si>
    <t xml:space="preserve">Incremental costs should include, but are not limited to the following:  Material costs that have significantly increased since the last publication of TDCs,  Site acquisition costs that  are unusual,   Transportation costs of materials that have increased since the last publication of TDCs,  Natural disasters occurring after the last TDC publication date that have caused an increase in material, shipping, labor, and other construction costs,   Special local conditions exist that result in higher construction costs as verified by historical cost data for building affordable housing in their community,  Significant additional costs for incorporating green building, energy efficiency or other innovative practices, and other reasons to be detailed.
</t>
  </si>
  <si>
    <t>TOTAL HARD COST</t>
  </si>
  <si>
    <t>Less Reserves</t>
  </si>
  <si>
    <t>Less Construction Costs Due to threshold Mandates</t>
  </si>
  <si>
    <t>From Hard Cost Containment Tab</t>
  </si>
  <si>
    <t>Less Community Service Facility Costs</t>
  </si>
  <si>
    <t>Less Community Facilities Costs</t>
  </si>
  <si>
    <t>TDC From Application</t>
  </si>
  <si>
    <t>I. Application and Allocation Fees for Bonds and Tax Credits</t>
  </si>
  <si>
    <t>a. Tax Credit Application Fees</t>
  </si>
  <si>
    <t>b. Tax Credit Allocation Fees</t>
  </si>
  <si>
    <t>c. Bond Application Fees to Issuer</t>
  </si>
  <si>
    <t>d. Bond Application Fees to State Bond Commission</t>
  </si>
  <si>
    <t>e. Subordinate Loan Application Fees</t>
  </si>
  <si>
    <t>II. Bond Issuance Costs</t>
  </si>
  <si>
    <t>a. Bond Counsel</t>
  </si>
  <si>
    <t>b. Bond Issuer Counsel</t>
  </si>
  <si>
    <t>c. Bond Issuer Financing Fee</t>
  </si>
  <si>
    <t>d. State Bond Commission Fee</t>
  </si>
  <si>
    <t>e. Trustee Fee</t>
  </si>
  <si>
    <t>f. Trustee Counsel Fee</t>
  </si>
  <si>
    <t>a. Subordinate Lenders Financing Fee</t>
  </si>
  <si>
    <t>b. Subordinate Lender Counsel Fee</t>
  </si>
  <si>
    <t>c. Subordinate Loan Document Recording Costs</t>
  </si>
  <si>
    <t>IV. Tax Credit Equity Costs</t>
  </si>
  <si>
    <t>a. Syndication Fee</t>
  </si>
  <si>
    <t>b. Equity Counsel Fee</t>
  </si>
  <si>
    <t>c. CPA Certification of 50% Test</t>
  </si>
  <si>
    <t>Subtotal</t>
  </si>
  <si>
    <t>Less Costs Associated with Complex Layered Financing</t>
  </si>
  <si>
    <t>Post Application Adjusted TDC</t>
  </si>
  <si>
    <t>Total Costs Associated with Complex Layered Financing</t>
  </si>
  <si>
    <t>Enter below as  negative numbers</t>
  </si>
  <si>
    <t>Adjusted TDC</t>
  </si>
  <si>
    <t>Total Square footage</t>
  </si>
  <si>
    <t>V. Developer Fee Associated with Complex Layered Financing</t>
  </si>
  <si>
    <t>App adj TDC</t>
  </si>
  <si>
    <t>III. Subordinate Loan Costs</t>
  </si>
  <si>
    <t>d. Bridge Loan Costs</t>
  </si>
  <si>
    <t>VI. Other (Subject to LHC Approval)</t>
  </si>
  <si>
    <t>4.2</t>
  </si>
  <si>
    <t>Orleans</t>
  </si>
  <si>
    <t>All concrete for the project housing unit construction, raised slab</t>
  </si>
  <si>
    <t>SWPPP</t>
  </si>
  <si>
    <t>Metal Studs</t>
  </si>
  <si>
    <t>Rough capentry/framing</t>
  </si>
  <si>
    <t xml:space="preserve">Finish Capentry </t>
  </si>
  <si>
    <t>Waterproofing and Exterior Caulking</t>
  </si>
  <si>
    <t>Batt Insulation</t>
  </si>
  <si>
    <t>Metal Roofing/Roofing</t>
  </si>
  <si>
    <t>Doors and hardware</t>
  </si>
  <si>
    <t>Windows (Weather Shield windows)</t>
  </si>
  <si>
    <t>Glass and Glazing</t>
  </si>
  <si>
    <t>Gypsum board</t>
  </si>
  <si>
    <t>Vinyl Plank Flooring</t>
  </si>
  <si>
    <t>Painting</t>
  </si>
  <si>
    <t>Elevators</t>
  </si>
  <si>
    <t>HVAC</t>
  </si>
  <si>
    <t>Site Preparation and Earthwork</t>
  </si>
  <si>
    <t>Site Utilities</t>
  </si>
  <si>
    <t>Builder Overhead</t>
  </si>
  <si>
    <t xml:space="preserve">Builder Proft </t>
  </si>
  <si>
    <t>Design Fees</t>
  </si>
  <si>
    <t>Performance and Payment Bonds</t>
  </si>
  <si>
    <t>Cabinets and countertops</t>
  </si>
  <si>
    <t xml:space="preserve">Appliances for each unit, </t>
  </si>
  <si>
    <t>Plumbing and fire protection</t>
  </si>
  <si>
    <t xml:space="preserve">All </t>
  </si>
  <si>
    <t xml:space="preserve"> Heat and Ventilation and Air Conditioning</t>
  </si>
  <si>
    <t>Electrical (Energy Efficient lighting fixture package)</t>
  </si>
  <si>
    <t>Permit costs; construction material testing; Insurance</t>
  </si>
  <si>
    <t xml:space="preserve">All costs for construction of Baronne Lofts are required to complete the public bid process per Louisiana state statues because the use of public funds. Davis Bacon wages are also required because of potential federal funding program (HOME/CDBG, etc). </t>
  </si>
  <si>
    <t>Baronne Lofts</t>
  </si>
  <si>
    <t>Contractor Comments</t>
  </si>
  <si>
    <t>Building permit cost, test &amp; inspection costs, builder's risk insurance cost</t>
  </si>
  <si>
    <t>Architect fees are NOT inlcuded in our cost</t>
  </si>
  <si>
    <t>PEC includes install only</t>
  </si>
  <si>
    <t>Includes electrical package, fire alarm system, generator, CCTV, &amp; access control system</t>
  </si>
  <si>
    <t>Batt &amp; spray foam insulation</t>
  </si>
  <si>
    <t>Assuming this is acoustical ceilings</t>
  </si>
  <si>
    <t>Structural steel, handrails, guardrails, metal studs, &amp; metal trusses</t>
  </si>
  <si>
    <t>All division 10 items</t>
  </si>
  <si>
    <t>Trash chute</t>
  </si>
  <si>
    <t xml:space="preserve">Parking striping, unit pavers, fencing, &amp; site furnishings </t>
  </si>
  <si>
    <t>Site prep/earthwork &amp; pile driving</t>
  </si>
  <si>
    <t>Site utilities, utility taps and connection fees, &amp; storm drainage</t>
  </si>
  <si>
    <t>PEC personelle, allowances, jobsite trailer, storage container, equipment, general jobsite requirements, etc.</t>
  </si>
  <si>
    <t>Rough carpentry &amp; wood blocking</t>
  </si>
  <si>
    <t>Figuring this means metal roofing</t>
  </si>
  <si>
    <t>Doors, frames, &amp; hardware, pre-hung doors, &amp; install</t>
  </si>
  <si>
    <t>Cabinets &amp; countertops</t>
  </si>
  <si>
    <t>Plumbing &amp; sprinkler system</t>
  </si>
  <si>
    <t>See PEC's SOV - all misc. items are in green</t>
  </si>
  <si>
    <t xml:space="preserve">Cost Analysis </t>
  </si>
  <si>
    <t>Square Footage</t>
  </si>
  <si>
    <r>
      <t xml:space="preserve">Housing Construction Cost </t>
    </r>
    <r>
      <rPr>
        <sz val="11"/>
        <color theme="1"/>
        <rFont val="Times New Roman"/>
        <family val="1"/>
      </rPr>
      <t>(See "Hard Cost Containment" Attached)</t>
    </r>
  </si>
  <si>
    <t xml:space="preserve">   Incremental Costs From Threshold Mandates</t>
  </si>
  <si>
    <t>Amount Over (Under) Limit</t>
  </si>
  <si>
    <r>
      <t xml:space="preserve">Total Development Cost </t>
    </r>
    <r>
      <rPr>
        <sz val="11"/>
        <color theme="1"/>
        <rFont val="Times New Roman"/>
        <family val="1"/>
      </rPr>
      <t>(See "Adjusted TDC Cost Containment" Attached)</t>
    </r>
  </si>
  <si>
    <t>Application TDC</t>
  </si>
  <si>
    <t xml:space="preserve">   Incremental Hard Costs From Threshold Mandates</t>
  </si>
  <si>
    <t xml:space="preserve">   Community Facilities &amp; Reserves</t>
  </si>
  <si>
    <t xml:space="preserve">    Bond and Tax Credit Financing and Other Soft Costs</t>
  </si>
  <si>
    <t xml:space="preserve">   Developer Fee</t>
  </si>
  <si>
    <t>Baronne Lofts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</si>
</sst>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0_);\(&quot;$&quot;#,##0\)"/>
    <numFmt numFmtId="44" formatCode="_(&quot;$&quot;* #,##0.00_);_(&quot;$&quot;* \(#,##0.00\);_(&quot;$&quot;* &quot;-&quot;??_);_(@_)"/>
    <numFmt numFmtId="43" formatCode="_(* #,##0.00_);_(* \(#,##0.00\);_(* &quot;-&quot;??_);_(@_)"/>
    <numFmt numFmtId="164" formatCode="&quot;$&quot;#,##0"/>
    <numFmt numFmtId="165" formatCode="_(* #,##0_);_(* \(#,##0\);_(* &quot;-&quot;??_);_(@_)"/>
    <numFmt numFmtId="166" formatCode="dd\-mmm\-yy_)"/>
    <numFmt numFmtId="167" formatCode="hh:mm\ AM/PM_)"/>
    <numFmt numFmtId="168" formatCode="_(&quot;$&quot;* #,##0_);_(&quot;$&quot;* \(#,##0\);_(&quot;$&quot;* &quot;-&quot;??_);_(@_)"/>
    <numFmt numFmtId="169" formatCode="_([$$-409]* #,##0_);_([$$-409]* \(#,##0\);_([$$-409]* &quot;-&quot;??_);_(@_)"/>
  </numFmts>
  <fonts count="46">
    <font>
      <sz val="11"/>
      <color theme="1"/>
      <name val="Calibri"/>
      <family val="2"/>
      <scheme val="minor"/>
    </font>
    <font>
      <sz val="10"/>
      <name val="Times New Roman"/>
      <family val="1"/>
    </font>
    <font>
      <sz val="14"/>
      <color theme="1"/>
      <name val="Times New Roman"/>
      <family val="1"/>
    </font>
    <font>
      <sz val="12"/>
      <color theme="1"/>
      <name val="Times New Roman"/>
      <family val="1"/>
    </font>
    <font>
      <b/>
      <sz val="12"/>
      <color theme="1"/>
      <name val="Times New Roman"/>
      <family val="1"/>
    </font>
    <font>
      <b/>
      <sz val="12"/>
      <name val="Times New Roman"/>
      <family val="1"/>
    </font>
    <font>
      <sz val="12"/>
      <name val="Times New Roman"/>
      <family val="1"/>
    </font>
    <font>
      <sz val="11"/>
      <color theme="1"/>
      <name val="Calibri"/>
      <family val="2"/>
      <scheme val="minor"/>
    </font>
    <font>
      <b/>
      <sz val="11"/>
      <color theme="1"/>
      <name val="Calibri"/>
      <family val="2"/>
      <scheme val="minor"/>
    </font>
    <font>
      <b/>
      <sz val="16"/>
      <color theme="1"/>
      <name val="Calibri"/>
      <family val="2"/>
      <scheme val="minor"/>
    </font>
    <font>
      <i/>
      <sz val="11"/>
      <color theme="1"/>
      <name val="Calibri"/>
      <family val="2"/>
      <scheme val="minor"/>
    </font>
    <font>
      <u/>
      <sz val="11"/>
      <color theme="10"/>
      <name val="Calibri"/>
      <family val="2"/>
      <scheme val="minor"/>
    </font>
    <font>
      <i/>
      <sz val="11"/>
      <color theme="1"/>
      <name val="Times New Roman"/>
      <family val="1"/>
    </font>
    <font>
      <sz val="12"/>
      <color rgb="FF0070C0"/>
      <name val="Times New Roman"/>
      <family val="1"/>
    </font>
    <font>
      <i/>
      <sz val="12"/>
      <color theme="1"/>
      <name val="Times New Roman"/>
      <family val="1"/>
    </font>
    <font>
      <i/>
      <sz val="10"/>
      <color theme="1"/>
      <name val="Times New Roman"/>
      <family val="1"/>
    </font>
    <font>
      <b/>
      <sz val="14"/>
      <color theme="1"/>
      <name val="Times New Roman"/>
      <family val="1"/>
    </font>
    <font>
      <b/>
      <i/>
      <sz val="12"/>
      <color rgb="FFFF0000"/>
      <name val="Times New Roman"/>
      <family val="1"/>
    </font>
    <font>
      <i/>
      <sz val="8"/>
      <color theme="1"/>
      <name val="Times New Roman"/>
      <family val="1"/>
    </font>
    <font>
      <i/>
      <sz val="14"/>
      <color rgb="FFFF0000"/>
      <name val="Times New Roman"/>
      <family val="1"/>
    </font>
    <font>
      <sz val="12"/>
      <name val="Arial"/>
      <family val="2"/>
    </font>
    <font>
      <b/>
      <sz val="18"/>
      <name val="Times New Roman"/>
      <family val="1"/>
    </font>
    <font>
      <sz val="6"/>
      <name val="Times New Roman"/>
      <family val="1"/>
    </font>
    <font>
      <sz val="6"/>
      <name val="Arrus BT"/>
    </font>
    <font>
      <sz val="10"/>
      <name val="Arial"/>
      <family val="2"/>
    </font>
    <font>
      <i/>
      <sz val="8"/>
      <name val="Times New Roman"/>
      <family val="1"/>
    </font>
    <font>
      <sz val="10"/>
      <color rgb="FF0070C0"/>
      <name val="Times New Roman"/>
      <family val="1"/>
    </font>
    <font>
      <i/>
      <sz val="14"/>
      <name val="Times New Roman"/>
      <family val="1"/>
    </font>
    <font>
      <sz val="14"/>
      <color theme="9" tint="0.79998168889431442"/>
      <name val="Times New Roman"/>
      <family val="1"/>
    </font>
    <font>
      <sz val="18"/>
      <color theme="1"/>
      <name val="Calibri"/>
      <family val="2"/>
      <scheme val="minor"/>
    </font>
    <font>
      <sz val="16"/>
      <color theme="1"/>
      <name val="Times New Roman"/>
      <family val="1"/>
    </font>
    <font>
      <sz val="16"/>
      <color theme="1"/>
      <name val="Calibri"/>
      <family val="2"/>
      <scheme val="minor"/>
    </font>
    <font>
      <i/>
      <sz val="16"/>
      <color theme="1"/>
      <name val="Times New Roman"/>
      <family val="1"/>
    </font>
    <font>
      <i/>
      <sz val="12"/>
      <name val="Arial"/>
      <family val="2"/>
    </font>
    <font>
      <i/>
      <sz val="12"/>
      <name val="Times New Roman"/>
      <family val="1"/>
    </font>
    <font>
      <b/>
      <sz val="10"/>
      <color theme="1"/>
      <name val="Times New Roman"/>
      <family val="1"/>
    </font>
    <font>
      <sz val="10"/>
      <color theme="1"/>
      <name val="Times New Roman"/>
      <family val="1"/>
    </font>
    <font>
      <b/>
      <sz val="16"/>
      <color theme="1"/>
      <name val="Times New Roman"/>
      <family val="1"/>
    </font>
    <font>
      <sz val="12"/>
      <color theme="1"/>
      <name val="Symbol"/>
      <family val="1"/>
      <charset val="2"/>
    </font>
    <font>
      <sz val="7"/>
      <color theme="1"/>
      <name val="Times New Roman"/>
      <family val="1"/>
    </font>
    <font>
      <sz val="12"/>
      <color rgb="FFFF0000"/>
      <name val="Times New Roman"/>
      <family val="1"/>
    </font>
    <font>
      <sz val="11"/>
      <name val="Times New Roman"/>
      <family val="1"/>
    </font>
    <font>
      <sz val="11"/>
      <name val="Arial"/>
      <family val="2"/>
    </font>
    <font>
      <sz val="11"/>
      <color rgb="FF0070C0"/>
      <name val="Times New Roman"/>
      <family val="1"/>
    </font>
    <font>
      <b/>
      <sz val="11"/>
      <color theme="1"/>
      <name val="Times New Roman"/>
      <family val="1"/>
    </font>
    <font>
      <sz val="11"/>
      <color theme="1"/>
      <name val="Times New Roman"/>
      <family val="1"/>
    </font>
  </fonts>
  <fills count="10">
    <fill>
      <patternFill patternType="none"/>
    </fill>
    <fill>
      <patternFill patternType="gray125"/>
    </fill>
    <fill>
      <patternFill patternType="solid">
        <fgColor indexed="43"/>
        <bgColor indexed="64"/>
      </patternFill>
    </fill>
    <fill>
      <patternFill patternType="solid">
        <fgColor theme="0"/>
        <bgColor indexed="64"/>
      </patternFill>
    </fill>
    <fill>
      <patternFill patternType="solid">
        <fgColor theme="8" tint="0.79998168889431442"/>
        <bgColor indexed="64"/>
      </patternFill>
    </fill>
    <fill>
      <patternFill patternType="solid">
        <fgColor theme="5" tint="0.79998168889431442"/>
        <bgColor indexed="64"/>
      </patternFill>
    </fill>
    <fill>
      <patternFill patternType="gray0625">
        <fgColor indexed="22"/>
      </patternFill>
    </fill>
    <fill>
      <patternFill patternType="solid">
        <fgColor theme="9" tint="0.79998168889431442"/>
        <bgColor indexed="64"/>
      </patternFill>
    </fill>
    <fill>
      <patternFill patternType="solid">
        <fgColor rgb="FFFFC000"/>
        <bgColor indexed="64"/>
      </patternFill>
    </fill>
    <fill>
      <patternFill patternType="solid">
        <fgColor theme="2" tint="-9.9978637043366805E-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n">
        <color indexed="64"/>
      </left>
      <right style="thin">
        <color indexed="64"/>
      </right>
      <top style="thin">
        <color indexed="64"/>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ck">
        <color auto="1"/>
      </bottom>
      <diagonal/>
    </border>
    <border>
      <left style="thick">
        <color auto="1"/>
      </left>
      <right style="thin">
        <color indexed="64"/>
      </right>
      <top/>
      <bottom style="thick">
        <color auto="1"/>
      </bottom>
      <diagonal/>
    </border>
    <border>
      <left style="thick">
        <color auto="1"/>
      </left>
      <right style="thin">
        <color indexed="64"/>
      </right>
      <top/>
      <bottom/>
      <diagonal/>
    </border>
    <border>
      <left style="thin">
        <color indexed="64"/>
      </left>
      <right/>
      <top/>
      <bottom/>
      <diagonal/>
    </border>
    <border>
      <left style="thin">
        <color indexed="64"/>
      </left>
      <right/>
      <top/>
      <bottom style="thick">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n">
        <color auto="1"/>
      </right>
      <top style="thin">
        <color auto="1"/>
      </top>
      <bottom style="thick">
        <color auto="1"/>
      </bottom>
      <diagonal/>
    </border>
    <border>
      <left style="double">
        <color indexed="8"/>
      </left>
      <right/>
      <top/>
      <bottom/>
      <diagonal/>
    </border>
    <border>
      <left/>
      <right style="double">
        <color indexed="8"/>
      </right>
      <top/>
      <bottom/>
      <diagonal/>
    </border>
    <border>
      <left/>
      <right style="thin">
        <color indexed="8"/>
      </right>
      <top style="thin">
        <color indexed="8"/>
      </top>
      <bottom/>
      <diagonal/>
    </border>
    <border>
      <left/>
      <right style="double">
        <color indexed="8"/>
      </right>
      <top style="thin">
        <color indexed="8"/>
      </top>
      <bottom/>
      <diagonal/>
    </border>
    <border>
      <left/>
      <right style="thin">
        <color indexed="8"/>
      </right>
      <top/>
      <bottom style="thin">
        <color indexed="8"/>
      </bottom>
      <diagonal/>
    </border>
    <border>
      <left/>
      <right style="double">
        <color indexed="8"/>
      </right>
      <top/>
      <bottom style="thin">
        <color indexed="8"/>
      </bottom>
      <diagonal/>
    </border>
    <border>
      <left/>
      <right style="thin">
        <color indexed="8"/>
      </right>
      <top/>
      <bottom style="dotted">
        <color indexed="8"/>
      </bottom>
      <diagonal/>
    </border>
    <border>
      <left/>
      <right style="double">
        <color indexed="8"/>
      </right>
      <top/>
      <bottom style="dotted">
        <color indexed="8"/>
      </bottom>
      <diagonal/>
    </border>
    <border>
      <left/>
      <right style="thin">
        <color indexed="8"/>
      </right>
      <top/>
      <bottom/>
      <diagonal/>
    </border>
    <border>
      <left/>
      <right style="thin">
        <color indexed="8"/>
      </right>
      <top style="dotted">
        <color indexed="8"/>
      </top>
      <bottom style="double">
        <color indexed="8"/>
      </bottom>
      <diagonal/>
    </border>
    <border>
      <left/>
      <right style="double">
        <color indexed="8"/>
      </right>
      <top style="dotted">
        <color indexed="8"/>
      </top>
      <bottom style="double">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bottom style="dotted">
        <color indexed="8"/>
      </bottom>
      <diagonal/>
    </border>
    <border>
      <left style="thin">
        <color indexed="8"/>
      </left>
      <right style="thin">
        <color indexed="8"/>
      </right>
      <top/>
      <bottom/>
      <diagonal/>
    </border>
    <border>
      <left style="thin">
        <color indexed="8"/>
      </left>
      <right style="thin">
        <color indexed="8"/>
      </right>
      <top style="dotted">
        <color indexed="8"/>
      </top>
      <bottom style="thin">
        <color indexed="8"/>
      </bottom>
      <diagonal/>
    </border>
    <border>
      <left/>
      <right style="thin">
        <color indexed="8"/>
      </right>
      <top style="dotted">
        <color indexed="8"/>
      </top>
      <bottom style="thin">
        <color indexed="8"/>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bottom style="thin">
        <color auto="1"/>
      </bottom>
      <diagonal/>
    </border>
    <border>
      <left style="thick">
        <color theme="1" tint="4.9989318521683403E-2"/>
      </left>
      <right/>
      <top style="thick">
        <color theme="1" tint="4.9989318521683403E-2"/>
      </top>
      <bottom/>
      <diagonal/>
    </border>
    <border>
      <left/>
      <right/>
      <top style="thick">
        <color theme="1" tint="4.9989318521683403E-2"/>
      </top>
      <bottom/>
      <diagonal/>
    </border>
    <border>
      <left/>
      <right style="thick">
        <color theme="1" tint="4.9989318521683403E-2"/>
      </right>
      <top style="thick">
        <color theme="1" tint="4.9989318521683403E-2"/>
      </top>
      <bottom/>
      <diagonal/>
    </border>
    <border>
      <left style="thick">
        <color theme="1" tint="4.9989318521683403E-2"/>
      </left>
      <right/>
      <top/>
      <bottom/>
      <diagonal/>
    </border>
    <border>
      <left/>
      <right style="thick">
        <color theme="1" tint="4.9989318521683403E-2"/>
      </right>
      <top/>
      <bottom/>
      <diagonal/>
    </border>
    <border>
      <left style="thick">
        <color theme="1" tint="4.9989318521683403E-2"/>
      </left>
      <right/>
      <top/>
      <bottom style="thick">
        <color theme="1" tint="4.9989318521683403E-2"/>
      </bottom>
      <diagonal/>
    </border>
    <border>
      <left/>
      <right/>
      <top/>
      <bottom style="thick">
        <color theme="1" tint="4.9989318521683403E-2"/>
      </bottom>
      <diagonal/>
    </border>
    <border>
      <left/>
      <right style="thick">
        <color theme="1" tint="4.9989318521683403E-2"/>
      </right>
      <top/>
      <bottom style="thick">
        <color theme="1" tint="4.9989318521683403E-2"/>
      </bottom>
      <diagonal/>
    </border>
    <border>
      <left style="thin">
        <color theme="1" tint="4.9989318521683403E-2"/>
      </left>
      <right/>
      <top style="thin">
        <color theme="1" tint="4.9989318521683403E-2"/>
      </top>
      <bottom style="thin">
        <color theme="1" tint="4.9989318521683403E-2"/>
      </bottom>
      <diagonal/>
    </border>
    <border>
      <left/>
      <right/>
      <top style="thin">
        <color theme="1" tint="4.9989318521683403E-2"/>
      </top>
      <bottom style="thin">
        <color theme="1" tint="4.9989318521683403E-2"/>
      </bottom>
      <diagonal/>
    </border>
    <border>
      <left/>
      <right style="thin">
        <color theme="1" tint="4.9989318521683403E-2"/>
      </right>
      <top style="thin">
        <color theme="1" tint="4.9989318521683403E-2"/>
      </top>
      <bottom style="thin">
        <color theme="1" tint="4.9989318521683403E-2"/>
      </bottom>
      <diagonal/>
    </border>
    <border>
      <left style="thin">
        <color auto="1"/>
      </left>
      <right/>
      <top/>
      <bottom/>
      <diagonal/>
    </border>
    <border>
      <left/>
      <right style="thin">
        <color auto="1"/>
      </right>
      <top/>
      <bottom/>
      <diagonal/>
    </border>
    <border>
      <left style="thin">
        <color indexed="8"/>
      </left>
      <right style="thin">
        <color indexed="8"/>
      </right>
      <top style="thin">
        <color indexed="8"/>
      </top>
      <bottom style="thin">
        <color indexed="8"/>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theme="1" tint="4.9989318521683403E-2"/>
      </top>
      <bottom style="thin">
        <color indexed="64"/>
      </bottom>
      <diagonal/>
    </border>
    <border>
      <left/>
      <right/>
      <top style="thin">
        <color theme="1" tint="4.9989318521683403E-2"/>
      </top>
      <bottom style="thin">
        <color indexed="64"/>
      </bottom>
      <diagonal/>
    </border>
    <border>
      <left/>
      <right style="thin">
        <color indexed="64"/>
      </right>
      <top style="thin">
        <color theme="1" tint="4.9989318521683403E-2"/>
      </top>
      <bottom style="thin">
        <color indexed="64"/>
      </bottom>
      <diagonal/>
    </border>
  </borders>
  <cellStyleXfs count="5">
    <xf numFmtId="0" fontId="0" fillId="0" borderId="0"/>
    <xf numFmtId="0" fontId="1" fillId="0" borderId="0"/>
    <xf numFmtId="43" fontId="7" fillId="0" borderId="0" applyFont="0" applyFill="0" applyBorder="0" applyAlignment="0" applyProtection="0"/>
    <xf numFmtId="0" fontId="11" fillId="0" borderId="0" applyNumberFormat="0" applyFill="0" applyBorder="0" applyAlignment="0" applyProtection="0"/>
    <xf numFmtId="0" fontId="20" fillId="0" borderId="0"/>
  </cellStyleXfs>
  <cellXfs count="287">
    <xf numFmtId="0" fontId="0" fillId="0" borderId="0" xfId="0"/>
    <xf numFmtId="44" fontId="2" fillId="0" borderId="0" xfId="0" applyNumberFormat="1" applyFont="1"/>
    <xf numFmtId="44" fontId="3" fillId="0" borderId="0" xfId="0" applyNumberFormat="1" applyFont="1"/>
    <xf numFmtId="44" fontId="4" fillId="0" borderId="0" xfId="0" applyNumberFormat="1" applyFont="1"/>
    <xf numFmtId="2" fontId="3" fillId="0" borderId="0" xfId="0" applyNumberFormat="1" applyFont="1" applyAlignment="1">
      <alignment horizontal="left"/>
    </xf>
    <xf numFmtId="0" fontId="9" fillId="3" borderId="0" xfId="0" applyFont="1" applyFill="1"/>
    <xf numFmtId="0" fontId="8" fillId="4" borderId="0" xfId="0" applyFont="1" applyFill="1"/>
    <xf numFmtId="0" fontId="8" fillId="4" borderId="0" xfId="0" applyFont="1" applyFill="1" applyAlignment="1">
      <alignment horizontal="center"/>
    </xf>
    <xf numFmtId="0" fontId="0" fillId="3" borderId="0" xfId="0" applyFill="1"/>
    <xf numFmtId="0" fontId="0" fillId="5" borderId="0" xfId="0" applyFill="1"/>
    <xf numFmtId="0" fontId="10" fillId="3" borderId="0" xfId="0" applyFont="1" applyFill="1"/>
    <xf numFmtId="0" fontId="11" fillId="0" borderId="0" xfId="3"/>
    <xf numFmtId="0" fontId="0" fillId="0" borderId="0" xfId="0" applyAlignment="1">
      <alignment horizontal="center"/>
    </xf>
    <xf numFmtId="0" fontId="0" fillId="3" borderId="0" xfId="0" applyFill="1" applyAlignment="1">
      <alignment horizontal="center"/>
    </xf>
    <xf numFmtId="44" fontId="4" fillId="0" borderId="0" xfId="0" applyNumberFormat="1" applyFont="1" applyAlignment="1">
      <alignment horizontal="center"/>
    </xf>
    <xf numFmtId="165" fontId="0" fillId="0" borderId="0" xfId="2" applyNumberFormat="1" applyFont="1" applyAlignment="1">
      <alignment horizontal="center"/>
    </xf>
    <xf numFmtId="165" fontId="0" fillId="0" borderId="0" xfId="2" applyNumberFormat="1" applyFont="1"/>
    <xf numFmtId="37" fontId="0" fillId="0" borderId="0" xfId="0" applyNumberFormat="1" applyAlignment="1">
      <alignment horizontal="center"/>
    </xf>
    <xf numFmtId="5" fontId="0" fillId="0" borderId="0" xfId="0" applyNumberFormat="1" applyAlignment="1">
      <alignment horizontal="center"/>
    </xf>
    <xf numFmtId="165" fontId="8" fillId="0" borderId="0" xfId="2" applyNumberFormat="1" applyFont="1" applyAlignment="1">
      <alignment horizontal="center"/>
    </xf>
    <xf numFmtId="0" fontId="8" fillId="0" borderId="0" xfId="0" applyFont="1" applyAlignment="1">
      <alignment horizontal="center"/>
    </xf>
    <xf numFmtId="1" fontId="3" fillId="0" borderId="0" xfId="0" applyNumberFormat="1" applyFont="1" applyAlignment="1">
      <alignment horizontal="center"/>
    </xf>
    <xf numFmtId="44" fontId="3" fillId="0" borderId="8" xfId="0" applyNumberFormat="1" applyFont="1" applyBorder="1"/>
    <xf numFmtId="44" fontId="12" fillId="0" borderId="9" xfId="0" applyNumberFormat="1" applyFont="1" applyBorder="1" applyAlignment="1">
      <alignment horizontal="center"/>
    </xf>
    <xf numFmtId="44" fontId="14" fillId="0" borderId="0" xfId="0" applyNumberFormat="1" applyFont="1" applyAlignment="1">
      <alignment horizontal="right"/>
    </xf>
    <xf numFmtId="44" fontId="15" fillId="0" borderId="0" xfId="0" applyNumberFormat="1" applyFont="1" applyAlignment="1">
      <alignment horizontal="left"/>
    </xf>
    <xf numFmtId="44" fontId="2" fillId="0" borderId="0" xfId="0" applyNumberFormat="1" applyFont="1" applyAlignment="1">
      <alignment horizontal="left"/>
    </xf>
    <xf numFmtId="44" fontId="17" fillId="0" borderId="0" xfId="0" applyNumberFormat="1" applyFont="1"/>
    <xf numFmtId="44" fontId="15" fillId="0" borderId="1" xfId="0" applyNumberFormat="1" applyFont="1" applyBorder="1" applyAlignment="1">
      <alignment horizontal="center"/>
    </xf>
    <xf numFmtId="164" fontId="0" fillId="3" borderId="0" xfId="0" applyNumberFormat="1" applyFill="1"/>
    <xf numFmtId="164" fontId="0" fillId="0" borderId="0" xfId="0" applyNumberFormat="1"/>
    <xf numFmtId="0" fontId="18" fillId="0" borderId="0" xfId="0" applyFont="1" applyAlignment="1">
      <alignment horizontal="left"/>
    </xf>
    <xf numFmtId="44" fontId="18" fillId="0" borderId="0" xfId="0" applyNumberFormat="1" applyFont="1" applyAlignment="1">
      <alignment horizontal="right"/>
    </xf>
    <xf numFmtId="44" fontId="17" fillId="0" borderId="0" xfId="0" applyNumberFormat="1" applyFont="1" applyAlignment="1">
      <alignment horizontal="right"/>
    </xf>
    <xf numFmtId="44" fontId="3" fillId="0" borderId="12" xfId="0" applyNumberFormat="1" applyFont="1" applyBorder="1"/>
    <xf numFmtId="44" fontId="4" fillId="0" borderId="12" xfId="0" applyNumberFormat="1" applyFont="1" applyBorder="1"/>
    <xf numFmtId="0" fontId="5" fillId="2" borderId="11" xfId="1" applyFont="1" applyFill="1" applyBorder="1" applyAlignment="1">
      <alignment horizontal="center" vertical="center"/>
    </xf>
    <xf numFmtId="44" fontId="3" fillId="0" borderId="12" xfId="0" applyNumberFormat="1" applyFont="1" applyBorder="1" applyAlignment="1">
      <alignment vertical="center"/>
    </xf>
    <xf numFmtId="44" fontId="2" fillId="0" borderId="12" xfId="0" applyNumberFormat="1" applyFont="1" applyBorder="1" applyAlignment="1">
      <alignment vertical="center"/>
    </xf>
    <xf numFmtId="0" fontId="5" fillId="2" borderId="20" xfId="1" applyFont="1" applyFill="1" applyBorder="1" applyAlignment="1">
      <alignment horizontal="center" vertical="center"/>
    </xf>
    <xf numFmtId="0" fontId="5" fillId="2" borderId="21" xfId="1" applyFont="1" applyFill="1" applyBorder="1" applyAlignment="1">
      <alignment horizontal="center" vertical="center"/>
    </xf>
    <xf numFmtId="44" fontId="3" fillId="3" borderId="0" xfId="0" applyNumberFormat="1" applyFont="1" applyFill="1"/>
    <xf numFmtId="44" fontId="0" fillId="0" borderId="0" xfId="0" applyNumberFormat="1"/>
    <xf numFmtId="44" fontId="19" fillId="0" borderId="0" xfId="0" applyNumberFormat="1" applyFont="1" applyAlignment="1">
      <alignment horizontal="center"/>
    </xf>
    <xf numFmtId="0" fontId="20" fillId="0" borderId="0" xfId="4"/>
    <xf numFmtId="0" fontId="6" fillId="0" borderId="0" xfId="4" applyFont="1"/>
    <xf numFmtId="0" fontId="6" fillId="0" borderId="23" xfId="4" applyFont="1" applyBorder="1"/>
    <xf numFmtId="0" fontId="6" fillId="6" borderId="24" xfId="4" applyFont="1" applyFill="1" applyBorder="1" applyAlignment="1">
      <alignment horizontal="center"/>
    </xf>
    <xf numFmtId="0" fontId="6" fillId="6" borderId="25" xfId="4" applyFont="1" applyFill="1" applyBorder="1" applyAlignment="1">
      <alignment horizontal="center"/>
    </xf>
    <xf numFmtId="0" fontId="6" fillId="6" borderId="26" xfId="4" applyFont="1" applyFill="1" applyBorder="1" applyAlignment="1">
      <alignment horizontal="center"/>
    </xf>
    <xf numFmtId="0" fontId="6" fillId="6" borderId="27" xfId="4" applyFont="1" applyFill="1" applyBorder="1" applyAlignment="1">
      <alignment horizontal="center"/>
    </xf>
    <xf numFmtId="0" fontId="1" fillId="0" borderId="0" xfId="4" applyFont="1"/>
    <xf numFmtId="37" fontId="6" fillId="0" borderId="0" xfId="4" applyNumberFormat="1" applyFont="1"/>
    <xf numFmtId="0" fontId="22" fillId="0" borderId="0" xfId="4" applyFont="1" applyAlignment="1">
      <alignment horizontal="centerContinuous"/>
    </xf>
    <xf numFmtId="166" fontId="22" fillId="0" borderId="0" xfId="4" applyNumberFormat="1" applyFont="1" applyAlignment="1">
      <alignment horizontal="centerContinuous"/>
    </xf>
    <xf numFmtId="37" fontId="6" fillId="0" borderId="0" xfId="4" applyNumberFormat="1" applyFont="1" applyAlignment="1">
      <alignment horizontal="centerContinuous"/>
    </xf>
    <xf numFmtId="0" fontId="6" fillId="0" borderId="0" xfId="4" applyFont="1" applyAlignment="1">
      <alignment horizontal="centerContinuous"/>
    </xf>
    <xf numFmtId="0" fontId="20" fillId="0" borderId="0" xfId="4" applyAlignment="1">
      <alignment horizontal="centerContinuous"/>
    </xf>
    <xf numFmtId="166" fontId="22" fillId="0" borderId="0" xfId="4" applyNumberFormat="1" applyFont="1"/>
    <xf numFmtId="167" fontId="23" fillId="0" borderId="0" xfId="4" applyNumberFormat="1" applyFont="1" applyAlignment="1">
      <alignment horizontal="left"/>
    </xf>
    <xf numFmtId="166" fontId="23" fillId="0" borderId="0" xfId="4" applyNumberFormat="1" applyFont="1" applyAlignment="1">
      <alignment horizontal="left"/>
    </xf>
    <xf numFmtId="0" fontId="23" fillId="0" borderId="0" xfId="4" applyFont="1" applyAlignment="1">
      <alignment horizontal="left"/>
    </xf>
    <xf numFmtId="0" fontId="24" fillId="0" borderId="0" xfId="4" applyFont="1"/>
    <xf numFmtId="0" fontId="25" fillId="0" borderId="22" xfId="4" applyFont="1" applyBorder="1"/>
    <xf numFmtId="0" fontId="21" fillId="0" borderId="22" xfId="4" applyFont="1" applyBorder="1" applyAlignment="1">
      <alignment horizontal="centerContinuous"/>
    </xf>
    <xf numFmtId="0" fontId="6" fillId="0" borderId="23" xfId="4" applyFont="1" applyBorder="1" applyAlignment="1">
      <alignment horizontal="centerContinuous"/>
    </xf>
    <xf numFmtId="0" fontId="17" fillId="0" borderId="0" xfId="4" applyFont="1" applyAlignment="1">
      <alignment horizontal="left"/>
    </xf>
    <xf numFmtId="0" fontId="6" fillId="6" borderId="33" xfId="4" applyFont="1" applyFill="1" applyBorder="1" applyAlignment="1">
      <alignment horizontal="center"/>
    </xf>
    <xf numFmtId="0" fontId="1" fillId="0" borderId="37" xfId="4" applyFont="1" applyBorder="1"/>
    <xf numFmtId="0" fontId="6" fillId="6" borderId="34" xfId="4" applyFont="1" applyFill="1" applyBorder="1" applyAlignment="1">
      <alignment horizontal="right"/>
    </xf>
    <xf numFmtId="0" fontId="6" fillId="0" borderId="35" xfId="4" applyFont="1" applyBorder="1"/>
    <xf numFmtId="0" fontId="1" fillId="0" borderId="35" xfId="4" applyFont="1" applyBorder="1"/>
    <xf numFmtId="0" fontId="1" fillId="0" borderId="36" xfId="4" applyFont="1" applyBorder="1"/>
    <xf numFmtId="44" fontId="13" fillId="7" borderId="1" xfId="1" applyNumberFormat="1" applyFont="1" applyFill="1" applyBorder="1" applyAlignment="1" applyProtection="1">
      <alignment horizontal="center"/>
      <protection locked="0"/>
    </xf>
    <xf numFmtId="44" fontId="17" fillId="0" borderId="10" xfId="0" applyNumberFormat="1" applyFont="1" applyBorder="1"/>
    <xf numFmtId="0" fontId="2" fillId="0" borderId="0" xfId="0" applyFont="1"/>
    <xf numFmtId="0" fontId="28" fillId="7" borderId="0" xfId="0" applyFont="1" applyFill="1"/>
    <xf numFmtId="0" fontId="29" fillId="0" borderId="0" xfId="0" applyFont="1"/>
    <xf numFmtId="0" fontId="30" fillId="0" borderId="0" xfId="0" applyFont="1"/>
    <xf numFmtId="0" fontId="31" fillId="0" borderId="0" xfId="0" applyFont="1"/>
    <xf numFmtId="0" fontId="32" fillId="0" borderId="0" xfId="0" applyFont="1"/>
    <xf numFmtId="0" fontId="0" fillId="0" borderId="0" xfId="0" quotePrefix="1"/>
    <xf numFmtId="165" fontId="0" fillId="0" borderId="0" xfId="2" quotePrefix="1" applyNumberFormat="1" applyFont="1"/>
    <xf numFmtId="0" fontId="3" fillId="0" borderId="0" xfId="0" applyFont="1" applyAlignment="1">
      <alignment vertical="top" wrapText="1"/>
    </xf>
    <xf numFmtId="0" fontId="16" fillId="0" borderId="0" xfId="0" applyFont="1" applyAlignment="1">
      <alignment vertical="top" wrapText="1"/>
    </xf>
    <xf numFmtId="0" fontId="4" fillId="0" borderId="0" xfId="0" applyFont="1" applyAlignment="1">
      <alignment vertical="top" wrapText="1"/>
    </xf>
    <xf numFmtId="0" fontId="27" fillId="3" borderId="0" xfId="4" applyFont="1" applyFill="1" applyAlignment="1">
      <alignment horizontal="left"/>
    </xf>
    <xf numFmtId="0" fontId="6" fillId="3" borderId="0" xfId="4" applyFont="1" applyFill="1" applyAlignment="1">
      <alignment horizontal="centerContinuous"/>
    </xf>
    <xf numFmtId="168" fontId="6" fillId="3" borderId="0" xfId="4" applyNumberFormat="1" applyFont="1" applyFill="1" applyAlignment="1">
      <alignment horizontal="center"/>
    </xf>
    <xf numFmtId="37" fontId="0" fillId="0" borderId="0" xfId="0" applyNumberFormat="1"/>
    <xf numFmtId="44" fontId="12" fillId="0" borderId="13" xfId="0" applyNumberFormat="1" applyFont="1" applyBorder="1"/>
    <xf numFmtId="0" fontId="6" fillId="3" borderId="49" xfId="4" applyFont="1" applyFill="1" applyBorder="1" applyAlignment="1">
      <alignment horizontal="centerContinuous"/>
    </xf>
    <xf numFmtId="0" fontId="6" fillId="2" borderId="19" xfId="1" applyFont="1" applyFill="1" applyBorder="1" applyAlignment="1">
      <alignment horizontal="center" vertical="center"/>
    </xf>
    <xf numFmtId="44" fontId="14" fillId="0" borderId="49" xfId="0" applyNumberFormat="1" applyFont="1" applyBorder="1"/>
    <xf numFmtId="0" fontId="33" fillId="0" borderId="49" xfId="4" applyFont="1" applyBorder="1"/>
    <xf numFmtId="44" fontId="15" fillId="0" borderId="0" xfId="0" applyNumberFormat="1" applyFont="1"/>
    <xf numFmtId="44" fontId="15" fillId="0" borderId="0" xfId="0" applyNumberFormat="1" applyFont="1" applyAlignment="1">
      <alignment horizontal="right"/>
    </xf>
    <xf numFmtId="44" fontId="35" fillId="0" borderId="0" xfId="0" applyNumberFormat="1" applyFont="1" applyAlignment="1">
      <alignment horizontal="center"/>
    </xf>
    <xf numFmtId="44" fontId="17" fillId="0" borderId="12" xfId="0" applyNumberFormat="1" applyFont="1" applyBorder="1"/>
    <xf numFmtId="44" fontId="17" fillId="0" borderId="0" xfId="0" applyNumberFormat="1" applyFont="1" applyAlignment="1">
      <alignment horizontal="center"/>
    </xf>
    <xf numFmtId="0" fontId="16" fillId="0" borderId="0" xfId="0" applyFont="1"/>
    <xf numFmtId="44" fontId="2" fillId="0" borderId="0" xfId="0" applyNumberFormat="1" applyFont="1" applyAlignment="1">
      <alignment horizontal="center"/>
    </xf>
    <xf numFmtId="0" fontId="2" fillId="5" borderId="0" xfId="0" applyFont="1" applyFill="1"/>
    <xf numFmtId="44" fontId="2" fillId="5" borderId="0" xfId="0" applyNumberFormat="1" applyFont="1" applyFill="1"/>
    <xf numFmtId="44" fontId="6" fillId="5" borderId="43" xfId="0" applyNumberFormat="1" applyFont="1" applyFill="1" applyBorder="1"/>
    <xf numFmtId="44" fontId="6" fillId="5" borderId="44" xfId="0" applyNumberFormat="1" applyFont="1" applyFill="1" applyBorder="1"/>
    <xf numFmtId="44" fontId="3" fillId="5" borderId="43" xfId="0" applyNumberFormat="1" applyFont="1" applyFill="1" applyBorder="1"/>
    <xf numFmtId="44" fontId="3" fillId="5" borderId="44" xfId="0" applyNumberFormat="1" applyFont="1" applyFill="1" applyBorder="1"/>
    <xf numFmtId="44" fontId="3" fillId="5" borderId="0" xfId="0" applyNumberFormat="1" applyFont="1" applyFill="1"/>
    <xf numFmtId="44" fontId="4" fillId="5" borderId="0" xfId="0" applyNumberFormat="1" applyFont="1" applyFill="1"/>
    <xf numFmtId="2" fontId="4" fillId="5" borderId="0" xfId="0" applyNumberFormat="1" applyFont="1" applyFill="1" applyAlignment="1">
      <alignment horizontal="left"/>
    </xf>
    <xf numFmtId="44" fontId="14" fillId="5" borderId="0" xfId="0" applyNumberFormat="1" applyFont="1" applyFill="1" applyAlignment="1">
      <alignment horizontal="right"/>
    </xf>
    <xf numFmtId="44" fontId="4" fillId="5" borderId="0" xfId="0" applyNumberFormat="1" applyFont="1" applyFill="1" applyAlignment="1">
      <alignment horizontal="center"/>
    </xf>
    <xf numFmtId="44" fontId="2" fillId="0" borderId="54" xfId="0" applyNumberFormat="1" applyFont="1" applyBorder="1"/>
    <xf numFmtId="0" fontId="16" fillId="0" borderId="51" xfId="0" applyFont="1" applyBorder="1"/>
    <xf numFmtId="0" fontId="2" fillId="0" borderId="52" xfId="0" applyFont="1" applyBorder="1"/>
    <xf numFmtId="44" fontId="16" fillId="0" borderId="0" xfId="0" applyNumberFormat="1" applyFont="1" applyAlignment="1">
      <alignment horizontal="center"/>
    </xf>
    <xf numFmtId="44" fontId="30" fillId="0" borderId="39" xfId="0" applyNumberFormat="1" applyFont="1" applyBorder="1"/>
    <xf numFmtId="44" fontId="30" fillId="0" borderId="40" xfId="0" applyNumberFormat="1" applyFont="1" applyBorder="1"/>
    <xf numFmtId="0" fontId="30" fillId="0" borderId="40" xfId="0" applyFont="1" applyBorder="1"/>
    <xf numFmtId="1" fontId="30" fillId="0" borderId="40" xfId="0" applyNumberFormat="1" applyFont="1" applyBorder="1"/>
    <xf numFmtId="0" fontId="30" fillId="0" borderId="41" xfId="0" applyFont="1" applyBorder="1"/>
    <xf numFmtId="1" fontId="2" fillId="0" borderId="0" xfId="0" applyNumberFormat="1" applyFont="1"/>
    <xf numFmtId="0" fontId="2" fillId="0" borderId="55" xfId="0" applyFont="1" applyBorder="1"/>
    <xf numFmtId="44" fontId="2" fillId="0" borderId="4" xfId="0" applyNumberFormat="1" applyFont="1" applyBorder="1"/>
    <xf numFmtId="44" fontId="2" fillId="0" borderId="42" xfId="0" applyNumberFormat="1" applyFont="1" applyBorder="1"/>
    <xf numFmtId="0" fontId="2" fillId="0" borderId="42" xfId="2" applyNumberFormat="1" applyFont="1" applyBorder="1" applyAlignment="1">
      <alignment horizontal="left"/>
    </xf>
    <xf numFmtId="1" fontId="2" fillId="0" borderId="55" xfId="0" applyNumberFormat="1" applyFont="1" applyBorder="1"/>
    <xf numFmtId="0" fontId="2" fillId="0" borderId="5" xfId="2" applyNumberFormat="1" applyFont="1" applyBorder="1" applyAlignment="1">
      <alignment horizontal="left"/>
    </xf>
    <xf numFmtId="165" fontId="2" fillId="0" borderId="1" xfId="2" applyNumberFormat="1" applyFont="1" applyBorder="1" applyAlignment="1">
      <alignment horizontal="left"/>
    </xf>
    <xf numFmtId="0" fontId="37" fillId="0" borderId="0" xfId="0" applyFont="1"/>
    <xf numFmtId="0" fontId="3" fillId="0" borderId="0" xfId="0" applyFont="1" applyAlignment="1">
      <alignment horizontal="justify" vertical="top"/>
    </xf>
    <xf numFmtId="0" fontId="38" fillId="0" borderId="0" xfId="0" applyFont="1" applyAlignment="1">
      <alignment horizontal="justify" vertical="top"/>
    </xf>
    <xf numFmtId="44" fontId="13" fillId="0" borderId="0" xfId="0" applyNumberFormat="1" applyFont="1" applyProtection="1">
      <protection locked="0"/>
    </xf>
    <xf numFmtId="44" fontId="3" fillId="0" borderId="0" xfId="0" applyNumberFormat="1" applyFont="1" applyProtection="1">
      <protection locked="0"/>
    </xf>
    <xf numFmtId="0" fontId="6" fillId="0" borderId="46" xfId="4" applyFont="1" applyBorder="1" applyAlignment="1">
      <alignment horizontal="left"/>
    </xf>
    <xf numFmtId="0" fontId="34" fillId="3" borderId="48" xfId="4" applyFont="1" applyFill="1" applyBorder="1" applyAlignment="1">
      <alignment horizontal="left"/>
    </xf>
    <xf numFmtId="44" fontId="36" fillId="3" borderId="14" xfId="0" applyNumberFormat="1" applyFont="1" applyFill="1" applyBorder="1"/>
    <xf numFmtId="44" fontId="36" fillId="5" borderId="7" xfId="0" applyNumberFormat="1" applyFont="1" applyFill="1" applyBorder="1"/>
    <xf numFmtId="44" fontId="36" fillId="5" borderId="8" xfId="0" applyNumberFormat="1" applyFont="1" applyFill="1" applyBorder="1"/>
    <xf numFmtId="44" fontId="36" fillId="5" borderId="9" xfId="0" applyNumberFormat="1" applyFont="1" applyFill="1" applyBorder="1"/>
    <xf numFmtId="44" fontId="36" fillId="0" borderId="12" xfId="0" applyNumberFormat="1" applyFont="1" applyBorder="1"/>
    <xf numFmtId="43" fontId="0" fillId="0" borderId="0" xfId="2" applyFont="1"/>
    <xf numFmtId="0" fontId="6" fillId="2" borderId="2" xfId="1" applyFont="1" applyFill="1" applyBorder="1" applyAlignment="1">
      <alignment horizontal="left" vertical="center"/>
    </xf>
    <xf numFmtId="0" fontId="6" fillId="2" borderId="6" xfId="1" applyFont="1" applyFill="1" applyBorder="1" applyAlignment="1">
      <alignment horizontal="left" vertical="center"/>
    </xf>
    <xf numFmtId="0" fontId="6" fillId="2" borderId="3" xfId="1" applyFont="1" applyFill="1" applyBorder="1" applyAlignment="1">
      <alignment horizontal="left" vertical="center"/>
    </xf>
    <xf numFmtId="0" fontId="3" fillId="0" borderId="0" xfId="0" applyFont="1"/>
    <xf numFmtId="0" fontId="4" fillId="0" borderId="0" xfId="0" applyFont="1"/>
    <xf numFmtId="0" fontId="3" fillId="0" borderId="0" xfId="0" applyFont="1" applyAlignment="1">
      <alignment horizontal="center" vertical="center"/>
    </xf>
    <xf numFmtId="44" fontId="13" fillId="7" borderId="56" xfId="4" applyNumberFormat="1" applyFont="1" applyFill="1" applyBorder="1" applyAlignment="1" applyProtection="1">
      <alignment vertical="center"/>
      <protection locked="0"/>
    </xf>
    <xf numFmtId="0" fontId="3" fillId="0" borderId="0" xfId="0" applyFont="1" applyAlignment="1">
      <alignment horizontal="left" vertical="center" wrapText="1"/>
    </xf>
    <xf numFmtId="0" fontId="4" fillId="0" borderId="0" xfId="0" applyFont="1" applyAlignment="1">
      <alignment horizontal="left" wrapText="1"/>
    </xf>
    <xf numFmtId="14" fontId="26" fillId="7" borderId="1" xfId="1" applyNumberFormat="1" applyFont="1" applyFill="1" applyBorder="1" applyAlignment="1" applyProtection="1">
      <alignment horizontal="center"/>
      <protection locked="0"/>
    </xf>
    <xf numFmtId="44" fontId="14" fillId="0" borderId="0" xfId="0" applyNumberFormat="1" applyFont="1"/>
    <xf numFmtId="14" fontId="15" fillId="0" borderId="0" xfId="0" applyNumberFormat="1" applyFont="1" applyAlignment="1">
      <alignment horizontal="left"/>
    </xf>
    <xf numFmtId="0" fontId="30" fillId="0" borderId="0" xfId="0" applyFont="1" applyAlignment="1">
      <alignment vertical="top"/>
    </xf>
    <xf numFmtId="44" fontId="13" fillId="7" borderId="2" xfId="1" applyNumberFormat="1" applyFont="1" applyFill="1" applyBorder="1" applyAlignment="1" applyProtection="1">
      <alignment horizontal="left"/>
      <protection locked="0"/>
    </xf>
    <xf numFmtId="44" fontId="13" fillId="7" borderId="6" xfId="1" applyNumberFormat="1" applyFont="1" applyFill="1" applyBorder="1" applyAlignment="1" applyProtection="1">
      <alignment horizontal="left"/>
      <protection locked="0"/>
    </xf>
    <xf numFmtId="44" fontId="13" fillId="7" borderId="3" xfId="1" applyNumberFormat="1" applyFont="1" applyFill="1" applyBorder="1" applyAlignment="1" applyProtection="1">
      <alignment horizontal="left"/>
      <protection locked="0"/>
    </xf>
    <xf numFmtId="5" fontId="14" fillId="0" borderId="0" xfId="0" applyNumberFormat="1" applyFont="1"/>
    <xf numFmtId="44" fontId="15" fillId="0" borderId="13" xfId="0" applyNumberFormat="1" applyFont="1" applyBorder="1"/>
    <xf numFmtId="44" fontId="40" fillId="0" borderId="0" xfId="0" applyNumberFormat="1" applyFont="1"/>
    <xf numFmtId="5" fontId="15" fillId="5" borderId="1" xfId="0" applyNumberFormat="1" applyFont="1" applyFill="1" applyBorder="1" applyAlignment="1">
      <alignment horizontal="center"/>
    </xf>
    <xf numFmtId="5" fontId="15" fillId="0" borderId="1" xfId="0" applyNumberFormat="1" applyFont="1" applyBorder="1" applyAlignment="1">
      <alignment horizontal="center"/>
    </xf>
    <xf numFmtId="5" fontId="4" fillId="0" borderId="0" xfId="0" applyNumberFormat="1" applyFont="1"/>
    <xf numFmtId="0" fontId="1" fillId="6" borderId="24" xfId="4" applyFont="1" applyFill="1" applyBorder="1" applyAlignment="1">
      <alignment horizontal="center"/>
    </xf>
    <xf numFmtId="0" fontId="41" fillId="6" borderId="26" xfId="4" applyFont="1" applyFill="1" applyBorder="1" applyAlignment="1">
      <alignment horizontal="center" wrapText="1"/>
    </xf>
    <xf numFmtId="0" fontId="41" fillId="6" borderId="33" xfId="4" applyFont="1" applyFill="1" applyBorder="1" applyAlignment="1">
      <alignment horizontal="center"/>
    </xf>
    <xf numFmtId="0" fontId="41" fillId="6" borderId="34" xfId="4" applyFont="1" applyFill="1" applyBorder="1" applyAlignment="1">
      <alignment horizontal="center"/>
    </xf>
    <xf numFmtId="0" fontId="41" fillId="0" borderId="28" xfId="4" applyFont="1" applyBorder="1"/>
    <xf numFmtId="37" fontId="41" fillId="0" borderId="28" xfId="4" applyNumberFormat="1" applyFont="1" applyBorder="1"/>
    <xf numFmtId="37" fontId="41" fillId="0" borderId="35" xfId="4" applyNumberFormat="1" applyFont="1" applyBorder="1"/>
    <xf numFmtId="9" fontId="41" fillId="0" borderId="29" xfId="4" applyNumberFormat="1" applyFont="1" applyBorder="1"/>
    <xf numFmtId="0" fontId="42" fillId="0" borderId="0" xfId="4" applyFont="1"/>
    <xf numFmtId="44" fontId="43" fillId="7" borderId="28" xfId="4" applyNumberFormat="1" applyFont="1" applyFill="1" applyBorder="1" applyProtection="1">
      <protection locked="0"/>
    </xf>
    <xf numFmtId="44" fontId="41" fillId="0" borderId="28" xfId="4" applyNumberFormat="1" applyFont="1" applyBorder="1"/>
    <xf numFmtId="44" fontId="41" fillId="0" borderId="28" xfId="4" applyNumberFormat="1" applyFont="1" applyBorder="1" applyProtection="1">
      <protection locked="0"/>
    </xf>
    <xf numFmtId="44" fontId="43" fillId="0" borderId="28" xfId="4" applyNumberFormat="1" applyFont="1" applyBorder="1" applyProtection="1">
      <protection locked="0"/>
    </xf>
    <xf numFmtId="0" fontId="41" fillId="0" borderId="30" xfId="4" applyFont="1" applyBorder="1"/>
    <xf numFmtId="44" fontId="41" fillId="0" borderId="30" xfId="4" applyNumberFormat="1" applyFont="1" applyBorder="1"/>
    <xf numFmtId="44" fontId="41" fillId="0" borderId="36" xfId="4" applyNumberFormat="1" applyFont="1" applyBorder="1"/>
    <xf numFmtId="9" fontId="41" fillId="0" borderId="23" xfId="4" applyNumberFormat="1" applyFont="1" applyBorder="1"/>
    <xf numFmtId="0" fontId="41" fillId="0" borderId="38" xfId="4" applyFont="1" applyBorder="1"/>
    <xf numFmtId="37" fontId="41" fillId="0" borderId="38" xfId="4" applyNumberFormat="1" applyFont="1" applyBorder="1"/>
    <xf numFmtId="37" fontId="43" fillId="0" borderId="38" xfId="4" applyNumberFormat="1" applyFont="1" applyBorder="1"/>
    <xf numFmtId="37" fontId="43" fillId="0" borderId="37" xfId="4" applyNumberFormat="1" applyFont="1" applyBorder="1"/>
    <xf numFmtId="37" fontId="41" fillId="0" borderId="31" xfId="4" applyNumberFormat="1" applyFont="1" applyBorder="1"/>
    <xf numFmtId="9" fontId="41" fillId="0" borderId="32" xfId="4" applyNumberFormat="1" applyFont="1" applyBorder="1"/>
    <xf numFmtId="169" fontId="43" fillId="7" borderId="28" xfId="4" applyNumberFormat="1" applyFont="1" applyFill="1" applyBorder="1" applyProtection="1">
      <protection locked="0"/>
    </xf>
    <xf numFmtId="169" fontId="41" fillId="0" borderId="28" xfId="4" applyNumberFormat="1" applyFont="1" applyBorder="1" applyProtection="1">
      <protection locked="0"/>
    </xf>
    <xf numFmtId="169" fontId="41" fillId="0" borderId="28" xfId="4" applyNumberFormat="1" applyFont="1" applyBorder="1"/>
    <xf numFmtId="168" fontId="41" fillId="3" borderId="35" xfId="4" applyNumberFormat="1" applyFont="1" applyFill="1" applyBorder="1"/>
    <xf numFmtId="168" fontId="41" fillId="0" borderId="35" xfId="4" applyNumberFormat="1" applyFont="1" applyBorder="1"/>
    <xf numFmtId="168" fontId="43" fillId="0" borderId="35" xfId="4" applyNumberFormat="1" applyFont="1" applyBorder="1"/>
    <xf numFmtId="168" fontId="41" fillId="0" borderId="28" xfId="4" applyNumberFormat="1" applyFont="1" applyBorder="1"/>
    <xf numFmtId="0" fontId="20" fillId="8" borderId="0" xfId="4" applyFill="1"/>
    <xf numFmtId="168" fontId="41" fillId="0" borderId="30" xfId="4" applyNumberFormat="1" applyFont="1" applyBorder="1"/>
    <xf numFmtId="0" fontId="45" fillId="0" borderId="0" xfId="0" applyFont="1"/>
    <xf numFmtId="44" fontId="44" fillId="0" borderId="57" xfId="0" applyNumberFormat="1" applyFont="1" applyBorder="1"/>
    <xf numFmtId="0" fontId="45" fillId="0" borderId="40" xfId="0" applyFont="1" applyBorder="1"/>
    <xf numFmtId="44" fontId="45" fillId="0" borderId="58" xfId="0" applyNumberFormat="1" applyFont="1" applyBorder="1" applyAlignment="1">
      <alignment horizontal="center"/>
    </xf>
    <xf numFmtId="44" fontId="44" fillId="0" borderId="54" xfId="0" applyNumberFormat="1" applyFont="1" applyBorder="1"/>
    <xf numFmtId="38" fontId="45" fillId="0" borderId="55" xfId="2" applyNumberFormat="1" applyFont="1" applyBorder="1" applyAlignment="1">
      <alignment horizontal="center"/>
    </xf>
    <xf numFmtId="44" fontId="44" fillId="0" borderId="59" xfId="0" applyNumberFormat="1" applyFont="1" applyBorder="1"/>
    <xf numFmtId="0" fontId="45" fillId="0" borderId="60" xfId="0" applyFont="1" applyBorder="1"/>
    <xf numFmtId="38" fontId="45" fillId="0" borderId="61" xfId="0" applyNumberFormat="1" applyFont="1" applyBorder="1" applyAlignment="1">
      <alignment horizontal="center"/>
    </xf>
    <xf numFmtId="44" fontId="44" fillId="0" borderId="0" xfId="0" applyNumberFormat="1" applyFont="1"/>
    <xf numFmtId="38" fontId="45" fillId="0" borderId="0" xfId="0" applyNumberFormat="1" applyFont="1" applyAlignment="1">
      <alignment horizontal="center"/>
    </xf>
    <xf numFmtId="0" fontId="44" fillId="9" borderId="57" xfId="0" applyFont="1" applyFill="1" applyBorder="1"/>
    <xf numFmtId="0" fontId="44" fillId="9" borderId="40" xfId="0" applyFont="1" applyFill="1" applyBorder="1"/>
    <xf numFmtId="0" fontId="44" fillId="9" borderId="58" xfId="0" applyFont="1" applyFill="1" applyBorder="1"/>
    <xf numFmtId="0" fontId="45" fillId="0" borderId="54" xfId="0" applyFont="1" applyBorder="1"/>
    <xf numFmtId="168" fontId="45" fillId="0" borderId="55" xfId="0" applyNumberFormat="1" applyFont="1" applyBorder="1"/>
    <xf numFmtId="168" fontId="45" fillId="0" borderId="55" xfId="0" applyNumberFormat="1" applyFont="1" applyBorder="1" applyAlignment="1">
      <alignment horizontal="center"/>
    </xf>
    <xf numFmtId="168" fontId="45" fillId="0" borderId="61" xfId="0" applyNumberFormat="1" applyFont="1" applyBorder="1"/>
    <xf numFmtId="168" fontId="45" fillId="0" borderId="62" xfId="0" applyNumberFormat="1" applyFont="1" applyBorder="1"/>
    <xf numFmtId="0" fontId="44" fillId="0" borderId="63" xfId="0" applyFont="1" applyBorder="1"/>
    <xf numFmtId="0" fontId="45" fillId="0" borderId="64" xfId="0" applyFont="1" applyBorder="1"/>
    <xf numFmtId="168" fontId="44" fillId="0" borderId="65" xfId="0" applyNumberFormat="1" applyFont="1" applyBorder="1"/>
    <xf numFmtId="168" fontId="45" fillId="0" borderId="0" xfId="0" applyNumberFormat="1" applyFont="1"/>
    <xf numFmtId="0" fontId="45" fillId="5" borderId="0" xfId="0" applyFont="1" applyFill="1"/>
    <xf numFmtId="168" fontId="45" fillId="5" borderId="0" xfId="0" applyNumberFormat="1" applyFont="1" applyFill="1" applyAlignment="1">
      <alignment horizontal="center"/>
    </xf>
    <xf numFmtId="168" fontId="45" fillId="0" borderId="0" xfId="0" applyNumberFormat="1" applyFont="1" applyAlignment="1">
      <alignment horizontal="center"/>
    </xf>
    <xf numFmtId="0" fontId="44" fillId="0" borderId="51" xfId="0" applyFont="1" applyBorder="1"/>
    <xf numFmtId="0" fontId="45" fillId="0" borderId="52" xfId="0" applyFont="1" applyBorder="1"/>
    <xf numFmtId="168" fontId="44" fillId="0" borderId="52" xfId="0" applyNumberFormat="1" applyFont="1" applyBorder="1" applyAlignment="1">
      <alignment horizontal="center"/>
    </xf>
    <xf numFmtId="0" fontId="44" fillId="0" borderId="0" xfId="0" applyFont="1"/>
    <xf numFmtId="168" fontId="44" fillId="0" borderId="0" xfId="0" applyNumberFormat="1" applyFont="1" applyAlignment="1">
      <alignment horizontal="center"/>
    </xf>
    <xf numFmtId="168" fontId="44" fillId="9" borderId="58" xfId="0" applyNumberFormat="1" applyFont="1" applyFill="1" applyBorder="1"/>
    <xf numFmtId="44" fontId="12" fillId="0" borderId="54" xfId="0" applyNumberFormat="1" applyFont="1" applyBorder="1"/>
    <xf numFmtId="14" fontId="45" fillId="0" borderId="0" xfId="0" applyNumberFormat="1" applyFont="1"/>
    <xf numFmtId="168" fontId="12" fillId="0" borderId="55" xfId="0" applyNumberFormat="1" applyFont="1" applyBorder="1"/>
    <xf numFmtId="44" fontId="13" fillId="7" borderId="2" xfId="1" applyNumberFormat="1" applyFont="1" applyFill="1" applyBorder="1" applyAlignment="1" applyProtection="1">
      <alignment horizontal="left"/>
      <protection locked="0"/>
    </xf>
    <xf numFmtId="44" fontId="13" fillId="7" borderId="6" xfId="1" applyNumberFormat="1" applyFont="1" applyFill="1" applyBorder="1" applyAlignment="1" applyProtection="1">
      <alignment horizontal="left"/>
      <protection locked="0"/>
    </xf>
    <xf numFmtId="44" fontId="13" fillId="7" borderId="3" xfId="1" applyNumberFormat="1" applyFont="1" applyFill="1" applyBorder="1" applyAlignment="1" applyProtection="1">
      <alignment horizontal="left"/>
      <protection locked="0"/>
    </xf>
    <xf numFmtId="44" fontId="4" fillId="0" borderId="54" xfId="0" applyNumberFormat="1" applyFont="1" applyBorder="1" applyAlignment="1">
      <alignment horizontal="center" vertical="center"/>
    </xf>
    <xf numFmtId="44" fontId="4" fillId="0" borderId="0" xfId="0" applyNumberFormat="1" applyFont="1" applyAlignment="1">
      <alignment horizontal="center" vertical="center"/>
    </xf>
    <xf numFmtId="44" fontId="3" fillId="0" borderId="15" xfId="2" applyNumberFormat="1" applyFont="1" applyBorder="1" applyAlignment="1"/>
    <xf numFmtId="44" fontId="3" fillId="0" borderId="18" xfId="2" applyNumberFormat="1" applyFont="1" applyBorder="1" applyAlignment="1"/>
    <xf numFmtId="165" fontId="36" fillId="0" borderId="2" xfId="2" applyNumberFormat="1" applyFont="1" applyBorder="1" applyAlignment="1">
      <alignment horizontal="right"/>
    </xf>
    <xf numFmtId="165" fontId="36" fillId="0" borderId="3" xfId="2" applyNumberFormat="1" applyFont="1" applyBorder="1" applyAlignment="1">
      <alignment horizontal="right"/>
    </xf>
    <xf numFmtId="0" fontId="18" fillId="0" borderId="0" xfId="0" quotePrefix="1" applyFont="1" applyAlignment="1">
      <alignment horizontal="left"/>
    </xf>
    <xf numFmtId="0" fontId="18" fillId="0" borderId="0" xfId="0" applyFont="1" applyAlignment="1">
      <alignment horizontal="left"/>
    </xf>
    <xf numFmtId="1" fontId="3" fillId="0" borderId="7" xfId="0" applyNumberFormat="1" applyFont="1" applyBorder="1" applyAlignment="1">
      <alignment horizontal="center"/>
    </xf>
    <xf numFmtId="1" fontId="3" fillId="0" borderId="8" xfId="0" applyNumberFormat="1" applyFont="1" applyBorder="1" applyAlignment="1">
      <alignment horizontal="center"/>
    </xf>
    <xf numFmtId="0" fontId="4" fillId="0" borderId="2" xfId="0" applyFont="1" applyBorder="1" applyAlignment="1">
      <alignment horizontal="center"/>
    </xf>
    <xf numFmtId="0" fontId="4" fillId="0" borderId="6" xfId="0" applyFont="1" applyBorder="1" applyAlignment="1">
      <alignment horizontal="center"/>
    </xf>
    <xf numFmtId="0" fontId="4" fillId="0" borderId="3" xfId="0" applyFont="1" applyBorder="1" applyAlignment="1">
      <alignment horizontal="center"/>
    </xf>
    <xf numFmtId="44" fontId="3" fillId="5" borderId="16" xfId="2" applyNumberFormat="1" applyFont="1" applyFill="1" applyBorder="1" applyAlignment="1"/>
    <xf numFmtId="44" fontId="3" fillId="5" borderId="17" xfId="2" applyNumberFormat="1" applyFont="1" applyFill="1" applyBorder="1" applyAlignment="1"/>
    <xf numFmtId="1" fontId="3" fillId="0" borderId="4" xfId="0" applyNumberFormat="1" applyFont="1" applyBorder="1" applyAlignment="1">
      <alignment horizontal="right"/>
    </xf>
    <xf numFmtId="1" fontId="3" fillId="0" borderId="5" xfId="0" applyNumberFormat="1" applyFont="1" applyBorder="1" applyAlignment="1">
      <alignment horizontal="right"/>
    </xf>
    <xf numFmtId="44" fontId="13" fillId="7" borderId="2" xfId="1" applyNumberFormat="1" applyFont="1" applyFill="1" applyBorder="1" applyAlignment="1" applyProtection="1">
      <alignment horizontal="left" vertical="top" wrapText="1"/>
      <protection locked="0"/>
    </xf>
    <xf numFmtId="44" fontId="13" fillId="7" borderId="6" xfId="1" applyNumberFormat="1" applyFont="1" applyFill="1" applyBorder="1" applyAlignment="1" applyProtection="1">
      <alignment horizontal="left" vertical="top" wrapText="1"/>
      <protection locked="0"/>
    </xf>
    <xf numFmtId="44" fontId="13" fillId="7" borderId="3" xfId="1" applyNumberFormat="1" applyFont="1" applyFill="1" applyBorder="1" applyAlignment="1" applyProtection="1">
      <alignment horizontal="left" vertical="top" wrapText="1"/>
      <protection locked="0"/>
    </xf>
    <xf numFmtId="0" fontId="30" fillId="0" borderId="0" xfId="0" applyFont="1" applyAlignment="1">
      <alignment horizontal="left" vertical="top" wrapText="1"/>
    </xf>
    <xf numFmtId="0" fontId="30" fillId="0" borderId="0" xfId="0" applyFont="1" applyAlignment="1">
      <alignment horizontal="left" vertical="top"/>
    </xf>
    <xf numFmtId="0" fontId="44" fillId="0" borderId="0" xfId="0" applyFont="1" applyAlignment="1">
      <alignment horizontal="center"/>
    </xf>
    <xf numFmtId="44" fontId="2" fillId="5" borderId="0" xfId="0" applyNumberFormat="1" applyFont="1" applyFill="1" applyAlignment="1">
      <alignment horizontal="center"/>
    </xf>
    <xf numFmtId="44" fontId="2" fillId="0" borderId="0" xfId="0" applyNumberFormat="1" applyFont="1" applyAlignment="1">
      <alignment horizontal="center"/>
    </xf>
    <xf numFmtId="44" fontId="16" fillId="0" borderId="52" xfId="0" applyNumberFormat="1" applyFont="1" applyBorder="1" applyAlignment="1">
      <alignment horizontal="center"/>
    </xf>
    <xf numFmtId="44" fontId="16" fillId="0" borderId="53" xfId="0" applyNumberFormat="1" applyFont="1" applyBorder="1" applyAlignment="1">
      <alignment horizontal="center"/>
    </xf>
    <xf numFmtId="0" fontId="6" fillId="2" borderId="51" xfId="1" applyFont="1" applyFill="1" applyBorder="1" applyAlignment="1">
      <alignment horizontal="center" vertical="center"/>
    </xf>
    <xf numFmtId="0" fontId="6" fillId="2" borderId="52" xfId="1" applyFont="1" applyFill="1" applyBorder="1" applyAlignment="1">
      <alignment horizontal="center" vertical="center"/>
    </xf>
    <xf numFmtId="0" fontId="6" fillId="2" borderId="53" xfId="1" applyFont="1" applyFill="1" applyBorder="1" applyAlignment="1">
      <alignment horizontal="center" vertical="center"/>
    </xf>
    <xf numFmtId="44" fontId="6" fillId="0" borderId="0" xfId="4" applyNumberFormat="1" applyFont="1" applyAlignment="1">
      <alignment horizontal="center"/>
    </xf>
    <xf numFmtId="0" fontId="6" fillId="0" borderId="47" xfId="4" applyFont="1" applyBorder="1" applyAlignment="1">
      <alignment horizontal="center"/>
    </xf>
    <xf numFmtId="168" fontId="34" fillId="3" borderId="49" xfId="4" applyNumberFormat="1" applyFont="1" applyFill="1" applyBorder="1" applyAlignment="1">
      <alignment horizontal="center"/>
    </xf>
    <xf numFmtId="168" fontId="34" fillId="3" borderId="50" xfId="4" applyNumberFormat="1" applyFont="1" applyFill="1" applyBorder="1" applyAlignment="1">
      <alignment horizontal="center"/>
    </xf>
    <xf numFmtId="44" fontId="3" fillId="5" borderId="44" xfId="0" applyNumberFormat="1" applyFont="1" applyFill="1" applyBorder="1" applyAlignment="1">
      <alignment horizontal="center"/>
    </xf>
    <xf numFmtId="44" fontId="3" fillId="5" borderId="45" xfId="0" applyNumberFormat="1" applyFont="1" applyFill="1" applyBorder="1" applyAlignment="1">
      <alignment horizontal="center"/>
    </xf>
    <xf numFmtId="44" fontId="34" fillId="0" borderId="49" xfId="4" applyNumberFormat="1" applyFont="1" applyBorder="1" applyAlignment="1">
      <alignment horizontal="center" wrapText="1"/>
    </xf>
    <xf numFmtId="44" fontId="34" fillId="0" borderId="50" xfId="4" applyNumberFormat="1" applyFont="1" applyBorder="1" applyAlignment="1">
      <alignment horizontal="center" wrapText="1"/>
    </xf>
    <xf numFmtId="44" fontId="41" fillId="7" borderId="2" xfId="1" applyNumberFormat="1" applyFont="1" applyFill="1" applyBorder="1" applyAlignment="1" applyProtection="1">
      <alignment horizontal="left"/>
      <protection locked="0"/>
    </xf>
    <xf numFmtId="44" fontId="41" fillId="7" borderId="6" xfId="1" applyNumberFormat="1" applyFont="1" applyFill="1" applyBorder="1" applyAlignment="1" applyProtection="1">
      <alignment horizontal="left"/>
      <protection locked="0"/>
    </xf>
    <xf numFmtId="44" fontId="41" fillId="7" borderId="3" xfId="1" applyNumberFormat="1" applyFont="1" applyFill="1" applyBorder="1" applyAlignment="1" applyProtection="1">
      <alignment horizontal="left"/>
      <protection locked="0"/>
    </xf>
    <xf numFmtId="44" fontId="41" fillId="7" borderId="2" xfId="1" applyNumberFormat="1" applyFont="1" applyFill="1" applyBorder="1" applyAlignment="1" applyProtection="1">
      <alignment horizontal="left" wrapText="1"/>
      <protection locked="0"/>
    </xf>
    <xf numFmtId="44" fontId="41" fillId="7" borderId="6" xfId="1" applyNumberFormat="1" applyFont="1" applyFill="1" applyBorder="1" applyAlignment="1" applyProtection="1">
      <alignment horizontal="left" wrapText="1"/>
      <protection locked="0"/>
    </xf>
    <xf numFmtId="44" fontId="41" fillId="7" borderId="3" xfId="1" applyNumberFormat="1" applyFont="1" applyFill="1" applyBorder="1" applyAlignment="1" applyProtection="1">
      <alignment horizontal="left" wrapText="1"/>
      <protection locked="0"/>
    </xf>
    <xf numFmtId="44" fontId="6" fillId="5" borderId="44" xfId="0" applyNumberFormat="1" applyFont="1" applyFill="1" applyBorder="1" applyAlignment="1">
      <alignment horizontal="center"/>
    </xf>
    <xf numFmtId="44" fontId="6" fillId="5" borderId="45" xfId="0" applyNumberFormat="1" applyFont="1" applyFill="1" applyBorder="1" applyAlignment="1">
      <alignment horizontal="center"/>
    </xf>
    <xf numFmtId="44" fontId="13" fillId="7" borderId="2" xfId="1" applyNumberFormat="1" applyFont="1" applyFill="1" applyBorder="1" applyAlignment="1" applyProtection="1">
      <alignment horizontal="left" wrapText="1"/>
      <protection locked="0"/>
    </xf>
    <xf numFmtId="44" fontId="13" fillId="7" borderId="6" xfId="1" applyNumberFormat="1" applyFont="1" applyFill="1" applyBorder="1" applyAlignment="1" applyProtection="1">
      <alignment horizontal="left" wrapText="1"/>
      <protection locked="0"/>
    </xf>
    <xf numFmtId="44" fontId="13" fillId="7" borderId="3" xfId="1" applyNumberFormat="1" applyFont="1" applyFill="1" applyBorder="1" applyAlignment="1" applyProtection="1">
      <alignment horizontal="left" wrapText="1"/>
      <protection locked="0"/>
    </xf>
    <xf numFmtId="0" fontId="3" fillId="0" borderId="0" xfId="0" applyFont="1" applyAlignment="1">
      <alignment horizontal="center" wrapText="1"/>
    </xf>
    <xf numFmtId="0" fontId="3" fillId="0" borderId="0" xfId="0" applyFont="1" applyAlignment="1">
      <alignment horizontal="left" vertical="center" wrapText="1"/>
    </xf>
    <xf numFmtId="0" fontId="3" fillId="0" borderId="0" xfId="0" applyFont="1" applyAlignment="1">
      <alignment horizontal="left" vertical="center"/>
    </xf>
  </cellXfs>
  <cellStyles count="5">
    <cellStyle name="Comma" xfId="2" builtinId="3"/>
    <cellStyle name="Hyperlink" xfId="3" builtinId="8"/>
    <cellStyle name="Normal" xfId="0" builtinId="0"/>
    <cellStyle name="Normal 2" xfId="4" xr:uid="{50BE573E-16E9-4CC2-AA53-C27E120A8C84}"/>
    <cellStyle name="Normal_sheet1_1" xfId="1" xr:uid="{531CCEB8-A74C-4580-93CC-693B2C55654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Work/Tax%20Credits/2024/App/Blank_2024%20QAP%20Application%20Mode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SBC/Bond%20Commission%20Meetings/2024/November/Electronics%20Documentation/S23-024A%20-%20Conner/Cost%20Containment%20-%20Sabine%20-%20v4.xlsm" TargetMode="External"/><Relationship Id="rId1" Type="http://schemas.openxmlformats.org/officeDocument/2006/relationships/externalLinkPath" Target="file:///S:/SBC/Bond%20Commission%20Meetings/2024/November/Electronics%20Documentation/S23-024A%20-%20Conner/Cost%20Containment%20-%20Sabine%20-%20v4.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SBC/Bond%20Commission%20Meetings/2024/November/Electronics%20Documentation/S24-010B%20-%20Conner/WG%20Meeting%20Materials/Cost%20Containment%20-%20Canal%20-%20v2.xlsm" TargetMode="External"/><Relationship Id="rId1" Type="http://schemas.openxmlformats.org/officeDocument/2006/relationships/externalLinkPath" Target="file:///S:/SBC/Bond%20Commission%20Meetings/2024/November/Electronics%20Documentation/S24-010B%20-%20Conner/WG%20Meeting%20Materials/Cost%20Containment%20-%20Canal%20-%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Log"/>
      <sheetName val="TOC"/>
      <sheetName val="Printing Options"/>
      <sheetName val="Instructions"/>
      <sheetName val="Narrative"/>
      <sheetName val="Controls"/>
      <sheetName val="Project Description"/>
      <sheetName val="QAP Reference"/>
      <sheetName val="Unit Mix and Rents"/>
      <sheetName val="Development Costs"/>
      <sheetName val="Basis Calculation"/>
      <sheetName val="Revenues and Expenses"/>
      <sheetName val="Proforma"/>
      <sheetName val="Selection Criteria"/>
      <sheetName val="Summary"/>
      <sheetName val="Checklist"/>
      <sheetName val="Serious Problems"/>
      <sheetName val="Reviewer Follow-Ups"/>
      <sheetName val="Development Team"/>
      <sheetName val="Syndication"/>
      <sheetName val="Taxpayer Certification"/>
      <sheetName val="Reserve Adequacy"/>
      <sheetName val="App 1 Owner Info"/>
      <sheetName val="App 2 Site Control"/>
      <sheetName val="App 3 Ownership History"/>
      <sheetName val="App 4 Zoning"/>
      <sheetName val="App 11 NP Participation"/>
      <sheetName val="App 13 NP Counsel Opinion"/>
      <sheetName val="App 34 Debarment"/>
      <sheetName val="App 35 Matching"/>
      <sheetName val="App 36 Environmental"/>
      <sheetName val="LHC-2 CEO Notification"/>
      <sheetName val="LHC-3 Developer Experience"/>
      <sheetName val="LHC-4 Management Experience"/>
      <sheetName val="Existing LHC Property"/>
      <sheetName val="Financing Cert"/>
      <sheetName val="Demand Cert"/>
      <sheetName val="Parishes"/>
      <sheetName val="HUD TDC Data"/>
      <sheetName val="AMI Rents"/>
      <sheetName val="WS Controls"/>
    </sheetNames>
    <sheetDataSet>
      <sheetData sheetId="0"/>
      <sheetData sheetId="1"/>
      <sheetData sheetId="2"/>
      <sheetData sheetId="3"/>
      <sheetData sheetId="4"/>
      <sheetData sheetId="5"/>
      <sheetData sheetId="6">
        <row r="3">
          <cell r="A3" t="str">
            <v>2024 QAP Underwriting Application v1.0</v>
          </cell>
        </row>
        <row r="95">
          <cell r="H95" t="str">
            <v>New Construction</v>
          </cell>
        </row>
      </sheetData>
      <sheetData sheetId="7"/>
      <sheetData sheetId="8"/>
      <sheetData sheetId="9">
        <row r="140">
          <cell r="D140">
            <v>0</v>
          </cell>
        </row>
        <row r="231">
          <cell r="B231" t="str">
            <v>HUD TDC Per Unit Limit</v>
          </cell>
        </row>
        <row r="233">
          <cell r="B233" t="str">
            <v>Parish</v>
          </cell>
          <cell r="C233">
            <v>0</v>
          </cell>
        </row>
        <row r="234">
          <cell r="B234" t="str">
            <v>Louisiana Cost Area for TDC Limit Purposes</v>
          </cell>
          <cell r="C234" t="e">
            <v>#N/A</v>
          </cell>
        </row>
        <row r="235">
          <cell r="B235" t="str">
            <v>Primary Building Type</v>
          </cell>
          <cell r="C235" t="str">
            <v>Walk-Up</v>
          </cell>
          <cell r="F235" t="str">
            <v>Maximum</v>
          </cell>
        </row>
        <row r="236">
          <cell r="B236" t="str">
            <v>Building Type for TDC Limit Purposes</v>
          </cell>
          <cell r="C236" t="str">
            <v>Walkup</v>
          </cell>
          <cell r="E236" t="str">
            <v>TDC / Unit</v>
          </cell>
          <cell r="F236" t="str">
            <v xml:space="preserve">TDC      </v>
          </cell>
        </row>
        <row r="238">
          <cell r="B238" t="str">
            <v>0 BR Units</v>
          </cell>
          <cell r="C238">
            <v>0</v>
          </cell>
        </row>
        <row r="239">
          <cell r="B239" t="str">
            <v>1 BR Units</v>
          </cell>
          <cell r="C239">
            <v>0</v>
          </cell>
        </row>
        <row r="240">
          <cell r="B240" t="str">
            <v>2 BR Units</v>
          </cell>
          <cell r="C240">
            <v>0</v>
          </cell>
        </row>
        <row r="241">
          <cell r="B241" t="str">
            <v>3 BR Units</v>
          </cell>
          <cell r="C241">
            <v>0</v>
          </cell>
        </row>
        <row r="242">
          <cell r="B242" t="str">
            <v>4 BR Units</v>
          </cell>
          <cell r="C242">
            <v>0</v>
          </cell>
        </row>
        <row r="244">
          <cell r="B244" t="str">
            <v>Total</v>
          </cell>
          <cell r="C244">
            <v>0</v>
          </cell>
          <cell r="G244" t="str">
            <v>= Maximum TDC Limit</v>
          </cell>
        </row>
        <row r="249">
          <cell r="F249">
            <v>0</v>
          </cell>
        </row>
        <row r="250">
          <cell r="F250">
            <v>0</v>
          </cell>
        </row>
        <row r="252">
          <cell r="F252">
            <v>0</v>
          </cell>
        </row>
        <row r="254">
          <cell r="F254">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arrative"/>
      <sheetName val="Instructions"/>
      <sheetName val="SBC Reconciliation"/>
      <sheetName val="SBC Summary"/>
      <sheetName val="LHC APP DATA"/>
      <sheetName val="Summary"/>
      <sheetName val="Hard Cost Containment"/>
      <sheetName val="Adjusted TDC Cost Containment"/>
      <sheetName val="Total Uses"/>
      <sheetName val="HUD data TDC"/>
      <sheetName val="HUD HCC"/>
    </sheetNames>
    <sheetDataSet>
      <sheetData sheetId="0" refreshError="1"/>
      <sheetData sheetId="1" refreshError="1"/>
      <sheetData sheetId="2" refreshError="1"/>
      <sheetData sheetId="3" refreshError="1"/>
      <sheetData sheetId="4" refreshError="1"/>
      <sheetData sheetId="5"/>
      <sheetData sheetId="6">
        <row r="2">
          <cell r="N2">
            <v>178.10708017156054</v>
          </cell>
        </row>
        <row r="62">
          <cell r="C62">
            <v>18967928.550000001</v>
          </cell>
          <cell r="D62">
            <v>3812818.9525402528</v>
          </cell>
          <cell r="E62">
            <v>15155109.597459745</v>
          </cell>
        </row>
      </sheetData>
      <sheetData sheetId="7">
        <row r="15">
          <cell r="E15">
            <v>44498</v>
          </cell>
        </row>
      </sheetData>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arrative"/>
      <sheetName val="Instructions"/>
      <sheetName val="LHC APP DATA"/>
      <sheetName val="SBC Reconciliation"/>
      <sheetName val="SBC Summary"/>
      <sheetName val="Summary"/>
      <sheetName val="Hard Cost Containment"/>
      <sheetName val="Adjusted TDC Cost Containment"/>
      <sheetName val="Above HUD Moderate Design"/>
      <sheetName val="Total Uses"/>
      <sheetName val="HUD data TDC"/>
      <sheetName val="HUD HCC"/>
    </sheetNames>
    <sheetDataSet>
      <sheetData sheetId="0"/>
      <sheetData sheetId="1"/>
      <sheetData sheetId="2"/>
      <sheetData sheetId="3">
        <row r="7">
          <cell r="C7">
            <v>10573750</v>
          </cell>
        </row>
      </sheetData>
      <sheetData sheetId="4"/>
      <sheetData sheetId="5">
        <row r="11">
          <cell r="H11">
            <v>6655960</v>
          </cell>
        </row>
      </sheetData>
      <sheetData sheetId="6">
        <row r="2">
          <cell r="N2">
            <v>190.71518624641834</v>
          </cell>
        </row>
      </sheetData>
      <sheetData sheetId="7">
        <row r="15">
          <cell r="B15" t="str">
            <v>Appraisal Date :</v>
          </cell>
          <cell r="F15" t="str">
            <v>Appraisal Amount :</v>
          </cell>
        </row>
      </sheetData>
      <sheetData sheetId="8"/>
      <sheetData sheetId="9"/>
      <sheetData sheetId="10"/>
      <sheetData sheetId="1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6809B55-3249-8946-809E-CE41EC7FBE5C}">
  <we:reference id="wa200009404" version="1.0.0.8" store="en-US" storeType="OMEX"/>
  <we:alternateReferences>
    <we:reference id="WA200009404" version="1.0.0.8" store="" storeType="OMEX"/>
  </we:alternateReferences>
  <we:properties>
    <we:property name="claude.fileId" value="&quot;6241a684-c99d-4493-84aa-3d684b62c903&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hud.gov/sites/dfiles/PIH/documents/TDCs_2022.pdf"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hud.gov/sites/dfiles/PIH/documents/TDCs_2022.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C3E3-E0E7-411B-8A5E-5D6DF947B2CE}">
  <dimension ref="A1:C23"/>
  <sheetViews>
    <sheetView topLeftCell="A19" zoomScaleNormal="100" workbookViewId="0">
      <selection activeCell="B2" sqref="B2"/>
    </sheetView>
  </sheetViews>
  <sheetFormatPr baseColWidth="10" defaultColWidth="9.1640625" defaultRowHeight="18"/>
  <cols>
    <col min="1" max="1" width="3.6640625" style="75" customWidth="1"/>
    <col min="2" max="2" width="86.1640625" style="75" customWidth="1"/>
    <col min="3" max="3" width="3.6640625" style="75" customWidth="1"/>
    <col min="4" max="16384" width="9.1640625" style="75"/>
  </cols>
  <sheetData>
    <row r="1" spans="1:3">
      <c r="A1" s="76"/>
      <c r="B1" s="76"/>
      <c r="C1" s="76"/>
    </row>
    <row r="2" spans="1:3" ht="102.75" customHeight="1">
      <c r="A2" s="76"/>
      <c r="B2" s="84" t="s">
        <v>122</v>
      </c>
      <c r="C2" s="76"/>
    </row>
    <row r="3" spans="1:3" ht="219" customHeight="1">
      <c r="A3" s="76"/>
      <c r="B3" s="83" t="s">
        <v>123</v>
      </c>
      <c r="C3" s="76"/>
    </row>
    <row r="4" spans="1:3" ht="185.25" customHeight="1">
      <c r="A4" s="76"/>
      <c r="B4" s="83" t="s">
        <v>124</v>
      </c>
      <c r="C4" s="76"/>
    </row>
    <row r="5" spans="1:3" ht="81.75" customHeight="1">
      <c r="A5" s="76"/>
      <c r="B5" s="85" t="s">
        <v>97</v>
      </c>
      <c r="C5" s="76"/>
    </row>
    <row r="6" spans="1:3" ht="65.25" customHeight="1">
      <c r="A6" s="76"/>
      <c r="B6" s="83" t="s">
        <v>99</v>
      </c>
      <c r="C6" s="76"/>
    </row>
    <row r="7" spans="1:3" ht="130.5" customHeight="1">
      <c r="A7" s="76"/>
      <c r="B7" s="83" t="s">
        <v>98</v>
      </c>
      <c r="C7" s="76"/>
    </row>
    <row r="8" spans="1:3" ht="90.75" customHeight="1">
      <c r="A8" s="76"/>
      <c r="B8" s="83" t="s">
        <v>125</v>
      </c>
      <c r="C8" s="76"/>
    </row>
    <row r="9" spans="1:3" ht="62.25" customHeight="1">
      <c r="A9" s="76"/>
      <c r="B9" s="131" t="s">
        <v>126</v>
      </c>
      <c r="C9" s="76"/>
    </row>
    <row r="10" spans="1:3" ht="42" customHeight="1">
      <c r="A10" s="76"/>
      <c r="B10" s="83" t="s">
        <v>127</v>
      </c>
      <c r="C10" s="76"/>
    </row>
    <row r="11" spans="1:3" ht="186" customHeight="1">
      <c r="A11" s="76"/>
      <c r="B11" s="83" t="s">
        <v>128</v>
      </c>
      <c r="C11" s="76"/>
    </row>
    <row r="12" spans="1:3" ht="90.75" customHeight="1">
      <c r="A12" s="76"/>
      <c r="B12" s="83" t="s">
        <v>129</v>
      </c>
      <c r="C12" s="76"/>
    </row>
    <row r="13" spans="1:3" ht="60.75" customHeight="1">
      <c r="A13" s="76"/>
      <c r="B13" s="132" t="s">
        <v>130</v>
      </c>
      <c r="C13" s="76"/>
    </row>
    <row r="14" spans="1:3" ht="139.5" customHeight="1">
      <c r="A14" s="76"/>
      <c r="B14" s="132" t="s">
        <v>131</v>
      </c>
      <c r="C14" s="76"/>
    </row>
    <row r="15" spans="1:3" ht="65.25" customHeight="1">
      <c r="A15" s="76"/>
      <c r="B15" s="132" t="s">
        <v>132</v>
      </c>
      <c r="C15" s="76"/>
    </row>
    <row r="16" spans="1:3" ht="60" customHeight="1">
      <c r="A16" s="76"/>
      <c r="B16" s="132" t="s">
        <v>133</v>
      </c>
      <c r="C16" s="76"/>
    </row>
    <row r="17" spans="1:3" ht="90.75" customHeight="1">
      <c r="A17" s="76"/>
      <c r="B17" s="85" t="s">
        <v>100</v>
      </c>
      <c r="C17" s="76"/>
    </row>
    <row r="18" spans="1:3" ht="60" customHeight="1">
      <c r="A18" s="76"/>
      <c r="B18" s="132" t="s">
        <v>134</v>
      </c>
      <c r="C18" s="76"/>
    </row>
    <row r="19" spans="1:3" ht="63" customHeight="1">
      <c r="A19" s="76"/>
      <c r="B19" s="132" t="s">
        <v>135</v>
      </c>
      <c r="C19" s="76"/>
    </row>
    <row r="20" spans="1:3" ht="54" customHeight="1">
      <c r="A20" s="76"/>
      <c r="B20" s="132" t="s">
        <v>136</v>
      </c>
      <c r="C20" s="76"/>
    </row>
    <row r="21" spans="1:3" ht="66" customHeight="1">
      <c r="A21" s="76"/>
      <c r="B21" s="132" t="s">
        <v>137</v>
      </c>
      <c r="C21" s="76"/>
    </row>
    <row r="22" spans="1:3" ht="98.25" customHeight="1">
      <c r="A22" s="76"/>
      <c r="B22" s="85" t="s">
        <v>138</v>
      </c>
      <c r="C22" s="76"/>
    </row>
    <row r="23" spans="1:3">
      <c r="A23" s="76"/>
      <c r="B23" s="76"/>
      <c r="C23" s="76"/>
    </row>
  </sheetData>
  <sheetProtection algorithmName="SHA-512" hashValue="6EXkAbYKB2TkrQkMgJLmDiCxWCoaduZgqibAEoids9fIMgJdL55/IvvobiKo4n1/0S5wxtsYdU/Ed6t6gUJfJA==" saltValue="/050IFvzikGi86h4Cqv0Tg==" spinCount="100000" sheet="1" objects="1" scenarios="1"/>
  <pageMargins left="0.7" right="0.7" top="0.75" bottom="0.75" header="0.3" footer="0.3"/>
  <pageSetup scale="96"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064CF-96F7-4495-B6A6-D4759D1CBCC7}">
  <dimension ref="A1:O17"/>
  <sheetViews>
    <sheetView zoomScaleNormal="100" workbookViewId="0">
      <selection activeCell="G14" sqref="G14"/>
    </sheetView>
  </sheetViews>
  <sheetFormatPr baseColWidth="10" defaultColWidth="8.6640625" defaultRowHeight="15"/>
  <cols>
    <col min="1" max="1" width="3.6640625" customWidth="1"/>
    <col min="15" max="15" width="3.6640625" customWidth="1"/>
  </cols>
  <sheetData>
    <row r="1" spans="1:15" ht="18">
      <c r="A1" s="76"/>
      <c r="B1" s="76"/>
      <c r="C1" s="76"/>
      <c r="D1" s="76"/>
      <c r="E1" s="76"/>
      <c r="F1" s="76"/>
      <c r="G1" s="76"/>
      <c r="H1" s="76"/>
      <c r="I1" s="76"/>
      <c r="J1" s="76"/>
      <c r="K1" s="76"/>
      <c r="L1" s="76"/>
      <c r="M1" s="76"/>
      <c r="N1" s="76"/>
      <c r="O1" s="76"/>
    </row>
    <row r="2" spans="1:15" ht="24">
      <c r="A2" s="76"/>
      <c r="B2" s="78">
        <v>1</v>
      </c>
      <c r="C2" s="78" t="s">
        <v>34</v>
      </c>
      <c r="D2" s="78"/>
      <c r="E2" s="79"/>
      <c r="F2" s="79"/>
      <c r="G2" s="79"/>
      <c r="H2" s="79"/>
      <c r="I2" s="79"/>
      <c r="J2" s="79"/>
      <c r="K2" s="79"/>
      <c r="L2" s="79"/>
      <c r="M2" s="79"/>
      <c r="N2" s="77"/>
      <c r="O2" s="76"/>
    </row>
    <row r="3" spans="1:15" ht="24">
      <c r="A3" s="76"/>
      <c r="B3" s="78">
        <v>2</v>
      </c>
      <c r="C3" s="78" t="s">
        <v>36</v>
      </c>
      <c r="D3" s="78"/>
      <c r="E3" s="79"/>
      <c r="F3" s="79"/>
      <c r="G3" s="79"/>
      <c r="H3" s="79"/>
      <c r="I3" s="79"/>
      <c r="J3" s="79"/>
      <c r="K3" s="79"/>
      <c r="L3" s="79"/>
      <c r="M3" s="79"/>
      <c r="N3" s="77"/>
      <c r="O3" s="76"/>
    </row>
    <row r="4" spans="1:15" ht="24">
      <c r="A4" s="76"/>
      <c r="B4" s="78">
        <v>3</v>
      </c>
      <c r="C4" s="78" t="s">
        <v>139</v>
      </c>
      <c r="D4" s="78"/>
      <c r="E4" s="79"/>
      <c r="F4" s="79"/>
      <c r="G4" s="79"/>
      <c r="H4" s="79"/>
      <c r="I4" s="79"/>
      <c r="J4" s="79"/>
      <c r="K4" s="79"/>
      <c r="L4" s="79"/>
      <c r="M4" s="79"/>
      <c r="N4" s="77"/>
      <c r="O4" s="76"/>
    </row>
    <row r="5" spans="1:15" ht="24">
      <c r="A5" s="76"/>
      <c r="B5" s="78"/>
      <c r="C5" s="80" t="s">
        <v>39</v>
      </c>
      <c r="D5" s="78"/>
      <c r="E5" s="79"/>
      <c r="F5" s="79"/>
      <c r="G5" s="79"/>
      <c r="H5" s="79"/>
      <c r="I5" s="79"/>
      <c r="J5" s="79"/>
      <c r="K5" s="79"/>
      <c r="L5" s="79"/>
      <c r="M5" s="79"/>
      <c r="N5" s="77"/>
      <c r="O5" s="76"/>
    </row>
    <row r="6" spans="1:15" ht="24">
      <c r="A6" s="76"/>
      <c r="B6" s="78">
        <v>4</v>
      </c>
      <c r="C6" s="78" t="s">
        <v>142</v>
      </c>
      <c r="D6" s="78"/>
      <c r="E6" s="79"/>
      <c r="F6" s="79"/>
      <c r="G6" s="79"/>
      <c r="H6" s="79"/>
      <c r="I6" s="79"/>
      <c r="J6" s="79"/>
      <c r="K6" s="79"/>
      <c r="L6" s="79"/>
      <c r="M6" s="79"/>
      <c r="N6" s="77"/>
      <c r="O6" s="76"/>
    </row>
    <row r="7" spans="1:15" ht="24">
      <c r="A7" s="76"/>
      <c r="B7" s="78">
        <v>5</v>
      </c>
      <c r="C7" s="78" t="s">
        <v>140</v>
      </c>
      <c r="D7" s="78"/>
      <c r="E7" s="79"/>
      <c r="F7" s="79"/>
      <c r="G7" s="79"/>
      <c r="H7" s="79"/>
      <c r="I7" s="79"/>
      <c r="J7" s="79"/>
      <c r="K7" s="79"/>
      <c r="L7" s="79"/>
      <c r="M7" s="79"/>
      <c r="N7" s="77"/>
      <c r="O7" s="76"/>
    </row>
    <row r="8" spans="1:15" ht="24">
      <c r="A8" s="76"/>
      <c r="B8" s="78">
        <v>6</v>
      </c>
      <c r="C8" s="78" t="s">
        <v>151</v>
      </c>
      <c r="D8" s="78"/>
      <c r="E8" s="79"/>
      <c r="F8" s="79"/>
      <c r="G8" s="79"/>
      <c r="H8" s="79"/>
      <c r="I8" s="79"/>
      <c r="J8" s="79"/>
      <c r="K8" s="79"/>
      <c r="L8" s="79"/>
      <c r="M8" s="79"/>
      <c r="N8" s="77"/>
      <c r="O8" s="76"/>
    </row>
    <row r="9" spans="1:15" ht="202.5" customHeight="1">
      <c r="A9" s="76"/>
      <c r="B9" s="155">
        <v>7</v>
      </c>
      <c r="C9" s="255" t="s">
        <v>172</v>
      </c>
      <c r="D9" s="256"/>
      <c r="E9" s="256"/>
      <c r="F9" s="256"/>
      <c r="G9" s="256"/>
      <c r="H9" s="256"/>
      <c r="I9" s="256"/>
      <c r="J9" s="256"/>
      <c r="K9" s="256"/>
      <c r="L9" s="256"/>
      <c r="M9" s="256"/>
      <c r="N9" s="77"/>
      <c r="O9" s="76"/>
    </row>
    <row r="10" spans="1:15" ht="24">
      <c r="A10" s="76"/>
      <c r="B10" s="78">
        <v>8</v>
      </c>
      <c r="C10" s="78" t="s">
        <v>150</v>
      </c>
      <c r="D10" s="78"/>
      <c r="E10" s="79"/>
      <c r="F10" s="79"/>
      <c r="G10" s="79"/>
      <c r="H10" s="79"/>
      <c r="I10" s="79"/>
      <c r="J10" s="79"/>
      <c r="K10" s="79"/>
      <c r="L10" s="79"/>
      <c r="M10" s="79"/>
      <c r="N10" s="77"/>
      <c r="O10" s="76"/>
    </row>
    <row r="11" spans="1:15" ht="24">
      <c r="A11" s="76"/>
      <c r="B11" s="78">
        <v>9</v>
      </c>
      <c r="C11" s="78" t="s">
        <v>141</v>
      </c>
      <c r="D11" s="78"/>
      <c r="E11" s="79"/>
      <c r="F11" s="79"/>
      <c r="G11" s="79"/>
      <c r="H11" s="79"/>
      <c r="I11" s="79"/>
      <c r="J11" s="79"/>
      <c r="K11" s="79"/>
      <c r="L11" s="79"/>
      <c r="M11" s="79"/>
      <c r="N11" s="77"/>
      <c r="O11" s="76"/>
    </row>
    <row r="12" spans="1:15" ht="21">
      <c r="A12" s="76"/>
      <c r="B12" s="79"/>
      <c r="C12" s="79"/>
      <c r="D12" s="79"/>
      <c r="E12" s="79"/>
      <c r="F12" s="79"/>
      <c r="G12" s="79"/>
      <c r="H12" s="79"/>
      <c r="I12" s="79"/>
      <c r="J12" s="79"/>
      <c r="K12" s="79"/>
      <c r="L12" s="79"/>
      <c r="M12" s="79"/>
      <c r="O12" s="76"/>
    </row>
    <row r="13" spans="1:15" ht="21">
      <c r="A13" s="76"/>
      <c r="B13" s="79"/>
      <c r="C13" s="79"/>
      <c r="D13" s="79"/>
      <c r="E13" s="79"/>
      <c r="F13" s="79"/>
      <c r="G13" s="79"/>
      <c r="H13" s="79"/>
      <c r="I13" s="79"/>
      <c r="J13" s="79"/>
      <c r="K13" s="79"/>
      <c r="L13" s="79"/>
      <c r="M13" s="79"/>
      <c r="O13" s="76"/>
    </row>
    <row r="14" spans="1:15" ht="18">
      <c r="A14" s="76"/>
      <c r="C14" t="s">
        <v>37</v>
      </c>
      <c r="G14" s="42" t="str">
        <f>+'Adjusted TDC Cost Containment'!D1</f>
        <v>For 2024 Application</v>
      </c>
      <c r="O14" s="76"/>
    </row>
    <row r="15" spans="1:15" ht="18">
      <c r="A15" s="76"/>
      <c r="C15" t="s">
        <v>38</v>
      </c>
      <c r="G15" s="42">
        <f>+'Adjusted TDC Cost Containment'!Q1</f>
        <v>0</v>
      </c>
      <c r="O15" s="76"/>
    </row>
    <row r="16" spans="1:15" ht="18">
      <c r="A16" s="76"/>
      <c r="O16" s="76"/>
    </row>
    <row r="17" spans="1:15" ht="18">
      <c r="A17" s="76"/>
      <c r="B17" s="76"/>
      <c r="C17" s="76"/>
      <c r="D17" s="76"/>
      <c r="E17" s="76"/>
      <c r="F17" s="76"/>
      <c r="G17" s="76"/>
      <c r="H17" s="76"/>
      <c r="I17" s="76"/>
      <c r="J17" s="76"/>
      <c r="K17" s="76"/>
      <c r="L17" s="76"/>
      <c r="M17" s="76"/>
      <c r="N17" s="76"/>
      <c r="O17" s="76"/>
    </row>
  </sheetData>
  <mergeCells count="1">
    <mergeCell ref="C9:M9"/>
  </mergeCells>
  <pageMargins left="0.7" right="0.7" top="0.75" bottom="0.75" header="0.3" footer="0.3"/>
  <pageSetup scale="71"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A64EB-D993-433D-BBC7-67AAA4C281BE}">
  <dimension ref="A3:K32"/>
  <sheetViews>
    <sheetView workbookViewId="0">
      <selection activeCell="C5" sqref="C5"/>
    </sheetView>
  </sheetViews>
  <sheetFormatPr baseColWidth="10" defaultColWidth="8.6640625" defaultRowHeight="15"/>
  <cols>
    <col min="2" max="2" width="40.6640625" customWidth="1"/>
    <col min="3" max="3" width="27.5" style="12" customWidth="1"/>
    <col min="4" max="4" width="1.33203125" customWidth="1"/>
    <col min="5" max="5" width="16" customWidth="1"/>
    <col min="6" max="6" width="12.6640625" customWidth="1"/>
    <col min="7" max="7" width="21.5" customWidth="1"/>
  </cols>
  <sheetData>
    <row r="3" spans="1:11">
      <c r="B3" t="str">
        <f>+'[1]Development Costs'!B231</f>
        <v>HUD TDC Per Unit Limit</v>
      </c>
    </row>
    <row r="5" spans="1:11">
      <c r="B5" t="str">
        <f>+'[1]Development Costs'!B233</f>
        <v>Parish</v>
      </c>
      <c r="C5" s="18">
        <f>+'[1]Development Costs'!C233</f>
        <v>0</v>
      </c>
    </row>
    <row r="6" spans="1:11">
      <c r="B6" t="str">
        <f>+'[1]Development Costs'!B234</f>
        <v>Louisiana Cost Area for TDC Limit Purposes</v>
      </c>
      <c r="C6" s="18" t="e">
        <f>+'[1]Development Costs'!C234</f>
        <v>#N/A</v>
      </c>
    </row>
    <row r="7" spans="1:11">
      <c r="B7" t="str">
        <f>+'[1]Development Costs'!B235</f>
        <v>Primary Building Type</v>
      </c>
      <c r="C7" s="18" t="str">
        <f>+'[1]Development Costs'!C235</f>
        <v>Walk-Up</v>
      </c>
      <c r="D7" s="12"/>
      <c r="E7" s="12"/>
      <c r="F7" s="12" t="str">
        <f>+'[1]Development Costs'!F235</f>
        <v>Maximum</v>
      </c>
      <c r="G7" s="12"/>
      <c r="H7" s="12"/>
    </row>
    <row r="8" spans="1:11">
      <c r="B8" t="str">
        <f>+'[1]Development Costs'!B236</f>
        <v>Building Type for TDC Limit Purposes</v>
      </c>
      <c r="C8" s="18" t="str">
        <f>+'[1]Development Costs'!C236</f>
        <v>Walkup</v>
      </c>
      <c r="D8" s="12"/>
      <c r="E8" s="12" t="str">
        <f>+'[1]Development Costs'!E236</f>
        <v>TDC / Unit</v>
      </c>
      <c r="F8" s="12" t="str">
        <f>+'[1]Development Costs'!F236</f>
        <v xml:space="preserve">TDC      </v>
      </c>
      <c r="G8" s="12"/>
      <c r="H8" s="12"/>
    </row>
    <row r="9" spans="1:11">
      <c r="D9" s="12"/>
      <c r="E9" s="12"/>
      <c r="F9" s="12"/>
      <c r="G9" s="12"/>
      <c r="H9" s="12"/>
    </row>
    <row r="10" spans="1:11">
      <c r="A10">
        <v>2</v>
      </c>
      <c r="B10" t="str">
        <f>+'[1]Development Costs'!B238</f>
        <v>0 BR Units</v>
      </c>
      <c r="C10" s="17">
        <f>+'[1]Development Costs'!C238</f>
        <v>0</v>
      </c>
      <c r="D10" s="12"/>
      <c r="E10" s="82" t="e">
        <f>VLOOKUP($K$10,'HUD data TDC'!$C$8:$J$35,A10,FALSE)</f>
        <v>#N/A</v>
      </c>
      <c r="F10" s="15" t="e">
        <f>+E10*C10</f>
        <v>#N/A</v>
      </c>
      <c r="G10" s="12"/>
      <c r="H10" s="12"/>
      <c r="K10" t="e">
        <f>TRIM(C6&amp;" "&amp;C8)</f>
        <v>#N/A</v>
      </c>
    </row>
    <row r="11" spans="1:11">
      <c r="A11">
        <v>3</v>
      </c>
      <c r="B11" t="str">
        <f>+'[1]Development Costs'!B239</f>
        <v>1 BR Units</v>
      </c>
      <c r="C11" s="17">
        <f>+'[1]Development Costs'!C239</f>
        <v>0</v>
      </c>
      <c r="D11" s="12"/>
      <c r="E11" s="82" t="e">
        <f>VLOOKUP($K$10,'HUD data TDC'!$C$8:$J$35,A11,FALSE)</f>
        <v>#N/A</v>
      </c>
      <c r="F11" s="15" t="e">
        <f>+E11*C11</f>
        <v>#N/A</v>
      </c>
      <c r="G11" s="12"/>
      <c r="H11" s="12"/>
    </row>
    <row r="12" spans="1:11">
      <c r="A12">
        <v>4</v>
      </c>
      <c r="B12" t="str">
        <f>+'[1]Development Costs'!B240</f>
        <v>2 BR Units</v>
      </c>
      <c r="C12" s="17">
        <f>+'[1]Development Costs'!C240</f>
        <v>0</v>
      </c>
      <c r="D12" s="12"/>
      <c r="E12" s="82" t="e">
        <f>VLOOKUP($K$10,'HUD data TDC'!$C$8:$J$35,A12,FALSE)</f>
        <v>#N/A</v>
      </c>
      <c r="F12" s="15" t="e">
        <f>+E12*C12</f>
        <v>#N/A</v>
      </c>
      <c r="G12" s="12"/>
      <c r="H12" s="12"/>
    </row>
    <row r="13" spans="1:11">
      <c r="A13">
        <v>5</v>
      </c>
      <c r="B13" t="str">
        <f>+'[1]Development Costs'!B241</f>
        <v>3 BR Units</v>
      </c>
      <c r="C13" s="17">
        <f>+'[1]Development Costs'!C241</f>
        <v>0</v>
      </c>
      <c r="D13" s="12"/>
      <c r="E13" s="82" t="e">
        <f>VLOOKUP($K$10,'HUD data TDC'!$C$8:$J$35,A13,FALSE)</f>
        <v>#N/A</v>
      </c>
      <c r="F13" s="15" t="e">
        <f>+E13*C13</f>
        <v>#N/A</v>
      </c>
      <c r="G13" s="12"/>
      <c r="H13" s="12"/>
    </row>
    <row r="14" spans="1:11">
      <c r="A14">
        <v>6</v>
      </c>
      <c r="B14" t="str">
        <f>+'[1]Development Costs'!B242</f>
        <v>4 BR Units</v>
      </c>
      <c r="C14" s="17">
        <f>+'[1]Development Costs'!C242</f>
        <v>0</v>
      </c>
      <c r="D14" s="12"/>
      <c r="E14" s="82" t="e">
        <f>VLOOKUP($K$10,'HUD data TDC'!$C$8:$J$35,A14,FALSE)</f>
        <v>#N/A</v>
      </c>
      <c r="F14" s="15" t="e">
        <f>+E14*C14</f>
        <v>#N/A</v>
      </c>
      <c r="G14" s="12"/>
      <c r="H14" s="12"/>
    </row>
    <row r="15" spans="1:11">
      <c r="D15" s="12"/>
      <c r="E15" s="15"/>
      <c r="F15" s="15"/>
      <c r="G15" s="12"/>
      <c r="H15" s="12"/>
    </row>
    <row r="16" spans="1:11">
      <c r="B16" t="str">
        <f>+'[1]Development Costs'!B244</f>
        <v>Total</v>
      </c>
      <c r="C16" s="17">
        <f>+'[1]Development Costs'!C244</f>
        <v>0</v>
      </c>
      <c r="D16" s="12"/>
      <c r="E16" s="15"/>
      <c r="F16" s="19" t="e">
        <f>SUM(F9:F15)</f>
        <v>#N/A</v>
      </c>
      <c r="G16" s="20" t="str">
        <f>+'[1]Development Costs'!G244</f>
        <v>= Maximum TDC Limit</v>
      </c>
      <c r="H16" s="12"/>
    </row>
    <row r="17" spans="2:10">
      <c r="E17" s="16"/>
      <c r="F17" s="16"/>
    </row>
    <row r="18" spans="2:10">
      <c r="E18" s="16"/>
      <c r="F18" s="16"/>
    </row>
    <row r="19" spans="2:10">
      <c r="E19">
        <f>IF(C8="Elevator", 1.6,1.75)</f>
        <v>1.75</v>
      </c>
    </row>
    <row r="21" spans="2:10">
      <c r="C21" s="12" t="s">
        <v>93</v>
      </c>
      <c r="E21" s="142" t="e">
        <f>+F16/E19</f>
        <v>#N/A</v>
      </c>
    </row>
    <row r="24" spans="2:10">
      <c r="B24" t="s">
        <v>208</v>
      </c>
      <c r="C24" s="18">
        <f>+'[1]Development Costs'!$F$254</f>
        <v>0</v>
      </c>
    </row>
    <row r="25" spans="2:10">
      <c r="B25" t="s">
        <v>101</v>
      </c>
    </row>
    <row r="26" spans="2:10">
      <c r="B26">
        <f>+'Adjusted TDC Cost Containment'!F6</f>
        <v>22018</v>
      </c>
    </row>
    <row r="27" spans="2:10">
      <c r="B27" s="81"/>
    </row>
    <row r="28" spans="2:10">
      <c r="B28" t="s">
        <v>102</v>
      </c>
      <c r="G28" s="89">
        <f>+C10</f>
        <v>0</v>
      </c>
      <c r="H28">
        <v>500</v>
      </c>
      <c r="J28" s="89">
        <f>+G28*H28</f>
        <v>0</v>
      </c>
    </row>
    <row r="29" spans="2:10">
      <c r="B29" s="89">
        <f>SUM(J28:J32)</f>
        <v>0</v>
      </c>
      <c r="G29" s="89">
        <f>+C11</f>
        <v>0</v>
      </c>
      <c r="H29">
        <v>700</v>
      </c>
      <c r="J29" s="89">
        <f>+G29*H29</f>
        <v>0</v>
      </c>
    </row>
    <row r="30" spans="2:10">
      <c r="G30" s="89">
        <f>+C12</f>
        <v>0</v>
      </c>
      <c r="H30">
        <v>900</v>
      </c>
      <c r="J30" s="89">
        <f>+G30*H30</f>
        <v>0</v>
      </c>
    </row>
    <row r="31" spans="2:10">
      <c r="G31" s="89">
        <f>+C13</f>
        <v>0</v>
      </c>
      <c r="H31">
        <v>1200</v>
      </c>
      <c r="J31" s="89">
        <f>+G31*H31</f>
        <v>0</v>
      </c>
    </row>
    <row r="32" spans="2:10">
      <c r="G32" s="89">
        <f>+C14</f>
        <v>0</v>
      </c>
      <c r="H32">
        <v>1500</v>
      </c>
      <c r="J32" s="89">
        <f>+G32*H32</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4F931-25F7-41F0-B5D1-6DACCE8D70A1}">
  <sheetPr>
    <tabColor theme="9"/>
  </sheetPr>
  <dimension ref="A1:D42"/>
  <sheetViews>
    <sheetView tabSelected="1" workbookViewId="0">
      <selection activeCell="C8" sqref="C8"/>
    </sheetView>
  </sheetViews>
  <sheetFormatPr baseColWidth="10" defaultColWidth="8.83203125" defaultRowHeight="15"/>
  <cols>
    <col min="1" max="1" width="69.33203125" bestFit="1" customWidth="1"/>
    <col min="2" max="2" width="0" hidden="1" customWidth="1"/>
    <col min="3" max="3" width="20.5" bestFit="1" customWidth="1"/>
    <col min="4" max="4" width="0" hidden="1" customWidth="1"/>
  </cols>
  <sheetData>
    <row r="1" spans="1:4">
      <c r="A1" s="257" t="s">
        <v>265</v>
      </c>
      <c r="B1" s="257"/>
      <c r="C1" s="257"/>
    </row>
    <row r="2" spans="1:4">
      <c r="A2" s="257" t="s">
        <v>276</v>
      </c>
      <c r="B2" s="257"/>
      <c r="C2" s="257"/>
    </row>
    <row r="3" spans="1:4">
      <c r="A3" s="197"/>
      <c r="B3" s="197"/>
      <c r="C3" s="197"/>
    </row>
    <row r="4" spans="1:4">
      <c r="A4" s="197"/>
      <c r="B4" s="197"/>
      <c r="C4" s="197"/>
    </row>
    <row r="5" spans="1:4">
      <c r="A5" s="198" t="s">
        <v>26</v>
      </c>
      <c r="B5" s="199"/>
      <c r="C5" s="200" t="s">
        <v>213</v>
      </c>
    </row>
    <row r="6" spans="1:4">
      <c r="A6" s="201" t="s">
        <v>2</v>
      </c>
      <c r="B6" s="197"/>
      <c r="C6" s="202">
        <v>0</v>
      </c>
    </row>
    <row r="7" spans="1:4">
      <c r="A7" s="203" t="s">
        <v>266</v>
      </c>
      <c r="B7" s="204"/>
      <c r="C7" s="205">
        <v>0</v>
      </c>
    </row>
    <row r="8" spans="1:4">
      <c r="A8" s="206"/>
      <c r="B8" s="197"/>
      <c r="C8" s="207"/>
    </row>
    <row r="9" spans="1:4">
      <c r="A9" s="197"/>
      <c r="B9" s="197"/>
      <c r="C9" s="197"/>
    </row>
    <row r="10" spans="1:4">
      <c r="A10" s="208" t="s">
        <v>267</v>
      </c>
      <c r="B10" s="209"/>
      <c r="C10" s="210"/>
    </row>
    <row r="11" spans="1:4">
      <c r="A11" s="211" t="s">
        <v>94</v>
      </c>
      <c r="B11" s="197"/>
      <c r="C11" s="212" cm="1">
        <f t="array" ref="C11:D11">'Hard Cost Containment'!D2:E2</f>
        <v>3089594</v>
      </c>
      <c r="D11">
        <v>0</v>
      </c>
    </row>
    <row r="12" spans="1:4">
      <c r="A12" s="211"/>
      <c r="B12" s="197"/>
      <c r="C12" s="213"/>
    </row>
    <row r="13" spans="1:4">
      <c r="A13" s="211" t="s">
        <v>117</v>
      </c>
      <c r="B13" s="197"/>
      <c r="C13" s="212">
        <f>'Hard Cost Containment'!C62</f>
        <v>8465133.1815094501</v>
      </c>
    </row>
    <row r="14" spans="1:4">
      <c r="A14" s="211" t="s">
        <v>268</v>
      </c>
      <c r="B14" s="197"/>
      <c r="C14" s="214">
        <f>'Hard Cost Containment'!D62</f>
        <v>0</v>
      </c>
    </row>
    <row r="15" spans="1:4">
      <c r="A15" s="211" t="s">
        <v>110</v>
      </c>
      <c r="B15" s="197"/>
      <c r="C15" s="215">
        <f>'Hard Cost Containment'!E62</f>
        <v>8465133.1815094501</v>
      </c>
    </row>
    <row r="16" spans="1:4">
      <c r="A16" s="211"/>
      <c r="B16" s="197"/>
      <c r="C16" s="212"/>
    </row>
    <row r="17" spans="1:4">
      <c r="A17" s="216" t="s">
        <v>269</v>
      </c>
      <c r="B17" s="217"/>
      <c r="C17" s="218">
        <f>C15-C11</f>
        <v>5375539.1815094501</v>
      </c>
    </row>
    <row r="18" spans="1:4">
      <c r="A18" s="197"/>
      <c r="B18" s="197"/>
      <c r="C18" s="219"/>
    </row>
    <row r="19" spans="1:4" hidden="1">
      <c r="A19" s="197"/>
      <c r="B19" s="197"/>
      <c r="C19" s="219"/>
    </row>
    <row r="20" spans="1:4" hidden="1">
      <c r="A20" s="220" t="s">
        <v>112</v>
      </c>
      <c r="B20" s="220"/>
      <c r="C20" s="221" cm="1">
        <f t="array" ref="C20:D20">'[2]Hard Cost Containment'!N2:O2</f>
        <v>178.10708017156054</v>
      </c>
      <c r="D20">
        <v>0</v>
      </c>
    </row>
    <row r="21" spans="1:4" hidden="1">
      <c r="A21" s="197"/>
      <c r="B21" s="197"/>
      <c r="C21" s="219"/>
    </row>
    <row r="22" spans="1:4" hidden="1">
      <c r="A22" s="197" t="s">
        <v>118</v>
      </c>
      <c r="B22" s="197"/>
      <c r="C22" s="222">
        <f>'[2]Hard Cost Containment'!C62/64484</f>
        <v>294.14937891570003</v>
      </c>
    </row>
    <row r="23" spans="1:4" hidden="1">
      <c r="A23" s="197" t="s">
        <v>113</v>
      </c>
      <c r="B23" s="197"/>
      <c r="C23" s="222">
        <f>'[2]Hard Cost Containment'!D62/64484</f>
        <v>59.128139577883708</v>
      </c>
    </row>
    <row r="24" spans="1:4" hidden="1">
      <c r="A24" s="197" t="s">
        <v>114</v>
      </c>
      <c r="B24" s="197"/>
      <c r="C24" s="222">
        <f>'[2]Hard Cost Containment'!E62/64484</f>
        <v>235.02123933781627</v>
      </c>
    </row>
    <row r="25" spans="1:4" hidden="1">
      <c r="A25" s="197"/>
      <c r="B25" s="197"/>
      <c r="C25" s="219"/>
    </row>
    <row r="26" spans="1:4" hidden="1">
      <c r="A26" s="223" t="s">
        <v>111</v>
      </c>
      <c r="B26" s="224"/>
      <c r="C26" s="225">
        <f>MAX(0,+C24-C20)</f>
        <v>56.914159166255729</v>
      </c>
    </row>
    <row r="27" spans="1:4" hidden="1">
      <c r="A27" s="226"/>
      <c r="B27" s="197"/>
      <c r="C27" s="227"/>
    </row>
    <row r="28" spans="1:4" hidden="1">
      <c r="A28" s="197"/>
      <c r="B28" s="197"/>
      <c r="C28" s="219"/>
    </row>
    <row r="29" spans="1:4">
      <c r="A29" s="197"/>
      <c r="B29" s="197"/>
      <c r="C29" s="219"/>
    </row>
    <row r="30" spans="1:4">
      <c r="A30" s="208" t="s">
        <v>270</v>
      </c>
      <c r="B30" s="208"/>
      <c r="C30" s="228"/>
    </row>
    <row r="31" spans="1:4" hidden="1">
      <c r="A31" s="229" t="str">
        <f>+'[3]Adjusted TDC Cost Containment'!B15</f>
        <v>Appraisal Date :</v>
      </c>
      <c r="B31" s="230">
        <f>'[2]Adjusted TDC Cost Containment'!E15</f>
        <v>44498</v>
      </c>
      <c r="C31" s="231" t="str">
        <f>+'[3]Adjusted TDC Cost Containment'!F15</f>
        <v>Appraisal Amount :</v>
      </c>
    </row>
    <row r="32" spans="1:4">
      <c r="A32" s="211" t="s">
        <v>115</v>
      </c>
      <c r="B32" s="197"/>
      <c r="C32" s="212" t="e" cm="1">
        <f t="array" ref="C32:D32">'Adjusted TDC Cost Containment'!F9:G9</f>
        <v>#N/A</v>
      </c>
      <c r="D32">
        <v>0</v>
      </c>
    </row>
    <row r="33" spans="1:3">
      <c r="A33" s="211"/>
      <c r="B33" s="197"/>
      <c r="C33" s="213"/>
    </row>
    <row r="34" spans="1:3">
      <c r="A34" s="211" t="s">
        <v>271</v>
      </c>
      <c r="B34" s="197"/>
      <c r="C34" s="212">
        <f>'Adjusted TDC Cost Containment'!K62</f>
        <v>11745158</v>
      </c>
    </row>
    <row r="35" spans="1:3">
      <c r="A35" s="211" t="s">
        <v>272</v>
      </c>
      <c r="B35" s="197"/>
      <c r="C35" s="212">
        <f>C14</f>
        <v>0</v>
      </c>
    </row>
    <row r="36" spans="1:3">
      <c r="A36" s="211" t="s">
        <v>273</v>
      </c>
      <c r="B36" s="197"/>
      <c r="C36" s="212">
        <v>0</v>
      </c>
    </row>
    <row r="37" spans="1:3">
      <c r="A37" s="211"/>
      <c r="B37" s="197"/>
      <c r="C37" s="212"/>
    </row>
    <row r="38" spans="1:3">
      <c r="A38" s="211" t="s">
        <v>274</v>
      </c>
      <c r="B38" s="197"/>
      <c r="C38" s="212">
        <f>-(SUM('Adjusted TDC Cost Containment'!K31:K54))</f>
        <v>-138168</v>
      </c>
    </row>
    <row r="39" spans="1:3">
      <c r="A39" s="211" t="s">
        <v>275</v>
      </c>
      <c r="B39" s="197"/>
      <c r="C39" s="214">
        <f>-'Adjusted TDC Cost Containment'!K56</f>
        <v>-845000</v>
      </c>
    </row>
    <row r="40" spans="1:3">
      <c r="A40" s="211" t="s">
        <v>147</v>
      </c>
      <c r="B40" s="197"/>
      <c r="C40" s="215">
        <f>SUM(C34:C39)</f>
        <v>10761990</v>
      </c>
    </row>
    <row r="41" spans="1:3">
      <c r="A41" s="211"/>
      <c r="B41" s="197"/>
      <c r="C41" s="212"/>
    </row>
    <row r="42" spans="1:3">
      <c r="A42" s="216" t="s">
        <v>269</v>
      </c>
      <c r="B42" s="217"/>
      <c r="C42" s="218" t="e">
        <f>C40-C32</f>
        <v>#N/A</v>
      </c>
    </row>
  </sheetData>
  <mergeCells count="2">
    <mergeCell ref="A1:C1"/>
    <mergeCell ref="A2:C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7D8C-4D58-437D-9DB4-1285D0397B9F}">
  <sheetPr>
    <tabColor theme="5" tint="0.79998168889431442"/>
  </sheetPr>
  <dimension ref="B2:J45"/>
  <sheetViews>
    <sheetView zoomScaleNormal="100" workbookViewId="0">
      <selection activeCell="J6" sqref="J6"/>
    </sheetView>
  </sheetViews>
  <sheetFormatPr baseColWidth="10" defaultColWidth="9.1640625" defaultRowHeight="18"/>
  <cols>
    <col min="1" max="1" width="2.6640625" style="75" customWidth="1"/>
    <col min="2" max="3" width="9.1640625" style="75"/>
    <col min="4" max="5" width="9.1640625" style="75" customWidth="1"/>
    <col min="6" max="6" width="9.1640625" style="75"/>
    <col min="7" max="7" width="9.1640625" style="75" customWidth="1"/>
    <col min="8" max="8" width="11.33203125" style="75" customWidth="1"/>
    <col min="9" max="9" width="9.1640625" style="75"/>
    <col min="10" max="10" width="19.5" style="75" bestFit="1" customWidth="1"/>
    <col min="11" max="11" width="2.6640625" style="75" customWidth="1"/>
    <col min="12" max="16384" width="9.1640625" style="75"/>
  </cols>
  <sheetData>
    <row r="2" spans="2:10" ht="20">
      <c r="B2" s="130" t="s">
        <v>106</v>
      </c>
    </row>
    <row r="4" spans="2:10" ht="20">
      <c r="B4" s="117" t="s">
        <v>1</v>
      </c>
      <c r="C4" s="118"/>
      <c r="D4" s="118"/>
      <c r="E4" s="121"/>
      <c r="F4" s="120" t="str">
        <f>+'Adjusted TDC Cost Containment'!F3</f>
        <v>Baronne Lofts</v>
      </c>
      <c r="G4" s="119"/>
      <c r="H4" s="119"/>
      <c r="I4" s="119"/>
      <c r="J4" s="121"/>
    </row>
    <row r="5" spans="2:10">
      <c r="B5" s="113" t="s">
        <v>26</v>
      </c>
      <c r="C5" s="1" t="s">
        <v>213</v>
      </c>
      <c r="D5" s="1"/>
      <c r="E5" s="127"/>
      <c r="F5" s="122" t="str">
        <f>+'Adjusted TDC Cost Containment'!F4</f>
        <v>Orleans</v>
      </c>
      <c r="J5" s="123"/>
    </row>
    <row r="6" spans="2:10">
      <c r="B6" s="124" t="s">
        <v>2</v>
      </c>
      <c r="C6" s="125"/>
      <c r="D6" s="125"/>
      <c r="E6" s="128"/>
      <c r="F6" s="126">
        <v>22</v>
      </c>
      <c r="G6" s="125"/>
      <c r="H6" s="125" t="s">
        <v>120</v>
      </c>
      <c r="I6" s="125"/>
      <c r="J6" s="129">
        <f>+'Adjusted TDC Cost Containment'!F6</f>
        <v>22018</v>
      </c>
    </row>
    <row r="9" spans="2:10">
      <c r="B9" s="100" t="s">
        <v>116</v>
      </c>
    </row>
    <row r="11" spans="2:10">
      <c r="B11" s="102" t="s">
        <v>94</v>
      </c>
      <c r="C11" s="102"/>
      <c r="D11" s="102"/>
      <c r="E11" s="103"/>
      <c r="F11" s="103"/>
      <c r="G11" s="103"/>
      <c r="H11" s="258">
        <f>+'Hard Cost Containment'!D2</f>
        <v>3089594</v>
      </c>
      <c r="I11" s="258"/>
      <c r="J11" s="258"/>
    </row>
    <row r="12" spans="2:10">
      <c r="E12" s="1"/>
      <c r="F12" s="1"/>
      <c r="G12" s="1"/>
      <c r="H12" s="101"/>
      <c r="I12" s="101"/>
      <c r="J12" s="101"/>
    </row>
    <row r="13" spans="2:10">
      <c r="B13" s="75" t="s">
        <v>117</v>
      </c>
      <c r="H13" s="259">
        <v>250000</v>
      </c>
      <c r="I13" s="259"/>
      <c r="J13" s="259"/>
    </row>
    <row r="14" spans="2:10">
      <c r="B14" s="75" t="s">
        <v>107</v>
      </c>
      <c r="H14" s="259">
        <f>+'Hard Cost Containment'!D62</f>
        <v>0</v>
      </c>
      <c r="I14" s="259"/>
      <c r="J14" s="259"/>
    </row>
    <row r="15" spans="2:10">
      <c r="B15" s="75" t="s">
        <v>110</v>
      </c>
      <c r="H15" s="259">
        <f>+'Hard Cost Containment'!E62</f>
        <v>8465133.1815094501</v>
      </c>
      <c r="I15" s="259"/>
      <c r="J15" s="259"/>
    </row>
    <row r="17" spans="2:10">
      <c r="B17" s="114" t="s">
        <v>111</v>
      </c>
      <c r="C17" s="115"/>
      <c r="D17" s="115"/>
      <c r="E17" s="115"/>
      <c r="F17" s="115"/>
      <c r="G17" s="115"/>
      <c r="H17" s="260">
        <f>MAX(0,+H15-H11)</f>
        <v>5375539.1815094501</v>
      </c>
      <c r="I17" s="260"/>
      <c r="J17" s="261"/>
    </row>
    <row r="20" spans="2:10">
      <c r="B20" s="102" t="s">
        <v>112</v>
      </c>
      <c r="C20" s="102"/>
      <c r="D20" s="102"/>
      <c r="E20" s="103"/>
      <c r="F20" s="103"/>
      <c r="G20" s="103"/>
      <c r="H20" s="258">
        <f>+'Hard Cost Containment'!N2</f>
        <v>140.32128258697429</v>
      </c>
      <c r="I20" s="258"/>
      <c r="J20" s="258"/>
    </row>
    <row r="22" spans="2:10">
      <c r="B22" s="75" t="s">
        <v>118</v>
      </c>
      <c r="H22" s="259">
        <f>+'Hard Cost Containment'!C62/J6</f>
        <v>384.4642193436938</v>
      </c>
      <c r="I22" s="259"/>
      <c r="J22" s="259"/>
    </row>
    <row r="23" spans="2:10">
      <c r="B23" s="75" t="s">
        <v>113</v>
      </c>
      <c r="H23" s="259">
        <f>+'Hard Cost Containment'!D62/Summary!J6</f>
        <v>0</v>
      </c>
      <c r="I23" s="259"/>
      <c r="J23" s="259"/>
    </row>
    <row r="24" spans="2:10">
      <c r="B24" s="75" t="s">
        <v>114</v>
      </c>
      <c r="H24" s="259">
        <f>+'Hard Cost Containment'!E62/Summary!J6</f>
        <v>384.4642193436938</v>
      </c>
      <c r="I24" s="259"/>
      <c r="J24" s="259"/>
    </row>
    <row r="26" spans="2:10">
      <c r="B26" s="114" t="s">
        <v>111</v>
      </c>
      <c r="C26" s="115"/>
      <c r="D26" s="115"/>
      <c r="E26" s="115"/>
      <c r="F26" s="115"/>
      <c r="G26" s="115"/>
      <c r="H26" s="260">
        <f>MAX(0,+H24-H20)</f>
        <v>244.14293675671951</v>
      </c>
      <c r="I26" s="260"/>
      <c r="J26" s="261"/>
    </row>
    <row r="27" spans="2:10">
      <c r="B27" s="100"/>
      <c r="H27" s="116"/>
      <c r="I27" s="116"/>
      <c r="J27" s="116"/>
    </row>
    <row r="29" spans="2:10">
      <c r="B29" s="100" t="s">
        <v>119</v>
      </c>
    </row>
    <row r="30" spans="2:10">
      <c r="B30" s="100"/>
    </row>
    <row r="31" spans="2:10">
      <c r="B31" s="153" t="str">
        <f>+'Adjusted TDC Cost Containment'!B14</f>
        <v>Appraisal Date :</v>
      </c>
      <c r="D31" s="154" t="str">
        <f>IF('Adjusted TDC Cost Containment'!E14="","",'Adjusted TDC Cost Containment'!E14)</f>
        <v/>
      </c>
      <c r="E31" s="153"/>
      <c r="F31" s="153"/>
      <c r="G31" s="153"/>
      <c r="H31" s="153" t="str">
        <f>+'Adjusted TDC Cost Containment'!F14</f>
        <v>Appraisal Amount :</v>
      </c>
      <c r="J31" s="95">
        <f>+'Adjusted TDC Cost Containment'!I14</f>
        <v>0</v>
      </c>
    </row>
    <row r="32" spans="2:10">
      <c r="B32" s="102" t="s">
        <v>115</v>
      </c>
      <c r="C32" s="102"/>
      <c r="D32" s="102"/>
      <c r="E32" s="103"/>
      <c r="F32" s="103"/>
      <c r="G32" s="103"/>
      <c r="H32" s="258" t="e">
        <f>+'Adjusted TDC Cost Containment'!F9</f>
        <v>#N/A</v>
      </c>
      <c r="I32" s="258"/>
      <c r="J32" s="258"/>
    </row>
    <row r="33" spans="2:10">
      <c r="E33" s="1"/>
      <c r="F33" s="1"/>
      <c r="G33" s="1"/>
      <c r="H33" s="101"/>
      <c r="I33" s="101"/>
      <c r="J33" s="101"/>
    </row>
    <row r="34" spans="2:10">
      <c r="B34" s="75" t="s">
        <v>146</v>
      </c>
      <c r="H34" s="259">
        <f>+'Adjusted TDC Cost Containment'!K22</f>
        <v>10761990</v>
      </c>
      <c r="I34" s="259"/>
      <c r="J34" s="259"/>
    </row>
    <row r="35" spans="2:10">
      <c r="B35" s="75" t="s">
        <v>147</v>
      </c>
      <c r="H35" s="259">
        <f>+'Adjusted TDC Cost Containment'!F10</f>
        <v>11745158</v>
      </c>
      <c r="I35" s="259"/>
      <c r="J35" s="259"/>
    </row>
    <row r="37" spans="2:10">
      <c r="B37" s="114" t="s">
        <v>111</v>
      </c>
      <c r="C37" s="115"/>
      <c r="D37" s="115"/>
      <c r="E37" s="115"/>
      <c r="F37" s="115"/>
      <c r="G37" s="115"/>
      <c r="H37" s="260" t="e">
        <f>MAX(0,H35-H32)</f>
        <v>#N/A</v>
      </c>
      <c r="I37" s="260"/>
      <c r="J37" s="261"/>
    </row>
    <row r="38" spans="2:10">
      <c r="B38" s="100"/>
      <c r="H38" s="116"/>
      <c r="I38" s="116"/>
      <c r="J38" s="116"/>
    </row>
    <row r="40" spans="2:10">
      <c r="B40" s="102" t="s">
        <v>121</v>
      </c>
      <c r="C40" s="102"/>
      <c r="D40" s="102"/>
      <c r="E40" s="103"/>
      <c r="F40" s="103"/>
      <c r="G40" s="103"/>
      <c r="H40" s="258">
        <f>+'Adjusted TDC Cost Containment'!O9</f>
        <v>274630</v>
      </c>
      <c r="I40" s="258"/>
      <c r="J40" s="258"/>
    </row>
    <row r="41" spans="2:10">
      <c r="E41" s="1"/>
      <c r="F41" s="1"/>
      <c r="G41" s="1"/>
      <c r="H41" s="101"/>
      <c r="I41" s="101"/>
      <c r="J41" s="101"/>
    </row>
    <row r="42" spans="2:10">
      <c r="B42" s="75" t="s">
        <v>149</v>
      </c>
      <c r="H42" s="259">
        <f>'LHC APP DATA'!C24/Summary!J6</f>
        <v>0</v>
      </c>
      <c r="I42" s="259"/>
      <c r="J42" s="259"/>
    </row>
    <row r="43" spans="2:10">
      <c r="B43" s="75" t="s">
        <v>148</v>
      </c>
      <c r="H43" s="259">
        <f>+'Adjusted TDC Cost Containment'!O10</f>
        <v>533.43437187755478</v>
      </c>
      <c r="I43" s="259"/>
      <c r="J43" s="259"/>
    </row>
    <row r="45" spans="2:10">
      <c r="B45" s="114" t="s">
        <v>111</v>
      </c>
      <c r="C45" s="115"/>
      <c r="D45" s="115"/>
      <c r="E45" s="115"/>
      <c r="F45" s="115"/>
      <c r="G45" s="115"/>
      <c r="H45" s="260">
        <f>MAX(0,H43-H40)</f>
        <v>0</v>
      </c>
      <c r="I45" s="260"/>
      <c r="J45" s="261"/>
    </row>
  </sheetData>
  <mergeCells count="18">
    <mergeCell ref="H45:J45"/>
    <mergeCell ref="H35:J35"/>
    <mergeCell ref="H37:J37"/>
    <mergeCell ref="H40:J40"/>
    <mergeCell ref="H42:J42"/>
    <mergeCell ref="H43:J43"/>
    <mergeCell ref="H11:J11"/>
    <mergeCell ref="H34:J34"/>
    <mergeCell ref="H13:J13"/>
    <mergeCell ref="H15:J15"/>
    <mergeCell ref="H14:J14"/>
    <mergeCell ref="H17:J17"/>
    <mergeCell ref="H20:J20"/>
    <mergeCell ref="H22:J22"/>
    <mergeCell ref="H23:J23"/>
    <mergeCell ref="H24:J24"/>
    <mergeCell ref="H26:J26"/>
    <mergeCell ref="H32:J32"/>
  </mergeCells>
  <pageMargins left="0.7" right="0.7" top="0.75" bottom="0.75" header="0.3" footer="0.3"/>
  <pageSetup scale="81"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55C90-DA9A-4465-A724-3232AABA6016}">
  <sheetPr transitionEvaluation="1" transitionEntry="1">
    <pageSetUpPr fitToPage="1"/>
  </sheetPr>
  <dimension ref="A1:Q78"/>
  <sheetViews>
    <sheetView defaultGridColor="0" colorId="22" zoomScale="95" zoomScaleNormal="95" workbookViewId="0">
      <pane ySplit="8" topLeftCell="A9" activePane="bottomLeft" state="frozenSplit"/>
      <selection pane="bottomLeft" activeCell="H10" sqref="H10"/>
    </sheetView>
  </sheetViews>
  <sheetFormatPr baseColWidth="10" defaultColWidth="12.5" defaultRowHeight="16"/>
  <cols>
    <col min="1" max="1" width="7.1640625" style="44" customWidth="1"/>
    <col min="2" max="2" width="41" style="44" bestFit="1" customWidth="1"/>
    <col min="3" max="3" width="14.33203125" style="44" bestFit="1" customWidth="1"/>
    <col min="4" max="4" width="19.33203125" style="44" bestFit="1" customWidth="1"/>
    <col min="5" max="5" width="17.1640625" style="44" bestFit="1" customWidth="1"/>
    <col min="6" max="6" width="15.5" style="44" customWidth="1"/>
    <col min="7" max="7" width="12.1640625" style="44" bestFit="1" customWidth="1"/>
    <col min="8" max="8" width="3.6640625" style="44" bestFit="1" customWidth="1"/>
    <col min="9" max="9" width="1.6640625" style="44" customWidth="1"/>
    <col min="10" max="10" width="32.33203125" style="44" bestFit="1" customWidth="1"/>
    <col min="11" max="11" width="8.6640625" style="44" customWidth="1"/>
    <col min="12" max="12" width="2.6640625" style="44" customWidth="1"/>
    <col min="13" max="13" width="8" style="44" customWidth="1"/>
    <col min="14" max="14" width="4.1640625" style="44" customWidth="1"/>
    <col min="15" max="15" width="9.33203125" style="44" bestFit="1" customWidth="1"/>
    <col min="16" max="16" width="108.33203125" style="44" bestFit="1" customWidth="1"/>
    <col min="17" max="17" width="12.6640625" style="44" customWidth="1"/>
    <col min="18" max="16384" width="12.5" style="44"/>
  </cols>
  <sheetData>
    <row r="1" spans="1:17" ht="26.25" customHeight="1" thickBot="1">
      <c r="A1" s="64"/>
      <c r="B1" s="56"/>
      <c r="C1" s="56"/>
      <c r="D1" s="56"/>
      <c r="E1" s="56"/>
      <c r="F1" s="56"/>
      <c r="G1" s="56"/>
      <c r="H1" s="65"/>
    </row>
    <row r="2" spans="1:17" ht="26.25" customHeight="1" thickTop="1">
      <c r="A2" s="64"/>
      <c r="B2" s="104" t="s">
        <v>94</v>
      </c>
      <c r="C2" s="105"/>
      <c r="D2" s="279">
        <f>3089594</f>
        <v>3089594</v>
      </c>
      <c r="E2" s="280"/>
      <c r="F2" s="56"/>
      <c r="G2" s="56"/>
      <c r="H2" s="65"/>
      <c r="J2" s="106" t="s">
        <v>104</v>
      </c>
      <c r="K2" s="107"/>
      <c r="L2" s="107"/>
      <c r="M2" s="107"/>
      <c r="N2" s="269">
        <f>D2/22018</f>
        <v>140.32128258697429</v>
      </c>
      <c r="O2" s="270"/>
    </row>
    <row r="3" spans="1:17" ht="26.25" customHeight="1">
      <c r="A3" s="64"/>
      <c r="B3" s="135" t="s">
        <v>105</v>
      </c>
      <c r="C3" s="56"/>
      <c r="D3" s="265">
        <f>E62</f>
        <v>8465133.1815094501</v>
      </c>
      <c r="E3" s="266"/>
      <c r="F3" s="56"/>
      <c r="G3" s="56"/>
      <c r="H3" s="65"/>
      <c r="J3" s="135" t="s">
        <v>143</v>
      </c>
      <c r="K3" s="2"/>
      <c r="L3" s="2"/>
      <c r="N3" s="265">
        <f>E62/'Adjusted TDC Cost Containment'!F6</f>
        <v>384.4642193436938</v>
      </c>
      <c r="O3" s="266"/>
    </row>
    <row r="4" spans="1:17" ht="26.25" customHeight="1" thickBot="1">
      <c r="A4" s="64"/>
      <c r="B4" s="136" t="s">
        <v>28</v>
      </c>
      <c r="C4" s="91"/>
      <c r="D4" s="267">
        <f>INT(D3-D2)</f>
        <v>5375539</v>
      </c>
      <c r="E4" s="268"/>
      <c r="F4" s="66" t="str">
        <f>IF(D4=0,"","!!!!!!!!!!")</f>
        <v>!!!!!!!!!!</v>
      </c>
      <c r="G4" s="56"/>
      <c r="H4" s="65"/>
      <c r="J4" s="136" t="s">
        <v>28</v>
      </c>
      <c r="K4" s="93"/>
      <c r="L4" s="93"/>
      <c r="M4" s="94"/>
      <c r="N4" s="271">
        <f>INT(N3-N2)</f>
        <v>244</v>
      </c>
      <c r="O4" s="272"/>
    </row>
    <row r="5" spans="1:17" ht="26.25" customHeight="1" thickTop="1">
      <c r="A5" s="64"/>
      <c r="B5" s="86"/>
      <c r="C5" s="87"/>
      <c r="D5" s="88"/>
      <c r="E5" s="99" t="str">
        <f>IF(D4&gt;0,"!!!!!!!!!!","")</f>
        <v>!!!!!!!!!!</v>
      </c>
      <c r="F5" s="66"/>
      <c r="G5" s="56"/>
      <c r="H5" s="65"/>
      <c r="J5" s="2"/>
      <c r="K5" s="2"/>
      <c r="L5" s="2"/>
      <c r="O5" s="99" t="str">
        <f>IF(N4&gt;0,"!!!!!!!!!!","")</f>
        <v>!!!!!!!!!!</v>
      </c>
    </row>
    <row r="6" spans="1:17" ht="21" customHeight="1">
      <c r="A6" s="63" t="s">
        <v>84</v>
      </c>
      <c r="B6" s="45"/>
      <c r="C6" s="45"/>
      <c r="D6" s="45"/>
      <c r="E6" s="45"/>
      <c r="F6" s="45"/>
      <c r="G6" s="45"/>
      <c r="H6" s="46"/>
    </row>
    <row r="7" spans="1:17">
      <c r="A7" s="67"/>
      <c r="B7" s="47"/>
      <c r="C7" s="47" t="s">
        <v>92</v>
      </c>
      <c r="D7" s="165" t="s">
        <v>109</v>
      </c>
      <c r="E7" s="167" t="s">
        <v>108</v>
      </c>
      <c r="F7" s="47"/>
      <c r="G7" s="47"/>
      <c r="H7" s="48"/>
    </row>
    <row r="8" spans="1:17">
      <c r="A8" s="69"/>
      <c r="B8" s="49" t="s">
        <v>40</v>
      </c>
      <c r="C8" s="49" t="s">
        <v>90</v>
      </c>
      <c r="D8" s="166" t="s">
        <v>91</v>
      </c>
      <c r="E8" s="168" t="s">
        <v>91</v>
      </c>
      <c r="F8" s="49" t="s">
        <v>0</v>
      </c>
      <c r="G8" s="49" t="s">
        <v>41</v>
      </c>
      <c r="H8" s="50" t="s">
        <v>42</v>
      </c>
      <c r="J8" s="262" t="s">
        <v>3</v>
      </c>
      <c r="K8" s="263"/>
      <c r="L8" s="263"/>
      <c r="M8" s="263"/>
      <c r="N8" s="263"/>
      <c r="O8" s="264"/>
      <c r="P8" s="195" t="s">
        <v>245</v>
      </c>
    </row>
    <row r="9" spans="1:17" ht="12" customHeight="1">
      <c r="A9" s="70"/>
      <c r="B9" s="169"/>
      <c r="C9" s="170"/>
      <c r="D9" s="170"/>
      <c r="E9" s="171"/>
      <c r="F9" s="170"/>
      <c r="G9" s="170"/>
      <c r="H9" s="172"/>
      <c r="I9" s="173"/>
      <c r="J9" s="173"/>
      <c r="K9" s="173"/>
      <c r="L9" s="173"/>
      <c r="M9" s="173"/>
      <c r="N9" s="173"/>
      <c r="O9" s="173"/>
    </row>
    <row r="10" spans="1:17">
      <c r="A10" s="71">
        <v>1</v>
      </c>
      <c r="B10" s="169" t="s">
        <v>43</v>
      </c>
      <c r="C10" s="188">
        <v>386967.1784567901</v>
      </c>
      <c r="D10" s="174"/>
      <c r="E10" s="191">
        <f>C10-D10</f>
        <v>386967.1784567901</v>
      </c>
      <c r="F10" s="175">
        <f t="shared" ref="F10:F62" si="0">D10+E10</f>
        <v>386967.1784567901</v>
      </c>
      <c r="G10" s="175">
        <f>IF(C10="0",0,+C10-F10)</f>
        <v>0</v>
      </c>
      <c r="H10" s="172">
        <f>IF(C10="0",0,+G10/C10)</f>
        <v>0</v>
      </c>
      <c r="I10" s="173"/>
      <c r="J10" s="273" t="s">
        <v>214</v>
      </c>
      <c r="K10" s="274"/>
      <c r="L10" s="274"/>
      <c r="M10" s="274"/>
      <c r="N10" s="274"/>
      <c r="O10" s="275"/>
      <c r="P10" s="195"/>
      <c r="Q10" s="44">
        <v>388609</v>
      </c>
    </row>
    <row r="11" spans="1:17">
      <c r="A11" s="71">
        <f>A10+1</f>
        <v>2</v>
      </c>
      <c r="B11" s="169" t="s">
        <v>44</v>
      </c>
      <c r="C11" s="188">
        <v>9.9999999999999994E-12</v>
      </c>
      <c r="D11" s="174"/>
      <c r="E11" s="191">
        <f t="shared" ref="E11:E40" si="1">C11-D11</f>
        <v>9.9999999999999994E-12</v>
      </c>
      <c r="F11" s="175">
        <f t="shared" si="0"/>
        <v>9.9999999999999994E-12</v>
      </c>
      <c r="G11" s="175">
        <f t="shared" ref="G11:G62" si="2">IF(C11="0",0,+C11-F11)</f>
        <v>0</v>
      </c>
      <c r="H11" s="172">
        <f t="shared" ref="H11:H62" si="3">IF(C11="0",0,+G11/C11)</f>
        <v>0</v>
      </c>
      <c r="I11" s="173"/>
      <c r="J11" s="273"/>
      <c r="K11" s="274"/>
      <c r="L11" s="274"/>
      <c r="M11" s="274"/>
      <c r="N11" s="274"/>
      <c r="O11" s="275"/>
      <c r="P11" s="195"/>
    </row>
    <row r="12" spans="1:17">
      <c r="A12" s="71">
        <f t="shared" ref="A12:A62" si="4">A11+1</f>
        <v>3</v>
      </c>
      <c r="B12" s="169" t="s">
        <v>45</v>
      </c>
      <c r="C12" s="188">
        <v>1416473</v>
      </c>
      <c r="D12" s="174"/>
      <c r="E12" s="191">
        <f t="shared" si="1"/>
        <v>1416473</v>
      </c>
      <c r="F12" s="175">
        <f t="shared" si="0"/>
        <v>1416473</v>
      </c>
      <c r="G12" s="175">
        <f t="shared" si="2"/>
        <v>0</v>
      </c>
      <c r="H12" s="172">
        <f t="shared" si="3"/>
        <v>0</v>
      </c>
      <c r="I12" s="173"/>
      <c r="J12" s="273" t="s">
        <v>216</v>
      </c>
      <c r="K12" s="274"/>
      <c r="L12" s="274"/>
      <c r="M12" s="274"/>
      <c r="N12" s="274"/>
      <c r="O12" s="275"/>
      <c r="P12" s="195" t="s">
        <v>252</v>
      </c>
      <c r="Q12" s="44">
        <v>947691</v>
      </c>
    </row>
    <row r="13" spans="1:17">
      <c r="A13" s="71">
        <f t="shared" si="4"/>
        <v>4</v>
      </c>
      <c r="B13" s="169" t="s">
        <v>46</v>
      </c>
      <c r="C13" s="188">
        <v>40752.699999999997</v>
      </c>
      <c r="D13" s="174"/>
      <c r="E13" s="191">
        <f t="shared" si="1"/>
        <v>40752.699999999997</v>
      </c>
      <c r="F13" s="175">
        <f t="shared" si="0"/>
        <v>40752.699999999997</v>
      </c>
      <c r="G13" s="175">
        <f t="shared" si="2"/>
        <v>0</v>
      </c>
      <c r="H13" s="172">
        <f t="shared" si="3"/>
        <v>0</v>
      </c>
      <c r="I13" s="173"/>
      <c r="J13" s="273" t="s">
        <v>217</v>
      </c>
      <c r="K13" s="274"/>
      <c r="L13" s="274"/>
      <c r="M13" s="274"/>
      <c r="N13" s="274"/>
      <c r="O13" s="275"/>
      <c r="P13" s="195" t="s">
        <v>259</v>
      </c>
      <c r="Q13" s="44">
        <v>27240</v>
      </c>
    </row>
    <row r="14" spans="1:17">
      <c r="A14" s="71">
        <f t="shared" si="4"/>
        <v>5</v>
      </c>
      <c r="B14" s="169" t="s">
        <v>47</v>
      </c>
      <c r="C14" s="188">
        <v>80280</v>
      </c>
      <c r="D14" s="174"/>
      <c r="E14" s="191">
        <f t="shared" si="1"/>
        <v>80280</v>
      </c>
      <c r="F14" s="175">
        <f t="shared" si="0"/>
        <v>80280</v>
      </c>
      <c r="G14" s="175">
        <f t="shared" si="2"/>
        <v>0</v>
      </c>
      <c r="H14" s="172">
        <f t="shared" si="3"/>
        <v>0</v>
      </c>
      <c r="I14" s="173"/>
      <c r="J14" s="273" t="s">
        <v>218</v>
      </c>
      <c r="K14" s="274"/>
      <c r="L14" s="274"/>
      <c r="M14" s="274"/>
      <c r="N14" s="274"/>
      <c r="O14" s="275"/>
      <c r="P14" s="195"/>
      <c r="Q14" s="44">
        <v>81078</v>
      </c>
    </row>
    <row r="15" spans="1:17">
      <c r="A15" s="71">
        <f t="shared" si="4"/>
        <v>6</v>
      </c>
      <c r="B15" s="169" t="s">
        <v>78</v>
      </c>
      <c r="C15" s="188">
        <v>93109.75</v>
      </c>
      <c r="D15" s="174"/>
      <c r="E15" s="191">
        <f t="shared" si="1"/>
        <v>93109.75</v>
      </c>
      <c r="F15" s="175">
        <f t="shared" si="0"/>
        <v>93109.75</v>
      </c>
      <c r="G15" s="175">
        <f t="shared" si="2"/>
        <v>0</v>
      </c>
      <c r="H15" s="172">
        <f t="shared" si="3"/>
        <v>0</v>
      </c>
      <c r="I15" s="173"/>
      <c r="J15" s="273" t="s">
        <v>219</v>
      </c>
      <c r="K15" s="274"/>
      <c r="L15" s="274"/>
      <c r="M15" s="274"/>
      <c r="N15" s="274"/>
      <c r="O15" s="275"/>
      <c r="P15" s="195"/>
      <c r="Q15" s="44">
        <v>94035</v>
      </c>
    </row>
    <row r="16" spans="1:17">
      <c r="A16" s="71">
        <f t="shared" si="4"/>
        <v>7</v>
      </c>
      <c r="B16" s="169" t="s">
        <v>48</v>
      </c>
      <c r="C16" s="188">
        <v>162591.79999999999</v>
      </c>
      <c r="D16" s="174"/>
      <c r="E16" s="191">
        <f t="shared" si="1"/>
        <v>162591.79999999999</v>
      </c>
      <c r="F16" s="175">
        <f t="shared" si="0"/>
        <v>162591.79999999999</v>
      </c>
      <c r="G16" s="175">
        <f t="shared" si="2"/>
        <v>0</v>
      </c>
      <c r="H16" s="172">
        <f t="shared" si="3"/>
        <v>0</v>
      </c>
      <c r="I16" s="173"/>
      <c r="J16" s="273" t="s">
        <v>220</v>
      </c>
      <c r="K16" s="274"/>
      <c r="L16" s="274"/>
      <c r="M16" s="274"/>
      <c r="N16" s="274"/>
      <c r="O16" s="275"/>
      <c r="P16" s="195" t="s">
        <v>250</v>
      </c>
      <c r="Q16" s="44">
        <v>154033</v>
      </c>
    </row>
    <row r="17" spans="1:17">
      <c r="A17" s="71">
        <f t="shared" si="4"/>
        <v>8</v>
      </c>
      <c r="B17" s="169" t="s">
        <v>49</v>
      </c>
      <c r="C17" s="188">
        <v>88210</v>
      </c>
      <c r="D17" s="174"/>
      <c r="E17" s="191">
        <f t="shared" si="1"/>
        <v>88210</v>
      </c>
      <c r="F17" s="175">
        <f t="shared" si="0"/>
        <v>88210</v>
      </c>
      <c r="G17" s="175">
        <f t="shared" si="2"/>
        <v>0</v>
      </c>
      <c r="H17" s="172">
        <f t="shared" si="3"/>
        <v>0</v>
      </c>
      <c r="I17" s="173"/>
      <c r="J17" s="273" t="s">
        <v>221</v>
      </c>
      <c r="K17" s="274"/>
      <c r="L17" s="274"/>
      <c r="M17" s="274"/>
      <c r="N17" s="274"/>
      <c r="O17" s="275"/>
      <c r="P17" s="195"/>
      <c r="Q17" s="44">
        <v>168044</v>
      </c>
    </row>
    <row r="18" spans="1:17">
      <c r="A18" s="71">
        <f t="shared" si="4"/>
        <v>9</v>
      </c>
      <c r="B18" s="169" t="s">
        <v>50</v>
      </c>
      <c r="C18" s="188">
        <v>78182.100000000006</v>
      </c>
      <c r="D18" s="174"/>
      <c r="E18" s="191">
        <f t="shared" si="1"/>
        <v>78182.100000000006</v>
      </c>
      <c r="F18" s="175">
        <f t="shared" si="0"/>
        <v>78182.100000000006</v>
      </c>
      <c r="G18" s="175">
        <f t="shared" si="2"/>
        <v>0</v>
      </c>
      <c r="H18" s="172">
        <f t="shared" si="3"/>
        <v>0</v>
      </c>
      <c r="I18" s="173"/>
      <c r="J18" s="273"/>
      <c r="K18" s="274"/>
      <c r="L18" s="274"/>
      <c r="M18" s="274"/>
      <c r="N18" s="274"/>
      <c r="O18" s="275"/>
      <c r="P18" s="195" t="s">
        <v>260</v>
      </c>
    </row>
    <row r="19" spans="1:17">
      <c r="A19" s="71">
        <f t="shared" si="4"/>
        <v>10</v>
      </c>
      <c r="B19" s="169" t="s">
        <v>51</v>
      </c>
      <c r="C19" s="188">
        <v>338199.83999999997</v>
      </c>
      <c r="D19" s="174"/>
      <c r="E19" s="191">
        <f t="shared" si="1"/>
        <v>338199.83999999997</v>
      </c>
      <c r="F19" s="175">
        <f t="shared" si="0"/>
        <v>338199.83999999997</v>
      </c>
      <c r="G19" s="175">
        <f t="shared" si="2"/>
        <v>0</v>
      </c>
      <c r="H19" s="172">
        <f t="shared" si="3"/>
        <v>0</v>
      </c>
      <c r="I19" s="173"/>
      <c r="J19" s="273" t="s">
        <v>222</v>
      </c>
      <c r="K19" s="274"/>
      <c r="L19" s="274"/>
      <c r="M19" s="274"/>
      <c r="N19" s="274"/>
      <c r="O19" s="275"/>
      <c r="P19" s="195" t="s">
        <v>261</v>
      </c>
      <c r="Q19" s="44">
        <v>338717</v>
      </c>
    </row>
    <row r="20" spans="1:17">
      <c r="A20" s="71">
        <f t="shared" si="4"/>
        <v>11</v>
      </c>
      <c r="B20" s="169" t="s">
        <v>52</v>
      </c>
      <c r="C20" s="188">
        <v>265634</v>
      </c>
      <c r="D20" s="174"/>
      <c r="E20" s="191">
        <f t="shared" si="1"/>
        <v>265634</v>
      </c>
      <c r="F20" s="175">
        <f t="shared" si="0"/>
        <v>265634</v>
      </c>
      <c r="G20" s="175">
        <f t="shared" si="2"/>
        <v>0</v>
      </c>
      <c r="H20" s="172">
        <f t="shared" si="3"/>
        <v>0</v>
      </c>
      <c r="I20" s="173"/>
      <c r="J20" s="273" t="s">
        <v>223</v>
      </c>
      <c r="K20" s="274"/>
      <c r="L20" s="274"/>
      <c r="M20" s="274"/>
      <c r="N20" s="274"/>
      <c r="O20" s="275"/>
      <c r="P20" s="195"/>
      <c r="Q20" s="44">
        <v>266251</v>
      </c>
    </row>
    <row r="21" spans="1:17">
      <c r="A21" s="71">
        <f t="shared" si="4"/>
        <v>12</v>
      </c>
      <c r="B21" s="169" t="s">
        <v>53</v>
      </c>
      <c r="C21" s="188">
        <v>51273</v>
      </c>
      <c r="D21" s="174"/>
      <c r="E21" s="191">
        <f t="shared" si="1"/>
        <v>51273</v>
      </c>
      <c r="F21" s="175">
        <f t="shared" si="0"/>
        <v>51273</v>
      </c>
      <c r="G21" s="175">
        <f t="shared" si="2"/>
        <v>0</v>
      </c>
      <c r="H21" s="172">
        <f t="shared" si="3"/>
        <v>0</v>
      </c>
      <c r="I21" s="173"/>
      <c r="J21" s="273" t="s">
        <v>224</v>
      </c>
      <c r="K21" s="274"/>
      <c r="L21" s="274"/>
      <c r="M21" s="274"/>
      <c r="N21" s="274"/>
      <c r="O21" s="275"/>
      <c r="P21" s="195"/>
      <c r="Q21" s="44">
        <v>51782</v>
      </c>
    </row>
    <row r="22" spans="1:17">
      <c r="A22" s="71">
        <f t="shared" si="4"/>
        <v>13</v>
      </c>
      <c r="B22" s="169" t="s">
        <v>54</v>
      </c>
      <c r="C22" s="188">
        <v>9.9999999999999994E-12</v>
      </c>
      <c r="D22" s="174"/>
      <c r="E22" s="191">
        <f t="shared" si="1"/>
        <v>9.9999999999999994E-12</v>
      </c>
      <c r="F22" s="175">
        <f t="shared" si="0"/>
        <v>9.9999999999999994E-12</v>
      </c>
      <c r="G22" s="175">
        <f t="shared" si="2"/>
        <v>0</v>
      </c>
      <c r="H22" s="172">
        <f t="shared" si="3"/>
        <v>0</v>
      </c>
      <c r="I22" s="173"/>
      <c r="J22" s="273"/>
      <c r="K22" s="274"/>
      <c r="L22" s="274"/>
      <c r="M22" s="274"/>
      <c r="N22" s="274"/>
      <c r="O22" s="275"/>
      <c r="P22" s="195"/>
    </row>
    <row r="23" spans="1:17">
      <c r="A23" s="71">
        <f t="shared" si="4"/>
        <v>14</v>
      </c>
      <c r="B23" s="169" t="s">
        <v>55</v>
      </c>
      <c r="C23" s="188">
        <v>355599</v>
      </c>
      <c r="D23" s="174"/>
      <c r="E23" s="191">
        <f t="shared" si="1"/>
        <v>355599</v>
      </c>
      <c r="F23" s="175">
        <f t="shared" si="0"/>
        <v>355599</v>
      </c>
      <c r="G23" s="175">
        <f t="shared" si="2"/>
        <v>0</v>
      </c>
      <c r="H23" s="172">
        <f t="shared" si="3"/>
        <v>0</v>
      </c>
      <c r="I23" s="173"/>
      <c r="J23" s="273" t="s">
        <v>225</v>
      </c>
      <c r="K23" s="274"/>
      <c r="L23" s="274"/>
      <c r="M23" s="274"/>
      <c r="N23" s="274"/>
      <c r="O23" s="275"/>
      <c r="P23" s="195"/>
      <c r="Q23" s="44">
        <v>359090</v>
      </c>
    </row>
    <row r="24" spans="1:17">
      <c r="A24" s="71">
        <f t="shared" si="4"/>
        <v>15</v>
      </c>
      <c r="B24" s="169" t="s">
        <v>56</v>
      </c>
      <c r="C24" s="188">
        <v>9.9999999999999994E-12</v>
      </c>
      <c r="D24" s="174"/>
      <c r="E24" s="191">
        <f t="shared" si="1"/>
        <v>9.9999999999999994E-12</v>
      </c>
      <c r="F24" s="175">
        <f t="shared" si="0"/>
        <v>9.9999999999999994E-12</v>
      </c>
      <c r="G24" s="175">
        <f t="shared" si="2"/>
        <v>0</v>
      </c>
      <c r="H24" s="172">
        <f t="shared" si="3"/>
        <v>0</v>
      </c>
      <c r="I24" s="173"/>
      <c r="J24" s="273"/>
      <c r="K24" s="274"/>
      <c r="L24" s="274"/>
      <c r="M24" s="274"/>
      <c r="N24" s="274"/>
      <c r="O24" s="275"/>
      <c r="P24" s="195"/>
    </row>
    <row r="25" spans="1:17">
      <c r="A25" s="71">
        <f t="shared" si="4"/>
        <v>16</v>
      </c>
      <c r="B25" s="169" t="s">
        <v>85</v>
      </c>
      <c r="C25" s="188">
        <v>780</v>
      </c>
      <c r="D25" s="174"/>
      <c r="E25" s="191">
        <f t="shared" si="1"/>
        <v>780</v>
      </c>
      <c r="F25" s="175">
        <f t="shared" si="0"/>
        <v>780</v>
      </c>
      <c r="G25" s="175">
        <f t="shared" si="2"/>
        <v>0</v>
      </c>
      <c r="H25" s="172">
        <f t="shared" si="3"/>
        <v>0</v>
      </c>
      <c r="I25" s="173"/>
      <c r="J25" s="273"/>
      <c r="K25" s="274"/>
      <c r="L25" s="274"/>
      <c r="M25" s="274"/>
      <c r="N25" s="274"/>
      <c r="O25" s="275"/>
      <c r="P25" s="195" t="s">
        <v>251</v>
      </c>
    </row>
    <row r="26" spans="1:17">
      <c r="A26" s="71">
        <f t="shared" si="4"/>
        <v>17</v>
      </c>
      <c r="B26" s="169" t="s">
        <v>57</v>
      </c>
      <c r="C26" s="188">
        <v>9.9999999999999994E-12</v>
      </c>
      <c r="D26" s="174"/>
      <c r="E26" s="191">
        <f t="shared" si="1"/>
        <v>9.9999999999999994E-12</v>
      </c>
      <c r="F26" s="175">
        <f t="shared" si="0"/>
        <v>9.9999999999999994E-12</v>
      </c>
      <c r="G26" s="175">
        <f t="shared" si="2"/>
        <v>0</v>
      </c>
      <c r="H26" s="172">
        <f t="shared" si="3"/>
        <v>0</v>
      </c>
      <c r="I26" s="173"/>
      <c r="J26" s="273"/>
      <c r="K26" s="274"/>
      <c r="L26" s="274"/>
      <c r="M26" s="274"/>
      <c r="N26" s="274"/>
      <c r="O26" s="275"/>
      <c r="P26" s="195"/>
    </row>
    <row r="27" spans="1:17">
      <c r="A27" s="71">
        <f t="shared" si="4"/>
        <v>18</v>
      </c>
      <c r="B27" s="169" t="s">
        <v>58</v>
      </c>
      <c r="C27" s="188">
        <v>84325</v>
      </c>
      <c r="D27" s="174"/>
      <c r="E27" s="191">
        <f t="shared" si="1"/>
        <v>84325</v>
      </c>
      <c r="F27" s="175">
        <f t="shared" si="0"/>
        <v>84325</v>
      </c>
      <c r="G27" s="175">
        <f t="shared" si="2"/>
        <v>0</v>
      </c>
      <c r="H27" s="172">
        <f t="shared" si="3"/>
        <v>0</v>
      </c>
      <c r="I27" s="173"/>
      <c r="J27" s="273" t="s">
        <v>226</v>
      </c>
      <c r="K27" s="274"/>
      <c r="L27" s="274"/>
      <c r="M27" s="274"/>
      <c r="N27" s="274"/>
      <c r="O27" s="275"/>
      <c r="P27" s="195"/>
      <c r="Q27" s="44">
        <v>84789</v>
      </c>
    </row>
    <row r="28" spans="1:17">
      <c r="A28" s="71">
        <f t="shared" si="4"/>
        <v>19</v>
      </c>
      <c r="B28" s="169" t="s">
        <v>59</v>
      </c>
      <c r="C28" s="188">
        <v>208843</v>
      </c>
      <c r="D28" s="174"/>
      <c r="E28" s="191">
        <f t="shared" si="1"/>
        <v>208843</v>
      </c>
      <c r="F28" s="175">
        <f t="shared" si="0"/>
        <v>208843</v>
      </c>
      <c r="G28" s="175">
        <f t="shared" si="2"/>
        <v>0</v>
      </c>
      <c r="H28" s="172">
        <f t="shared" si="3"/>
        <v>0</v>
      </c>
      <c r="I28" s="173"/>
      <c r="J28" s="273" t="s">
        <v>227</v>
      </c>
      <c r="K28" s="274"/>
      <c r="L28" s="274"/>
      <c r="M28" s="274"/>
      <c r="N28" s="274"/>
      <c r="O28" s="275"/>
      <c r="P28" s="195"/>
      <c r="Q28" s="44">
        <v>210918</v>
      </c>
    </row>
    <row r="29" spans="1:17">
      <c r="A29" s="71">
        <f t="shared" si="4"/>
        <v>20</v>
      </c>
      <c r="B29" s="169" t="s">
        <v>86</v>
      </c>
      <c r="C29" s="188">
        <v>78024.679999999993</v>
      </c>
      <c r="D29" s="174"/>
      <c r="E29" s="191">
        <f t="shared" si="1"/>
        <v>78024.679999999993</v>
      </c>
      <c r="F29" s="175">
        <f t="shared" si="0"/>
        <v>78024.679999999993</v>
      </c>
      <c r="G29" s="175">
        <f t="shared" si="2"/>
        <v>0</v>
      </c>
      <c r="H29" s="172">
        <f t="shared" si="3"/>
        <v>0</v>
      </c>
      <c r="I29" s="173"/>
      <c r="J29" s="273"/>
      <c r="K29" s="274"/>
      <c r="L29" s="274"/>
      <c r="M29" s="274"/>
      <c r="N29" s="274"/>
      <c r="O29" s="275"/>
      <c r="P29" s="195" t="s">
        <v>253</v>
      </c>
    </row>
    <row r="30" spans="1:17">
      <c r="A30" s="71">
        <f t="shared" si="4"/>
        <v>21</v>
      </c>
      <c r="B30" s="169" t="s">
        <v>60</v>
      </c>
      <c r="C30" s="188">
        <v>20068</v>
      </c>
      <c r="D30" s="174"/>
      <c r="E30" s="191">
        <f t="shared" si="1"/>
        <v>20068</v>
      </c>
      <c r="F30" s="175">
        <f t="shared" si="0"/>
        <v>20068</v>
      </c>
      <c r="G30" s="175">
        <f t="shared" si="2"/>
        <v>0</v>
      </c>
      <c r="H30" s="172">
        <f t="shared" si="3"/>
        <v>0</v>
      </c>
      <c r="I30" s="173"/>
      <c r="J30" s="273"/>
      <c r="K30" s="274"/>
      <c r="L30" s="274"/>
      <c r="M30" s="274"/>
      <c r="N30" s="274"/>
      <c r="O30" s="275"/>
      <c r="P30" s="195" t="s">
        <v>254</v>
      </c>
    </row>
    <row r="31" spans="1:17">
      <c r="A31" s="71">
        <f t="shared" si="4"/>
        <v>22</v>
      </c>
      <c r="B31" s="169" t="s">
        <v>61</v>
      </c>
      <c r="C31" s="188">
        <v>181296</v>
      </c>
      <c r="D31" s="174"/>
      <c r="E31" s="191">
        <f t="shared" si="1"/>
        <v>181296</v>
      </c>
      <c r="F31" s="175">
        <f t="shared" si="0"/>
        <v>181296</v>
      </c>
      <c r="G31" s="175">
        <f t="shared" si="2"/>
        <v>0</v>
      </c>
      <c r="H31" s="172">
        <f t="shared" si="3"/>
        <v>0</v>
      </c>
      <c r="I31" s="173"/>
      <c r="J31" s="273" t="s">
        <v>236</v>
      </c>
      <c r="K31" s="274"/>
      <c r="L31" s="274"/>
      <c r="M31" s="274"/>
      <c r="N31" s="274"/>
      <c r="O31" s="275"/>
      <c r="P31" s="195" t="s">
        <v>262</v>
      </c>
    </row>
    <row r="32" spans="1:17">
      <c r="A32" s="71">
        <f t="shared" si="4"/>
        <v>23</v>
      </c>
      <c r="B32" s="169" t="s">
        <v>62</v>
      </c>
      <c r="C32" s="188">
        <v>14180</v>
      </c>
      <c r="D32" s="174"/>
      <c r="E32" s="191">
        <f t="shared" si="1"/>
        <v>14180</v>
      </c>
      <c r="F32" s="175">
        <f t="shared" si="0"/>
        <v>14180</v>
      </c>
      <c r="G32" s="175">
        <f t="shared" si="2"/>
        <v>0</v>
      </c>
      <c r="H32" s="172">
        <f t="shared" si="3"/>
        <v>0</v>
      </c>
      <c r="I32" s="173"/>
      <c r="J32" s="273" t="s">
        <v>237</v>
      </c>
      <c r="K32" s="274"/>
      <c r="L32" s="274"/>
      <c r="M32" s="274"/>
      <c r="N32" s="274"/>
      <c r="O32" s="275"/>
      <c r="P32" s="195" t="s">
        <v>248</v>
      </c>
    </row>
    <row r="33" spans="1:17">
      <c r="A33" s="71">
        <f t="shared" si="4"/>
        <v>24</v>
      </c>
      <c r="B33" s="169" t="s">
        <v>63</v>
      </c>
      <c r="C33" s="188">
        <v>9.9999999999999994E-12</v>
      </c>
      <c r="D33" s="174"/>
      <c r="E33" s="191">
        <f t="shared" si="1"/>
        <v>9.9999999999999994E-12</v>
      </c>
      <c r="F33" s="175">
        <f t="shared" si="0"/>
        <v>9.9999999999999994E-12</v>
      </c>
      <c r="G33" s="175">
        <f t="shared" si="2"/>
        <v>0</v>
      </c>
      <c r="H33" s="172">
        <f t="shared" si="3"/>
        <v>0</v>
      </c>
      <c r="I33" s="173"/>
      <c r="J33" s="273"/>
      <c r="K33" s="274"/>
      <c r="L33" s="274"/>
      <c r="M33" s="274"/>
      <c r="N33" s="274"/>
      <c r="O33" s="275"/>
      <c r="P33" s="195"/>
    </row>
    <row r="34" spans="1:17">
      <c r="A34" s="71">
        <f t="shared" si="4"/>
        <v>25</v>
      </c>
      <c r="B34" s="169" t="s">
        <v>64</v>
      </c>
      <c r="C34" s="188">
        <v>9.9999999999999994E-12</v>
      </c>
      <c r="D34" s="174"/>
      <c r="E34" s="191">
        <f t="shared" si="1"/>
        <v>9.9999999999999994E-12</v>
      </c>
      <c r="F34" s="175">
        <f t="shared" si="0"/>
        <v>9.9999999999999994E-12</v>
      </c>
      <c r="G34" s="175">
        <f t="shared" si="2"/>
        <v>0</v>
      </c>
      <c r="H34" s="172">
        <f t="shared" si="3"/>
        <v>0</v>
      </c>
      <c r="I34" s="173"/>
      <c r="J34" s="273"/>
      <c r="K34" s="274"/>
      <c r="L34" s="274"/>
      <c r="M34" s="274"/>
      <c r="N34" s="274"/>
      <c r="O34" s="275"/>
      <c r="P34" s="195"/>
    </row>
    <row r="35" spans="1:17">
      <c r="A35" s="71">
        <f t="shared" si="4"/>
        <v>26</v>
      </c>
      <c r="B35" s="169" t="s">
        <v>65</v>
      </c>
      <c r="C35" s="188">
        <v>9.9999999999999994E-12</v>
      </c>
      <c r="D35" s="174"/>
      <c r="E35" s="191">
        <f t="shared" si="1"/>
        <v>9.9999999999999994E-12</v>
      </c>
      <c r="F35" s="175">
        <f t="shared" si="0"/>
        <v>9.9999999999999994E-12</v>
      </c>
      <c r="G35" s="175">
        <f t="shared" si="2"/>
        <v>0</v>
      </c>
      <c r="H35" s="172">
        <f t="shared" si="3"/>
        <v>0</v>
      </c>
      <c r="I35" s="173"/>
      <c r="J35" s="273"/>
      <c r="K35" s="274"/>
      <c r="L35" s="274"/>
      <c r="M35" s="274"/>
      <c r="N35" s="274"/>
      <c r="O35" s="275"/>
      <c r="P35" s="195"/>
    </row>
    <row r="36" spans="1:17">
      <c r="A36" s="71">
        <f t="shared" si="4"/>
        <v>27</v>
      </c>
      <c r="B36" s="169" t="s">
        <v>66</v>
      </c>
      <c r="C36" s="188">
        <v>120785</v>
      </c>
      <c r="D36" s="174"/>
      <c r="E36" s="191">
        <f t="shared" si="1"/>
        <v>120785</v>
      </c>
      <c r="F36" s="175">
        <f t="shared" si="0"/>
        <v>120785</v>
      </c>
      <c r="G36" s="175">
        <f t="shared" si="2"/>
        <v>0</v>
      </c>
      <c r="H36" s="172">
        <f t="shared" si="3"/>
        <v>0</v>
      </c>
      <c r="I36" s="173"/>
      <c r="J36" s="273" t="s">
        <v>228</v>
      </c>
      <c r="K36" s="274"/>
      <c r="L36" s="274"/>
      <c r="M36" s="274"/>
      <c r="N36" s="274"/>
      <c r="O36" s="275"/>
      <c r="P36" s="195"/>
      <c r="Q36" s="44">
        <v>121985</v>
      </c>
    </row>
    <row r="37" spans="1:17">
      <c r="A37" s="71">
        <f t="shared" si="4"/>
        <v>28</v>
      </c>
      <c r="B37" s="169" t="s">
        <v>67</v>
      </c>
      <c r="C37" s="188">
        <f>534671.7+130800</f>
        <v>665471.69999999995</v>
      </c>
      <c r="D37" s="174"/>
      <c r="E37" s="191">
        <f t="shared" si="1"/>
        <v>665471.69999999995</v>
      </c>
      <c r="F37" s="175">
        <f t="shared" si="0"/>
        <v>665471.69999999995</v>
      </c>
      <c r="G37" s="175">
        <f t="shared" si="2"/>
        <v>0</v>
      </c>
      <c r="H37" s="172">
        <f t="shared" si="3"/>
        <v>0</v>
      </c>
      <c r="I37" s="173"/>
      <c r="J37" s="273" t="s">
        <v>238</v>
      </c>
      <c r="K37" s="274"/>
      <c r="L37" s="274"/>
      <c r="M37" s="274"/>
      <c r="N37" s="274"/>
      <c r="O37" s="275"/>
      <c r="P37" s="195" t="s">
        <v>263</v>
      </c>
      <c r="Q37" s="44">
        <v>539973</v>
      </c>
    </row>
    <row r="38" spans="1:17">
      <c r="A38" s="71">
        <f t="shared" si="4"/>
        <v>29</v>
      </c>
      <c r="B38" s="169" t="s">
        <v>240</v>
      </c>
      <c r="C38" s="188">
        <v>486642.3</v>
      </c>
      <c r="D38" s="174"/>
      <c r="E38" s="191">
        <f t="shared" si="1"/>
        <v>486642.3</v>
      </c>
      <c r="F38" s="175">
        <f t="shared" si="0"/>
        <v>486642.3</v>
      </c>
      <c r="G38" s="175">
        <f t="shared" si="2"/>
        <v>0</v>
      </c>
      <c r="H38" s="172">
        <f t="shared" si="3"/>
        <v>0</v>
      </c>
      <c r="I38" s="173"/>
      <c r="J38" s="273" t="s">
        <v>229</v>
      </c>
      <c r="K38" s="274"/>
      <c r="L38" s="274"/>
      <c r="M38" s="274"/>
      <c r="N38" s="274"/>
      <c r="O38" s="275"/>
      <c r="P38" s="195"/>
      <c r="Q38" s="44">
        <v>509291</v>
      </c>
    </row>
    <row r="39" spans="1:17">
      <c r="A39" s="71">
        <f t="shared" si="4"/>
        <v>30</v>
      </c>
      <c r="B39" s="169"/>
      <c r="C39" s="188"/>
      <c r="D39" s="174"/>
      <c r="E39" s="191">
        <f t="shared" si="1"/>
        <v>0</v>
      </c>
      <c r="F39" s="175">
        <f t="shared" si="0"/>
        <v>0</v>
      </c>
      <c r="G39" s="175">
        <f t="shared" si="2"/>
        <v>0</v>
      </c>
      <c r="H39" s="172">
        <f t="shared" si="3"/>
        <v>0</v>
      </c>
      <c r="I39" s="173"/>
      <c r="J39" s="273" t="s">
        <v>239</v>
      </c>
      <c r="K39" s="274"/>
      <c r="L39" s="274"/>
      <c r="M39" s="274"/>
      <c r="N39" s="274"/>
      <c r="O39" s="275"/>
      <c r="P39" s="195"/>
    </row>
    <row r="40" spans="1:17">
      <c r="A40" s="71">
        <f t="shared" si="4"/>
        <v>31</v>
      </c>
      <c r="B40" s="169" t="s">
        <v>68</v>
      </c>
      <c r="C40" s="188">
        <v>886425</v>
      </c>
      <c r="D40" s="174"/>
      <c r="E40" s="191">
        <f t="shared" si="1"/>
        <v>886425</v>
      </c>
      <c r="F40" s="175">
        <f t="shared" si="0"/>
        <v>886425</v>
      </c>
      <c r="G40" s="175">
        <f t="shared" si="2"/>
        <v>0</v>
      </c>
      <c r="H40" s="172">
        <f t="shared" si="3"/>
        <v>0</v>
      </c>
      <c r="I40" s="173"/>
      <c r="J40" s="273" t="s">
        <v>241</v>
      </c>
      <c r="K40" s="274"/>
      <c r="L40" s="274"/>
      <c r="M40" s="274"/>
      <c r="N40" s="274"/>
      <c r="O40" s="275"/>
      <c r="P40" s="195" t="s">
        <v>249</v>
      </c>
      <c r="Q40" s="44">
        <v>796463</v>
      </c>
    </row>
    <row r="41" spans="1:17">
      <c r="A41" s="71">
        <f t="shared" si="4"/>
        <v>32</v>
      </c>
      <c r="B41" s="169" t="s">
        <v>80</v>
      </c>
      <c r="C41" s="189">
        <f>SUM(C9:C40)</f>
        <v>6104113.0484567899</v>
      </c>
      <c r="D41" s="176">
        <f>SUM(D9:D40)</f>
        <v>0</v>
      </c>
      <c r="E41" s="192">
        <f>SUM(E9:E40)</f>
        <v>6104113.0484567899</v>
      </c>
      <c r="F41" s="175">
        <f t="shared" si="0"/>
        <v>6104113.0484567899</v>
      </c>
      <c r="G41" s="175">
        <f t="shared" si="2"/>
        <v>0</v>
      </c>
      <c r="H41" s="172">
        <f t="shared" si="3"/>
        <v>0</v>
      </c>
      <c r="I41" s="173"/>
      <c r="J41" s="273"/>
      <c r="K41" s="274"/>
      <c r="L41" s="274"/>
      <c r="M41" s="274"/>
      <c r="N41" s="274"/>
      <c r="O41" s="275"/>
      <c r="P41" s="195"/>
      <c r="Q41" s="44">
        <v>5139989</v>
      </c>
    </row>
    <row r="42" spans="1:17">
      <c r="A42" s="71"/>
      <c r="B42" s="169"/>
      <c r="C42" s="189"/>
      <c r="D42" s="177"/>
      <c r="E42" s="193"/>
      <c r="F42" s="175"/>
      <c r="G42" s="175"/>
      <c r="H42" s="172"/>
      <c r="I42" s="173"/>
      <c r="J42" s="173"/>
      <c r="K42" s="173"/>
      <c r="L42" s="173"/>
      <c r="M42" s="173"/>
      <c r="N42" s="173"/>
      <c r="O42" s="173"/>
    </row>
    <row r="43" spans="1:17">
      <c r="A43" s="71">
        <f>A41+1</f>
        <v>33</v>
      </c>
      <c r="B43" s="169" t="s">
        <v>87</v>
      </c>
      <c r="C43" s="188">
        <v>9.9999999999999994E-12</v>
      </c>
      <c r="D43" s="174"/>
      <c r="E43" s="191">
        <f>C43-D43</f>
        <v>9.9999999999999994E-12</v>
      </c>
      <c r="F43" s="175">
        <f t="shared" si="0"/>
        <v>9.9999999999999994E-12</v>
      </c>
      <c r="G43" s="175">
        <f t="shared" si="2"/>
        <v>0</v>
      </c>
      <c r="H43" s="172">
        <f t="shared" si="3"/>
        <v>0</v>
      </c>
      <c r="I43" s="173"/>
      <c r="J43" s="273"/>
      <c r="K43" s="274"/>
      <c r="L43" s="274"/>
      <c r="M43" s="274"/>
      <c r="N43" s="274"/>
      <c r="O43" s="275"/>
    </row>
    <row r="44" spans="1:17">
      <c r="A44" s="71">
        <f t="shared" si="4"/>
        <v>34</v>
      </c>
      <c r="B44" s="169" t="s">
        <v>79</v>
      </c>
      <c r="C44" s="189">
        <f>C41+C43</f>
        <v>6104113.0484567899</v>
      </c>
      <c r="D44" s="176">
        <f>D41+D43</f>
        <v>0</v>
      </c>
      <c r="E44" s="192">
        <f>E41+E43</f>
        <v>6104113.0484567899</v>
      </c>
      <c r="F44" s="175">
        <f t="shared" si="0"/>
        <v>6104113.0484567899</v>
      </c>
      <c r="G44" s="175">
        <f t="shared" si="2"/>
        <v>0</v>
      </c>
      <c r="H44" s="172">
        <f t="shared" si="3"/>
        <v>0</v>
      </c>
      <c r="I44" s="173"/>
      <c r="J44" s="273"/>
      <c r="K44" s="274"/>
      <c r="L44" s="274"/>
      <c r="M44" s="274"/>
      <c r="N44" s="274"/>
      <c r="O44" s="275"/>
      <c r="Q44" s="44">
        <v>5139989</v>
      </c>
    </row>
    <row r="45" spans="1:17">
      <c r="A45" s="71"/>
      <c r="B45" s="169"/>
      <c r="C45" s="189"/>
      <c r="D45" s="177"/>
      <c r="E45" s="193"/>
      <c r="F45" s="175"/>
      <c r="G45" s="175"/>
      <c r="H45" s="172"/>
      <c r="I45" s="173"/>
      <c r="J45" s="173"/>
      <c r="K45" s="173"/>
      <c r="L45" s="173"/>
      <c r="M45" s="173"/>
      <c r="N45" s="173"/>
      <c r="O45" s="173"/>
    </row>
    <row r="46" spans="1:17">
      <c r="A46" s="71">
        <f>A44+1</f>
        <v>35</v>
      </c>
      <c r="B46" s="169" t="s">
        <v>81</v>
      </c>
      <c r="C46" s="188">
        <v>171671.2</v>
      </c>
      <c r="D46" s="174"/>
      <c r="E46" s="191">
        <f t="shared" ref="E46:E61" si="5">C46-D46</f>
        <v>171671.2</v>
      </c>
      <c r="F46" s="175">
        <f t="shared" si="0"/>
        <v>171671.2</v>
      </c>
      <c r="G46" s="175">
        <f t="shared" si="2"/>
        <v>0</v>
      </c>
      <c r="H46" s="172">
        <f t="shared" si="3"/>
        <v>0</v>
      </c>
      <c r="I46" s="173"/>
      <c r="J46" s="273" t="s">
        <v>230</v>
      </c>
      <c r="K46" s="274"/>
      <c r="L46" s="274"/>
      <c r="M46" s="274"/>
      <c r="N46" s="274"/>
      <c r="O46" s="275"/>
      <c r="P46" s="195" t="s">
        <v>256</v>
      </c>
      <c r="Q46" s="44">
        <v>100146</v>
      </c>
    </row>
    <row r="47" spans="1:17">
      <c r="A47" s="71">
        <f t="shared" si="4"/>
        <v>36</v>
      </c>
      <c r="B47" s="169" t="s">
        <v>69</v>
      </c>
      <c r="C47" s="188">
        <v>277801.8</v>
      </c>
      <c r="D47" s="174"/>
      <c r="E47" s="191">
        <f t="shared" si="5"/>
        <v>277801.8</v>
      </c>
      <c r="F47" s="175">
        <f t="shared" si="0"/>
        <v>277801.8</v>
      </c>
      <c r="G47" s="175">
        <f t="shared" si="2"/>
        <v>0</v>
      </c>
      <c r="H47" s="172">
        <f t="shared" si="3"/>
        <v>0</v>
      </c>
      <c r="I47" s="173"/>
      <c r="J47" s="273" t="s">
        <v>231</v>
      </c>
      <c r="K47" s="274"/>
      <c r="L47" s="274"/>
      <c r="M47" s="274"/>
      <c r="N47" s="274"/>
      <c r="O47" s="275"/>
      <c r="P47" s="195" t="s">
        <v>257</v>
      </c>
      <c r="Q47" s="44">
        <v>78270</v>
      </c>
    </row>
    <row r="48" spans="1:17">
      <c r="A48" s="71">
        <f t="shared" si="4"/>
        <v>37</v>
      </c>
      <c r="B48" s="169" t="s">
        <v>70</v>
      </c>
      <c r="C48" s="188">
        <v>47422.140740740739</v>
      </c>
      <c r="D48" s="174"/>
      <c r="E48" s="191">
        <f t="shared" si="5"/>
        <v>47422.140740740739</v>
      </c>
      <c r="F48" s="175">
        <f t="shared" si="0"/>
        <v>47422.140740740739</v>
      </c>
      <c r="G48" s="175">
        <f t="shared" si="2"/>
        <v>0</v>
      </c>
      <c r="H48" s="172">
        <f t="shared" si="3"/>
        <v>0</v>
      </c>
      <c r="I48" s="173"/>
      <c r="J48" s="273"/>
      <c r="K48" s="274"/>
      <c r="L48" s="274"/>
      <c r="M48" s="274"/>
      <c r="N48" s="274"/>
      <c r="O48" s="275"/>
      <c r="P48" s="195"/>
    </row>
    <row r="49" spans="1:17">
      <c r="A49" s="71">
        <f t="shared" si="4"/>
        <v>38</v>
      </c>
      <c r="B49" s="169" t="s">
        <v>71</v>
      </c>
      <c r="C49" s="188">
        <v>66061</v>
      </c>
      <c r="D49" s="174"/>
      <c r="E49" s="191">
        <f t="shared" si="5"/>
        <v>66061</v>
      </c>
      <c r="F49" s="175">
        <f t="shared" si="0"/>
        <v>66061</v>
      </c>
      <c r="G49" s="175">
        <f t="shared" si="2"/>
        <v>0</v>
      </c>
      <c r="H49" s="172">
        <f t="shared" si="3"/>
        <v>0</v>
      </c>
      <c r="I49" s="173"/>
      <c r="J49" s="273"/>
      <c r="K49" s="274"/>
      <c r="L49" s="274"/>
      <c r="M49" s="274"/>
      <c r="N49" s="274"/>
      <c r="O49" s="275"/>
      <c r="P49" s="195" t="s">
        <v>255</v>
      </c>
    </row>
    <row r="50" spans="1:17">
      <c r="A50" s="71">
        <f t="shared" si="4"/>
        <v>39</v>
      </c>
      <c r="B50" s="169" t="s">
        <v>72</v>
      </c>
      <c r="C50" s="188">
        <v>66814</v>
      </c>
      <c r="D50" s="174"/>
      <c r="E50" s="191">
        <f t="shared" si="5"/>
        <v>66814</v>
      </c>
      <c r="F50" s="175">
        <f t="shared" si="0"/>
        <v>66814</v>
      </c>
      <c r="G50" s="175">
        <f t="shared" si="2"/>
        <v>0</v>
      </c>
      <c r="H50" s="172">
        <f t="shared" si="3"/>
        <v>0</v>
      </c>
      <c r="I50" s="173"/>
      <c r="J50" s="273"/>
      <c r="K50" s="274"/>
      <c r="L50" s="274"/>
      <c r="M50" s="274"/>
      <c r="N50" s="274"/>
      <c r="O50" s="275"/>
      <c r="P50" s="195"/>
    </row>
    <row r="51" spans="1:17">
      <c r="A51" s="71">
        <f t="shared" si="4"/>
        <v>40</v>
      </c>
      <c r="B51" s="169" t="s">
        <v>73</v>
      </c>
      <c r="C51" s="188">
        <v>0</v>
      </c>
      <c r="D51" s="174"/>
      <c r="E51" s="191">
        <f t="shared" si="5"/>
        <v>0</v>
      </c>
      <c r="F51" s="175">
        <f t="shared" si="0"/>
        <v>0</v>
      </c>
      <c r="G51" s="175">
        <f t="shared" si="2"/>
        <v>0</v>
      </c>
      <c r="H51" s="172">
        <f t="shared" si="3"/>
        <v>0</v>
      </c>
      <c r="I51" s="173"/>
      <c r="J51" s="273" t="s">
        <v>215</v>
      </c>
      <c r="K51" s="274"/>
      <c r="L51" s="274"/>
      <c r="M51" s="274"/>
      <c r="N51" s="274"/>
      <c r="O51" s="275"/>
      <c r="P51" s="195"/>
    </row>
    <row r="52" spans="1:17">
      <c r="A52" s="71">
        <f t="shared" si="4"/>
        <v>41</v>
      </c>
      <c r="B52" s="169" t="s">
        <v>82</v>
      </c>
      <c r="C52" s="189">
        <f>SUM(C46:C51)</f>
        <v>629770.14074074081</v>
      </c>
      <c r="D52" s="176">
        <f>SUM(D46:D51)</f>
        <v>0</v>
      </c>
      <c r="E52" s="192">
        <f t="shared" si="5"/>
        <v>629770.14074074081</v>
      </c>
      <c r="F52" s="175">
        <f t="shared" si="0"/>
        <v>629770.14074074081</v>
      </c>
      <c r="G52" s="175">
        <f t="shared" si="2"/>
        <v>0</v>
      </c>
      <c r="H52" s="172">
        <f t="shared" si="3"/>
        <v>0</v>
      </c>
      <c r="I52" s="173"/>
      <c r="J52" s="273"/>
      <c r="K52" s="274"/>
      <c r="L52" s="274"/>
      <c r="M52" s="274"/>
      <c r="N52" s="274"/>
      <c r="O52" s="275"/>
      <c r="P52" s="195"/>
      <c r="Q52" s="44">
        <v>178416</v>
      </c>
    </row>
    <row r="53" spans="1:17">
      <c r="A53" s="71"/>
      <c r="B53" s="169"/>
      <c r="C53" s="189"/>
      <c r="D53" s="177"/>
      <c r="E53" s="193"/>
      <c r="F53" s="175"/>
      <c r="G53" s="175"/>
      <c r="H53" s="172"/>
      <c r="I53" s="173"/>
      <c r="J53" s="173"/>
      <c r="K53" s="173"/>
      <c r="L53" s="173"/>
      <c r="M53" s="173"/>
      <c r="N53" s="173"/>
      <c r="O53" s="173"/>
    </row>
    <row r="54" spans="1:17">
      <c r="A54" s="71">
        <f>A52+1</f>
        <v>42</v>
      </c>
      <c r="B54" s="169" t="s">
        <v>74</v>
      </c>
      <c r="C54" s="188">
        <v>315588</v>
      </c>
      <c r="D54" s="174"/>
      <c r="E54" s="191">
        <f t="shared" si="5"/>
        <v>315588</v>
      </c>
      <c r="F54" s="175">
        <f t="shared" si="0"/>
        <v>315588</v>
      </c>
      <c r="G54" s="175">
        <f t="shared" si="2"/>
        <v>0</v>
      </c>
      <c r="H54" s="172">
        <f t="shared" si="3"/>
        <v>0</v>
      </c>
      <c r="I54" s="173"/>
      <c r="J54" s="273"/>
      <c r="K54" s="274"/>
      <c r="L54" s="274"/>
      <c r="M54" s="274"/>
      <c r="N54" s="274"/>
      <c r="O54" s="275"/>
      <c r="P54" s="195" t="s">
        <v>258</v>
      </c>
    </row>
    <row r="55" spans="1:17">
      <c r="A55" s="71">
        <f t="shared" si="4"/>
        <v>43</v>
      </c>
      <c r="B55" s="169" t="s">
        <v>75</v>
      </c>
      <c r="C55" s="188">
        <v>154885.6180525914</v>
      </c>
      <c r="D55" s="174"/>
      <c r="E55" s="191">
        <f t="shared" si="5"/>
        <v>154885.6180525914</v>
      </c>
      <c r="F55" s="175">
        <f t="shared" si="0"/>
        <v>154885.6180525914</v>
      </c>
      <c r="G55" s="175">
        <f t="shared" si="2"/>
        <v>0</v>
      </c>
      <c r="H55" s="172">
        <f t="shared" si="3"/>
        <v>0</v>
      </c>
      <c r="I55" s="173"/>
      <c r="J55" s="273" t="s">
        <v>232</v>
      </c>
      <c r="K55" s="274"/>
      <c r="L55" s="274"/>
      <c r="M55" s="274"/>
      <c r="N55" s="274"/>
      <c r="O55" s="275"/>
      <c r="P55" s="195"/>
      <c r="Q55" s="44">
        <v>154886</v>
      </c>
    </row>
    <row r="56" spans="1:17">
      <c r="A56" s="71">
        <f t="shared" si="4"/>
        <v>44</v>
      </c>
      <c r="B56" s="169" t="s">
        <v>76</v>
      </c>
      <c r="C56" s="188">
        <v>315966.66082728648</v>
      </c>
      <c r="D56" s="174"/>
      <c r="E56" s="191">
        <f t="shared" si="5"/>
        <v>315966.66082728648</v>
      </c>
      <c r="F56" s="175">
        <f t="shared" si="0"/>
        <v>315966.66082728648</v>
      </c>
      <c r="G56" s="175">
        <f t="shared" si="2"/>
        <v>0</v>
      </c>
      <c r="H56" s="172">
        <f t="shared" si="3"/>
        <v>0</v>
      </c>
      <c r="I56" s="173"/>
      <c r="J56" s="273" t="s">
        <v>233</v>
      </c>
      <c r="K56" s="274"/>
      <c r="L56" s="274"/>
      <c r="M56" s="274"/>
      <c r="N56" s="274"/>
      <c r="O56" s="275"/>
      <c r="P56" s="195"/>
      <c r="Q56" s="44">
        <v>315967</v>
      </c>
    </row>
    <row r="57" spans="1:17">
      <c r="A57" s="71">
        <f t="shared" si="4"/>
        <v>45</v>
      </c>
      <c r="B57" s="169" t="s">
        <v>77</v>
      </c>
      <c r="C57" s="188">
        <v>250000</v>
      </c>
      <c r="D57" s="174"/>
      <c r="E57" s="191">
        <f t="shared" si="5"/>
        <v>250000</v>
      </c>
      <c r="F57" s="175">
        <f t="shared" si="0"/>
        <v>250000</v>
      </c>
      <c r="G57" s="175">
        <f t="shared" si="2"/>
        <v>0</v>
      </c>
      <c r="H57" s="172">
        <f t="shared" si="3"/>
        <v>0</v>
      </c>
      <c r="I57" s="173"/>
      <c r="J57" s="273" t="s">
        <v>234</v>
      </c>
      <c r="K57" s="274"/>
      <c r="L57" s="274"/>
      <c r="M57" s="274"/>
      <c r="N57" s="274"/>
      <c r="O57" s="275"/>
      <c r="P57" s="195" t="s">
        <v>247</v>
      </c>
      <c r="Q57" s="44">
        <v>250000</v>
      </c>
    </row>
    <row r="58" spans="1:17">
      <c r="A58" s="71">
        <f t="shared" si="4"/>
        <v>46</v>
      </c>
      <c r="B58" s="169" t="s">
        <v>77</v>
      </c>
      <c r="C58" s="188"/>
      <c r="D58" s="174"/>
      <c r="E58" s="191">
        <f t="shared" si="5"/>
        <v>0</v>
      </c>
      <c r="F58" s="175">
        <f t="shared" si="0"/>
        <v>0</v>
      </c>
      <c r="G58" s="175">
        <f t="shared" si="2"/>
        <v>0</v>
      </c>
      <c r="H58" s="172">
        <f t="shared" si="3"/>
        <v>0</v>
      </c>
      <c r="I58" s="173"/>
      <c r="J58" s="273"/>
      <c r="K58" s="274"/>
      <c r="L58" s="274"/>
      <c r="M58" s="274"/>
      <c r="N58" s="274"/>
      <c r="O58" s="275"/>
      <c r="P58" s="195"/>
    </row>
    <row r="59" spans="1:17">
      <c r="A59" s="71">
        <f t="shared" si="4"/>
        <v>47</v>
      </c>
      <c r="B59" s="169" t="s">
        <v>83</v>
      </c>
      <c r="C59" s="188">
        <f>41135.6659075472+13182+41271.4599150399</f>
        <v>95589.125822587099</v>
      </c>
      <c r="D59" s="174"/>
      <c r="E59" s="191">
        <f t="shared" si="5"/>
        <v>95589.125822587099</v>
      </c>
      <c r="F59" s="175">
        <f t="shared" si="0"/>
        <v>95589.125822587099</v>
      </c>
      <c r="G59" s="175">
        <f t="shared" si="2"/>
        <v>0</v>
      </c>
      <c r="H59" s="172">
        <f t="shared" si="3"/>
        <v>0</v>
      </c>
      <c r="I59" s="173"/>
      <c r="J59" s="273" t="s">
        <v>242</v>
      </c>
      <c r="K59" s="274"/>
      <c r="L59" s="274"/>
      <c r="M59" s="274"/>
      <c r="N59" s="274"/>
      <c r="O59" s="275"/>
      <c r="P59" s="195" t="s">
        <v>246</v>
      </c>
    </row>
    <row r="60" spans="1:17">
      <c r="A60" s="71">
        <f t="shared" si="4"/>
        <v>48</v>
      </c>
      <c r="B60" s="169" t="s">
        <v>89</v>
      </c>
      <c r="C60" s="188">
        <v>64841.555748132159</v>
      </c>
      <c r="D60" s="174"/>
      <c r="E60" s="191">
        <f t="shared" si="5"/>
        <v>64841.555748132159</v>
      </c>
      <c r="F60" s="175">
        <f t="shared" si="0"/>
        <v>64841.555748132159</v>
      </c>
      <c r="G60" s="175">
        <f t="shared" si="2"/>
        <v>0</v>
      </c>
      <c r="H60" s="172">
        <f t="shared" si="3"/>
        <v>0</v>
      </c>
      <c r="I60" s="173"/>
      <c r="J60" s="273" t="s">
        <v>235</v>
      </c>
      <c r="K60" s="274"/>
      <c r="L60" s="274"/>
      <c r="M60" s="274"/>
      <c r="N60" s="274"/>
      <c r="O60" s="275"/>
      <c r="P60" s="195"/>
      <c r="Q60" s="44">
        <v>65486</v>
      </c>
    </row>
    <row r="61" spans="1:17">
      <c r="A61" s="71">
        <f t="shared" si="4"/>
        <v>49</v>
      </c>
      <c r="B61" s="169" t="s">
        <v>88</v>
      </c>
      <c r="C61" s="188">
        <v>534379.03186132095</v>
      </c>
      <c r="D61" s="174"/>
      <c r="E61" s="191">
        <f t="shared" si="5"/>
        <v>534379.03186132095</v>
      </c>
      <c r="F61" s="175">
        <f t="shared" si="0"/>
        <v>534379.03186132095</v>
      </c>
      <c r="G61" s="175">
        <f t="shared" si="2"/>
        <v>0</v>
      </c>
      <c r="H61" s="172">
        <f t="shared" si="3"/>
        <v>0</v>
      </c>
      <c r="I61" s="173"/>
      <c r="J61" s="273"/>
      <c r="K61" s="274"/>
      <c r="L61" s="274"/>
      <c r="M61" s="274"/>
      <c r="N61" s="274"/>
      <c r="O61" s="275"/>
      <c r="P61" s="195" t="s">
        <v>264</v>
      </c>
    </row>
    <row r="62" spans="1:17" ht="76.5" customHeight="1">
      <c r="A62" s="71">
        <f t="shared" si="4"/>
        <v>50</v>
      </c>
      <c r="B62" s="169" t="s">
        <v>173</v>
      </c>
      <c r="C62" s="190">
        <f>C44+C52+(SUM(C54:C61))</f>
        <v>8465133.1815094501</v>
      </c>
      <c r="D62" s="175">
        <f>D44+D52+(SUM(D54:D61))</f>
        <v>0</v>
      </c>
      <c r="E62" s="194">
        <f>E44+E52+(SUM(E54:E61))</f>
        <v>8465133.1815094501</v>
      </c>
      <c r="F62" s="175">
        <f t="shared" si="0"/>
        <v>8465133.1815094501</v>
      </c>
      <c r="G62" s="175">
        <f t="shared" si="2"/>
        <v>0</v>
      </c>
      <c r="H62" s="172">
        <f t="shared" si="3"/>
        <v>0</v>
      </c>
      <c r="I62" s="173"/>
      <c r="J62" s="276" t="s">
        <v>243</v>
      </c>
      <c r="K62" s="277"/>
      <c r="L62" s="277"/>
      <c r="M62" s="277"/>
      <c r="N62" s="277"/>
      <c r="O62" s="278"/>
      <c r="P62" s="195"/>
      <c r="Q62" s="44">
        <v>6104744</v>
      </c>
    </row>
    <row r="63" spans="1:17">
      <c r="A63" s="72"/>
      <c r="B63" s="178"/>
      <c r="C63" s="196"/>
      <c r="D63" s="179"/>
      <c r="E63" s="180"/>
      <c r="F63" s="179"/>
      <c r="G63" s="179"/>
      <c r="H63" s="181"/>
      <c r="I63" s="173"/>
      <c r="J63" s="173"/>
      <c r="K63" s="173"/>
      <c r="L63" s="173"/>
      <c r="M63" s="173"/>
      <c r="N63" s="173"/>
      <c r="O63" s="173"/>
    </row>
    <row r="64" spans="1:17" ht="14.25" customHeight="1" thickBot="1">
      <c r="A64" s="68"/>
      <c r="B64" s="182"/>
      <c r="C64" s="183"/>
      <c r="D64" s="184"/>
      <c r="E64" s="185"/>
      <c r="F64" s="186"/>
      <c r="G64" s="186"/>
      <c r="H64" s="187"/>
      <c r="I64" s="173"/>
      <c r="J64" s="173"/>
      <c r="K64" s="173"/>
      <c r="L64" s="173"/>
      <c r="M64" s="173"/>
      <c r="N64" s="173"/>
      <c r="O64" s="173"/>
    </row>
    <row r="65" spans="1:8" ht="9" customHeight="1" thickTop="1">
      <c r="A65" s="53"/>
      <c r="B65" s="54"/>
      <c r="C65" s="55"/>
      <c r="D65" s="56"/>
      <c r="E65" s="56"/>
      <c r="F65" s="57"/>
      <c r="G65" s="56"/>
      <c r="H65" s="56"/>
    </row>
    <row r="66" spans="1:8" ht="9" customHeight="1">
      <c r="A66" s="53"/>
      <c r="B66" s="54"/>
      <c r="C66" s="55"/>
      <c r="D66" s="56"/>
      <c r="E66" s="56"/>
      <c r="F66" s="57"/>
      <c r="G66" s="56"/>
      <c r="H66" s="56"/>
    </row>
    <row r="67" spans="1:8" ht="9" customHeight="1">
      <c r="A67" s="53"/>
      <c r="B67" s="54"/>
      <c r="C67" s="55"/>
      <c r="D67" s="56"/>
      <c r="E67" s="56"/>
      <c r="F67" s="57"/>
      <c r="G67" s="56"/>
      <c r="H67" s="56"/>
    </row>
    <row r="68" spans="1:8" ht="9" customHeight="1">
      <c r="A68" s="53"/>
      <c r="B68" s="54"/>
      <c r="C68" s="55"/>
      <c r="D68" s="56"/>
      <c r="E68" s="56"/>
      <c r="F68" s="57"/>
      <c r="G68" s="56"/>
      <c r="H68" s="56"/>
    </row>
    <row r="69" spans="1:8" ht="9" customHeight="1">
      <c r="A69" s="58"/>
      <c r="B69" s="58"/>
      <c r="C69" s="52"/>
      <c r="D69" s="45"/>
      <c r="E69" s="45"/>
      <c r="F69" s="45"/>
      <c r="G69" s="45"/>
      <c r="H69" s="45"/>
    </row>
    <row r="70" spans="1:8" ht="9" customHeight="1">
      <c r="A70" s="59"/>
      <c r="B70" s="51"/>
      <c r="C70" s="52"/>
      <c r="D70" s="45"/>
      <c r="E70" s="45"/>
      <c r="F70" s="45"/>
      <c r="G70" s="45"/>
      <c r="H70" s="45"/>
    </row>
    <row r="71" spans="1:8" ht="9" customHeight="1">
      <c r="A71" s="60"/>
      <c r="B71" s="51"/>
      <c r="C71" s="52"/>
      <c r="D71" s="45"/>
      <c r="E71" s="45"/>
      <c r="F71" s="45"/>
      <c r="G71" s="45"/>
      <c r="H71" s="45"/>
    </row>
    <row r="72" spans="1:8" ht="9" customHeight="1">
      <c r="A72" s="61"/>
      <c r="B72" s="51"/>
      <c r="C72" s="52"/>
      <c r="D72" s="45"/>
      <c r="E72" s="45"/>
      <c r="F72" s="45"/>
      <c r="G72" s="45"/>
      <c r="H72" s="45"/>
    </row>
    <row r="73" spans="1:8">
      <c r="A73" s="45"/>
      <c r="B73" s="51"/>
      <c r="C73" s="52"/>
      <c r="D73" s="45"/>
      <c r="E73" s="45"/>
      <c r="F73" s="45"/>
      <c r="G73" s="45"/>
      <c r="H73" s="45"/>
    </row>
    <row r="74" spans="1:8">
      <c r="A74" s="45"/>
      <c r="B74" s="51"/>
      <c r="C74" s="52"/>
      <c r="D74" s="45"/>
      <c r="E74" s="45"/>
      <c r="F74" s="45"/>
      <c r="G74" s="45"/>
      <c r="H74" s="45"/>
    </row>
    <row r="75" spans="1:8">
      <c r="A75" s="45"/>
      <c r="B75" s="51"/>
      <c r="C75" s="52"/>
      <c r="D75" s="45"/>
      <c r="E75" s="45"/>
      <c r="F75" s="45"/>
      <c r="G75" s="45"/>
      <c r="H75" s="45"/>
    </row>
    <row r="76" spans="1:8">
      <c r="A76" s="45"/>
      <c r="B76" s="51"/>
      <c r="C76" s="52"/>
      <c r="D76" s="45"/>
      <c r="E76" s="45"/>
      <c r="F76" s="45"/>
      <c r="G76" s="45"/>
      <c r="H76" s="45"/>
    </row>
    <row r="77" spans="1:8">
      <c r="B77" s="62"/>
    </row>
    <row r="78" spans="1:8">
      <c r="B78" s="62"/>
    </row>
  </sheetData>
  <mergeCells count="57">
    <mergeCell ref="J61:O61"/>
    <mergeCell ref="J62:O62"/>
    <mergeCell ref="D2:E2"/>
    <mergeCell ref="J56:O56"/>
    <mergeCell ref="J57:O57"/>
    <mergeCell ref="J58:O58"/>
    <mergeCell ref="J59:O59"/>
    <mergeCell ref="J60:O60"/>
    <mergeCell ref="J50:O50"/>
    <mergeCell ref="J51:O51"/>
    <mergeCell ref="J52:O52"/>
    <mergeCell ref="J54:O54"/>
    <mergeCell ref="J55:O55"/>
    <mergeCell ref="J46:O46"/>
    <mergeCell ref="J47:O47"/>
    <mergeCell ref="J48:O48"/>
    <mergeCell ref="J49:O49"/>
    <mergeCell ref="J40:O40"/>
    <mergeCell ref="J41:O41"/>
    <mergeCell ref="J43:O43"/>
    <mergeCell ref="J44:O44"/>
    <mergeCell ref="J35:O35"/>
    <mergeCell ref="J36:O36"/>
    <mergeCell ref="J37:O37"/>
    <mergeCell ref="J38:O38"/>
    <mergeCell ref="J39:O39"/>
    <mergeCell ref="J30:O30"/>
    <mergeCell ref="J31:O31"/>
    <mergeCell ref="J32:O32"/>
    <mergeCell ref="J33:O33"/>
    <mergeCell ref="J34:O34"/>
    <mergeCell ref="J25:O25"/>
    <mergeCell ref="J26:O26"/>
    <mergeCell ref="J27:O27"/>
    <mergeCell ref="J28:O28"/>
    <mergeCell ref="J29:O29"/>
    <mergeCell ref="J20:O20"/>
    <mergeCell ref="J21:O21"/>
    <mergeCell ref="J22:O22"/>
    <mergeCell ref="J23:O23"/>
    <mergeCell ref="J24:O24"/>
    <mergeCell ref="J15:O15"/>
    <mergeCell ref="J16:O16"/>
    <mergeCell ref="J17:O17"/>
    <mergeCell ref="J18:O18"/>
    <mergeCell ref="J19:O19"/>
    <mergeCell ref="J10:O10"/>
    <mergeCell ref="J11:O11"/>
    <mergeCell ref="J12:O12"/>
    <mergeCell ref="J13:O13"/>
    <mergeCell ref="J14:O14"/>
    <mergeCell ref="J8:O8"/>
    <mergeCell ref="D3:E3"/>
    <mergeCell ref="D4:E4"/>
    <mergeCell ref="N2:O2"/>
    <mergeCell ref="N3:O3"/>
    <mergeCell ref="N4:O4"/>
  </mergeCells>
  <pageMargins left="0.5" right="0.5" top="0.5" bottom="0.5" header="0.5" footer="0.5"/>
  <pageSetup paperSize="5" scale="51" fitToHeight="0"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C4AB5-6C47-45C6-AC92-55E0E290887B}">
  <sheetPr>
    <pageSetUpPr fitToPage="1"/>
  </sheetPr>
  <dimension ref="A1:V63"/>
  <sheetViews>
    <sheetView zoomScaleNormal="100" workbookViewId="0">
      <pane ySplit="12" topLeftCell="A13" activePane="bottomLeft" state="frozen"/>
      <selection pane="bottomLeft" activeCell="K1" sqref="K1"/>
    </sheetView>
  </sheetViews>
  <sheetFormatPr baseColWidth="10" defaultColWidth="9.1640625" defaultRowHeight="18"/>
  <cols>
    <col min="1" max="1" width="4.1640625" style="1" customWidth="1"/>
    <col min="2" max="3" width="4.6640625" style="1" customWidth="1"/>
    <col min="4" max="4" width="9.1640625" style="1"/>
    <col min="5" max="5" width="11.5" style="1" bestFit="1" customWidth="1"/>
    <col min="6" max="6" width="13.6640625" style="1" customWidth="1"/>
    <col min="7" max="7" width="9.1640625" style="1"/>
    <col min="8" max="8" width="2.1640625" style="1" customWidth="1"/>
    <col min="9" max="9" width="20.6640625" style="1" customWidth="1"/>
    <col min="10" max="10" width="1.6640625" style="1" customWidth="1"/>
    <col min="11" max="11" width="19.6640625" style="1" customWidth="1"/>
    <col min="12" max="12" width="1.6640625" style="1" hidden="1" customWidth="1"/>
    <col min="13" max="13" width="20.6640625" style="1" hidden="1" customWidth="1"/>
    <col min="14" max="14" width="1.6640625" style="1" customWidth="1"/>
    <col min="15" max="15" width="12.6640625" style="1" customWidth="1"/>
    <col min="16" max="16" width="1.6640625" style="1" customWidth="1"/>
    <col min="17" max="18" width="28.6640625" style="1" customWidth="1"/>
    <col min="19" max="19" width="18.5" style="1" customWidth="1"/>
    <col min="20" max="20" width="9.33203125" style="1" customWidth="1"/>
    <col min="21" max="21" width="3.6640625" style="1" customWidth="1"/>
    <col min="22" max="16384" width="9.1640625" style="1"/>
  </cols>
  <sheetData>
    <row r="1" spans="1:22">
      <c r="A1" s="32" t="s">
        <v>33</v>
      </c>
      <c r="B1" s="241" t="s">
        <v>212</v>
      </c>
      <c r="C1" s="242"/>
      <c r="D1" s="95" t="s">
        <v>35</v>
      </c>
      <c r="E1" s="2"/>
      <c r="F1" s="2"/>
      <c r="G1" s="2"/>
      <c r="H1" s="2"/>
      <c r="I1" s="96" t="s">
        <v>29</v>
      </c>
      <c r="J1" s="2"/>
      <c r="K1" s="25" t="str">
        <f>+'[1]Project Description'!$A$3</f>
        <v>2024 QAP Underwriting Application v1.0</v>
      </c>
      <c r="L1" s="2"/>
      <c r="M1" s="2"/>
      <c r="N1" s="2"/>
      <c r="O1" s="96"/>
      <c r="P1" s="97"/>
      <c r="Q1" s="25"/>
      <c r="R1" s="25"/>
      <c r="S1" s="14"/>
      <c r="T1" s="14"/>
      <c r="U1" s="14"/>
      <c r="V1" s="14"/>
    </row>
    <row r="2" spans="1:22">
      <c r="A2" s="32"/>
      <c r="B2" s="31"/>
      <c r="C2" s="31"/>
      <c r="D2" s="2"/>
      <c r="E2" s="2"/>
      <c r="F2" s="2"/>
      <c r="G2" s="2"/>
      <c r="H2" s="2"/>
      <c r="I2" s="2"/>
      <c r="J2" s="2"/>
      <c r="K2" s="2"/>
      <c r="L2" s="2"/>
      <c r="M2" s="2"/>
      <c r="N2" s="2"/>
      <c r="O2" s="24"/>
      <c r="P2" s="14"/>
      <c r="Q2" s="25"/>
      <c r="R2" s="25"/>
      <c r="S2" s="14"/>
      <c r="T2" s="14"/>
      <c r="U2" s="14"/>
      <c r="V2" s="14"/>
    </row>
    <row r="3" spans="1:22">
      <c r="A3" s="2"/>
      <c r="B3" s="2" t="s">
        <v>1</v>
      </c>
      <c r="E3" s="26"/>
      <c r="F3" s="245" t="s">
        <v>244</v>
      </c>
      <c r="G3" s="246"/>
      <c r="H3" s="246"/>
      <c r="I3" s="246"/>
      <c r="J3" s="246"/>
      <c r="K3" s="246"/>
      <c r="L3" s="246"/>
      <c r="M3" s="246"/>
      <c r="N3" s="246"/>
      <c r="O3" s="247"/>
      <c r="Q3" s="25"/>
      <c r="R3" s="25"/>
      <c r="S3" s="14"/>
      <c r="T3" s="14"/>
    </row>
    <row r="4" spans="1:22">
      <c r="A4" s="2"/>
      <c r="B4" s="2" t="s">
        <v>26</v>
      </c>
      <c r="C4" s="2"/>
      <c r="D4" s="2"/>
      <c r="E4" s="4"/>
      <c r="F4" s="250" t="s">
        <v>213</v>
      </c>
      <c r="G4" s="251"/>
      <c r="H4" s="14"/>
      <c r="I4" s="24" t="s">
        <v>5</v>
      </c>
      <c r="J4" s="14"/>
      <c r="K4" s="28" t="str">
        <f>+'[1]Project Description'!$H$95</f>
        <v>New Construction</v>
      </c>
      <c r="L4" s="14"/>
      <c r="M4" s="14"/>
      <c r="N4" s="14"/>
      <c r="O4" s="14"/>
      <c r="Q4" s="25"/>
      <c r="R4" s="25"/>
      <c r="S4" s="14"/>
      <c r="T4" s="14"/>
    </row>
    <row r="5" spans="1:22">
      <c r="A5" s="2"/>
      <c r="B5" s="2" t="s">
        <v>2</v>
      </c>
      <c r="C5" s="2"/>
      <c r="D5" s="2"/>
      <c r="E5" s="4"/>
      <c r="F5" s="239">
        <v>22</v>
      </c>
      <c r="G5" s="240"/>
      <c r="H5" s="3"/>
      <c r="I5" s="111" t="s">
        <v>31</v>
      </c>
      <c r="J5" s="112"/>
      <c r="K5" s="162">
        <v>1245077</v>
      </c>
      <c r="L5" s="3"/>
      <c r="M5" s="3"/>
      <c r="N5" s="3"/>
      <c r="O5" s="3"/>
      <c r="Q5" s="25"/>
      <c r="R5" s="25"/>
      <c r="S5" s="14"/>
      <c r="T5" s="14"/>
    </row>
    <row r="6" spans="1:22">
      <c r="A6" s="2"/>
      <c r="B6" s="2" t="s">
        <v>206</v>
      </c>
      <c r="C6" s="2"/>
      <c r="D6" s="2"/>
      <c r="E6" s="4"/>
      <c r="F6" s="239">
        <v>22018</v>
      </c>
      <c r="G6" s="240"/>
      <c r="H6" s="3"/>
      <c r="I6" s="24" t="s">
        <v>30</v>
      </c>
      <c r="J6" s="14"/>
      <c r="K6" s="163">
        <v>845000</v>
      </c>
      <c r="L6" s="3"/>
      <c r="M6" s="3"/>
      <c r="N6" s="3"/>
      <c r="O6" s="27" t="str">
        <f>IF(K6&gt;K5,"!!!!!!!!!!","")</f>
        <v/>
      </c>
      <c r="Q6" s="25"/>
      <c r="R6" s="25"/>
      <c r="S6" s="14"/>
      <c r="T6" s="14"/>
    </row>
    <row r="7" spans="1:22" ht="19" thickBot="1">
      <c r="A7" s="2"/>
      <c r="B7" s="3"/>
      <c r="C7" s="2"/>
      <c r="D7" s="2"/>
      <c r="E7" s="4"/>
      <c r="F7" s="21"/>
      <c r="G7" s="21"/>
      <c r="H7" s="2"/>
      <c r="I7" s="2"/>
      <c r="J7" s="2"/>
      <c r="K7" s="2"/>
      <c r="L7" s="2"/>
      <c r="M7" s="2"/>
      <c r="N7" s="2"/>
      <c r="O7" s="2"/>
      <c r="Q7" s="25"/>
      <c r="R7" s="25"/>
      <c r="S7" s="14"/>
      <c r="T7" s="14"/>
    </row>
    <row r="8" spans="1:22" ht="20" thickTop="1" thickBot="1">
      <c r="A8" s="2"/>
      <c r="B8" s="3"/>
      <c r="C8" s="2"/>
      <c r="D8" s="2"/>
      <c r="E8" s="4"/>
      <c r="F8" s="243"/>
      <c r="G8" s="244"/>
      <c r="H8" s="22"/>
      <c r="I8" s="23" t="s">
        <v>28</v>
      </c>
      <c r="J8" s="2"/>
      <c r="K8" s="2"/>
      <c r="L8" s="2"/>
      <c r="M8" s="2"/>
      <c r="N8" s="2"/>
      <c r="O8" s="98"/>
      <c r="Q8" s="25"/>
      <c r="R8" s="25"/>
      <c r="S8" s="14"/>
      <c r="T8" s="14"/>
    </row>
    <row r="9" spans="1:22" ht="19" thickTop="1">
      <c r="A9" s="2"/>
      <c r="B9" s="108" t="s">
        <v>27</v>
      </c>
      <c r="C9" s="109"/>
      <c r="D9" s="109"/>
      <c r="E9" s="110"/>
      <c r="F9" s="248" t="e">
        <f>+'LHC APP DATA'!F16</f>
        <v>#N/A</v>
      </c>
      <c r="G9" s="249"/>
      <c r="H9" s="2"/>
      <c r="I9" s="74" t="e">
        <f>IF(F10&gt;F9,"!!!!!!!!!!","")</f>
        <v>#N/A</v>
      </c>
      <c r="J9" s="2"/>
      <c r="K9" s="138" t="s">
        <v>103</v>
      </c>
      <c r="L9" s="139"/>
      <c r="M9" s="139"/>
      <c r="N9" s="139"/>
      <c r="O9" s="140">
        <v>274630</v>
      </c>
      <c r="P9" s="27" t="str">
        <f>IF(O10&gt;O9,"!!!!!!!!!!","")</f>
        <v/>
      </c>
      <c r="Q9" s="2"/>
      <c r="R9" s="25"/>
      <c r="S9" s="14"/>
      <c r="T9" s="27" t="str">
        <f>IF(S9&gt;R9,"!!!!!!!!!!","")</f>
        <v/>
      </c>
    </row>
    <row r="10" spans="1:22" ht="19" thickBot="1">
      <c r="A10" s="2"/>
      <c r="B10" s="41" t="s">
        <v>144</v>
      </c>
      <c r="C10" s="2"/>
      <c r="D10" s="2"/>
      <c r="E10" s="4"/>
      <c r="F10" s="237">
        <f>+K62</f>
        <v>11745158</v>
      </c>
      <c r="G10" s="238"/>
      <c r="H10" s="34"/>
      <c r="I10" s="90" t="e">
        <f>+F10-F$9</f>
        <v>#N/A</v>
      </c>
      <c r="J10" s="2"/>
      <c r="K10" s="137" t="s">
        <v>145</v>
      </c>
      <c r="L10" s="141"/>
      <c r="M10" s="141"/>
      <c r="N10" s="141"/>
      <c r="O10" s="160">
        <f>+F10/F6</f>
        <v>533.43437187755478</v>
      </c>
      <c r="Q10" s="25"/>
      <c r="R10" s="25"/>
      <c r="S10" s="14"/>
      <c r="T10" s="14"/>
    </row>
    <row r="11" spans="1:22" ht="19" thickTop="1">
      <c r="A11" s="2"/>
      <c r="B11" s="3"/>
      <c r="C11" s="2"/>
      <c r="D11" s="2"/>
      <c r="E11" s="2"/>
      <c r="F11" s="33"/>
      <c r="G11" s="2"/>
      <c r="H11" s="2"/>
      <c r="I11" s="2"/>
      <c r="J11" s="2"/>
      <c r="K11" s="2"/>
      <c r="L11" s="2"/>
      <c r="M11" s="2"/>
      <c r="N11" s="2"/>
      <c r="O11" s="2"/>
      <c r="S11" s="43"/>
      <c r="T11" s="27"/>
    </row>
    <row r="12" spans="1:22" ht="19" thickBot="1">
      <c r="A12" s="34"/>
      <c r="B12" s="35"/>
      <c r="C12" s="34"/>
      <c r="D12" s="34"/>
      <c r="E12" s="34"/>
      <c r="F12" s="34"/>
      <c r="G12" s="34"/>
      <c r="H12" s="34"/>
      <c r="I12" s="34"/>
      <c r="J12" s="37"/>
      <c r="K12" s="34"/>
      <c r="L12" s="37"/>
      <c r="M12" s="36"/>
      <c r="N12" s="37"/>
      <c r="O12" s="34"/>
      <c r="P12" s="38"/>
      <c r="Q12" s="92" t="s">
        <v>3</v>
      </c>
      <c r="R12" s="39"/>
      <c r="S12" s="40"/>
      <c r="T12" s="113"/>
    </row>
    <row r="13" spans="1:22" ht="19" thickTop="1">
      <c r="A13" s="2"/>
      <c r="B13" s="3"/>
      <c r="C13" s="2"/>
      <c r="D13" s="2"/>
      <c r="E13" s="2"/>
      <c r="F13" s="2"/>
      <c r="G13" s="2"/>
      <c r="H13" s="2"/>
      <c r="I13" s="2"/>
      <c r="J13" s="2"/>
      <c r="K13" s="2"/>
      <c r="L13" s="2"/>
      <c r="M13" s="2"/>
      <c r="N13" s="2"/>
      <c r="O13" s="2"/>
    </row>
    <row r="14" spans="1:22">
      <c r="A14" s="2"/>
      <c r="B14" s="3" t="s">
        <v>170</v>
      </c>
      <c r="C14" s="2"/>
      <c r="D14" s="2"/>
      <c r="E14" s="152"/>
      <c r="F14" s="235" t="s">
        <v>171</v>
      </c>
      <c r="G14" s="236"/>
      <c r="H14" s="2"/>
      <c r="I14" s="73"/>
      <c r="J14" s="2"/>
      <c r="K14" s="2"/>
      <c r="L14" s="2"/>
      <c r="M14" s="2"/>
      <c r="N14" s="2"/>
      <c r="O14" s="2"/>
      <c r="Q14" s="232"/>
      <c r="R14" s="233"/>
      <c r="S14" s="234"/>
    </row>
    <row r="15" spans="1:22">
      <c r="A15" s="2"/>
      <c r="B15" s="2"/>
      <c r="C15" s="2"/>
      <c r="D15" s="2"/>
      <c r="E15" s="2"/>
      <c r="F15" s="2"/>
      <c r="G15" s="2"/>
      <c r="H15" s="2"/>
      <c r="I15" s="2"/>
      <c r="J15" s="2"/>
      <c r="K15" s="133"/>
      <c r="L15" s="2"/>
      <c r="M15" s="2"/>
      <c r="N15" s="2"/>
      <c r="O15" s="2"/>
      <c r="P15" s="2"/>
      <c r="Q15" s="134"/>
      <c r="R15" s="134"/>
      <c r="S15" s="134"/>
      <c r="T15" s="2"/>
    </row>
    <row r="16" spans="1:22">
      <c r="A16" s="2"/>
      <c r="B16" s="3" t="s">
        <v>179</v>
      </c>
      <c r="C16" s="2"/>
      <c r="D16" s="2"/>
      <c r="E16" s="2"/>
      <c r="F16" s="2"/>
      <c r="G16" s="2"/>
      <c r="H16" s="2"/>
      <c r="I16" s="3"/>
      <c r="J16" s="3"/>
      <c r="K16" s="164">
        <v>10761990</v>
      </c>
      <c r="L16" s="2"/>
      <c r="M16" s="2"/>
      <c r="N16" s="2"/>
      <c r="O16" s="2"/>
      <c r="P16" s="2"/>
      <c r="Q16" s="232"/>
      <c r="R16" s="233"/>
      <c r="S16" s="234"/>
      <c r="T16" s="2"/>
    </row>
    <row r="17" spans="1:20">
      <c r="A17" s="2"/>
      <c r="B17" s="3"/>
      <c r="C17" s="2"/>
      <c r="D17" s="2"/>
      <c r="E17" s="2"/>
      <c r="F17" s="2"/>
      <c r="G17" s="2"/>
      <c r="H17" s="2"/>
      <c r="I17" s="3"/>
      <c r="J17" s="3"/>
      <c r="K17" s="3"/>
      <c r="L17" s="2"/>
      <c r="M17" s="2"/>
      <c r="N17" s="2"/>
      <c r="O17" s="2"/>
      <c r="P17" s="2"/>
      <c r="Q17" s="134"/>
      <c r="R17" s="134"/>
      <c r="S17" s="134"/>
      <c r="T17" s="2"/>
    </row>
    <row r="18" spans="1:20">
      <c r="A18" s="2"/>
      <c r="B18" s="3"/>
      <c r="C18" s="153" t="s">
        <v>178</v>
      </c>
      <c r="D18" s="2"/>
      <c r="E18" s="2"/>
      <c r="F18" s="2"/>
      <c r="G18" s="2"/>
      <c r="H18" s="2"/>
      <c r="I18" s="3"/>
      <c r="J18" s="3"/>
      <c r="K18" s="159">
        <f>+'[1]Development Costs'!$F249</f>
        <v>0</v>
      </c>
      <c r="L18" s="2"/>
      <c r="M18" s="2"/>
      <c r="N18" s="2"/>
      <c r="O18" s="2"/>
      <c r="P18" s="2"/>
      <c r="Q18" s="156"/>
      <c r="R18" s="157"/>
      <c r="S18" s="158"/>
      <c r="T18" s="2"/>
    </row>
    <row r="19" spans="1:20">
      <c r="A19" s="2"/>
      <c r="B19" s="3"/>
      <c r="C19" s="153" t="s">
        <v>177</v>
      </c>
      <c r="D19" s="2"/>
      <c r="E19" s="2"/>
      <c r="F19" s="2"/>
      <c r="G19" s="2"/>
      <c r="H19" s="2"/>
      <c r="I19" s="3"/>
      <c r="J19" s="3"/>
      <c r="K19" s="159">
        <f>+'[1]Development Costs'!$F250</f>
        <v>0</v>
      </c>
      <c r="L19" s="2"/>
      <c r="M19" s="2"/>
      <c r="N19" s="2"/>
      <c r="O19" s="2"/>
      <c r="P19" s="2"/>
      <c r="Q19" s="156"/>
      <c r="R19" s="157"/>
      <c r="S19" s="158"/>
      <c r="T19" s="2"/>
    </row>
    <row r="20" spans="1:20">
      <c r="A20" s="2"/>
      <c r="B20" s="2"/>
      <c r="C20" s="153" t="s">
        <v>174</v>
      </c>
      <c r="D20" s="153"/>
      <c r="E20" s="153"/>
      <c r="F20" s="153"/>
      <c r="G20" s="153"/>
      <c r="H20" s="153"/>
      <c r="I20" s="153"/>
      <c r="J20" s="153"/>
      <c r="K20" s="159">
        <f>+'[1]Development Costs'!$F252</f>
        <v>0</v>
      </c>
      <c r="L20" s="2"/>
      <c r="M20" s="2"/>
      <c r="N20" s="2"/>
      <c r="O20" s="2"/>
      <c r="P20" s="2"/>
      <c r="Q20" s="232"/>
      <c r="R20" s="233"/>
      <c r="S20" s="234"/>
      <c r="T20" s="2"/>
    </row>
    <row r="21" spans="1:20">
      <c r="A21" s="2"/>
      <c r="B21" s="2"/>
      <c r="C21" s="153"/>
      <c r="D21" s="153"/>
      <c r="E21" s="153"/>
      <c r="F21" s="153"/>
      <c r="G21" s="153"/>
      <c r="H21" s="153"/>
      <c r="I21" s="153"/>
      <c r="J21" s="153"/>
      <c r="K21" s="159"/>
      <c r="L21" s="2"/>
      <c r="M21" s="2"/>
      <c r="N21" s="2"/>
      <c r="O21" s="2"/>
      <c r="P21" s="2"/>
      <c r="Q21" s="134"/>
      <c r="R21" s="134"/>
      <c r="S21" s="134"/>
      <c r="T21" s="2"/>
    </row>
    <row r="22" spans="1:20">
      <c r="A22" s="2"/>
      <c r="B22" s="3" t="s">
        <v>205</v>
      </c>
      <c r="C22" s="153"/>
      <c r="D22" s="153"/>
      <c r="E22" s="153"/>
      <c r="F22" s="153"/>
      <c r="G22" s="153"/>
      <c r="H22" s="153"/>
      <c r="I22" s="153"/>
      <c r="J22" s="153"/>
      <c r="K22" s="164">
        <f>SUM(K16:K20)</f>
        <v>10761990</v>
      </c>
      <c r="L22" s="2"/>
      <c r="M22" s="2"/>
      <c r="N22" s="2"/>
      <c r="O22" s="2"/>
      <c r="P22" s="2"/>
      <c r="Q22" s="232"/>
      <c r="R22" s="233"/>
      <c r="S22" s="234"/>
      <c r="T22" s="2"/>
    </row>
    <row r="23" spans="1:20">
      <c r="A23" s="2"/>
      <c r="B23" s="2"/>
      <c r="C23" s="153"/>
      <c r="D23" s="153"/>
      <c r="E23" s="153"/>
      <c r="F23" s="153"/>
      <c r="G23" s="153"/>
      <c r="H23" s="153"/>
      <c r="I23" s="153"/>
      <c r="J23" s="153"/>
      <c r="K23" s="159"/>
      <c r="L23" s="2"/>
      <c r="M23" s="2"/>
      <c r="N23" s="2"/>
      <c r="O23" s="2"/>
      <c r="P23" s="2"/>
      <c r="Q23" s="134"/>
      <c r="R23" s="134"/>
      <c r="S23" s="134"/>
      <c r="T23" s="2"/>
    </row>
    <row r="24" spans="1:20">
      <c r="A24" s="2"/>
      <c r="B24" s="2"/>
      <c r="C24" s="153" t="s">
        <v>175</v>
      </c>
      <c r="D24" s="153"/>
      <c r="E24" s="153"/>
      <c r="F24" s="153"/>
      <c r="G24" s="153"/>
      <c r="H24" s="153"/>
      <c r="I24" s="153"/>
      <c r="J24" s="153"/>
      <c r="K24" s="153">
        <f>-'Hard Cost Containment'!D62</f>
        <v>0</v>
      </c>
      <c r="L24" s="2"/>
      <c r="M24" s="2"/>
      <c r="N24" s="2"/>
      <c r="O24" s="2"/>
      <c r="P24" s="2"/>
      <c r="Q24" s="153" t="s">
        <v>176</v>
      </c>
      <c r="R24" s="134"/>
      <c r="S24" s="134"/>
      <c r="T24" s="2"/>
    </row>
    <row r="25" spans="1:20">
      <c r="A25" s="2"/>
      <c r="B25" s="2"/>
      <c r="C25" s="153"/>
      <c r="D25" s="153"/>
      <c r="E25" s="153"/>
      <c r="F25" s="153"/>
      <c r="G25" s="153"/>
      <c r="H25" s="153"/>
      <c r="I25" s="153"/>
      <c r="J25" s="153"/>
      <c r="K25" s="153"/>
      <c r="L25" s="2"/>
      <c r="M25" s="2"/>
      <c r="N25" s="2"/>
      <c r="O25" s="2"/>
      <c r="P25" s="2"/>
      <c r="Q25" s="2"/>
      <c r="R25" s="134"/>
      <c r="S25" s="134"/>
      <c r="T25" s="2"/>
    </row>
    <row r="26" spans="1:20">
      <c r="A26" s="2"/>
      <c r="B26" s="3" t="s">
        <v>200</v>
      </c>
      <c r="C26" s="153"/>
      <c r="D26" s="153"/>
      <c r="E26" s="153"/>
      <c r="F26" s="153"/>
      <c r="G26" s="153"/>
      <c r="H26" s="153"/>
      <c r="I26" s="153"/>
      <c r="J26" s="153"/>
      <c r="K26" s="3">
        <f>+K22+K24</f>
        <v>10761990</v>
      </c>
      <c r="L26" s="2"/>
      <c r="M26" s="2"/>
      <c r="N26" s="2"/>
      <c r="O26" s="2"/>
      <c r="P26" s="2"/>
      <c r="Q26" s="232"/>
      <c r="R26" s="233"/>
      <c r="S26" s="234"/>
      <c r="T26" s="2"/>
    </row>
    <row r="27" spans="1:20">
      <c r="A27" s="2"/>
      <c r="B27" s="2"/>
      <c r="C27" s="153"/>
      <c r="D27" s="153"/>
      <c r="E27" s="153"/>
      <c r="F27" s="153"/>
      <c r="G27" s="153"/>
      <c r="H27" s="153"/>
      <c r="I27" s="153"/>
      <c r="J27" s="153"/>
      <c r="K27" s="153"/>
      <c r="L27" s="2"/>
      <c r="M27" s="2"/>
      <c r="N27" s="2"/>
      <c r="O27" s="2"/>
      <c r="P27" s="2"/>
      <c r="Q27" s="2"/>
      <c r="R27" s="134"/>
      <c r="S27" s="134"/>
      <c r="T27" s="2"/>
    </row>
    <row r="28" spans="1:20">
      <c r="A28" s="2"/>
      <c r="B28" s="3" t="s">
        <v>201</v>
      </c>
      <c r="C28" s="153"/>
      <c r="D28" s="153"/>
      <c r="E28" s="153"/>
      <c r="F28" s="153"/>
      <c r="G28" s="153"/>
      <c r="H28" s="153"/>
      <c r="I28" s="153"/>
      <c r="J28" s="153"/>
      <c r="K28" s="153" t="s">
        <v>204</v>
      </c>
      <c r="L28" s="2"/>
      <c r="M28" s="2"/>
      <c r="N28" s="2"/>
      <c r="O28" s="2"/>
      <c r="P28" s="2"/>
      <c r="Q28" s="153"/>
      <c r="R28" s="134"/>
      <c r="S28" s="134"/>
      <c r="T28" s="2"/>
    </row>
    <row r="29" spans="1:20">
      <c r="A29" s="2"/>
      <c r="B29" s="2"/>
      <c r="C29" s="153"/>
      <c r="D29" s="153"/>
      <c r="E29" s="153"/>
      <c r="F29" s="153"/>
      <c r="G29" s="153"/>
      <c r="H29" s="153"/>
      <c r="I29" s="153"/>
      <c r="J29" s="153"/>
      <c r="K29" s="153"/>
      <c r="L29" s="2"/>
      <c r="M29" s="2"/>
      <c r="N29" s="2"/>
      <c r="O29" s="2"/>
      <c r="P29" s="2"/>
      <c r="Q29" s="2"/>
      <c r="R29" s="134"/>
      <c r="S29" s="134"/>
      <c r="T29" s="2"/>
    </row>
    <row r="30" spans="1:20">
      <c r="A30" s="2"/>
      <c r="B30" s="3" t="s">
        <v>180</v>
      </c>
      <c r="C30" s="2"/>
      <c r="D30" s="153"/>
      <c r="E30" s="153"/>
      <c r="F30" s="153"/>
      <c r="G30" s="153"/>
      <c r="H30" s="153"/>
      <c r="I30" s="153"/>
      <c r="J30" s="153"/>
      <c r="K30" s="153"/>
      <c r="L30" s="2"/>
      <c r="M30" s="2"/>
      <c r="N30" s="2"/>
      <c r="O30" s="2"/>
      <c r="P30" s="2"/>
      <c r="Q30" s="2"/>
      <c r="R30" s="134"/>
      <c r="S30" s="134"/>
      <c r="T30" s="2"/>
    </row>
    <row r="31" spans="1:20">
      <c r="A31" s="2"/>
      <c r="B31" s="2"/>
      <c r="C31" s="2" t="s">
        <v>181</v>
      </c>
      <c r="D31" s="153"/>
      <c r="E31" s="153"/>
      <c r="F31" s="153"/>
      <c r="G31" s="153"/>
      <c r="H31" s="153"/>
      <c r="I31" s="153"/>
      <c r="J31" s="153"/>
      <c r="K31" s="73">
        <v>1000</v>
      </c>
      <c r="L31" s="2"/>
      <c r="M31" s="2"/>
      <c r="N31" s="2"/>
      <c r="O31" s="161" t="str">
        <f>IF(K31&gt;0,"!!!!!","")</f>
        <v>!!!!!</v>
      </c>
      <c r="P31" s="2"/>
      <c r="Q31" s="232"/>
      <c r="R31" s="233"/>
      <c r="S31" s="234"/>
      <c r="T31" s="2"/>
    </row>
    <row r="32" spans="1:20">
      <c r="A32" s="2"/>
      <c r="B32" s="2"/>
      <c r="C32" s="2" t="s">
        <v>182</v>
      </c>
      <c r="D32" s="153"/>
      <c r="E32" s="153"/>
      <c r="F32" s="153"/>
      <c r="G32" s="153"/>
      <c r="H32" s="153"/>
      <c r="I32" s="153"/>
      <c r="J32" s="153"/>
      <c r="K32" s="73">
        <v>22168</v>
      </c>
      <c r="L32" s="2"/>
      <c r="M32" s="2"/>
      <c r="N32" s="2"/>
      <c r="O32" s="161" t="str">
        <f>IF(K32&gt;0,"!!!!!","")</f>
        <v>!!!!!</v>
      </c>
      <c r="P32" s="2"/>
      <c r="Q32" s="232"/>
      <c r="R32" s="233"/>
      <c r="S32" s="234"/>
      <c r="T32" s="2"/>
    </row>
    <row r="33" spans="1:20">
      <c r="A33" s="2"/>
      <c r="B33" s="2"/>
      <c r="C33" s="2" t="s">
        <v>183</v>
      </c>
      <c r="D33" s="153"/>
      <c r="E33" s="153"/>
      <c r="F33" s="153"/>
      <c r="G33" s="153"/>
      <c r="H33" s="153"/>
      <c r="I33" s="153"/>
      <c r="J33" s="153"/>
      <c r="K33" s="73"/>
      <c r="L33" s="2"/>
      <c r="M33" s="2"/>
      <c r="N33" s="2"/>
      <c r="O33" s="161" t="str">
        <f>IF(K33&gt;0,"!!!!!","")</f>
        <v/>
      </c>
      <c r="P33" s="2"/>
      <c r="Q33" s="252"/>
      <c r="R33" s="253"/>
      <c r="S33" s="254"/>
      <c r="T33" s="2"/>
    </row>
    <row r="34" spans="1:20">
      <c r="A34" s="2"/>
      <c r="B34" s="2"/>
      <c r="C34" s="2" t="s">
        <v>184</v>
      </c>
      <c r="D34" s="153"/>
      <c r="E34" s="153"/>
      <c r="F34" s="153"/>
      <c r="G34" s="153"/>
      <c r="H34" s="153"/>
      <c r="I34" s="153"/>
      <c r="J34" s="153"/>
      <c r="K34" s="73"/>
      <c r="L34" s="2"/>
      <c r="M34" s="2"/>
      <c r="N34" s="2"/>
      <c r="O34" s="161" t="str">
        <f>IF(K34&gt;0,"!!!!!","")</f>
        <v/>
      </c>
      <c r="P34" s="2"/>
      <c r="Q34" s="232"/>
      <c r="R34" s="233"/>
      <c r="S34" s="234"/>
      <c r="T34" s="2"/>
    </row>
    <row r="35" spans="1:20">
      <c r="A35" s="2"/>
      <c r="B35" s="2"/>
      <c r="C35" s="2" t="s">
        <v>185</v>
      </c>
      <c r="D35" s="153"/>
      <c r="E35" s="153"/>
      <c r="F35" s="153"/>
      <c r="G35" s="153"/>
      <c r="H35" s="153"/>
      <c r="I35" s="153"/>
      <c r="J35" s="153"/>
      <c r="K35" s="73"/>
      <c r="L35" s="2"/>
      <c r="M35" s="2"/>
      <c r="N35" s="2"/>
      <c r="O35" s="161" t="str">
        <f>IF(K35&gt;0,"!!!!!","")</f>
        <v/>
      </c>
      <c r="P35" s="2"/>
      <c r="Q35" s="232"/>
      <c r="R35" s="233"/>
      <c r="S35" s="234"/>
      <c r="T35" s="2"/>
    </row>
    <row r="36" spans="1:20">
      <c r="A36" s="2"/>
      <c r="B36" s="2"/>
      <c r="C36" s="2"/>
      <c r="D36" s="153"/>
      <c r="E36" s="153"/>
      <c r="F36" s="153"/>
      <c r="G36" s="153"/>
      <c r="H36" s="153"/>
      <c r="I36" s="153"/>
      <c r="J36" s="153"/>
      <c r="K36" s="153"/>
      <c r="L36" s="2"/>
      <c r="M36" s="2"/>
      <c r="N36" s="2"/>
      <c r="O36" s="2"/>
      <c r="P36" s="2"/>
      <c r="Q36" s="2"/>
      <c r="R36" s="134"/>
      <c r="S36" s="134"/>
      <c r="T36" s="2"/>
    </row>
    <row r="37" spans="1:20">
      <c r="A37" s="2"/>
      <c r="B37" s="3" t="s">
        <v>186</v>
      </c>
      <c r="C37" s="2"/>
      <c r="D37" s="153"/>
      <c r="E37" s="153"/>
      <c r="F37" s="153"/>
      <c r="G37" s="153"/>
      <c r="H37" s="153"/>
      <c r="I37" s="153"/>
      <c r="J37" s="153"/>
      <c r="K37" s="153"/>
      <c r="L37" s="2"/>
      <c r="M37" s="2"/>
      <c r="N37" s="2"/>
      <c r="O37" s="2"/>
      <c r="P37" s="2"/>
      <c r="Q37" s="2"/>
      <c r="R37" s="134"/>
      <c r="S37" s="134"/>
      <c r="T37" s="2"/>
    </row>
    <row r="38" spans="1:20">
      <c r="A38" s="2"/>
      <c r="B38" s="2"/>
      <c r="C38" s="2" t="s">
        <v>187</v>
      </c>
      <c r="D38" s="153"/>
      <c r="E38" s="153"/>
      <c r="F38" s="153"/>
      <c r="G38" s="153"/>
      <c r="H38" s="153"/>
      <c r="I38" s="153"/>
      <c r="J38" s="153"/>
      <c r="K38" s="73">
        <v>35000</v>
      </c>
      <c r="L38" s="2"/>
      <c r="M38" s="2"/>
      <c r="N38" s="2"/>
      <c r="O38" s="161" t="str">
        <f t="shared" ref="O38:O43" si="0">IF(K38&gt;0,"!!!!!","")</f>
        <v>!!!!!</v>
      </c>
      <c r="P38" s="2"/>
      <c r="Q38" s="232"/>
      <c r="R38" s="233"/>
      <c r="S38" s="234"/>
      <c r="T38" s="2"/>
    </row>
    <row r="39" spans="1:20">
      <c r="A39" s="2"/>
      <c r="B39" s="2"/>
      <c r="C39" s="2" t="s">
        <v>188</v>
      </c>
      <c r="D39" s="153"/>
      <c r="E39" s="153"/>
      <c r="F39" s="153"/>
      <c r="G39" s="153"/>
      <c r="H39" s="153"/>
      <c r="I39" s="153"/>
      <c r="J39" s="153"/>
      <c r="K39" s="73"/>
      <c r="L39" s="2"/>
      <c r="M39" s="2"/>
      <c r="N39" s="2"/>
      <c r="O39" s="161" t="str">
        <f t="shared" si="0"/>
        <v/>
      </c>
      <c r="P39" s="2"/>
      <c r="Q39" s="232"/>
      <c r="R39" s="233"/>
      <c r="S39" s="234"/>
      <c r="T39" s="2"/>
    </row>
    <row r="40" spans="1:20">
      <c r="A40" s="2"/>
      <c r="B40" s="2"/>
      <c r="C40" s="2" t="s">
        <v>189</v>
      </c>
      <c r="D40" s="153"/>
      <c r="E40" s="153"/>
      <c r="F40" s="153"/>
      <c r="G40" s="153"/>
      <c r="H40" s="153"/>
      <c r="I40" s="153"/>
      <c r="J40" s="153"/>
      <c r="K40" s="73"/>
      <c r="L40" s="2"/>
      <c r="M40" s="2"/>
      <c r="N40" s="2"/>
      <c r="O40" s="161" t="str">
        <f t="shared" si="0"/>
        <v/>
      </c>
      <c r="P40" s="2"/>
      <c r="Q40" s="232"/>
      <c r="R40" s="233"/>
      <c r="S40" s="234"/>
      <c r="T40" s="2"/>
    </row>
    <row r="41" spans="1:20">
      <c r="A41" s="2"/>
      <c r="B41" s="2"/>
      <c r="C41" s="2" t="s">
        <v>190</v>
      </c>
      <c r="D41" s="153"/>
      <c r="E41" s="153"/>
      <c r="F41" s="153"/>
      <c r="G41" s="153"/>
      <c r="H41" s="153"/>
      <c r="I41" s="153"/>
      <c r="J41" s="153"/>
      <c r="K41" s="73"/>
      <c r="L41" s="2"/>
      <c r="M41" s="2"/>
      <c r="N41" s="2"/>
      <c r="O41" s="161" t="str">
        <f t="shared" si="0"/>
        <v/>
      </c>
      <c r="P41" s="2"/>
      <c r="Q41" s="232"/>
      <c r="R41" s="233"/>
      <c r="S41" s="234"/>
      <c r="T41" s="2"/>
    </row>
    <row r="42" spans="1:20">
      <c r="A42" s="2"/>
      <c r="B42" s="2"/>
      <c r="C42" s="2" t="s">
        <v>191</v>
      </c>
      <c r="D42" s="153"/>
      <c r="E42" s="153"/>
      <c r="F42" s="153"/>
      <c r="G42" s="153"/>
      <c r="H42" s="153"/>
      <c r="I42" s="153"/>
      <c r="J42" s="153"/>
      <c r="K42" s="73"/>
      <c r="L42" s="2"/>
      <c r="M42" s="2"/>
      <c r="N42" s="2"/>
      <c r="O42" s="161" t="str">
        <f t="shared" si="0"/>
        <v/>
      </c>
      <c r="P42" s="2"/>
      <c r="Q42" s="232"/>
      <c r="R42" s="233"/>
      <c r="S42" s="234"/>
      <c r="T42" s="2"/>
    </row>
    <row r="43" spans="1:20">
      <c r="A43" s="2"/>
      <c r="B43" s="2"/>
      <c r="C43" s="2" t="s">
        <v>192</v>
      </c>
      <c r="D43" s="153"/>
      <c r="E43" s="153"/>
      <c r="F43" s="153"/>
      <c r="G43" s="153"/>
      <c r="H43" s="153"/>
      <c r="I43" s="153"/>
      <c r="J43" s="153"/>
      <c r="K43" s="73"/>
      <c r="L43" s="2"/>
      <c r="M43" s="2"/>
      <c r="N43" s="2"/>
      <c r="O43" s="161" t="str">
        <f t="shared" si="0"/>
        <v/>
      </c>
      <c r="P43" s="2"/>
      <c r="Q43" s="232"/>
      <c r="R43" s="233"/>
      <c r="S43" s="234"/>
      <c r="T43" s="2"/>
    </row>
    <row r="44" spans="1:20">
      <c r="A44" s="2"/>
      <c r="B44" s="2"/>
      <c r="C44" s="2"/>
      <c r="D44" s="153"/>
      <c r="E44" s="153"/>
      <c r="F44" s="153"/>
      <c r="G44" s="153"/>
      <c r="H44" s="153"/>
      <c r="I44" s="153"/>
      <c r="J44" s="153"/>
      <c r="K44" s="153"/>
      <c r="L44" s="2"/>
      <c r="M44" s="2"/>
      <c r="N44" s="2"/>
      <c r="O44" s="2"/>
      <c r="P44" s="2"/>
      <c r="Q44" s="2"/>
      <c r="R44" s="134"/>
      <c r="S44" s="134"/>
      <c r="T44" s="2"/>
    </row>
    <row r="45" spans="1:20">
      <c r="A45" s="2"/>
      <c r="B45" s="3" t="s">
        <v>209</v>
      </c>
      <c r="C45" s="2"/>
      <c r="D45" s="153"/>
      <c r="E45" s="153"/>
      <c r="F45" s="153"/>
      <c r="G45" s="153"/>
      <c r="H45" s="153"/>
      <c r="I45" s="153"/>
      <c r="J45" s="153"/>
      <c r="K45" s="153"/>
      <c r="L45" s="2"/>
      <c r="M45" s="2"/>
      <c r="N45" s="2"/>
      <c r="O45" s="2"/>
      <c r="P45" s="2"/>
      <c r="Q45" s="2"/>
      <c r="R45" s="134"/>
      <c r="S45" s="134"/>
      <c r="T45" s="2"/>
    </row>
    <row r="46" spans="1:20">
      <c r="A46" s="2"/>
      <c r="B46" s="2"/>
      <c r="C46" s="2" t="s">
        <v>193</v>
      </c>
      <c r="D46" s="153"/>
      <c r="E46" s="153"/>
      <c r="F46" s="153"/>
      <c r="G46" s="153"/>
      <c r="H46" s="153"/>
      <c r="I46" s="153"/>
      <c r="J46" s="153"/>
      <c r="K46" s="73"/>
      <c r="L46" s="2"/>
      <c r="M46" s="2"/>
      <c r="N46" s="2"/>
      <c r="O46" s="161" t="str">
        <f>IF(K46&gt;0,"!!!!!","")</f>
        <v/>
      </c>
      <c r="P46" s="2"/>
      <c r="Q46" s="232"/>
      <c r="R46" s="233"/>
      <c r="S46" s="234"/>
      <c r="T46" s="2"/>
    </row>
    <row r="47" spans="1:20">
      <c r="A47" s="2"/>
      <c r="B47" s="2"/>
      <c r="C47" s="2" t="s">
        <v>194</v>
      </c>
      <c r="D47" s="153"/>
      <c r="E47" s="153"/>
      <c r="F47" s="153"/>
      <c r="G47" s="153"/>
      <c r="H47" s="153"/>
      <c r="I47" s="153"/>
      <c r="J47" s="153"/>
      <c r="K47" s="73"/>
      <c r="L47" s="2"/>
      <c r="M47" s="2"/>
      <c r="N47" s="2"/>
      <c r="O47" s="161" t="str">
        <f>IF(K47&gt;0,"!!!!!","")</f>
        <v/>
      </c>
      <c r="P47" s="2"/>
      <c r="Q47" s="232"/>
      <c r="R47" s="233"/>
      <c r="S47" s="234"/>
      <c r="T47" s="2"/>
    </row>
    <row r="48" spans="1:20">
      <c r="A48" s="2"/>
      <c r="B48" s="2"/>
      <c r="C48" s="2" t="s">
        <v>195</v>
      </c>
      <c r="D48" s="153"/>
      <c r="E48" s="153"/>
      <c r="F48" s="153"/>
      <c r="G48" s="153"/>
      <c r="H48" s="153"/>
      <c r="I48" s="153"/>
      <c r="J48" s="153"/>
      <c r="K48" s="73"/>
      <c r="L48" s="2"/>
      <c r="M48" s="2"/>
      <c r="N48" s="2"/>
      <c r="O48" s="161" t="str">
        <f>IF(K48&gt;0,"!!!!!","")</f>
        <v/>
      </c>
      <c r="P48" s="2"/>
      <c r="Q48" s="232"/>
      <c r="R48" s="233"/>
      <c r="S48" s="234"/>
      <c r="T48" s="2"/>
    </row>
    <row r="49" spans="1:21">
      <c r="A49" s="2"/>
      <c r="B49" s="2"/>
      <c r="C49" s="2"/>
      <c r="D49" s="153"/>
      <c r="E49" s="153"/>
      <c r="F49" s="153"/>
      <c r="G49" s="153"/>
      <c r="H49" s="153"/>
      <c r="I49" s="153"/>
      <c r="J49" s="153"/>
      <c r="K49" s="153"/>
      <c r="L49" s="2"/>
      <c r="M49" s="2"/>
      <c r="N49" s="2"/>
      <c r="O49" s="2"/>
      <c r="P49" s="2"/>
      <c r="Q49" s="2"/>
      <c r="R49" s="134"/>
      <c r="S49" s="134"/>
      <c r="T49" s="2"/>
    </row>
    <row r="50" spans="1:21">
      <c r="A50" s="2"/>
      <c r="B50" s="3" t="s">
        <v>196</v>
      </c>
      <c r="C50" s="2"/>
      <c r="D50" s="153"/>
      <c r="E50" s="153"/>
      <c r="F50" s="153"/>
      <c r="G50" s="153"/>
      <c r="H50" s="153"/>
      <c r="I50" s="153"/>
      <c r="J50" s="153"/>
      <c r="K50" s="153"/>
      <c r="L50" s="2"/>
      <c r="M50" s="2"/>
      <c r="N50" s="2"/>
      <c r="O50" s="2"/>
      <c r="P50" s="2"/>
      <c r="Q50" s="2"/>
      <c r="R50" s="134"/>
      <c r="S50" s="134"/>
      <c r="T50" s="2"/>
    </row>
    <row r="51" spans="1:21">
      <c r="A51" s="2"/>
      <c r="B51" s="2"/>
      <c r="C51" s="2" t="s">
        <v>197</v>
      </c>
      <c r="D51" s="153"/>
      <c r="E51" s="153"/>
      <c r="F51" s="153"/>
      <c r="G51" s="153"/>
      <c r="H51" s="153"/>
      <c r="I51" s="153"/>
      <c r="J51" s="153"/>
      <c r="K51" s="73"/>
      <c r="L51" s="2"/>
      <c r="M51" s="2"/>
      <c r="N51" s="2"/>
      <c r="O51" s="161" t="str">
        <f>IF(K51&gt;0,"!!!!!","")</f>
        <v/>
      </c>
      <c r="P51" s="2"/>
      <c r="Q51" s="232"/>
      <c r="R51" s="233"/>
      <c r="S51" s="234"/>
      <c r="T51" s="2"/>
    </row>
    <row r="52" spans="1:21">
      <c r="A52" s="2"/>
      <c r="B52" s="2"/>
      <c r="C52" s="2" t="s">
        <v>198</v>
      </c>
      <c r="D52" s="153"/>
      <c r="E52" s="153"/>
      <c r="F52" s="153"/>
      <c r="G52" s="153"/>
      <c r="H52" s="153"/>
      <c r="I52" s="153"/>
      <c r="J52" s="153"/>
      <c r="K52" s="73">
        <v>25000</v>
      </c>
      <c r="L52" s="2"/>
      <c r="M52" s="2"/>
      <c r="N52" s="2"/>
      <c r="O52" s="161" t="str">
        <f>IF(K52&gt;0,"!!!!!","")</f>
        <v>!!!!!</v>
      </c>
      <c r="P52" s="2"/>
      <c r="Q52" s="232"/>
      <c r="R52" s="233"/>
      <c r="S52" s="234"/>
      <c r="T52" s="2"/>
    </row>
    <row r="53" spans="1:21">
      <c r="A53" s="2"/>
      <c r="B53" s="2"/>
      <c r="C53" s="2" t="s">
        <v>199</v>
      </c>
      <c r="D53" s="153"/>
      <c r="E53" s="153"/>
      <c r="F53" s="153"/>
      <c r="G53" s="153"/>
      <c r="H53" s="153"/>
      <c r="I53" s="153"/>
      <c r="J53" s="153"/>
      <c r="K53" s="73">
        <v>35000</v>
      </c>
      <c r="L53" s="2"/>
      <c r="M53" s="2"/>
      <c r="N53" s="2"/>
      <c r="O53" s="161" t="str">
        <f>IF(K53&gt;0,"!!!!!","")</f>
        <v>!!!!!</v>
      </c>
      <c r="P53" s="2"/>
      <c r="Q53" s="232"/>
      <c r="R53" s="233"/>
      <c r="S53" s="234"/>
      <c r="T53" s="2"/>
    </row>
    <row r="54" spans="1:21">
      <c r="A54" s="2"/>
      <c r="B54" s="2"/>
      <c r="C54" s="2" t="s">
        <v>210</v>
      </c>
      <c r="D54" s="153"/>
      <c r="E54" s="153"/>
      <c r="F54" s="153"/>
      <c r="G54" s="153"/>
      <c r="H54" s="153"/>
      <c r="I54" s="153"/>
      <c r="J54" s="153"/>
      <c r="K54" s="73">
        <v>20000</v>
      </c>
      <c r="L54" s="2"/>
      <c r="M54" s="2"/>
      <c r="N54" s="2"/>
      <c r="O54" s="161"/>
      <c r="P54" s="2"/>
      <c r="Q54" s="232"/>
      <c r="R54" s="233"/>
      <c r="S54" s="234"/>
      <c r="T54" s="2"/>
    </row>
    <row r="55" spans="1:21">
      <c r="A55" s="2"/>
      <c r="B55" s="2"/>
      <c r="C55" s="2"/>
      <c r="D55" s="153"/>
      <c r="E55" s="153"/>
      <c r="F55" s="153"/>
      <c r="G55" s="153"/>
      <c r="H55" s="153"/>
      <c r="I55" s="153"/>
      <c r="J55" s="153"/>
      <c r="K55" s="153"/>
      <c r="L55" s="2"/>
      <c r="M55" s="2"/>
      <c r="N55" s="2"/>
      <c r="O55" s="161"/>
      <c r="P55" s="2"/>
      <c r="Q55" s="161"/>
      <c r="R55" s="161"/>
      <c r="S55" s="161"/>
      <c r="T55" s="2"/>
    </row>
    <row r="56" spans="1:21">
      <c r="A56" s="2"/>
      <c r="B56" s="3" t="s">
        <v>207</v>
      </c>
      <c r="C56" s="2"/>
      <c r="D56" s="153"/>
      <c r="E56" s="153"/>
      <c r="F56" s="153"/>
      <c r="G56" s="153"/>
      <c r="H56" s="153"/>
      <c r="I56" s="153"/>
      <c r="J56" s="153"/>
      <c r="K56" s="73">
        <v>845000</v>
      </c>
      <c r="L56" s="2"/>
      <c r="M56" s="2"/>
      <c r="N56" s="2"/>
      <c r="O56" s="161"/>
      <c r="P56" s="2"/>
      <c r="Q56" s="232"/>
      <c r="R56" s="233"/>
      <c r="S56" s="234"/>
      <c r="T56" s="2"/>
    </row>
    <row r="57" spans="1:21">
      <c r="A57" s="2"/>
      <c r="B57" s="3"/>
      <c r="C57" s="2"/>
      <c r="D57" s="153"/>
      <c r="E57" s="153"/>
      <c r="F57" s="153"/>
      <c r="G57" s="153"/>
      <c r="H57" s="153"/>
      <c r="I57" s="153"/>
      <c r="J57" s="153"/>
      <c r="K57" s="153"/>
      <c r="L57" s="153"/>
      <c r="M57" s="153"/>
      <c r="N57" s="153"/>
      <c r="O57" s="153"/>
      <c r="P57" s="153"/>
      <c r="Q57" s="153"/>
      <c r="R57" s="153"/>
      <c r="S57" s="153"/>
      <c r="T57" s="153"/>
      <c r="U57" s="153"/>
    </row>
    <row r="58" spans="1:21">
      <c r="A58" s="2"/>
      <c r="B58" s="3" t="s">
        <v>211</v>
      </c>
      <c r="C58" s="2"/>
      <c r="D58" s="153"/>
      <c r="E58" s="153"/>
      <c r="F58" s="153"/>
      <c r="G58" s="153"/>
      <c r="H58" s="153"/>
      <c r="I58" s="153"/>
      <c r="J58" s="153"/>
      <c r="K58" s="73"/>
      <c r="L58" s="2"/>
      <c r="M58" s="2"/>
      <c r="N58" s="2"/>
      <c r="O58" s="161"/>
      <c r="P58" s="2"/>
      <c r="Q58" s="232"/>
      <c r="R58" s="233"/>
      <c r="S58" s="234"/>
      <c r="T58" s="2"/>
    </row>
    <row r="59" spans="1:21">
      <c r="A59" s="2"/>
      <c r="B59" s="2"/>
      <c r="C59" s="2"/>
      <c r="D59" s="153"/>
      <c r="E59" s="153"/>
      <c r="F59" s="153"/>
      <c r="G59" s="153"/>
      <c r="H59" s="153"/>
      <c r="I59" s="153"/>
      <c r="J59" s="153"/>
      <c r="K59" s="153"/>
      <c r="L59" s="2"/>
      <c r="M59" s="2"/>
      <c r="N59" s="2"/>
      <c r="O59" s="2"/>
      <c r="P59" s="2"/>
      <c r="Q59" s="2"/>
      <c r="R59" s="134"/>
      <c r="S59" s="134"/>
      <c r="T59" s="2"/>
    </row>
    <row r="60" spans="1:21">
      <c r="A60" s="2"/>
      <c r="B60" s="3" t="s">
        <v>203</v>
      </c>
      <c r="C60" s="2"/>
      <c r="D60" s="153"/>
      <c r="E60" s="153"/>
      <c r="F60" s="153"/>
      <c r="G60" s="153"/>
      <c r="H60" s="153"/>
      <c r="I60" s="153"/>
      <c r="J60" s="153"/>
      <c r="K60" s="153">
        <f>SUM(K30:K59)</f>
        <v>983168</v>
      </c>
      <c r="L60" s="2"/>
      <c r="M60" s="2"/>
      <c r="N60" s="2"/>
      <c r="O60" s="161" t="str">
        <f>IF(K60&gt;0,"!!!!!","")</f>
        <v>!!!!!</v>
      </c>
      <c r="P60" s="2"/>
      <c r="Q60" s="232"/>
      <c r="R60" s="233"/>
      <c r="S60" s="234"/>
      <c r="T60" s="2"/>
    </row>
    <row r="61" spans="1:21">
      <c r="A61" s="2"/>
      <c r="B61" s="2"/>
      <c r="C61" s="2"/>
      <c r="D61" s="153"/>
      <c r="E61" s="153"/>
      <c r="F61" s="153"/>
      <c r="G61" s="153"/>
      <c r="H61" s="153"/>
      <c r="I61" s="153"/>
      <c r="J61" s="153"/>
      <c r="K61" s="153"/>
      <c r="L61" s="2"/>
      <c r="M61" s="2"/>
      <c r="N61" s="2"/>
      <c r="O61" s="2"/>
      <c r="P61" s="2"/>
      <c r="Q61" s="2"/>
      <c r="R61" s="134"/>
      <c r="S61" s="134"/>
      <c r="T61" s="2"/>
    </row>
    <row r="62" spans="1:21">
      <c r="A62" s="2"/>
      <c r="B62" s="3" t="s">
        <v>202</v>
      </c>
      <c r="C62" s="153"/>
      <c r="D62" s="153"/>
      <c r="E62" s="153"/>
      <c r="F62" s="153"/>
      <c r="G62" s="153"/>
      <c r="H62" s="153"/>
      <c r="I62" s="153"/>
      <c r="J62" s="153"/>
      <c r="K62" s="3">
        <f>+K26+K60</f>
        <v>11745158</v>
      </c>
      <c r="L62" s="2"/>
      <c r="M62" s="2"/>
      <c r="N62" s="2"/>
      <c r="O62" s="2"/>
      <c r="P62" s="2"/>
      <c r="Q62" s="232"/>
      <c r="R62" s="233"/>
      <c r="S62" s="234"/>
      <c r="T62" s="2"/>
    </row>
    <row r="63" spans="1:21">
      <c r="D63" s="153"/>
    </row>
  </sheetData>
  <mergeCells count="36">
    <mergeCell ref="Q53:S53"/>
    <mergeCell ref="Q60:S60"/>
    <mergeCell ref="Q62:S62"/>
    <mergeCell ref="Q46:S46"/>
    <mergeCell ref="Q47:S47"/>
    <mergeCell ref="Q48:S48"/>
    <mergeCell ref="Q51:S51"/>
    <mergeCell ref="Q52:S52"/>
    <mergeCell ref="Q56:S56"/>
    <mergeCell ref="Q54:S54"/>
    <mergeCell ref="Q58:S58"/>
    <mergeCell ref="Q39:S39"/>
    <mergeCell ref="Q40:S40"/>
    <mergeCell ref="Q41:S41"/>
    <mergeCell ref="Q42:S42"/>
    <mergeCell ref="Q43:S43"/>
    <mergeCell ref="Q32:S32"/>
    <mergeCell ref="Q33:S33"/>
    <mergeCell ref="Q34:S34"/>
    <mergeCell ref="Q35:S35"/>
    <mergeCell ref="Q38:S38"/>
    <mergeCell ref="Q16:S16"/>
    <mergeCell ref="Q20:S20"/>
    <mergeCell ref="Q22:S22"/>
    <mergeCell ref="Q26:S26"/>
    <mergeCell ref="Q31:S31"/>
    <mergeCell ref="Q14:S14"/>
    <mergeCell ref="F14:G14"/>
    <mergeCell ref="F10:G10"/>
    <mergeCell ref="F6:G6"/>
    <mergeCell ref="B1:C1"/>
    <mergeCell ref="F8:G8"/>
    <mergeCell ref="F5:G5"/>
    <mergeCell ref="F3:O3"/>
    <mergeCell ref="F9:G9"/>
    <mergeCell ref="F4:G4"/>
  </mergeCells>
  <pageMargins left="0.7" right="0.7" top="0.75" bottom="0.75" header="0.3" footer="0.3"/>
  <pageSetup scale="44"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6E88-39E2-469D-8797-4274825213C7}">
  <dimension ref="B3:L23"/>
  <sheetViews>
    <sheetView workbookViewId="0">
      <selection activeCell="C11" sqref="C11:K11"/>
    </sheetView>
  </sheetViews>
  <sheetFormatPr baseColWidth="10" defaultColWidth="9.1640625" defaultRowHeight="16"/>
  <cols>
    <col min="1" max="1" width="2.5" style="146" customWidth="1"/>
    <col min="2" max="2" width="5.1640625" style="146" customWidth="1"/>
    <col min="3" max="11" width="9.1640625" style="146"/>
    <col min="12" max="12" width="18.5" style="146" customWidth="1"/>
    <col min="13" max="13" width="18.1640625" style="146" customWidth="1"/>
    <col min="14" max="16384" width="9.1640625" style="146"/>
  </cols>
  <sheetData>
    <row r="3" spans="2:12" ht="173.25" customHeight="1">
      <c r="C3" s="284" t="s">
        <v>164</v>
      </c>
      <c r="D3" s="284"/>
      <c r="E3" s="284"/>
      <c r="F3" s="284"/>
      <c r="G3" s="284"/>
      <c r="H3" s="284"/>
      <c r="I3" s="284"/>
      <c r="J3" s="284"/>
      <c r="K3" s="284"/>
    </row>
    <row r="5" spans="2:12" ht="18">
      <c r="C5" s="147"/>
      <c r="D5" s="100" t="s">
        <v>168</v>
      </c>
    </row>
    <row r="6" spans="2:12" ht="30" customHeight="1">
      <c r="B6" s="148" t="s">
        <v>158</v>
      </c>
      <c r="C6" s="286" t="s">
        <v>152</v>
      </c>
      <c r="D6" s="286"/>
      <c r="E6" s="286"/>
      <c r="F6" s="286"/>
      <c r="G6" s="286"/>
      <c r="H6" s="286"/>
      <c r="I6" s="286"/>
      <c r="J6" s="286"/>
      <c r="K6" s="286"/>
      <c r="L6" s="149"/>
    </row>
    <row r="7" spans="2:12" ht="30" customHeight="1">
      <c r="B7" s="148" t="s">
        <v>159</v>
      </c>
      <c r="C7" s="286" t="s">
        <v>153</v>
      </c>
      <c r="D7" s="286"/>
      <c r="E7" s="286"/>
      <c r="F7" s="286"/>
      <c r="G7" s="286"/>
      <c r="H7" s="286"/>
      <c r="I7" s="286"/>
      <c r="J7" s="286"/>
      <c r="K7" s="286"/>
      <c r="L7" s="149"/>
    </row>
    <row r="8" spans="2:12" ht="30" customHeight="1">
      <c r="B8" s="148" t="s">
        <v>160</v>
      </c>
      <c r="C8" s="286" t="s">
        <v>154</v>
      </c>
      <c r="D8" s="286"/>
      <c r="E8" s="286"/>
      <c r="F8" s="286"/>
      <c r="G8" s="286"/>
      <c r="H8" s="286"/>
      <c r="I8" s="286"/>
      <c r="J8" s="286"/>
      <c r="K8" s="286"/>
      <c r="L8" s="149"/>
    </row>
    <row r="9" spans="2:12" ht="30" customHeight="1">
      <c r="B9" s="148" t="s">
        <v>161</v>
      </c>
      <c r="C9" s="285" t="s">
        <v>155</v>
      </c>
      <c r="D9" s="285"/>
      <c r="E9" s="285"/>
      <c r="F9" s="285"/>
      <c r="G9" s="285"/>
      <c r="H9" s="285"/>
      <c r="I9" s="285"/>
      <c r="J9" s="285"/>
      <c r="K9" s="285"/>
      <c r="L9" s="149"/>
    </row>
    <row r="10" spans="2:12" ht="30" customHeight="1">
      <c r="B10" s="148" t="s">
        <v>162</v>
      </c>
      <c r="C10" s="285" t="s">
        <v>156</v>
      </c>
      <c r="D10" s="285"/>
      <c r="E10" s="285"/>
      <c r="F10" s="285"/>
      <c r="G10" s="285"/>
      <c r="H10" s="285"/>
      <c r="I10" s="285"/>
      <c r="J10" s="285"/>
      <c r="K10" s="285"/>
      <c r="L10" s="149"/>
    </row>
    <row r="11" spans="2:12" ht="30" customHeight="1">
      <c r="B11" s="148" t="s">
        <v>163</v>
      </c>
      <c r="C11" s="285" t="s">
        <v>157</v>
      </c>
      <c r="D11" s="285"/>
      <c r="E11" s="285"/>
      <c r="F11" s="285"/>
      <c r="G11" s="285"/>
      <c r="H11" s="285"/>
      <c r="I11" s="285"/>
      <c r="J11" s="285"/>
      <c r="K11" s="285"/>
      <c r="L11" s="149"/>
    </row>
    <row r="12" spans="2:12" ht="30" customHeight="1">
      <c r="B12" s="148" t="s">
        <v>165</v>
      </c>
      <c r="C12" s="285" t="s">
        <v>166</v>
      </c>
      <c r="D12" s="285"/>
      <c r="E12" s="285"/>
      <c r="F12" s="285"/>
      <c r="G12" s="285"/>
      <c r="H12" s="285"/>
      <c r="I12" s="285"/>
      <c r="J12" s="285"/>
      <c r="K12" s="285"/>
      <c r="L12" s="149"/>
    </row>
    <row r="13" spans="2:12" ht="30" customHeight="1">
      <c r="B13" s="148"/>
      <c r="C13" s="150"/>
      <c r="D13" s="150"/>
      <c r="E13" s="150"/>
      <c r="F13" s="147"/>
      <c r="G13" s="147" t="s">
        <v>169</v>
      </c>
      <c r="H13" s="150"/>
      <c r="I13" s="150"/>
      <c r="J13" s="150"/>
      <c r="K13" s="151"/>
      <c r="L13" s="3">
        <f>SUM(L6:L12)</f>
        <v>0</v>
      </c>
    </row>
    <row r="14" spans="2:12" ht="30" customHeight="1">
      <c r="B14" s="148"/>
      <c r="C14" s="150"/>
      <c r="D14" s="150"/>
      <c r="E14" s="150"/>
      <c r="F14" s="150"/>
      <c r="G14" s="150"/>
      <c r="H14" s="150"/>
      <c r="I14" s="150"/>
      <c r="J14" s="150"/>
      <c r="K14" s="150"/>
    </row>
    <row r="15" spans="2:12" ht="30" customHeight="1">
      <c r="C15" s="143" t="s">
        <v>3</v>
      </c>
      <c r="D15" s="144"/>
      <c r="E15" s="144"/>
      <c r="F15" s="144"/>
      <c r="G15" s="144"/>
      <c r="H15" s="144"/>
      <c r="I15" s="144"/>
      <c r="J15" s="144"/>
      <c r="K15" s="144"/>
      <c r="L15" s="145"/>
    </row>
    <row r="17" spans="2:12" ht="30" customHeight="1">
      <c r="B17" s="148" t="s">
        <v>158</v>
      </c>
      <c r="C17" s="281"/>
      <c r="D17" s="282"/>
      <c r="E17" s="282"/>
      <c r="F17" s="282"/>
      <c r="G17" s="282"/>
      <c r="H17" s="282"/>
      <c r="I17" s="282"/>
      <c r="J17" s="282"/>
      <c r="K17" s="282"/>
      <c r="L17" s="283"/>
    </row>
    <row r="18" spans="2:12" ht="30" customHeight="1">
      <c r="B18" s="148" t="s">
        <v>159</v>
      </c>
      <c r="C18" s="281"/>
      <c r="D18" s="282"/>
      <c r="E18" s="282"/>
      <c r="F18" s="282"/>
      <c r="G18" s="282"/>
      <c r="H18" s="282"/>
      <c r="I18" s="282"/>
      <c r="J18" s="282"/>
      <c r="K18" s="282"/>
      <c r="L18" s="283"/>
    </row>
    <row r="19" spans="2:12" ht="30" customHeight="1">
      <c r="B19" s="148" t="s">
        <v>160</v>
      </c>
      <c r="C19" s="281"/>
      <c r="D19" s="282"/>
      <c r="E19" s="282"/>
      <c r="F19" s="282"/>
      <c r="G19" s="282"/>
      <c r="H19" s="282"/>
      <c r="I19" s="282"/>
      <c r="J19" s="282"/>
      <c r="K19" s="282"/>
      <c r="L19" s="283"/>
    </row>
    <row r="20" spans="2:12" ht="30" customHeight="1">
      <c r="B20" s="148" t="s">
        <v>161</v>
      </c>
      <c r="C20" s="281"/>
      <c r="D20" s="282"/>
      <c r="E20" s="282"/>
      <c r="F20" s="282"/>
      <c r="G20" s="282"/>
      <c r="H20" s="282"/>
      <c r="I20" s="282"/>
      <c r="J20" s="282"/>
      <c r="K20" s="282"/>
      <c r="L20" s="283"/>
    </row>
    <row r="21" spans="2:12" ht="30" customHeight="1">
      <c r="B21" s="148" t="s">
        <v>162</v>
      </c>
      <c r="C21" s="281"/>
      <c r="D21" s="282"/>
      <c r="E21" s="282"/>
      <c r="F21" s="282"/>
      <c r="G21" s="282"/>
      <c r="H21" s="282"/>
      <c r="I21" s="282"/>
      <c r="J21" s="282"/>
      <c r="K21" s="282"/>
      <c r="L21" s="283"/>
    </row>
    <row r="22" spans="2:12" ht="30" customHeight="1">
      <c r="B22" s="148" t="s">
        <v>163</v>
      </c>
      <c r="C22" s="281"/>
      <c r="D22" s="282"/>
      <c r="E22" s="282"/>
      <c r="F22" s="282"/>
      <c r="G22" s="282"/>
      <c r="H22" s="282"/>
      <c r="I22" s="282"/>
      <c r="J22" s="282"/>
      <c r="K22" s="282"/>
      <c r="L22" s="283"/>
    </row>
    <row r="23" spans="2:12" ht="30.75" customHeight="1">
      <c r="B23" s="148" t="s">
        <v>167</v>
      </c>
      <c r="C23" s="281"/>
      <c r="D23" s="282"/>
      <c r="E23" s="282"/>
      <c r="F23" s="282"/>
      <c r="G23" s="282"/>
      <c r="H23" s="282"/>
      <c r="I23" s="282"/>
      <c r="J23" s="282"/>
      <c r="K23" s="282"/>
      <c r="L23" s="283"/>
    </row>
  </sheetData>
  <mergeCells count="15">
    <mergeCell ref="C22:L22"/>
    <mergeCell ref="C23:L23"/>
    <mergeCell ref="C3:K3"/>
    <mergeCell ref="C11:K11"/>
    <mergeCell ref="C6:K6"/>
    <mergeCell ref="C7:K7"/>
    <mergeCell ref="C8:K8"/>
    <mergeCell ref="C9:K9"/>
    <mergeCell ref="C10:K10"/>
    <mergeCell ref="C12:K12"/>
    <mergeCell ref="C17:L17"/>
    <mergeCell ref="C18:L18"/>
    <mergeCell ref="C19:L19"/>
    <mergeCell ref="C20:L20"/>
    <mergeCell ref="C21:L2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ECC95-AF8E-4CE5-B60F-B65EC1FE7CF2}">
  <dimension ref="A5:J40"/>
  <sheetViews>
    <sheetView topLeftCell="A6" zoomScaleNormal="100" workbookViewId="0">
      <selection activeCell="F31" sqref="F31"/>
    </sheetView>
  </sheetViews>
  <sheetFormatPr baseColWidth="10" defaultColWidth="8.6640625" defaultRowHeight="15"/>
  <cols>
    <col min="1" max="1" width="16" customWidth="1"/>
    <col min="2" max="2" width="33.33203125" customWidth="1"/>
    <col min="3" max="3" width="45.6640625" customWidth="1"/>
    <col min="4" max="10" width="12.6640625" style="12" customWidth="1"/>
  </cols>
  <sheetData>
    <row r="5" spans="1:10" ht="21">
      <c r="A5" s="5" t="s">
        <v>95</v>
      </c>
      <c r="B5" s="5"/>
      <c r="C5" s="5"/>
      <c r="D5" s="5"/>
      <c r="E5" s="5"/>
      <c r="F5" s="5"/>
      <c r="G5" s="5"/>
      <c r="H5" s="5"/>
      <c r="I5" s="5"/>
      <c r="J5" s="5"/>
    </row>
    <row r="6" spans="1:10">
      <c r="A6" s="8"/>
      <c r="B6" s="8"/>
      <c r="C6" s="8"/>
      <c r="D6" s="8"/>
      <c r="E6" s="8"/>
      <c r="F6" s="8"/>
      <c r="G6" s="8"/>
      <c r="H6" s="8"/>
      <c r="I6" s="8"/>
      <c r="J6" s="8"/>
    </row>
    <row r="7" spans="1:10">
      <c r="A7" s="6" t="s">
        <v>4</v>
      </c>
      <c r="B7" s="6" t="s">
        <v>5</v>
      </c>
      <c r="C7" s="6" t="s">
        <v>6</v>
      </c>
      <c r="D7" s="7" t="s">
        <v>7</v>
      </c>
      <c r="E7" s="7" t="s">
        <v>8</v>
      </c>
      <c r="F7" s="7" t="s">
        <v>9</v>
      </c>
      <c r="G7" s="7" t="s">
        <v>10</v>
      </c>
      <c r="H7" s="7" t="s">
        <v>11</v>
      </c>
      <c r="I7" s="7" t="s">
        <v>12</v>
      </c>
      <c r="J7" s="7" t="s">
        <v>13</v>
      </c>
    </row>
    <row r="8" spans="1:10">
      <c r="A8" s="9" t="s">
        <v>14</v>
      </c>
      <c r="B8" s="8" t="s">
        <v>15</v>
      </c>
      <c r="C8" s="8" t="str">
        <f t="shared" ref="C8:C35" si="0">A8&amp;" "&amp;B8</f>
        <v>Alexandria Detached / Semi-Detached</v>
      </c>
      <c r="D8" s="29">
        <v>185068</v>
      </c>
      <c r="E8" s="29">
        <v>240460</v>
      </c>
      <c r="F8" s="29">
        <v>287555</v>
      </c>
      <c r="G8" s="29">
        <v>343182</v>
      </c>
      <c r="H8" s="29">
        <v>405113</v>
      </c>
      <c r="I8" s="29">
        <v>444505</v>
      </c>
      <c r="J8" s="29">
        <v>481658</v>
      </c>
    </row>
    <row r="9" spans="1:10">
      <c r="A9" s="9" t="s">
        <v>14</v>
      </c>
      <c r="B9" s="8" t="s">
        <v>16</v>
      </c>
      <c r="C9" s="8" t="str">
        <f t="shared" si="0"/>
        <v>Alexandria Row House</v>
      </c>
      <c r="D9" s="29">
        <v>154044</v>
      </c>
      <c r="E9" s="29">
        <v>205351</v>
      </c>
      <c r="F9" s="29">
        <v>253126</v>
      </c>
      <c r="G9" s="29">
        <v>318699</v>
      </c>
      <c r="H9" s="29">
        <v>385630</v>
      </c>
      <c r="I9" s="29">
        <v>425880</v>
      </c>
      <c r="J9" s="29">
        <v>463596</v>
      </c>
    </row>
    <row r="10" spans="1:10">
      <c r="A10" s="9" t="s">
        <v>14</v>
      </c>
      <c r="B10" s="8" t="s">
        <v>17</v>
      </c>
      <c r="C10" s="8" t="str">
        <f t="shared" si="0"/>
        <v>Alexandria Walkup</v>
      </c>
      <c r="D10" s="29">
        <v>141429</v>
      </c>
      <c r="E10" s="29">
        <v>195196</v>
      </c>
      <c r="F10" s="29">
        <v>247367</v>
      </c>
      <c r="G10" s="29">
        <v>322609</v>
      </c>
      <c r="H10" s="29">
        <v>401765</v>
      </c>
      <c r="I10" s="29">
        <v>451927</v>
      </c>
      <c r="J10" s="29">
        <v>501288</v>
      </c>
    </row>
    <row r="11" spans="1:10">
      <c r="A11" s="9" t="s">
        <v>14</v>
      </c>
      <c r="B11" s="8" t="s">
        <v>18</v>
      </c>
      <c r="C11" s="8" t="str">
        <f t="shared" si="0"/>
        <v>Alexandria Elevator</v>
      </c>
      <c r="D11" s="29">
        <v>145862</v>
      </c>
      <c r="E11" s="29">
        <v>204207</v>
      </c>
      <c r="F11" s="29">
        <v>262552</v>
      </c>
      <c r="G11" s="29">
        <v>350069</v>
      </c>
      <c r="H11" s="29">
        <v>437586</v>
      </c>
      <c r="I11" s="29">
        <v>495931</v>
      </c>
      <c r="J11" s="29">
        <v>554276</v>
      </c>
    </row>
    <row r="12" spans="1:10">
      <c r="A12" s="9" t="s">
        <v>19</v>
      </c>
      <c r="B12" s="8" t="s">
        <v>15</v>
      </c>
      <c r="C12" s="8" t="str">
        <f t="shared" si="0"/>
        <v>Baton Rouge Detached / Semi-Detached</v>
      </c>
      <c r="D12" s="29">
        <v>190319</v>
      </c>
      <c r="E12" s="29">
        <v>247119</v>
      </c>
      <c r="F12" s="29">
        <v>295377</v>
      </c>
      <c r="G12" s="29">
        <v>352320</v>
      </c>
      <c r="H12" s="29">
        <v>415761</v>
      </c>
      <c r="I12" s="29">
        <v>456129</v>
      </c>
      <c r="J12" s="29">
        <v>494148</v>
      </c>
    </row>
    <row r="13" spans="1:10">
      <c r="A13" s="9" t="s">
        <v>19</v>
      </c>
      <c r="B13" s="8" t="s">
        <v>16</v>
      </c>
      <c r="C13" s="8" t="str">
        <f t="shared" si="0"/>
        <v>Baton Rouge Row House</v>
      </c>
      <c r="D13" s="29">
        <v>159295</v>
      </c>
      <c r="E13" s="29">
        <v>212010</v>
      </c>
      <c r="F13" s="29">
        <v>260948</v>
      </c>
      <c r="G13" s="29">
        <v>327837</v>
      </c>
      <c r="H13" s="29">
        <v>396278</v>
      </c>
      <c r="I13" s="29">
        <v>437504</v>
      </c>
      <c r="J13" s="29">
        <v>476087</v>
      </c>
    </row>
    <row r="14" spans="1:10">
      <c r="A14" s="9" t="s">
        <v>19</v>
      </c>
      <c r="B14" s="8" t="s">
        <v>17</v>
      </c>
      <c r="C14" s="8" t="str">
        <f t="shared" si="0"/>
        <v>Baton Rouge Walkup</v>
      </c>
      <c r="D14" s="29">
        <v>146817</v>
      </c>
      <c r="E14" s="29">
        <v>202738</v>
      </c>
      <c r="F14" s="29">
        <v>257064</v>
      </c>
      <c r="G14" s="29">
        <v>335539</v>
      </c>
      <c r="H14" s="29">
        <v>417927</v>
      </c>
      <c r="I14" s="29">
        <v>470244</v>
      </c>
      <c r="J14" s="29">
        <v>521760</v>
      </c>
    </row>
    <row r="15" spans="1:10">
      <c r="A15" s="9" t="s">
        <v>19</v>
      </c>
      <c r="B15" s="8" t="s">
        <v>18</v>
      </c>
      <c r="C15" s="8" t="str">
        <f t="shared" si="0"/>
        <v>Baton Rouge Elevator</v>
      </c>
      <c r="D15" s="29">
        <v>150018</v>
      </c>
      <c r="E15" s="29">
        <v>210026</v>
      </c>
      <c r="F15" s="29">
        <v>270033</v>
      </c>
      <c r="G15" s="29">
        <v>360044</v>
      </c>
      <c r="H15" s="29">
        <v>450055</v>
      </c>
      <c r="I15" s="29">
        <v>510063</v>
      </c>
      <c r="J15" s="29">
        <v>570070</v>
      </c>
    </row>
    <row r="16" spans="1:10">
      <c r="A16" s="9" t="s">
        <v>20</v>
      </c>
      <c r="B16" s="8" t="s">
        <v>15</v>
      </c>
      <c r="C16" s="8" t="str">
        <f t="shared" si="0"/>
        <v>Lafayette Detached / Semi-Detached</v>
      </c>
      <c r="D16" s="29">
        <v>191454</v>
      </c>
      <c r="E16" s="29">
        <v>248622</v>
      </c>
      <c r="F16" s="29">
        <v>297199</v>
      </c>
      <c r="G16" s="29">
        <v>354529</v>
      </c>
      <c r="H16" s="29">
        <v>418393</v>
      </c>
      <c r="I16" s="29">
        <v>459027</v>
      </c>
      <c r="J16" s="29">
        <v>497307</v>
      </c>
    </row>
    <row r="17" spans="1:10">
      <c r="A17" s="9" t="s">
        <v>20</v>
      </c>
      <c r="B17" s="8" t="s">
        <v>16</v>
      </c>
      <c r="C17" s="8" t="str">
        <f t="shared" si="0"/>
        <v>Lafayette Row House</v>
      </c>
      <c r="D17" s="29">
        <v>160084</v>
      </c>
      <c r="E17" s="29">
        <v>213123</v>
      </c>
      <c r="F17" s="29">
        <v>262387</v>
      </c>
      <c r="G17" s="29">
        <v>329774</v>
      </c>
      <c r="H17" s="29">
        <v>398693</v>
      </c>
      <c r="I17" s="29">
        <v>440195</v>
      </c>
      <c r="J17" s="29">
        <v>479045</v>
      </c>
    </row>
    <row r="18" spans="1:10">
      <c r="A18" s="9" t="s">
        <v>20</v>
      </c>
      <c r="B18" s="8" t="s">
        <v>17</v>
      </c>
      <c r="C18" s="8" t="str">
        <f t="shared" si="0"/>
        <v>Lafayette Walkup</v>
      </c>
      <c r="D18" s="29">
        <v>147442</v>
      </c>
      <c r="E18" s="29">
        <v>203583</v>
      </c>
      <c r="F18" s="29">
        <v>258110</v>
      </c>
      <c r="G18" s="29">
        <v>336854</v>
      </c>
      <c r="H18" s="29">
        <v>419554</v>
      </c>
      <c r="I18" s="29">
        <v>472050</v>
      </c>
      <c r="J18" s="29">
        <v>523736</v>
      </c>
    </row>
    <row r="19" spans="1:10">
      <c r="A19" s="9" t="s">
        <v>20</v>
      </c>
      <c r="B19" s="8" t="s">
        <v>18</v>
      </c>
      <c r="C19" s="8" t="str">
        <f t="shared" si="0"/>
        <v>Lafayette Elevator</v>
      </c>
      <c r="D19" s="29">
        <v>150909</v>
      </c>
      <c r="E19" s="29">
        <v>211273</v>
      </c>
      <c r="F19" s="29">
        <v>271637</v>
      </c>
      <c r="G19" s="29">
        <v>362183</v>
      </c>
      <c r="H19" s="29">
        <v>452728</v>
      </c>
      <c r="I19" s="29">
        <v>513092</v>
      </c>
      <c r="J19" s="29">
        <v>573456</v>
      </c>
    </row>
    <row r="20" spans="1:10">
      <c r="A20" s="9" t="s">
        <v>21</v>
      </c>
      <c r="B20" s="8" t="s">
        <v>15</v>
      </c>
      <c r="C20" s="8" t="str">
        <f t="shared" si="0"/>
        <v>Lake Charles Detached / Semi-Detached</v>
      </c>
      <c r="D20" s="29">
        <v>187966</v>
      </c>
      <c r="E20" s="29">
        <v>243943</v>
      </c>
      <c r="F20" s="29">
        <v>291475</v>
      </c>
      <c r="G20" s="29">
        <v>347521</v>
      </c>
      <c r="H20" s="29">
        <v>409994</v>
      </c>
      <c r="I20" s="29">
        <v>449759</v>
      </c>
      <c r="J20" s="29">
        <v>487169</v>
      </c>
    </row>
    <row r="21" spans="1:10">
      <c r="A21" s="9" t="s">
        <v>21</v>
      </c>
      <c r="B21" s="8" t="s">
        <v>16</v>
      </c>
      <c r="C21" s="8" t="str">
        <f t="shared" si="0"/>
        <v>Lake Charles Row House</v>
      </c>
      <c r="D21" s="29">
        <v>157975</v>
      </c>
      <c r="E21" s="29">
        <v>210005</v>
      </c>
      <c r="F21" s="29">
        <v>258194</v>
      </c>
      <c r="G21" s="29">
        <v>323854</v>
      </c>
      <c r="H21" s="29">
        <v>391161</v>
      </c>
      <c r="I21" s="29">
        <v>431755</v>
      </c>
      <c r="J21" s="29">
        <v>469709</v>
      </c>
    </row>
    <row r="22" spans="1:10">
      <c r="A22" s="9" t="s">
        <v>21</v>
      </c>
      <c r="B22" s="8" t="s">
        <v>17</v>
      </c>
      <c r="C22" s="8" t="str">
        <f t="shared" si="0"/>
        <v>Lake Charles Walkup</v>
      </c>
      <c r="D22" s="29">
        <v>146017</v>
      </c>
      <c r="E22" s="29">
        <v>201713</v>
      </c>
      <c r="F22" s="29">
        <v>255865</v>
      </c>
      <c r="G22" s="29">
        <v>334181</v>
      </c>
      <c r="H22" s="29">
        <v>416279</v>
      </c>
      <c r="I22" s="29">
        <v>468491</v>
      </c>
      <c r="J22" s="29">
        <v>519927</v>
      </c>
    </row>
    <row r="23" spans="1:10">
      <c r="A23" s="9" t="s">
        <v>21</v>
      </c>
      <c r="B23" s="8" t="s">
        <v>18</v>
      </c>
      <c r="C23" s="8" t="str">
        <f t="shared" si="0"/>
        <v>Lake Charles Elevator</v>
      </c>
      <c r="D23" s="30">
        <v>148177</v>
      </c>
      <c r="E23" s="30">
        <v>207448</v>
      </c>
      <c r="F23" s="30">
        <v>266718</v>
      </c>
      <c r="G23" s="30">
        <v>355624</v>
      </c>
      <c r="H23" s="30">
        <v>444530</v>
      </c>
      <c r="I23" s="30">
        <v>503801</v>
      </c>
      <c r="J23" s="30">
        <v>563072</v>
      </c>
    </row>
    <row r="24" spans="1:10">
      <c r="A24" s="9" t="s">
        <v>22</v>
      </c>
      <c r="B24" s="8" t="s">
        <v>15</v>
      </c>
      <c r="C24" s="8" t="str">
        <f t="shared" si="0"/>
        <v>Monroe Detached / Semi-Detached</v>
      </c>
      <c r="D24" s="29">
        <v>185153</v>
      </c>
      <c r="E24" s="29">
        <v>240631</v>
      </c>
      <c r="F24" s="29">
        <v>287812</v>
      </c>
      <c r="G24" s="29">
        <v>343564</v>
      </c>
      <c r="H24" s="29">
        <v>405616</v>
      </c>
      <c r="I24" s="29">
        <v>445079</v>
      </c>
      <c r="J24" s="29">
        <v>482319</v>
      </c>
    </row>
    <row r="25" spans="1:10">
      <c r="A25" s="9" t="s">
        <v>22</v>
      </c>
      <c r="B25" s="8" t="s">
        <v>16</v>
      </c>
      <c r="C25" s="8" t="str">
        <f t="shared" si="0"/>
        <v>Monroe Row House</v>
      </c>
      <c r="D25" s="29">
        <v>153783</v>
      </c>
      <c r="E25" s="29">
        <v>205132</v>
      </c>
      <c r="F25" s="29">
        <v>253001</v>
      </c>
      <c r="G25" s="29">
        <v>318808</v>
      </c>
      <c r="H25" s="29">
        <v>385916</v>
      </c>
      <c r="I25" s="29">
        <v>426247</v>
      </c>
      <c r="J25" s="29">
        <v>464057</v>
      </c>
    </row>
    <row r="26" spans="1:10">
      <c r="A26" s="9" t="s">
        <v>22</v>
      </c>
      <c r="B26" s="8" t="s">
        <v>17</v>
      </c>
      <c r="C26" s="8" t="str">
        <f t="shared" si="0"/>
        <v>Monroe Walkup</v>
      </c>
      <c r="D26" s="29">
        <v>140978</v>
      </c>
      <c r="E26" s="29">
        <v>194532</v>
      </c>
      <c r="F26" s="29">
        <v>246473</v>
      </c>
      <c r="G26" s="29">
        <v>321338</v>
      </c>
      <c r="H26" s="29">
        <v>400159</v>
      </c>
      <c r="I26" s="29">
        <v>450069</v>
      </c>
      <c r="J26" s="29">
        <v>499170</v>
      </c>
    </row>
    <row r="27" spans="1:10">
      <c r="A27" s="9" t="s">
        <v>22</v>
      </c>
      <c r="B27" s="8" t="s">
        <v>18</v>
      </c>
      <c r="C27" s="8" t="str">
        <f t="shared" si="0"/>
        <v>Monroe Elevator</v>
      </c>
      <c r="D27" s="29">
        <v>145922</v>
      </c>
      <c r="E27" s="29">
        <v>204290</v>
      </c>
      <c r="F27" s="29">
        <v>262659</v>
      </c>
      <c r="G27" s="29">
        <v>350212</v>
      </c>
      <c r="H27" s="29">
        <v>437765</v>
      </c>
      <c r="I27" s="29">
        <v>496134</v>
      </c>
      <c r="J27" s="29">
        <v>554503</v>
      </c>
    </row>
    <row r="28" spans="1:10">
      <c r="A28" s="9" t="s">
        <v>23</v>
      </c>
      <c r="B28" s="8" t="s">
        <v>15</v>
      </c>
      <c r="C28" s="8" t="str">
        <f t="shared" si="0"/>
        <v>New Orleans Detached / Semi-Detached</v>
      </c>
      <c r="D28" s="29">
        <v>193554</v>
      </c>
      <c r="E28" s="29">
        <v>251286</v>
      </c>
      <c r="F28" s="29">
        <v>300327</v>
      </c>
      <c r="G28" s="29">
        <v>358184</v>
      </c>
      <c r="H28" s="29">
        <v>422652</v>
      </c>
      <c r="I28" s="29">
        <v>463677</v>
      </c>
      <c r="J28" s="29">
        <v>502303</v>
      </c>
    </row>
    <row r="29" spans="1:10">
      <c r="A29" s="9" t="s">
        <v>23</v>
      </c>
      <c r="B29" s="8" t="s">
        <v>16</v>
      </c>
      <c r="C29" s="8" t="str">
        <f t="shared" si="0"/>
        <v>New Orleans Row House</v>
      </c>
      <c r="D29" s="29">
        <v>162185</v>
      </c>
      <c r="E29" s="29">
        <v>215787</v>
      </c>
      <c r="F29" s="29">
        <v>265516</v>
      </c>
      <c r="G29" s="29">
        <v>333429</v>
      </c>
      <c r="H29" s="29">
        <v>402953</v>
      </c>
      <c r="I29" s="29">
        <v>444845</v>
      </c>
      <c r="J29" s="29">
        <v>484041</v>
      </c>
    </row>
    <row r="30" spans="1:10">
      <c r="A30" s="9" t="s">
        <v>23</v>
      </c>
      <c r="B30" s="8" t="s">
        <v>17</v>
      </c>
      <c r="C30" s="8" t="str">
        <f t="shared" si="0"/>
        <v>New Orleans Walkup</v>
      </c>
      <c r="D30" s="29">
        <v>149597</v>
      </c>
      <c r="E30" s="29">
        <v>206600</v>
      </c>
      <c r="F30" s="29">
        <v>261989</v>
      </c>
      <c r="G30" s="29">
        <v>342026</v>
      </c>
      <c r="H30" s="29">
        <v>426019</v>
      </c>
      <c r="I30" s="29">
        <v>479377</v>
      </c>
      <c r="J30" s="29">
        <v>531925</v>
      </c>
    </row>
    <row r="31" spans="1:10">
      <c r="A31" s="9" t="s">
        <v>23</v>
      </c>
      <c r="B31" s="8" t="s">
        <v>18</v>
      </c>
      <c r="C31" s="8" t="str">
        <f t="shared" si="0"/>
        <v>New Orleans Elevator</v>
      </c>
      <c r="D31" s="29">
        <v>152572</v>
      </c>
      <c r="E31" s="29">
        <v>213601</v>
      </c>
      <c r="F31" s="29">
        <v>274630</v>
      </c>
      <c r="G31" s="29">
        <v>366173</v>
      </c>
      <c r="H31" s="29">
        <v>457716</v>
      </c>
      <c r="I31" s="29">
        <v>518745</v>
      </c>
      <c r="J31" s="29">
        <v>579774</v>
      </c>
    </row>
    <row r="32" spans="1:10">
      <c r="A32" s="9" t="s">
        <v>24</v>
      </c>
      <c r="B32" s="8" t="s">
        <v>15</v>
      </c>
      <c r="C32" s="8" t="str">
        <f t="shared" si="0"/>
        <v>Shreveport Detached / Semi-Detached</v>
      </c>
      <c r="D32" s="29">
        <v>192588</v>
      </c>
      <c r="E32" s="29">
        <v>250125</v>
      </c>
      <c r="F32" s="29">
        <v>299021</v>
      </c>
      <c r="G32" s="29">
        <v>356738</v>
      </c>
      <c r="H32" s="29">
        <v>421025</v>
      </c>
      <c r="I32" s="29">
        <v>461926</v>
      </c>
      <c r="J32" s="29">
        <v>500466</v>
      </c>
    </row>
    <row r="33" spans="1:10">
      <c r="A33" s="9" t="s">
        <v>24</v>
      </c>
      <c r="B33" s="8" t="s">
        <v>16</v>
      </c>
      <c r="C33" s="8" t="str">
        <f t="shared" si="0"/>
        <v>Shreveport Row House</v>
      </c>
      <c r="D33" s="29">
        <v>160874</v>
      </c>
      <c r="E33" s="29">
        <v>214236</v>
      </c>
      <c r="F33" s="29">
        <v>263826</v>
      </c>
      <c r="G33" s="29">
        <v>331710</v>
      </c>
      <c r="H33" s="29">
        <v>401109</v>
      </c>
      <c r="I33" s="29">
        <v>442887</v>
      </c>
      <c r="J33" s="29">
        <v>482003</v>
      </c>
    </row>
    <row r="34" spans="1:10">
      <c r="A34" s="9" t="s">
        <v>24</v>
      </c>
      <c r="B34" s="8" t="s">
        <v>17</v>
      </c>
      <c r="C34" s="8" t="str">
        <f t="shared" si="0"/>
        <v>Shreveport Walkup</v>
      </c>
      <c r="D34" s="29">
        <v>148068</v>
      </c>
      <c r="E34" s="29">
        <v>204428</v>
      </c>
      <c r="F34" s="29">
        <v>259156</v>
      </c>
      <c r="G34" s="29">
        <v>338168</v>
      </c>
      <c r="H34" s="29">
        <v>421180</v>
      </c>
      <c r="I34" s="29">
        <v>473856</v>
      </c>
      <c r="J34" s="29">
        <v>525712</v>
      </c>
    </row>
    <row r="35" spans="1:10">
      <c r="A35" s="9" t="s">
        <v>24</v>
      </c>
      <c r="B35" s="8" t="s">
        <v>18</v>
      </c>
      <c r="C35" s="8" t="str">
        <f t="shared" si="0"/>
        <v>Shreveport Elevator</v>
      </c>
      <c r="D35" s="29">
        <v>151800</v>
      </c>
      <c r="E35" s="29">
        <v>212521</v>
      </c>
      <c r="F35" s="29">
        <v>273241</v>
      </c>
      <c r="G35" s="29">
        <v>364321</v>
      </c>
      <c r="H35" s="29">
        <v>455401</v>
      </c>
      <c r="I35" s="29">
        <v>516122</v>
      </c>
      <c r="J35" s="29">
        <v>576842</v>
      </c>
    </row>
    <row r="36" spans="1:10">
      <c r="A36" s="8"/>
      <c r="B36" s="8"/>
      <c r="C36" s="8"/>
      <c r="D36" s="8"/>
      <c r="E36" s="8"/>
      <c r="F36" s="8"/>
      <c r="G36" s="8"/>
      <c r="H36" s="8"/>
      <c r="I36" s="8"/>
      <c r="J36" s="8"/>
    </row>
    <row r="37" spans="1:10">
      <c r="A37" s="10" t="s">
        <v>25</v>
      </c>
      <c r="B37" s="8"/>
      <c r="C37" s="8"/>
      <c r="D37" s="8"/>
      <c r="E37" s="8"/>
      <c r="F37" s="8"/>
      <c r="G37" s="8"/>
      <c r="H37" s="8"/>
      <c r="I37" s="8"/>
      <c r="J37" s="8"/>
    </row>
    <row r="38" spans="1:10">
      <c r="A38" s="11" t="s">
        <v>32</v>
      </c>
      <c r="B38" s="8"/>
      <c r="C38" s="8"/>
      <c r="D38" s="8"/>
      <c r="E38" s="8"/>
      <c r="F38" s="8"/>
      <c r="G38" s="8"/>
      <c r="H38" s="8"/>
      <c r="I38" s="8"/>
      <c r="J38" s="8"/>
    </row>
    <row r="39" spans="1:10">
      <c r="A39" s="8"/>
      <c r="B39" s="8"/>
      <c r="C39" s="8"/>
      <c r="D39" s="8"/>
      <c r="E39" s="8"/>
      <c r="F39" s="8"/>
      <c r="G39" s="8"/>
      <c r="H39" s="8"/>
      <c r="I39" s="8"/>
      <c r="J39" s="8"/>
    </row>
    <row r="40" spans="1:10">
      <c r="A40" s="8"/>
      <c r="B40" s="8"/>
      <c r="C40" s="8"/>
      <c r="D40" s="13"/>
      <c r="E40" s="13"/>
      <c r="F40" s="13"/>
      <c r="G40" s="13"/>
      <c r="H40" s="13"/>
      <c r="I40" s="13"/>
      <c r="J40" s="13"/>
    </row>
  </sheetData>
  <sheetProtection algorithmName="SHA-512" hashValue="zRrKBc3ODYpgeROhtd93FaTOFVIKd7S4jlHC7OzXc/WW4cZn1xe8E0hjJhaKcVrEEdqR5CMSZAHaYESmeXy59A==" saltValue="knF1Bo+Z35b4KOTPXmepGQ==" spinCount="100000" sheet="1" objects="1" scenarios="1"/>
  <hyperlinks>
    <hyperlink ref="A38" r:id="rId1" display="https://www.hud.gov/sites/dfiles/PIH/documents/TDCs_2022.pdf" xr:uid="{015D71E2-3EBE-4BCC-B5D7-935627C7BE2F}"/>
  </hyperlinks>
  <pageMargins left="0.7" right="0.7" top="0.75" bottom="0.75" header="0.3" footer="0.3"/>
  <pageSetup scale="46"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AA6D2-F24C-4DCD-A03F-2D87160B19E4}">
  <dimension ref="A5:J40"/>
  <sheetViews>
    <sheetView zoomScaleNormal="100" workbookViewId="0">
      <selection activeCell="E31" sqref="E31"/>
    </sheetView>
  </sheetViews>
  <sheetFormatPr baseColWidth="10" defaultColWidth="8.6640625" defaultRowHeight="15"/>
  <cols>
    <col min="1" max="1" width="16" customWidth="1"/>
    <col min="2" max="2" width="33.33203125" customWidth="1"/>
    <col min="3" max="3" width="45.6640625" customWidth="1"/>
    <col min="4" max="10" width="12.6640625" style="12" customWidth="1"/>
  </cols>
  <sheetData>
    <row r="5" spans="1:10" ht="21">
      <c r="A5" s="5" t="s">
        <v>96</v>
      </c>
      <c r="B5" s="5"/>
      <c r="C5" s="5"/>
      <c r="D5" s="5"/>
      <c r="E5" s="5"/>
      <c r="F5" s="5"/>
      <c r="G5" s="5"/>
      <c r="H5" s="5"/>
      <c r="I5" s="5"/>
      <c r="J5" s="5"/>
    </row>
    <row r="6" spans="1:10">
      <c r="A6" s="8"/>
      <c r="B6" s="8"/>
      <c r="C6" s="8"/>
      <c r="D6" s="8"/>
      <c r="E6" s="8"/>
      <c r="F6" s="8"/>
      <c r="G6" s="8"/>
      <c r="H6" s="8"/>
      <c r="I6" s="8"/>
      <c r="J6" s="8"/>
    </row>
    <row r="7" spans="1:10">
      <c r="A7" s="6" t="s">
        <v>4</v>
      </c>
      <c r="B7" s="6" t="s">
        <v>5</v>
      </c>
      <c r="C7" s="6" t="s">
        <v>6</v>
      </c>
      <c r="D7" s="7" t="s">
        <v>7</v>
      </c>
      <c r="E7" s="7" t="s">
        <v>8</v>
      </c>
      <c r="F7" s="7" t="s">
        <v>9</v>
      </c>
      <c r="G7" s="7" t="s">
        <v>10</v>
      </c>
      <c r="H7" s="7" t="s">
        <v>11</v>
      </c>
      <c r="I7" s="7" t="s">
        <v>12</v>
      </c>
      <c r="J7" s="7" t="s">
        <v>13</v>
      </c>
    </row>
    <row r="8" spans="1:10">
      <c r="A8" s="9" t="s">
        <v>14</v>
      </c>
      <c r="B8" s="8" t="s">
        <v>15</v>
      </c>
      <c r="C8" s="8" t="str">
        <f t="shared" ref="C8:C35" si="0">A8&amp;" "&amp;B8</f>
        <v>Alexandria Detached / Semi-Detached</v>
      </c>
      <c r="D8" s="29">
        <f>+'HUD data TDC'!D8/1.75</f>
        <v>105753.14285714286</v>
      </c>
      <c r="E8" s="29">
        <f>+'HUD data TDC'!E8/1.75</f>
        <v>137405.71428571429</v>
      </c>
      <c r="F8" s="29">
        <f>+'HUD data TDC'!F8/1.75</f>
        <v>164317.14285714287</v>
      </c>
      <c r="G8" s="29">
        <f>+'HUD data TDC'!G8/1.75</f>
        <v>196104</v>
      </c>
      <c r="H8" s="29">
        <f>+'HUD data TDC'!H8/1.75</f>
        <v>231493.14285714287</v>
      </c>
      <c r="I8" s="29">
        <f>+'HUD data TDC'!I8/1.75</f>
        <v>254002.85714285713</v>
      </c>
      <c r="J8" s="29">
        <f>+'HUD data TDC'!J8/1.75</f>
        <v>275233.14285714284</v>
      </c>
    </row>
    <row r="9" spans="1:10">
      <c r="A9" s="9" t="s">
        <v>14</v>
      </c>
      <c r="B9" s="8" t="s">
        <v>16</v>
      </c>
      <c r="C9" s="8" t="str">
        <f t="shared" si="0"/>
        <v>Alexandria Row House</v>
      </c>
      <c r="D9" s="29">
        <f>+'HUD data TDC'!D9/1.75</f>
        <v>88025.142857142855</v>
      </c>
      <c r="E9" s="29">
        <f>+'HUD data TDC'!E9/1.75</f>
        <v>117343.42857142857</v>
      </c>
      <c r="F9" s="29">
        <f>+'HUD data TDC'!F9/1.75</f>
        <v>144643.42857142858</v>
      </c>
      <c r="G9" s="29">
        <f>+'HUD data TDC'!G9/1.75</f>
        <v>182113.71428571429</v>
      </c>
      <c r="H9" s="29">
        <f>+'HUD data TDC'!H9/1.75</f>
        <v>220360</v>
      </c>
      <c r="I9" s="29">
        <f>+'HUD data TDC'!I9/1.75</f>
        <v>243360</v>
      </c>
      <c r="J9" s="29">
        <f>+'HUD data TDC'!J9/1.75</f>
        <v>264912</v>
      </c>
    </row>
    <row r="10" spans="1:10">
      <c r="A10" s="9" t="s">
        <v>14</v>
      </c>
      <c r="B10" s="8" t="s">
        <v>17</v>
      </c>
      <c r="C10" s="8" t="str">
        <f t="shared" si="0"/>
        <v>Alexandria Walkup</v>
      </c>
      <c r="D10" s="29">
        <f>+'HUD data TDC'!D10/1.75</f>
        <v>80816.571428571435</v>
      </c>
      <c r="E10" s="29">
        <f>+'HUD data TDC'!E10/1.75</f>
        <v>111540.57142857143</v>
      </c>
      <c r="F10" s="29">
        <f>+'HUD data TDC'!F10/1.75</f>
        <v>141352.57142857142</v>
      </c>
      <c r="G10" s="29">
        <f>+'HUD data TDC'!G10/1.75</f>
        <v>184348</v>
      </c>
      <c r="H10" s="29">
        <f>+'HUD data TDC'!H10/1.75</f>
        <v>229580</v>
      </c>
      <c r="I10" s="29">
        <f>+'HUD data TDC'!I10/1.75</f>
        <v>258244</v>
      </c>
      <c r="J10" s="29">
        <f>+'HUD data TDC'!J10/1.75</f>
        <v>286450.28571428574</v>
      </c>
    </row>
    <row r="11" spans="1:10">
      <c r="A11" s="9" t="s">
        <v>14</v>
      </c>
      <c r="B11" s="8" t="s">
        <v>18</v>
      </c>
      <c r="C11" s="8" t="str">
        <f t="shared" si="0"/>
        <v>Alexandria Elevator</v>
      </c>
      <c r="D11" s="29">
        <f>+'HUD data TDC'!D11/1.6</f>
        <v>91163.75</v>
      </c>
      <c r="E11" s="29">
        <f>+'HUD data TDC'!E11/1.6</f>
        <v>127629.375</v>
      </c>
      <c r="F11" s="29">
        <f>+'HUD data TDC'!F11/1.6</f>
        <v>164095</v>
      </c>
      <c r="G11" s="29">
        <f>+'HUD data TDC'!G11/1.6</f>
        <v>218793.125</v>
      </c>
      <c r="H11" s="29">
        <f>+'HUD data TDC'!H11/1.6</f>
        <v>273491.25</v>
      </c>
      <c r="I11" s="29">
        <f>+'HUD data TDC'!I11/1.6</f>
        <v>309956.875</v>
      </c>
      <c r="J11" s="29">
        <f>+'HUD data TDC'!J11/1.6</f>
        <v>346422.5</v>
      </c>
    </row>
    <row r="12" spans="1:10">
      <c r="A12" s="9" t="s">
        <v>19</v>
      </c>
      <c r="B12" s="8" t="s">
        <v>15</v>
      </c>
      <c r="C12" s="8" t="str">
        <f t="shared" si="0"/>
        <v>Baton Rouge Detached / Semi-Detached</v>
      </c>
      <c r="D12" s="29">
        <f>+'HUD data TDC'!D12/1.75</f>
        <v>108753.71428571429</v>
      </c>
      <c r="E12" s="29">
        <f>+'HUD data TDC'!E12/1.75</f>
        <v>141210.85714285713</v>
      </c>
      <c r="F12" s="29">
        <f>+'HUD data TDC'!F12/1.75</f>
        <v>168786.85714285713</v>
      </c>
      <c r="G12" s="29">
        <f>+'HUD data TDC'!G12/1.75</f>
        <v>201325.71428571429</v>
      </c>
      <c r="H12" s="29">
        <f>+'HUD data TDC'!H12/1.75</f>
        <v>237577.71428571429</v>
      </c>
      <c r="I12" s="29">
        <f>+'HUD data TDC'!I12/1.75</f>
        <v>260645.14285714287</v>
      </c>
      <c r="J12" s="29">
        <f>+'HUD data TDC'!J12/1.75</f>
        <v>282370.28571428574</v>
      </c>
    </row>
    <row r="13" spans="1:10">
      <c r="A13" s="9" t="s">
        <v>19</v>
      </c>
      <c r="B13" s="8" t="s">
        <v>16</v>
      </c>
      <c r="C13" s="8" t="str">
        <f t="shared" si="0"/>
        <v>Baton Rouge Row House</v>
      </c>
      <c r="D13" s="29">
        <f>+'HUD data TDC'!D13/1.75</f>
        <v>91025.71428571429</v>
      </c>
      <c r="E13" s="29">
        <f>+'HUD data TDC'!E13/1.75</f>
        <v>121148.57142857143</v>
      </c>
      <c r="F13" s="29">
        <f>+'HUD data TDC'!F13/1.75</f>
        <v>149113.14285714287</v>
      </c>
      <c r="G13" s="29">
        <f>+'HUD data TDC'!G13/1.75</f>
        <v>187335.42857142858</v>
      </c>
      <c r="H13" s="29">
        <f>+'HUD data TDC'!H13/1.75</f>
        <v>226444.57142857142</v>
      </c>
      <c r="I13" s="29">
        <f>+'HUD data TDC'!I13/1.75</f>
        <v>250002.28571428571</v>
      </c>
      <c r="J13" s="29">
        <f>+'HUD data TDC'!J13/1.75</f>
        <v>272049.71428571426</v>
      </c>
    </row>
    <row r="14" spans="1:10">
      <c r="A14" s="9" t="s">
        <v>19</v>
      </c>
      <c r="B14" s="8" t="s">
        <v>17</v>
      </c>
      <c r="C14" s="8" t="str">
        <f t="shared" si="0"/>
        <v>Baton Rouge Walkup</v>
      </c>
      <c r="D14" s="29">
        <f>+'HUD data TDC'!D14/1.75</f>
        <v>83895.428571428565</v>
      </c>
      <c r="E14" s="29">
        <f>+'HUD data TDC'!E14/1.75</f>
        <v>115850.28571428571</v>
      </c>
      <c r="F14" s="29">
        <f>+'HUD data TDC'!F14/1.75</f>
        <v>146893.71428571429</v>
      </c>
      <c r="G14" s="29">
        <f>+'HUD data TDC'!G14/1.75</f>
        <v>191736.57142857142</v>
      </c>
      <c r="H14" s="29">
        <f>+'HUD data TDC'!H14/1.75</f>
        <v>238815.42857142858</v>
      </c>
      <c r="I14" s="29">
        <f>+'HUD data TDC'!I14/1.75</f>
        <v>268710.85714285716</v>
      </c>
      <c r="J14" s="29">
        <f>+'HUD data TDC'!J14/1.75</f>
        <v>298148.57142857142</v>
      </c>
    </row>
    <row r="15" spans="1:10">
      <c r="A15" s="9" t="s">
        <v>19</v>
      </c>
      <c r="B15" s="8" t="s">
        <v>18</v>
      </c>
      <c r="C15" s="8" t="str">
        <f t="shared" si="0"/>
        <v>Baton Rouge Elevator</v>
      </c>
      <c r="D15" s="29">
        <f>+'HUD data TDC'!D15/1.6</f>
        <v>93761.25</v>
      </c>
      <c r="E15" s="29">
        <f>+'HUD data TDC'!E15/1.6</f>
        <v>131266.25</v>
      </c>
      <c r="F15" s="29">
        <f>+'HUD data TDC'!F15/1.6</f>
        <v>168770.625</v>
      </c>
      <c r="G15" s="29">
        <f>+'HUD data TDC'!G15/1.6</f>
        <v>225027.5</v>
      </c>
      <c r="H15" s="29">
        <f>+'HUD data TDC'!H15/1.6</f>
        <v>281284.375</v>
      </c>
      <c r="I15" s="29">
        <f>+'HUD data TDC'!I15/1.6</f>
        <v>318789.375</v>
      </c>
      <c r="J15" s="29">
        <f>+'HUD data TDC'!J15/1.6</f>
        <v>356293.75</v>
      </c>
    </row>
    <row r="16" spans="1:10">
      <c r="A16" s="9" t="s">
        <v>20</v>
      </c>
      <c r="B16" s="8" t="s">
        <v>15</v>
      </c>
      <c r="C16" s="8" t="str">
        <f t="shared" si="0"/>
        <v>Lafayette Detached / Semi-Detached</v>
      </c>
      <c r="D16" s="29">
        <f>+'HUD data TDC'!D16/1.75</f>
        <v>109402.28571428571</v>
      </c>
      <c r="E16" s="29">
        <f>+'HUD data TDC'!E16/1.75</f>
        <v>142069.71428571429</v>
      </c>
      <c r="F16" s="29">
        <f>+'HUD data TDC'!F16/1.75</f>
        <v>169828</v>
      </c>
      <c r="G16" s="29">
        <f>+'HUD data TDC'!G16/1.75</f>
        <v>202588</v>
      </c>
      <c r="H16" s="29">
        <f>+'HUD data TDC'!H16/1.75</f>
        <v>239081.71428571429</v>
      </c>
      <c r="I16" s="29">
        <f>+'HUD data TDC'!I16/1.75</f>
        <v>262301.14285714284</v>
      </c>
      <c r="J16" s="29">
        <f>+'HUD data TDC'!J16/1.75</f>
        <v>284175.42857142858</v>
      </c>
    </row>
    <row r="17" spans="1:10">
      <c r="A17" s="9" t="s">
        <v>20</v>
      </c>
      <c r="B17" s="8" t="s">
        <v>16</v>
      </c>
      <c r="C17" s="8" t="str">
        <f t="shared" si="0"/>
        <v>Lafayette Row House</v>
      </c>
      <c r="D17" s="29">
        <f>+'HUD data TDC'!D17/1.75</f>
        <v>91476.571428571435</v>
      </c>
      <c r="E17" s="29">
        <f>+'HUD data TDC'!E17/1.75</f>
        <v>121784.57142857143</v>
      </c>
      <c r="F17" s="29">
        <f>+'HUD data TDC'!F17/1.75</f>
        <v>149935.42857142858</v>
      </c>
      <c r="G17" s="29">
        <f>+'HUD data TDC'!G17/1.75</f>
        <v>188442.28571428571</v>
      </c>
      <c r="H17" s="29">
        <f>+'HUD data TDC'!H17/1.75</f>
        <v>227824.57142857142</v>
      </c>
      <c r="I17" s="29">
        <f>+'HUD data TDC'!I17/1.75</f>
        <v>251540</v>
      </c>
      <c r="J17" s="29">
        <f>+'HUD data TDC'!J17/1.75</f>
        <v>273740</v>
      </c>
    </row>
    <row r="18" spans="1:10">
      <c r="A18" s="9" t="s">
        <v>20</v>
      </c>
      <c r="B18" s="8" t="s">
        <v>17</v>
      </c>
      <c r="C18" s="8" t="str">
        <f t="shared" si="0"/>
        <v>Lafayette Walkup</v>
      </c>
      <c r="D18" s="29">
        <f>+'HUD data TDC'!D18/1.75</f>
        <v>84252.571428571435</v>
      </c>
      <c r="E18" s="29">
        <f>+'HUD data TDC'!E18/1.75</f>
        <v>116333.14285714286</v>
      </c>
      <c r="F18" s="29">
        <f>+'HUD data TDC'!F18/1.75</f>
        <v>147491.42857142858</v>
      </c>
      <c r="G18" s="29">
        <f>+'HUD data TDC'!G18/1.75</f>
        <v>192488</v>
      </c>
      <c r="H18" s="29">
        <f>+'HUD data TDC'!H18/1.75</f>
        <v>239745.14285714287</v>
      </c>
      <c r="I18" s="29">
        <f>+'HUD data TDC'!I18/1.75</f>
        <v>269742.85714285716</v>
      </c>
      <c r="J18" s="29">
        <f>+'HUD data TDC'!J18/1.75</f>
        <v>299277.71428571426</v>
      </c>
    </row>
    <row r="19" spans="1:10">
      <c r="A19" s="9" t="s">
        <v>20</v>
      </c>
      <c r="B19" s="8" t="s">
        <v>18</v>
      </c>
      <c r="C19" s="8" t="str">
        <f t="shared" si="0"/>
        <v>Lafayette Elevator</v>
      </c>
      <c r="D19" s="29">
        <f>+'HUD data TDC'!D19/1.6</f>
        <v>94318.125</v>
      </c>
      <c r="E19" s="29">
        <f>+'HUD data TDC'!E19/1.6</f>
        <v>132045.625</v>
      </c>
      <c r="F19" s="29">
        <f>+'HUD data TDC'!F19/1.6</f>
        <v>169773.125</v>
      </c>
      <c r="G19" s="29">
        <f>+'HUD data TDC'!G19/1.6</f>
        <v>226364.375</v>
      </c>
      <c r="H19" s="29">
        <f>+'HUD data TDC'!H19/1.6</f>
        <v>282955</v>
      </c>
      <c r="I19" s="29">
        <f>+'HUD data TDC'!I19/1.6</f>
        <v>320682.5</v>
      </c>
      <c r="J19" s="29">
        <f>+'HUD data TDC'!J19/1.6</f>
        <v>358410</v>
      </c>
    </row>
    <row r="20" spans="1:10">
      <c r="A20" s="9" t="s">
        <v>21</v>
      </c>
      <c r="B20" s="8" t="s">
        <v>15</v>
      </c>
      <c r="C20" s="8" t="str">
        <f t="shared" si="0"/>
        <v>Lake Charles Detached / Semi-Detached</v>
      </c>
      <c r="D20" s="29">
        <f>+'HUD data TDC'!D20/1.75</f>
        <v>107409.14285714286</v>
      </c>
      <c r="E20" s="29">
        <f>+'HUD data TDC'!E20/1.75</f>
        <v>139396</v>
      </c>
      <c r="F20" s="29">
        <f>+'HUD data TDC'!F20/1.75</f>
        <v>166557.14285714287</v>
      </c>
      <c r="G20" s="29">
        <f>+'HUD data TDC'!G20/1.75</f>
        <v>198583.42857142858</v>
      </c>
      <c r="H20" s="29">
        <f>+'HUD data TDC'!H20/1.75</f>
        <v>234282.28571428571</v>
      </c>
      <c r="I20" s="29">
        <f>+'HUD data TDC'!I20/1.75</f>
        <v>257005.14285714287</v>
      </c>
      <c r="J20" s="29">
        <f>+'HUD data TDC'!J20/1.75</f>
        <v>278382.28571428574</v>
      </c>
    </row>
    <row r="21" spans="1:10">
      <c r="A21" s="9" t="s">
        <v>21</v>
      </c>
      <c r="B21" s="8" t="s">
        <v>16</v>
      </c>
      <c r="C21" s="8" t="str">
        <f t="shared" si="0"/>
        <v>Lake Charles Row House</v>
      </c>
      <c r="D21" s="29">
        <f>+'HUD data TDC'!D21/1.75</f>
        <v>90271.428571428565</v>
      </c>
      <c r="E21" s="29">
        <f>+'HUD data TDC'!E21/1.75</f>
        <v>120002.85714285714</v>
      </c>
      <c r="F21" s="29">
        <f>+'HUD data TDC'!F21/1.75</f>
        <v>147539.42857142858</v>
      </c>
      <c r="G21" s="29">
        <f>+'HUD data TDC'!G21/1.75</f>
        <v>185059.42857142858</v>
      </c>
      <c r="H21" s="29">
        <f>+'HUD data TDC'!H21/1.75</f>
        <v>223520.57142857142</v>
      </c>
      <c r="I21" s="29">
        <f>+'HUD data TDC'!I21/1.75</f>
        <v>246717.14285714287</v>
      </c>
      <c r="J21" s="29">
        <f>+'HUD data TDC'!J21/1.75</f>
        <v>268405.14285714284</v>
      </c>
    </row>
    <row r="22" spans="1:10">
      <c r="A22" s="9" t="s">
        <v>21</v>
      </c>
      <c r="B22" s="8" t="s">
        <v>17</v>
      </c>
      <c r="C22" s="8" t="str">
        <f t="shared" si="0"/>
        <v>Lake Charles Walkup</v>
      </c>
      <c r="D22" s="29">
        <f>+'HUD data TDC'!D22/1.75</f>
        <v>83438.28571428571</v>
      </c>
      <c r="E22" s="29">
        <f>+'HUD data TDC'!E22/1.75</f>
        <v>115264.57142857143</v>
      </c>
      <c r="F22" s="29">
        <f>+'HUD data TDC'!F22/1.75</f>
        <v>146208.57142857142</v>
      </c>
      <c r="G22" s="29">
        <f>+'HUD data TDC'!G22/1.75</f>
        <v>190960.57142857142</v>
      </c>
      <c r="H22" s="29">
        <f>+'HUD data TDC'!H22/1.75</f>
        <v>237873.71428571429</v>
      </c>
      <c r="I22" s="29">
        <f>+'HUD data TDC'!I22/1.75</f>
        <v>267709.14285714284</v>
      </c>
      <c r="J22" s="29">
        <f>+'HUD data TDC'!J22/1.75</f>
        <v>297101.14285714284</v>
      </c>
    </row>
    <row r="23" spans="1:10">
      <c r="A23" s="9" t="s">
        <v>21</v>
      </c>
      <c r="B23" s="8" t="s">
        <v>18</v>
      </c>
      <c r="C23" s="8" t="str">
        <f t="shared" si="0"/>
        <v>Lake Charles Elevator</v>
      </c>
      <c r="D23" s="29">
        <f>+'HUD data TDC'!D23/1.6</f>
        <v>92610.625</v>
      </c>
      <c r="E23" s="29">
        <f>+'HUD data TDC'!E23/1.6</f>
        <v>129655</v>
      </c>
      <c r="F23" s="29">
        <f>+'HUD data TDC'!F23/1.6</f>
        <v>166698.75</v>
      </c>
      <c r="G23" s="29">
        <f>+'HUD data TDC'!G23/1.6</f>
        <v>222265</v>
      </c>
      <c r="H23" s="29">
        <f>+'HUD data TDC'!H23/1.6</f>
        <v>277831.25</v>
      </c>
      <c r="I23" s="29">
        <f>+'HUD data TDC'!I23/1.6</f>
        <v>314875.625</v>
      </c>
      <c r="J23" s="29">
        <f>+'HUD data TDC'!J23/1.6</f>
        <v>351920</v>
      </c>
    </row>
    <row r="24" spans="1:10">
      <c r="A24" s="9" t="s">
        <v>22</v>
      </c>
      <c r="B24" s="8" t="s">
        <v>15</v>
      </c>
      <c r="C24" s="8" t="str">
        <f t="shared" si="0"/>
        <v>Monroe Detached / Semi-Detached</v>
      </c>
      <c r="D24" s="29">
        <f>+'HUD data TDC'!D24/1.75</f>
        <v>105801.71428571429</v>
      </c>
      <c r="E24" s="29">
        <f>+'HUD data TDC'!E24/1.75</f>
        <v>137503.42857142858</v>
      </c>
      <c r="F24" s="29">
        <f>+'HUD data TDC'!F24/1.75</f>
        <v>164464</v>
      </c>
      <c r="G24" s="29">
        <f>+'HUD data TDC'!G24/1.75</f>
        <v>196322.28571428571</v>
      </c>
      <c r="H24" s="29">
        <f>+'HUD data TDC'!H24/1.75</f>
        <v>231780.57142857142</v>
      </c>
      <c r="I24" s="29">
        <f>+'HUD data TDC'!I24/1.75</f>
        <v>254330.85714285713</v>
      </c>
      <c r="J24" s="29">
        <f>+'HUD data TDC'!J24/1.75</f>
        <v>275610.85714285716</v>
      </c>
    </row>
    <row r="25" spans="1:10">
      <c r="A25" s="9" t="s">
        <v>22</v>
      </c>
      <c r="B25" s="8" t="s">
        <v>16</v>
      </c>
      <c r="C25" s="8" t="str">
        <f t="shared" si="0"/>
        <v>Monroe Row House</v>
      </c>
      <c r="D25" s="29">
        <f>+'HUD data TDC'!D25/1.75</f>
        <v>87876</v>
      </c>
      <c r="E25" s="29">
        <f>+'HUD data TDC'!E25/1.75</f>
        <v>117218.28571428571</v>
      </c>
      <c r="F25" s="29">
        <f>+'HUD data TDC'!F25/1.75</f>
        <v>144572</v>
      </c>
      <c r="G25" s="29">
        <f>+'HUD data TDC'!G25/1.75</f>
        <v>182176</v>
      </c>
      <c r="H25" s="29">
        <f>+'HUD data TDC'!H25/1.75</f>
        <v>220523.42857142858</v>
      </c>
      <c r="I25" s="29">
        <f>+'HUD data TDC'!I25/1.75</f>
        <v>243569.71428571429</v>
      </c>
      <c r="J25" s="29">
        <f>+'HUD data TDC'!J25/1.75</f>
        <v>265175.42857142858</v>
      </c>
    </row>
    <row r="26" spans="1:10">
      <c r="A26" s="9" t="s">
        <v>22</v>
      </c>
      <c r="B26" s="8" t="s">
        <v>17</v>
      </c>
      <c r="C26" s="8" t="str">
        <f t="shared" si="0"/>
        <v>Monroe Walkup</v>
      </c>
      <c r="D26" s="29">
        <f>+'HUD data TDC'!D26/1.75</f>
        <v>80558.857142857145</v>
      </c>
      <c r="E26" s="29">
        <f>+'HUD data TDC'!E26/1.75</f>
        <v>111161.14285714286</v>
      </c>
      <c r="F26" s="29">
        <f>+'HUD data TDC'!F26/1.75</f>
        <v>140841.71428571429</v>
      </c>
      <c r="G26" s="29">
        <f>+'HUD data TDC'!G26/1.75</f>
        <v>183621.71428571429</v>
      </c>
      <c r="H26" s="29">
        <f>+'HUD data TDC'!H26/1.75</f>
        <v>228662.28571428571</v>
      </c>
      <c r="I26" s="29">
        <f>+'HUD data TDC'!I26/1.75</f>
        <v>257182.28571428571</v>
      </c>
      <c r="J26" s="29">
        <f>+'HUD data TDC'!J26/1.75</f>
        <v>285240</v>
      </c>
    </row>
    <row r="27" spans="1:10">
      <c r="A27" s="9" t="s">
        <v>22</v>
      </c>
      <c r="B27" s="8" t="s">
        <v>18</v>
      </c>
      <c r="C27" s="8" t="str">
        <f t="shared" si="0"/>
        <v>Monroe Elevator</v>
      </c>
      <c r="D27" s="29">
        <f>+'HUD data TDC'!D27/1.6</f>
        <v>91201.25</v>
      </c>
      <c r="E27" s="29">
        <f>+'HUD data TDC'!E27/1.6</f>
        <v>127681.25</v>
      </c>
      <c r="F27" s="29">
        <f>+'HUD data TDC'!F27/1.6</f>
        <v>164161.875</v>
      </c>
      <c r="G27" s="29">
        <f>+'HUD data TDC'!G27/1.6</f>
        <v>218882.5</v>
      </c>
      <c r="H27" s="29">
        <f>+'HUD data TDC'!H27/1.6</f>
        <v>273603.125</v>
      </c>
      <c r="I27" s="29">
        <f>+'HUD data TDC'!I27/1.6</f>
        <v>310083.75</v>
      </c>
      <c r="J27" s="29">
        <f>+'HUD data TDC'!J27/1.6</f>
        <v>346564.375</v>
      </c>
    </row>
    <row r="28" spans="1:10">
      <c r="A28" s="9" t="s">
        <v>23</v>
      </c>
      <c r="B28" s="8" t="s">
        <v>15</v>
      </c>
      <c r="C28" s="8" t="str">
        <f t="shared" si="0"/>
        <v>New Orleans Detached / Semi-Detached</v>
      </c>
      <c r="D28" s="29">
        <f>+'HUD data TDC'!D28/1.75</f>
        <v>110602.28571428571</v>
      </c>
      <c r="E28" s="29">
        <f>+'HUD data TDC'!E28/1.75</f>
        <v>143592</v>
      </c>
      <c r="F28" s="29">
        <f>+'HUD data TDC'!F28/1.75</f>
        <v>171615.42857142858</v>
      </c>
      <c r="G28" s="29">
        <f>+'HUD data TDC'!G28/1.75</f>
        <v>204676.57142857142</v>
      </c>
      <c r="H28" s="29">
        <f>+'HUD data TDC'!H28/1.75</f>
        <v>241515.42857142858</v>
      </c>
      <c r="I28" s="29">
        <f>+'HUD data TDC'!I28/1.75</f>
        <v>264958.28571428574</v>
      </c>
      <c r="J28" s="29">
        <f>+'HUD data TDC'!J28/1.75</f>
        <v>287030.28571428574</v>
      </c>
    </row>
    <row r="29" spans="1:10">
      <c r="A29" s="9" t="s">
        <v>23</v>
      </c>
      <c r="B29" s="8" t="s">
        <v>16</v>
      </c>
      <c r="C29" s="8" t="str">
        <f t="shared" si="0"/>
        <v>New Orleans Row House</v>
      </c>
      <c r="D29" s="29">
        <f>+'HUD data TDC'!D29/1.75</f>
        <v>92677.142857142855</v>
      </c>
      <c r="E29" s="29">
        <f>+'HUD data TDC'!E29/1.75</f>
        <v>123306.85714285714</v>
      </c>
      <c r="F29" s="29">
        <f>+'HUD data TDC'!F29/1.75</f>
        <v>151723.42857142858</v>
      </c>
      <c r="G29" s="29">
        <f>+'HUD data TDC'!G29/1.75</f>
        <v>190530.85714285713</v>
      </c>
      <c r="H29" s="29">
        <f>+'HUD data TDC'!H29/1.75</f>
        <v>230258.85714285713</v>
      </c>
      <c r="I29" s="29">
        <f>+'HUD data TDC'!I29/1.75</f>
        <v>254197.14285714287</v>
      </c>
      <c r="J29" s="29">
        <f>+'HUD data TDC'!J29/1.75</f>
        <v>276594.85714285716</v>
      </c>
    </row>
    <row r="30" spans="1:10">
      <c r="A30" s="9" t="s">
        <v>23</v>
      </c>
      <c r="B30" s="8" t="s">
        <v>17</v>
      </c>
      <c r="C30" s="8" t="str">
        <f t="shared" si="0"/>
        <v>New Orleans Walkup</v>
      </c>
      <c r="D30" s="29">
        <f>+'HUD data TDC'!D30/1.75</f>
        <v>85484</v>
      </c>
      <c r="E30" s="29">
        <f>+'HUD data TDC'!E30/1.75</f>
        <v>118057.14285714286</v>
      </c>
      <c r="F30" s="29">
        <f>+'HUD data TDC'!F30/1.75</f>
        <v>149708</v>
      </c>
      <c r="G30" s="29">
        <f>+'HUD data TDC'!G30/1.75</f>
        <v>195443.42857142858</v>
      </c>
      <c r="H30" s="29">
        <f>+'HUD data TDC'!H30/1.75</f>
        <v>243439.42857142858</v>
      </c>
      <c r="I30" s="29">
        <f>+'HUD data TDC'!I30/1.75</f>
        <v>273929.71428571426</v>
      </c>
      <c r="J30" s="29">
        <f>+'HUD data TDC'!J30/1.75</f>
        <v>303957.14285714284</v>
      </c>
    </row>
    <row r="31" spans="1:10">
      <c r="A31" s="9" t="s">
        <v>23</v>
      </c>
      <c r="B31" s="8" t="s">
        <v>18</v>
      </c>
      <c r="C31" s="8" t="str">
        <f t="shared" si="0"/>
        <v>New Orleans Elevator</v>
      </c>
      <c r="D31" s="29">
        <f>+'HUD data TDC'!D31/1.6</f>
        <v>95357.5</v>
      </c>
      <c r="E31" s="29">
        <f>+'HUD data TDC'!E31/1.6</f>
        <v>133500.625</v>
      </c>
      <c r="F31" s="29">
        <f>+'HUD data TDC'!F31/1.6</f>
        <v>171643.75</v>
      </c>
      <c r="G31" s="29">
        <f>+'HUD data TDC'!G31/1.6</f>
        <v>228858.125</v>
      </c>
      <c r="H31" s="29">
        <f>+'HUD data TDC'!H31/1.6</f>
        <v>286072.5</v>
      </c>
      <c r="I31" s="29">
        <f>+'HUD data TDC'!I31/1.6</f>
        <v>324215.625</v>
      </c>
      <c r="J31" s="29">
        <f>+'HUD data TDC'!J31/1.6</f>
        <v>362358.75</v>
      </c>
    </row>
    <row r="32" spans="1:10">
      <c r="A32" s="9" t="s">
        <v>24</v>
      </c>
      <c r="B32" s="8" t="s">
        <v>15</v>
      </c>
      <c r="C32" s="8" t="str">
        <f t="shared" si="0"/>
        <v>Shreveport Detached / Semi-Detached</v>
      </c>
      <c r="D32" s="29">
        <f>+'HUD data TDC'!D32/1.75</f>
        <v>110050.28571428571</v>
      </c>
      <c r="E32" s="29">
        <f>+'HUD data TDC'!E32/1.75</f>
        <v>142928.57142857142</v>
      </c>
      <c r="F32" s="29">
        <f>+'HUD data TDC'!F32/1.75</f>
        <v>170869.14285714287</v>
      </c>
      <c r="G32" s="29">
        <f>+'HUD data TDC'!G32/1.75</f>
        <v>203850.28571428571</v>
      </c>
      <c r="H32" s="29">
        <f>+'HUD data TDC'!H32/1.75</f>
        <v>240585.71428571429</v>
      </c>
      <c r="I32" s="29">
        <f>+'HUD data TDC'!I32/1.75</f>
        <v>263957.71428571426</v>
      </c>
      <c r="J32" s="29">
        <f>+'HUD data TDC'!J32/1.75</f>
        <v>285980.57142857142</v>
      </c>
    </row>
    <row r="33" spans="1:10">
      <c r="A33" s="9" t="s">
        <v>24</v>
      </c>
      <c r="B33" s="8" t="s">
        <v>16</v>
      </c>
      <c r="C33" s="8" t="str">
        <f t="shared" si="0"/>
        <v>Shreveport Row House</v>
      </c>
      <c r="D33" s="29">
        <f>+'HUD data TDC'!D33/1.75</f>
        <v>91928</v>
      </c>
      <c r="E33" s="29">
        <f>+'HUD data TDC'!E33/1.75</f>
        <v>122420.57142857143</v>
      </c>
      <c r="F33" s="29">
        <f>+'HUD data TDC'!F33/1.75</f>
        <v>150757.71428571429</v>
      </c>
      <c r="G33" s="29">
        <f>+'HUD data TDC'!G33/1.75</f>
        <v>189548.57142857142</v>
      </c>
      <c r="H33" s="29">
        <f>+'HUD data TDC'!H33/1.75</f>
        <v>229205.14285714287</v>
      </c>
      <c r="I33" s="29">
        <f>+'HUD data TDC'!I33/1.75</f>
        <v>253078.28571428571</v>
      </c>
      <c r="J33" s="29">
        <f>+'HUD data TDC'!J33/1.75</f>
        <v>275430.28571428574</v>
      </c>
    </row>
    <row r="34" spans="1:10">
      <c r="A34" s="9" t="s">
        <v>24</v>
      </c>
      <c r="B34" s="8" t="s">
        <v>17</v>
      </c>
      <c r="C34" s="8" t="str">
        <f t="shared" si="0"/>
        <v>Shreveport Walkup</v>
      </c>
      <c r="D34" s="29">
        <f>+'HUD data TDC'!D34/1.75</f>
        <v>84610.28571428571</v>
      </c>
      <c r="E34" s="29">
        <f>+'HUD data TDC'!E34/1.75</f>
        <v>116816</v>
      </c>
      <c r="F34" s="29">
        <f>+'HUD data TDC'!F34/1.75</f>
        <v>148089.14285714287</v>
      </c>
      <c r="G34" s="29">
        <f>+'HUD data TDC'!G34/1.75</f>
        <v>193238.85714285713</v>
      </c>
      <c r="H34" s="29">
        <f>+'HUD data TDC'!H34/1.75</f>
        <v>240674.28571428571</v>
      </c>
      <c r="I34" s="29">
        <f>+'HUD data TDC'!I34/1.75</f>
        <v>270774.85714285716</v>
      </c>
      <c r="J34" s="29">
        <f>+'HUD data TDC'!J34/1.75</f>
        <v>300406.85714285716</v>
      </c>
    </row>
    <row r="35" spans="1:10">
      <c r="A35" s="9" t="s">
        <v>24</v>
      </c>
      <c r="B35" s="8" t="s">
        <v>18</v>
      </c>
      <c r="C35" s="8" t="str">
        <f t="shared" si="0"/>
        <v>Shreveport Elevator</v>
      </c>
      <c r="D35" s="29">
        <f>+'HUD data TDC'!D35/1.6</f>
        <v>94875</v>
      </c>
      <c r="E35" s="29">
        <f>+'HUD data TDC'!E35/1.6</f>
        <v>132825.625</v>
      </c>
      <c r="F35" s="29">
        <f>+'HUD data TDC'!F35/1.6</f>
        <v>170775.625</v>
      </c>
      <c r="G35" s="29">
        <f>+'HUD data TDC'!G35/1.6</f>
        <v>227700.625</v>
      </c>
      <c r="H35" s="29">
        <f>+'HUD data TDC'!H35/1.6</f>
        <v>284625.625</v>
      </c>
      <c r="I35" s="29">
        <f>+'HUD data TDC'!I35/1.6</f>
        <v>322576.25</v>
      </c>
      <c r="J35" s="29">
        <f>+'HUD data TDC'!J35/1.6</f>
        <v>360526.25</v>
      </c>
    </row>
    <row r="36" spans="1:10">
      <c r="A36" s="8"/>
      <c r="B36" s="8"/>
      <c r="C36" s="8"/>
      <c r="D36" s="8"/>
      <c r="E36" s="8"/>
      <c r="F36" s="8"/>
      <c r="G36" s="8"/>
      <c r="H36" s="8"/>
      <c r="I36" s="8"/>
      <c r="J36" s="8"/>
    </row>
    <row r="37" spans="1:10">
      <c r="A37" s="10" t="s">
        <v>25</v>
      </c>
      <c r="B37" s="8"/>
      <c r="C37" s="8"/>
      <c r="D37" s="8"/>
      <c r="E37" s="8"/>
      <c r="F37" s="8"/>
      <c r="G37" s="8"/>
      <c r="H37" s="8"/>
      <c r="I37" s="8"/>
      <c r="J37" s="8"/>
    </row>
    <row r="38" spans="1:10">
      <c r="A38" s="11" t="s">
        <v>32</v>
      </c>
      <c r="B38" s="8"/>
      <c r="C38" s="8"/>
      <c r="D38" s="8"/>
      <c r="E38" s="8"/>
      <c r="F38" s="8"/>
      <c r="G38" s="8"/>
      <c r="H38" s="8"/>
      <c r="I38" s="8"/>
      <c r="J38" s="8"/>
    </row>
    <row r="39" spans="1:10">
      <c r="A39" s="8"/>
      <c r="B39" s="8"/>
      <c r="C39" s="8"/>
      <c r="D39" s="8"/>
      <c r="E39" s="8"/>
      <c r="F39" s="8"/>
      <c r="G39" s="8"/>
      <c r="H39" s="8"/>
      <c r="I39" s="8"/>
      <c r="J39" s="8"/>
    </row>
    <row r="40" spans="1:10">
      <c r="A40" s="8"/>
      <c r="B40" s="8"/>
      <c r="C40" s="8"/>
      <c r="D40" s="13"/>
      <c r="E40" s="13"/>
      <c r="F40" s="13"/>
      <c r="G40" s="13"/>
      <c r="H40" s="13"/>
      <c r="I40" s="13"/>
      <c r="J40" s="13"/>
    </row>
  </sheetData>
  <sheetProtection algorithmName="SHA-512" hashValue="zlE22LIsuFULHCuVXi5dwtGFPFAA8+V/k+fwJMKxZ8BLeAyoFU8+LQ9lf94RdRSddkOxTcREy8c6bWml/gdE3Q==" saltValue="/SLJUF5N3+H3RehY/qWIcg==" spinCount="100000" sheet="1" objects="1" scenarios="1"/>
  <hyperlinks>
    <hyperlink ref="A38" r:id="rId1" display="https://www.hud.gov/sites/dfiles/PIH/documents/TDCs_2022.pdf" xr:uid="{00FA0F9F-4557-4C55-9DBA-9E2EF07A2E71}"/>
  </hyperlinks>
  <pageMargins left="0.7" right="0.7" top="0.75" bottom="0.75" header="0.3" footer="0.3"/>
  <pageSetup scale="46" orientation="portrait" horizontalDpi="0" verticalDpi="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470D22066072A42BE3024D6D616E7E3" ma:contentTypeVersion="15" ma:contentTypeDescription="Create a new document." ma:contentTypeScope="" ma:versionID="400f23604298c958581b866a9403a0e1">
  <xsd:schema xmlns:xsd="http://www.w3.org/2001/XMLSchema" xmlns:xs="http://www.w3.org/2001/XMLSchema" xmlns:p="http://schemas.microsoft.com/office/2006/metadata/properties" xmlns:ns3="b1992a17-f442-4f39-8d0b-30c0173c04a0" xmlns:ns4="8a6a849f-1496-4b1c-b22c-4e8dd62727a5" targetNamespace="http://schemas.microsoft.com/office/2006/metadata/properties" ma:root="true" ma:fieldsID="fb5cf406148ea8bb09ae5b6c15761bd1" ns3:_="" ns4:_="">
    <xsd:import namespace="b1992a17-f442-4f39-8d0b-30c0173c04a0"/>
    <xsd:import namespace="8a6a849f-1496-4b1c-b22c-4e8dd62727a5"/>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Location" minOccurs="0"/>
                <xsd:element ref="ns3:MediaServiceGenerationTime" minOccurs="0"/>
                <xsd:element ref="ns3:MediaServiceEventHashCode" minOccurs="0"/>
                <xsd:element ref="ns3:MediaServiceOCR" minOccurs="0"/>
                <xsd:element ref="ns3:_activity"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992a17-f442-4f39-8d0b-30c0173c04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Location" ma:index="14" nillable="true" ma:displayName="Location" ma:indexed="true"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_activity" ma:index="18" nillable="true" ma:displayName="_activity" ma:hidden="true" ma:internalName="_activity">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a6a849f-1496-4b1c-b22c-4e8dd62727a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b1992a17-f442-4f39-8d0b-30c0173c04a0" xsi:nil="true"/>
  </documentManagement>
</p:properties>
</file>

<file path=customXml/itemProps1.xml><?xml version="1.0" encoding="utf-8"?>
<ds:datastoreItem xmlns:ds="http://schemas.openxmlformats.org/officeDocument/2006/customXml" ds:itemID="{553C460E-ACAF-42B4-8963-03AA22D7964B}">
  <ds:schemaRefs>
    <ds:schemaRef ds:uri="http://schemas.microsoft.com/sharepoint/v3/contenttype/forms"/>
  </ds:schemaRefs>
</ds:datastoreItem>
</file>

<file path=customXml/itemProps2.xml><?xml version="1.0" encoding="utf-8"?>
<ds:datastoreItem xmlns:ds="http://schemas.openxmlformats.org/officeDocument/2006/customXml" ds:itemID="{1DACBF22-6B74-4EB9-A857-A4F0C617B7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992a17-f442-4f39-8d0b-30c0173c04a0"/>
    <ds:schemaRef ds:uri="8a6a849f-1496-4b1c-b22c-4e8dd62727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B4ACB2F-1BA7-45BE-9B5F-CB438FC2014B}">
  <ds:schemaRefs>
    <ds:schemaRef ds:uri="http://purl.org/dc/elements/1.1/"/>
    <ds:schemaRef ds:uri="b1992a17-f442-4f39-8d0b-30c0173c04a0"/>
    <ds:schemaRef ds:uri="8a6a849f-1496-4b1c-b22c-4e8dd62727a5"/>
    <ds:schemaRef ds:uri="http://schemas.openxmlformats.org/package/2006/metadata/core-properties"/>
    <ds:schemaRef ds:uri="http://schemas.microsoft.com/office/2006/documentManagement/types"/>
    <ds:schemaRef ds:uri="http://purl.org/dc/terms/"/>
    <ds:schemaRef ds:uri="http://schemas.microsoft.com/office/2006/metadata/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Narrative</vt:lpstr>
      <vt:lpstr>Instructions</vt:lpstr>
      <vt:lpstr>LHC APP DATA</vt:lpstr>
      <vt:lpstr>SBC Summary</vt:lpstr>
      <vt:lpstr>Summary</vt:lpstr>
      <vt:lpstr>Hard Cost Containment</vt:lpstr>
      <vt:lpstr>Adjusted TDC Cost Containment</vt:lpstr>
      <vt:lpstr>Above HUD Moderate Design</vt:lpstr>
      <vt:lpstr>HUD data TDC</vt:lpstr>
      <vt:lpstr>HUD HCC</vt:lpstr>
      <vt:lpstr>Narrative!_Hlk178155661</vt:lpstr>
      <vt:lpstr>Narrative!_Hlk178158410</vt:lpstr>
      <vt:lpstr>Narrative!_Hlk178271121</vt:lpstr>
      <vt:lpstr>P2_</vt:lpstr>
      <vt:lpstr>P3_</vt:lpstr>
      <vt:lpstr>'Hard Cost Containment'!Print_Area</vt:lpstr>
      <vt:lpstr>Instructions!Print_Area</vt:lpstr>
      <vt:lpstr>Narrative!Print_Area</vt:lpstr>
      <vt:lpstr>Summary!Print_Area</vt:lpstr>
      <vt:lpstr>PRINT2</vt:lpstr>
      <vt:lpstr>PRINT3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parkin</dc:creator>
  <cp:lastModifiedBy>Steven Kennedy</cp:lastModifiedBy>
  <cp:lastPrinted>2024-11-25T19:11:31Z</cp:lastPrinted>
  <dcterms:created xsi:type="dcterms:W3CDTF">2024-07-16T17:14:37Z</dcterms:created>
  <dcterms:modified xsi:type="dcterms:W3CDTF">2026-04-14T21:28:04Z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0x010100E470D22066072A42BE3024D6D616E7E3</vt:lpwstr>
  </property>
  <property fmtid="{D5CDD505-2E9C-101B-9397-08002B2CF9AE}" pid="3" name="MSIP_Label_defa4170-0d19-0005-0004-bc88714345d2_Enabled">
    <vt:lpwstr>true</vt:lpwstr>
  </property>
  <property fmtid="{D5CDD505-2E9C-101B-9397-08002B2CF9AE}" pid="4" name="MSIP_Label_defa4170-0d19-0005-0004-bc88714345d2_SetDate">
    <vt:lpwstr>2024-12-16T17:05:15Z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9316e383-b0c4-4bdc-88b7-89d04bc8dc2f</vt:lpwstr>
  </property>
  <property fmtid="{D5CDD505-2E9C-101B-9397-08002B2CF9AE}" pid="8" name="MSIP_Label_defa4170-0d19-0005-0004-bc88714345d2_ActionId">
    <vt:lpwstr>1ef69fd3-f261-4902-b398-c8a0b352b2a2</vt:lpwstr>
  </property>
  <property fmtid="{D5CDD505-2E9C-101B-9397-08002B2CF9AE}" pid="9" name="MSIP_Label_defa4170-0d19-0005-0004-bc88714345d2_ContentBits">
    <vt:lpwstr>0</vt:lpwstr>
  </property>
</Properties>
</file>