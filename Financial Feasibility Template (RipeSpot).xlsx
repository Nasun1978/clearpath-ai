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stevenkennedy/Downloads/clearpath-ai/"/>
    </mc:Choice>
  </mc:AlternateContent>
  <xr:revisionPtr revIDLastSave="0" documentId="8_{EED82FA0-AAB3-D045-AB7A-C0BA093FA359}" xr6:coauthVersionLast="47" xr6:coauthVersionMax="47" xr10:uidLastSave="{00000000-0000-0000-0000-000000000000}"/>
  <bookViews>
    <workbookView xWindow="4420" yWindow="660" windowWidth="25820" windowHeight="15740" tabRatio="817" activeTab="1" xr2:uid="{00000000-000D-0000-FFFF-FFFF00000000}"/>
  </bookViews>
  <sheets>
    <sheet name="Inputs" sheetId="21" state="hidden" r:id="rId1"/>
    <sheet name="Summary Sources-Uses" sheetId="1" r:id="rId2"/>
    <sheet name="Development Budget" sheetId="27" r:id="rId3"/>
    <sheet name="Rent Schedule" sheetId="20" r:id="rId4"/>
    <sheet name="Operating Expense" sheetId="9" r:id="rId5"/>
    <sheet name="20yr Proforma" sheetId="6" r:id="rId6"/>
    <sheet name="Credit Delivery &amp; Pay-Ins" sheetId="11" r:id="rId7"/>
    <sheet name="Flow of Funds" sheetId="24" r:id="rId8"/>
    <sheet name="Developer Fee Schedule" sheetId="22" r:id="rId9"/>
    <sheet name="50% Test" sheetId="28" r:id="rId10"/>
    <sheet name="Income (2)" sheetId="26" state="hidden" r:id="rId11"/>
    <sheet name="Income" sheetId="25" state="hidden" r:id="rId12"/>
    <sheet name="Construction Sources-Uses" sheetId="23" state="hidden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Regression_Int" hidden="1">1</definedName>
    <definedName name="AcquisEligBasis">[1]Budget!$H$65</definedName>
    <definedName name="AddRevY1" localSheetId="9">#REF!</definedName>
    <definedName name="AddRevY1" localSheetId="2">'[2]Rent Schedule'!$K$34</definedName>
    <definedName name="AddRevY1">'Rent Schedule'!$K$34</definedName>
    <definedName name="Admin">[1]OpEx!$C$22</definedName>
    <definedName name="AggBasis">[1]Bonds!$C$17</definedName>
    <definedName name="ApplFrac">Inputs!$F$8</definedName>
    <definedName name="AvgIncome" localSheetId="10">'Income (2)'!$N$3</definedName>
    <definedName name="AvgIncome">Income!$N$3</definedName>
    <definedName name="BaseAnnRentIncome">'[3]Rent Schedule'!$O$29</definedName>
    <definedName name="BC_Equity">#REF!</definedName>
    <definedName name="BldgAcquis">[1]Input!$M$16</definedName>
    <definedName name="Closing">'[1]UW Draw'!$E$6</definedName>
    <definedName name="ClosingDevFee">'[1]UW Draw'!$C$127</definedName>
    <definedName name="CODraw">[1]Input!$Q$38</definedName>
    <definedName name="COI">[1]Bonds!$L$28</definedName>
    <definedName name="CommRent">[1]Input!$H$32</definedName>
    <definedName name="CommSqFt">[1]Input!$G$32</definedName>
    <definedName name="Completion">[1]Credits!$I$5</definedName>
    <definedName name="CompletionDevFee">'[1]UW Draw'!$C$128</definedName>
    <definedName name="CompletionDraw">[1]Input!$Q$37</definedName>
    <definedName name="CompletionOLB">[1]Financing!$C$19</definedName>
    <definedName name="ConstDur">Inputs!$C$56</definedName>
    <definedName name="ConstLoan">#REF!</definedName>
    <definedName name="ConstrInt">[1]Financing!$C$28</definedName>
    <definedName name="ConstrLoan">[1]Financing!$C$15</definedName>
    <definedName name="ConstrLoanFees">[1]Financing!$C$36</definedName>
    <definedName name="ConstrLoanLTC">[1]Financing!$B$17</definedName>
    <definedName name="ConstrLoanLTV">[1]Financing!$B$16</definedName>
    <definedName name="ConstrLoanTerm">[1]Financing!$C$31</definedName>
    <definedName name="ConstrPd">[1]Input!$B$6</definedName>
    <definedName name="ConstrPdInt">'[1]UW Draw'!$C$97</definedName>
    <definedName name="ConstrType">[1]Input!$M$2</definedName>
    <definedName name="Conting" localSheetId="9">[4]Inputs!$C$52</definedName>
    <definedName name="Conting" localSheetId="2">[2]Inputs!$C$52</definedName>
    <definedName name="Conting">Inputs!$C$52</definedName>
    <definedName name="CostCertDevFee">'[1]UW Draw'!$C$130</definedName>
    <definedName name="CostCertDraw">[1]Input!$Q$39</definedName>
    <definedName name="County">[1]Input!$H$2</definedName>
    <definedName name="CountyAMI" localSheetId="10">'Income (2)'!$Q$22</definedName>
    <definedName name="CountyAMI">Income!$Q$22</definedName>
    <definedName name="CreditAlloc">[1]Budget!$O$18</definedName>
    <definedName name="CreditRate">[1]Budget!$O$14</definedName>
    <definedName name="DateModel">Inputs!$E$2</definedName>
    <definedName name="DDF">'[1]UW Draw'!$C$19</definedName>
    <definedName name="DebtService">[1]Financing!$G$24,[1]Financing!$K$24,[1]Financing!$O$24</definedName>
    <definedName name="Demo">[1]Input!$M$15</definedName>
    <definedName name="DEVCOSTS" localSheetId="2">'Development Budget'!$A$1:$K$122</definedName>
    <definedName name="DEVCOSTS">#REF!</definedName>
    <definedName name="DeveloperFee">[1]Input!$M$18</definedName>
    <definedName name="DevFeeInt">Inputs!$C$54</definedName>
    <definedName name="DevFeeSchedule">Inputs!$E$42:$E$47</definedName>
    <definedName name="EGI" localSheetId="10">'Income (2)'!$R$10</definedName>
    <definedName name="EGI">Income!$R$10</definedName>
    <definedName name="EligBasis">[1]Budget!$G$65:$H$65</definedName>
    <definedName name="EquitySchedule">Inputs!$D$42:$D$47</definedName>
    <definedName name="ExpenseEsc">[1]Input!$H$36</definedName>
    <definedName name="ExpInfl">Inputs!$C$36</definedName>
    <definedName name="ExpTotalY1" localSheetId="9">'[4]Operating Expense'!$E$19</definedName>
    <definedName name="ExpTotalY1" localSheetId="2">'[2]Operating Expense'!$E$20</definedName>
    <definedName name="ExpTotalY1">'Operating Expense'!$E$20</definedName>
    <definedName name="FedEquity">[1]Budget!$F$5</definedName>
    <definedName name="FedLIHTC">[1]Budget!$O$22</definedName>
    <definedName name="FedLIHTCRate">[1]Input!$S$31</definedName>
    <definedName name="FiftyPercentDraw">[1]Input!$Q$35</definedName>
    <definedName name="FirstMort">[1]Financing!$G$20</definedName>
    <definedName name="FirstMortAmort">[1]Financing!$G$36</definedName>
    <definedName name="FirstMortDSCR">[1]Financing!$F$22</definedName>
    <definedName name="FirstMortInt">[1]Financing!$G$32</definedName>
    <definedName name="FirstMortMIP">[1]Financing!$G$33</definedName>
    <definedName name="FirstMortTerm">[1]Financing!$G$38</definedName>
    <definedName name="GCProf">[1]Input!$M$28</definedName>
    <definedName name="GenReq">[1]Input!$M$24</definedName>
    <definedName name="GPI" localSheetId="10">'Income (2)'!$R$8</definedName>
    <definedName name="GPI">Income!$R$8</definedName>
    <definedName name="GPIY1" localSheetId="9">#REF!</definedName>
    <definedName name="GPIY1">'Rent Schedule'!$K$38</definedName>
    <definedName name="GRI" localSheetId="10">'Income (2)'!$R$5</definedName>
    <definedName name="GRI">Income!$R$5</definedName>
    <definedName name="GrossOpEx">[1]OpEx!$K$14</definedName>
    <definedName name="GrossProjSqFt">'[1]Unit Mix'!$E$28</definedName>
    <definedName name="GrossRentIncomeY1" localSheetId="9">#REF!</definedName>
    <definedName name="GrossRentIncomeY1" localSheetId="2">'[2]Rent Schedule'!$K$26</definedName>
    <definedName name="GrossRentIncomeY1">'Rent Schedule'!$K$26</definedName>
    <definedName name="GSF">#REF!</definedName>
    <definedName name="HardCostUnit">Inputs!$C$51</definedName>
    <definedName name="IncomeLimits" localSheetId="9">[4]Inputs!$C$23:$C$32</definedName>
    <definedName name="IncomeLimits" localSheetId="2">[2]Inputs!$C$23:$C$32</definedName>
    <definedName name="IncomeLimits">Inputs!$C$23:$C$32</definedName>
    <definedName name="Insurance">[1]OpEx!$G$25</definedName>
    <definedName name="IRSFormDevFee">'[1]UW Draw'!$C$131</definedName>
    <definedName name="IRSFormDraw">[1]Input!$Q$40</definedName>
    <definedName name="LandAcquis">[1]Input!$M$13</definedName>
    <definedName name="LeaseStart">[1]Credits!$I$4</definedName>
    <definedName name="LeaseUpRate">[1]Input!$H$40</definedName>
    <definedName name="LeaseUpReserve">'[1]UW Draw'!$J$124</definedName>
    <definedName name="LeaseUpTime" localSheetId="9">[4]Inputs!$J$46</definedName>
    <definedName name="LeaseUpTime" localSheetId="2">[2]Inputs!$J$46</definedName>
    <definedName name="LeaseUpTime">Inputs!$J$46</definedName>
    <definedName name="LIHTCFees">[1]Input!$M$31</definedName>
    <definedName name="LIShare" localSheetId="9">#REF!</definedName>
    <definedName name="LIShare" localSheetId="2">'[2]Rent Schedule'!$X$40</definedName>
    <definedName name="LIShare">'Rent Schedule'!$X$40</definedName>
    <definedName name="LIUnits" localSheetId="9">'[4]Summary Sources-Uses'!$R$39</definedName>
    <definedName name="LIUnits" localSheetId="2">'[2]Summary Sources-Uses'!$R$39</definedName>
    <definedName name="LIUnits">'Summary Sources-Uses'!$S$34</definedName>
    <definedName name="LTBondInt">[1]Bonds!$F$5</definedName>
    <definedName name="LTBondReinvest">[1]Bonds!$F$6</definedName>
    <definedName name="LTBonds">[1]Bonds!$C$5</definedName>
    <definedName name="LTBondTerm">[1]Bonds!$E$5</definedName>
    <definedName name="LTVRate">[1]Financing!$F$23</definedName>
    <definedName name="MaxAlloc">Inputs!$D$10</definedName>
    <definedName name="MaxDevFee">Inputs!$D$11</definedName>
    <definedName name="MgmtFee">[1]OpEx!$K$4</definedName>
    <definedName name="NetIncomeY1" localSheetId="9">#REF!</definedName>
    <definedName name="NetIncomeY1" localSheetId="2">'[2]Rent Schedule'!$K$42</definedName>
    <definedName name="NetIncomeY1">'Rent Schedule'!$K$42</definedName>
    <definedName name="NetOpEx">[1]OpEx!$C$13,[1]OpEx!$C$22,[1]OpEx!$C$34,[1]OpEx!$C$39,[1]OpEx!$G$11,[1]OpEx!$G$20,[1]OpEx!$G$26,[1]OpEx!$K$4</definedName>
    <definedName name="NewEligBasis">[1]Budget!$G$65</definedName>
    <definedName name="NNMMI" localSheetId="10">'Income (2)'!$R$20</definedName>
    <definedName name="NNMMI">Income!$R$20</definedName>
    <definedName name="NOI" localSheetId="2">[2]Income!$R$15</definedName>
    <definedName name="NOI" localSheetId="10">'Income (2)'!$R$15</definedName>
    <definedName name="NOI">Income!$R$15</definedName>
    <definedName name="NOICapRate">[1]ProForma!$B$79</definedName>
    <definedName name="NOICapValue">[1]ProForma!$C$79</definedName>
    <definedName name="ofLIHTC" localSheetId="9">[4]Inputs!B1*(1-[4]Inputs!$D$32)</definedName>
    <definedName name="ofLIHTC" localSheetId="2">[2]Inputs!B1*(1-[2]Inputs!$D$32)</definedName>
    <definedName name="ofLIHTC">Inputs!B1*(1-Inputs!$D$32)</definedName>
    <definedName name="ofTotal" localSheetId="9">[4]Inputs!B1*1</definedName>
    <definedName name="ofTotal" localSheetId="2">[2]Inputs!B1*1</definedName>
    <definedName name="ofTotal">Inputs!B1*1</definedName>
    <definedName name="OperReserve">'[1]UW Draw'!$J$120</definedName>
    <definedName name="OtherIncome">[1]Input!$I$33</definedName>
    <definedName name="OvrHd">[1]Input!$M$26</definedName>
    <definedName name="ParkingDeckCost">[1]Input!$W$12</definedName>
    <definedName name="PermLoanFees">[1]Financing!$G$44,[1]Financing!$K$44,[1]Financing!$O$44</definedName>
    <definedName name="PILOT">[1]OpEx!$G$24</definedName>
    <definedName name="Plug" localSheetId="9">1-SUM([4]Inputs!$D$23:A1048576,[4]Inputs!A2:$D$32)</definedName>
    <definedName name="Plug" localSheetId="2">1-SUM([2]Inputs!$D$23:A1048576,[2]Inputs!A2:$D$32)</definedName>
    <definedName name="Plug">1-SUM(Inputs!$D$23:A1048576,Inputs!A2:$D$32)</definedName>
    <definedName name="PreLeaseMos">[1]Input!$H$39</definedName>
    <definedName name="_xlnm.Print_Area" localSheetId="5">'20yr Proforma'!$A$1:$Y$53</definedName>
    <definedName name="_xlnm.Print_Area" localSheetId="6">'Credit Delivery &amp; Pay-Ins'!$A$1:$Q$62</definedName>
    <definedName name="_xlnm.Print_Area" localSheetId="8">'Developer Fee Schedule'!$A$1:$K$31</definedName>
    <definedName name="_xlnm.Print_Area" localSheetId="2">'Development Budget'!$A$1:$K$122</definedName>
    <definedName name="_xlnm.Print_Area" localSheetId="7">'Flow of Funds'!$A$1:$AX$112</definedName>
    <definedName name="_xlnm.Print_Area" localSheetId="4">'Operating Expense'!$A$1:$I$31</definedName>
    <definedName name="_xlnm.Print_Area" localSheetId="3">'Rent Schedule'!$A$1:$L$59</definedName>
    <definedName name="_xlnm.Print_Area" localSheetId="1">'Summary Sources-Uses'!$A$1:$M$70</definedName>
    <definedName name="_xlnm.Print_Titles" localSheetId="7">'Flow of Funds'!$A:$E</definedName>
    <definedName name="Professionals">[1]OpEx!$G$11</definedName>
    <definedName name="ProjName" localSheetId="9">[4]Inputs!$C$1</definedName>
    <definedName name="ProjName" localSheetId="2">[2]Inputs!$C$1</definedName>
    <definedName name="ProjName">Inputs!$C$1</definedName>
    <definedName name="PropTaxes">[1]OpEx!$G$23</definedName>
    <definedName name="RehabOcc">[1]Input!$H$38</definedName>
    <definedName name="RentColumn" localSheetId="9">[4]Inputs!$C$15:$L$15</definedName>
    <definedName name="RentColumn" localSheetId="2">[2]Inputs!$C$15:$L$15</definedName>
    <definedName name="RentColumn">Inputs!$C$15:$L$15</definedName>
    <definedName name="RentEsc">[1]Input!$H$35</definedName>
    <definedName name="RentRange" localSheetId="9">[4]Inputs!$C$16:$L$20</definedName>
    <definedName name="RentRange" localSheetId="2">[2]Inputs!$C$16:$L$20</definedName>
    <definedName name="RentRange">Inputs!$C$16:$L$20</definedName>
    <definedName name="RentRow" localSheetId="9">[4]Inputs!$B$16:$B$20</definedName>
    <definedName name="RentRow" localSheetId="2">[2]Inputs!$B$16:$B$20</definedName>
    <definedName name="RentRow">Inputs!$B$16:$B$20</definedName>
    <definedName name="Repairs">[1]OpEx!$C$34</definedName>
    <definedName name="ReplRes">[1]OpEx!$K$9</definedName>
    <definedName name="ReplReserve" localSheetId="9">[4]Inputs!$C$37</definedName>
    <definedName name="ReplReserve" localSheetId="2">[2]Inputs!$C$37</definedName>
    <definedName name="ReplReserve">Inputs!$C$37</definedName>
    <definedName name="ResidBldgs">'[1]Unit Mix'!$S$4</definedName>
    <definedName name="ResidFloors">'[1]Unit Mix'!$B$4</definedName>
    <definedName name="ResidHeatSqFt">'[1]Unit Mix'!$E$23</definedName>
    <definedName name="RETaxCapRate">[1]OpEx!$G$34</definedName>
    <definedName name="RevInfl" localSheetId="9">[4]Inputs!$C$35</definedName>
    <definedName name="RevInfl" localSheetId="2">[2]Inputs!$C$35</definedName>
    <definedName name="RevInfl">Inputs!$C$35</definedName>
    <definedName name="SCurve" localSheetId="9">IF(#REF!&gt;='50% Test'!TriggerDate,[0]!SCurveCalc*#REF!,0)</definedName>
    <definedName name="SCurve" localSheetId="2">IF(#REF!&gt;='Development Budget'!TriggerDate,[0]!SCurveCalc*#REF!,0)</definedName>
    <definedName name="SCurve">IF(#REF!&gt;=[0]!TriggerDate,[0]!SCurveCalc*#REF!,0)</definedName>
    <definedName name="SCurveCalc">#REF!</definedName>
    <definedName name="SecondMort">[1]Financing!$K$20</definedName>
    <definedName name="SecondMortAmort">[1]Financing!$K$36</definedName>
    <definedName name="SecondMortDSCR">[1]Financing!$J$22</definedName>
    <definedName name="SecondMortInt">[1]Financing!$K$32</definedName>
    <definedName name="SecondMortMIP">[1]Financing!$K$33</definedName>
    <definedName name="SecondMortTerm">[1]Financing!$K$38</definedName>
    <definedName name="Security">[1]OpEx!$C$39</definedName>
    <definedName name="SetAsides" localSheetId="9">[4]Inputs!$B$23:$B$32</definedName>
    <definedName name="SetAsides" localSheetId="2">[2]Inputs!$B$23:$B$32</definedName>
    <definedName name="SetAsides">Inputs!$B$23:$B$32</definedName>
    <definedName name="SeventyFivePercentDraw">[1]Input!$Q$36</definedName>
    <definedName name="SF" localSheetId="9">[4]Inputs!$N$16:$N$19</definedName>
    <definedName name="SF" localSheetId="2">[2]Inputs!$N$16:$N$19</definedName>
    <definedName name="SF">Inputs!$N$16:$N$19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0.1</definedName>
    <definedName name="Stable">[1]Input!$R$41</definedName>
    <definedName name="StableDraw">[1]Input!$Q$41</definedName>
    <definedName name="Staffing">[1]OpEx!$C$13</definedName>
    <definedName name="State_Equity">#REF!</definedName>
    <definedName name="StateEquity">[1]Budget!$F$6</definedName>
    <definedName name="StateLIHTCRate">[1]Input!$S$32</definedName>
    <definedName name="STBondInt">[1]Bonds!$F$7</definedName>
    <definedName name="STBondReinvest">[1]Bonds!$F$8</definedName>
    <definedName name="STBonds">[1]Bonds!$C$7</definedName>
    <definedName name="STBondTerm">[1]Bonds!$E$7</definedName>
    <definedName name="Tenancy">[1]Input!$K$1</definedName>
    <definedName name="ThirdMort">[1]Financing!$O$20</definedName>
    <definedName name="ThirdMortAmort">[1]Financing!$O$36</definedName>
    <definedName name="ThirdMortDSCR">[1]Financing!$N$22</definedName>
    <definedName name="ThirdMortInt">[1]Financing!$O$32</definedName>
    <definedName name="ThirdMortMIP">[1]Financing!$O$33</definedName>
    <definedName name="ThirdMortTerm">[1]Financing!$O$38</definedName>
    <definedName name="Timeline">Inputs!$B$42:$B$47</definedName>
    <definedName name="TimelineMatch">Inputs!$F$42:$F$47</definedName>
    <definedName name="TotalEquityAmt">'[3]Credit Calculation'!$H$45</definedName>
    <definedName name="TotalUnitCount" localSheetId="9">[4]Inputs!$C$2</definedName>
    <definedName name="TotalUnitCount" localSheetId="2">[2]Inputs!$C$2</definedName>
    <definedName name="TotalUnitCount">Inputs!$C$2</definedName>
    <definedName name="TriggerDate" localSheetId="9">INDEX([4]Inputs!$A$42:$A$47,MATCH(#REF!,[4]Inputs!$B$42:$B$47,0))</definedName>
    <definedName name="TriggerDate" localSheetId="2">INDEX([2]Inputs!$A$42:$A$47,MATCH(#REF!,[2]Inputs!$B$42:$B$47,0))</definedName>
    <definedName name="TriggerDate">INDEX(Inputs!$A$42:$A$47,MATCH(#REF!,Inputs!$B$42:$B$47,0))</definedName>
    <definedName name="TrusteeFees">[1]ProForma!$C$56</definedName>
    <definedName name="TtlAcres">[1]Input!$M$14</definedName>
    <definedName name="TtlDevCost">[1]Budget!$F$65</definedName>
    <definedName name="TtlUnits">'[1]Unit Mix'!$S$3</definedName>
    <definedName name="TwentyFivePercentDraw">[1]Input!$Q$34</definedName>
    <definedName name="TypeAlloc">Inputs!$D$8</definedName>
    <definedName name="UARow">Inputs!$C$20:$L$20</definedName>
    <definedName name="unitmix" localSheetId="9">[4]Inputs!$O$16:$O$19</definedName>
    <definedName name="unitmix" localSheetId="2">[2]Inputs!$O$16:$O$19</definedName>
    <definedName name="unitmix">Inputs!$O$16:$O$19</definedName>
    <definedName name="UnitMixCount" localSheetId="9">#REF!</definedName>
    <definedName name="UnitMixCount">'Rent Schedule'!$C$45:$E$50</definedName>
    <definedName name="UnitMixRow" localSheetId="9">#REF!</definedName>
    <definedName name="UnitMixRow">'Rent Schedule'!$C$44:$E$44</definedName>
    <definedName name="units">#REF!</definedName>
    <definedName name="UnitSFAvg" localSheetId="9">[4]Inputs!$N$16:$N$19</definedName>
    <definedName name="UnitSFAvg" localSheetId="2">[2]Inputs!$N$16:$N$19</definedName>
    <definedName name="UnitSFAvg">Inputs!$N$16:$N$19</definedName>
    <definedName name="UnitTypes" localSheetId="9">[4]Inputs!$B$16:$B$19</definedName>
    <definedName name="UnitTypes" localSheetId="2">[2]Inputs!$B$16:$B$19</definedName>
    <definedName name="UnitTypes">Inputs!$B$16:$B$19</definedName>
    <definedName name="Utilities">[1]OpEx!$G$20</definedName>
    <definedName name="Vacancy">[1]Input!$H$37</definedName>
    <definedName name="VacancyRate">Inputs!$C$34</definedName>
    <definedName name="Version" localSheetId="9">[4]Inputs!$E$1</definedName>
    <definedName name="Version" localSheetId="2">[2]Inputs!$E$1</definedName>
    <definedName name="Version">Inputs!$E$1</definedName>
    <definedName name="wrn.projection." localSheetId="9" hidden="1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jection." localSheetId="2" hidden="1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jection." localSheetId="11" hidden="1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jection." localSheetId="10" hidden="1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jection." hidden="1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" i="27" l="1"/>
  <c r="G46" i="27"/>
  <c r="G42" i="27"/>
  <c r="A1" i="20"/>
  <c r="K7" i="20"/>
  <c r="Y50" i="1"/>
  <c r="E8" i="1" s="1"/>
  <c r="H49" i="1"/>
  <c r="H51" i="1" s="1"/>
  <c r="D9" i="1"/>
  <c r="H68" i="1"/>
  <c r="E10" i="1"/>
  <c r="R34" i="1" s="1"/>
  <c r="D10" i="1"/>
  <c r="D11" i="1"/>
  <c r="E9" i="1"/>
  <c r="U2" i="20"/>
  <c r="U3" i="20" s="1"/>
  <c r="U6" i="20" s="1"/>
  <c r="N3" i="20"/>
  <c r="N6" i="20"/>
  <c r="O6" i="20"/>
  <c r="P6" i="20"/>
  <c r="Q58" i="11"/>
  <c r="R33" i="1"/>
  <c r="R24" i="1" l="1"/>
  <c r="AD60" i="24"/>
  <c r="AB53" i="24"/>
  <c r="AC53" i="24"/>
  <c r="AD53" i="24"/>
  <c r="L53" i="24"/>
  <c r="M53" i="24"/>
  <c r="N53" i="24"/>
  <c r="O53" i="24"/>
  <c r="P53" i="24"/>
  <c r="Q53" i="24"/>
  <c r="R53" i="24"/>
  <c r="S53" i="24"/>
  <c r="T53" i="24"/>
  <c r="U53" i="24"/>
  <c r="V53" i="24"/>
  <c r="W53" i="24"/>
  <c r="X53" i="24"/>
  <c r="Y53" i="24"/>
  <c r="Z53" i="24"/>
  <c r="AA53" i="24"/>
  <c r="K53" i="24"/>
  <c r="J13" i="27"/>
  <c r="R35" i="1"/>
  <c r="Q35" i="1" s="1"/>
  <c r="H10" i="24"/>
  <c r="AT149" i="24" l="1"/>
  <c r="AT141" i="24"/>
  <c r="AT133" i="24"/>
  <c r="AT103" i="24"/>
  <c r="AT16" i="24"/>
  <c r="N33" i="11"/>
  <c r="AT156" i="24" l="1"/>
  <c r="AT104" i="24"/>
  <c r="J90" i="27"/>
  <c r="J64" i="27"/>
  <c r="J34" i="27"/>
  <c r="J38" i="27"/>
  <c r="AU133" i="24"/>
  <c r="AP141" i="24"/>
  <c r="AQ141" i="24"/>
  <c r="AR141" i="24"/>
  <c r="AU141" i="24"/>
  <c r="AU149" i="24"/>
  <c r="AP100" i="24"/>
  <c r="AP59" i="24"/>
  <c r="AO141" i="24"/>
  <c r="AO100" i="24"/>
  <c r="AO59" i="24"/>
  <c r="AU156" i="24" l="1"/>
  <c r="F121" i="24"/>
  <c r="F115" i="24"/>
  <c r="M11" i="22"/>
  <c r="A12" i="22"/>
  <c r="E7" i="22" s="1"/>
  <c r="J12" i="27" l="1"/>
  <c r="J47" i="27"/>
  <c r="J48" i="27"/>
  <c r="H158" i="24" l="1"/>
  <c r="H48" i="24" s="1"/>
  <c r="H13" i="24" l="1"/>
  <c r="F135" i="24" l="1"/>
  <c r="F151" i="24" l="1"/>
  <c r="AV102" i="24" l="1"/>
  <c r="AV52" i="24"/>
  <c r="J149" i="24"/>
  <c r="L149" i="24"/>
  <c r="S149" i="24"/>
  <c r="T149" i="24"/>
  <c r="U149" i="24"/>
  <c r="V149" i="24"/>
  <c r="W149" i="24"/>
  <c r="X149" i="24"/>
  <c r="Y149" i="24"/>
  <c r="Z149" i="24"/>
  <c r="AA149" i="24"/>
  <c r="F143" i="24"/>
  <c r="AW102" i="24" l="1"/>
  <c r="AV12" i="24" l="1"/>
  <c r="AV14" i="24"/>
  <c r="AU37" i="24" l="1"/>
  <c r="E95" i="9" l="1"/>
  <c r="E96" i="9" s="1"/>
  <c r="E12" i="9" s="1"/>
  <c r="E81" i="9"/>
  <c r="E10" i="9" s="1"/>
  <c r="E86" i="9"/>
  <c r="E11" i="9" s="1"/>
  <c r="E136" i="9"/>
  <c r="E17" i="9" s="1"/>
  <c r="E121" i="9"/>
  <c r="E15" i="9" s="1"/>
  <c r="E106" i="9"/>
  <c r="E13" i="9" s="1"/>
  <c r="E114" i="9"/>
  <c r="E14" i="9" s="1"/>
  <c r="M33" i="20" l="1"/>
  <c r="B7" i="24" l="1"/>
  <c r="H91" i="27"/>
  <c r="K18" i="1" s="1"/>
  <c r="H81" i="27"/>
  <c r="K16" i="1" s="1"/>
  <c r="H29" i="27"/>
  <c r="K10" i="1" s="1"/>
  <c r="G74" i="27"/>
  <c r="B99" i="24" l="1"/>
  <c r="B94" i="24"/>
  <c r="B95" i="24"/>
  <c r="B96" i="24"/>
  <c r="B97" i="24"/>
  <c r="B93" i="24"/>
  <c r="B89" i="24"/>
  <c r="B90" i="24"/>
  <c r="B91" i="24"/>
  <c r="B88" i="24"/>
  <c r="F79" i="24"/>
  <c r="B82" i="24"/>
  <c r="B83" i="24"/>
  <c r="B84" i="24"/>
  <c r="B85" i="24"/>
  <c r="B86" i="24"/>
  <c r="B81" i="24"/>
  <c r="B76" i="24"/>
  <c r="B77" i="24"/>
  <c r="B78" i="24"/>
  <c r="B79" i="24"/>
  <c r="B75" i="24"/>
  <c r="B71" i="24"/>
  <c r="B72" i="24"/>
  <c r="B73" i="24"/>
  <c r="B70" i="24"/>
  <c r="B58" i="24"/>
  <c r="B59" i="24"/>
  <c r="B60" i="24"/>
  <c r="B61" i="24"/>
  <c r="B62" i="24"/>
  <c r="B63" i="24"/>
  <c r="B64" i="24"/>
  <c r="B65" i="24"/>
  <c r="B66" i="24"/>
  <c r="B67" i="24"/>
  <c r="B68" i="24"/>
  <c r="B57" i="24"/>
  <c r="B48" i="24"/>
  <c r="B49" i="24"/>
  <c r="B50" i="24"/>
  <c r="B51" i="24"/>
  <c r="B52" i="24"/>
  <c r="B53" i="24"/>
  <c r="B54" i="24"/>
  <c r="B55" i="24"/>
  <c r="B47" i="24"/>
  <c r="B41" i="24"/>
  <c r="B42" i="24"/>
  <c r="B43" i="24"/>
  <c r="B44" i="24"/>
  <c r="B45" i="24"/>
  <c r="B40" i="24"/>
  <c r="B25" i="24"/>
  <c r="B26" i="24"/>
  <c r="B27" i="24"/>
  <c r="B28" i="24"/>
  <c r="B29" i="24"/>
  <c r="B30" i="24"/>
  <c r="B31" i="24"/>
  <c r="B32" i="24"/>
  <c r="B24" i="24"/>
  <c r="B21" i="24"/>
  <c r="G62" i="27" l="1"/>
  <c r="H67" i="27" s="1"/>
  <c r="K14" i="1" s="1"/>
  <c r="H60" i="27"/>
  <c r="K13" i="1" s="1"/>
  <c r="K3" i="27"/>
  <c r="G93" i="27"/>
  <c r="H54" i="27" l="1"/>
  <c r="K12" i="1" s="1"/>
  <c r="I3" i="24" l="1"/>
  <c r="H12" i="1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H24" i="11" s="1"/>
  <c r="H25" i="11" s="1"/>
  <c r="H26" i="11" s="1"/>
  <c r="H27" i="11" s="1"/>
  <c r="H28" i="11" s="1"/>
  <c r="H29" i="11" s="1"/>
  <c r="H30" i="11" s="1"/>
  <c r="H31" i="11" s="1"/>
  <c r="H32" i="11" s="1"/>
  <c r="H33" i="11" s="1"/>
  <c r="H34" i="11" s="1"/>
  <c r="H35" i="11" s="1"/>
  <c r="H36" i="11" s="1"/>
  <c r="H37" i="11" s="1"/>
  <c r="H38" i="11" s="1"/>
  <c r="H39" i="11" s="1"/>
  <c r="H40" i="11" s="1"/>
  <c r="H41" i="11" s="1"/>
  <c r="H42" i="11" s="1"/>
  <c r="H43" i="11" s="1"/>
  <c r="H44" i="11" s="1"/>
  <c r="H45" i="11" s="1"/>
  <c r="H46" i="11" s="1"/>
  <c r="H47" i="11" s="1"/>
  <c r="H48" i="11" s="1"/>
  <c r="H49" i="11" s="1"/>
  <c r="H50" i="11" s="1"/>
  <c r="H51" i="11" s="1"/>
  <c r="H52" i="11" s="1"/>
  <c r="H53" i="11" s="1"/>
  <c r="H54" i="11" s="1"/>
  <c r="H55" i="11" s="1"/>
  <c r="H56" i="11" s="1"/>
  <c r="H57" i="11" s="1"/>
  <c r="H58" i="11" s="1"/>
  <c r="H59" i="11" s="1"/>
  <c r="J3" i="24" l="1"/>
  <c r="K3" i="24" s="1"/>
  <c r="L3" i="24" s="1"/>
  <c r="M3" i="24" s="1"/>
  <c r="N3" i="24" s="1"/>
  <c r="O3" i="24" s="1"/>
  <c r="P3" i="24" s="1"/>
  <c r="Q3" i="24" s="1"/>
  <c r="R3" i="24" s="1"/>
  <c r="S3" i="24" s="1"/>
  <c r="T3" i="24" s="1"/>
  <c r="U3" i="24" s="1"/>
  <c r="V3" i="24" s="1"/>
  <c r="W3" i="24" s="1"/>
  <c r="X3" i="24" s="1"/>
  <c r="Y3" i="24" s="1"/>
  <c r="Z3" i="24" s="1"/>
  <c r="AA3" i="24" s="1"/>
  <c r="AB3" i="24" s="1"/>
  <c r="AC3" i="24" s="1"/>
  <c r="AD3" i="24" s="1"/>
  <c r="AE3" i="24" s="1"/>
  <c r="AF3" i="24" s="1"/>
  <c r="AG3" i="24" s="1"/>
  <c r="AH3" i="24" s="1"/>
  <c r="AI3" i="24" s="1"/>
  <c r="AJ3" i="24" s="1"/>
  <c r="AK3" i="24" s="1"/>
  <c r="AL3" i="24" s="1"/>
  <c r="AM3" i="24" s="1"/>
  <c r="AN3" i="24" s="1"/>
  <c r="AO3" i="24" l="1"/>
  <c r="F99" i="24"/>
  <c r="F97" i="24"/>
  <c r="F93" i="24"/>
  <c r="F89" i="24"/>
  <c r="F90" i="24"/>
  <c r="F91" i="24"/>
  <c r="F88" i="24"/>
  <c r="AO19" i="24" l="1"/>
  <c r="AP3" i="24"/>
  <c r="F76" i="24"/>
  <c r="F77" i="24"/>
  <c r="F78" i="24"/>
  <c r="F73" i="24"/>
  <c r="F58" i="24"/>
  <c r="F59" i="24"/>
  <c r="F60" i="24"/>
  <c r="F61" i="24"/>
  <c r="F62" i="24"/>
  <c r="F63" i="24"/>
  <c r="F64" i="24"/>
  <c r="F65" i="24"/>
  <c r="F66" i="24"/>
  <c r="F67" i="24"/>
  <c r="F68" i="24"/>
  <c r="F57" i="24"/>
  <c r="F51" i="24"/>
  <c r="F52" i="24"/>
  <c r="AW52" i="24" s="1"/>
  <c r="F53" i="24"/>
  <c r="F54" i="24"/>
  <c r="F55" i="24"/>
  <c r="AR55" i="24" s="1"/>
  <c r="F50" i="24"/>
  <c r="F41" i="24"/>
  <c r="F42" i="24"/>
  <c r="F43" i="24"/>
  <c r="F44" i="24"/>
  <c r="F45" i="24"/>
  <c r="F40" i="24"/>
  <c r="F25" i="24"/>
  <c r="F26" i="24"/>
  <c r="F30" i="24"/>
  <c r="F21" i="24"/>
  <c r="K96" i="27"/>
  <c r="I93" i="27"/>
  <c r="I90" i="27"/>
  <c r="I89" i="27"/>
  <c r="J87" i="27"/>
  <c r="I87" i="27"/>
  <c r="G84" i="27"/>
  <c r="I83" i="27"/>
  <c r="I82" i="27"/>
  <c r="I80" i="27"/>
  <c r="I79" i="27"/>
  <c r="I78" i="27"/>
  <c r="I77" i="27"/>
  <c r="I76" i="27"/>
  <c r="I73" i="27"/>
  <c r="I68" i="27"/>
  <c r="I66" i="27"/>
  <c r="I65" i="27"/>
  <c r="I64" i="27"/>
  <c r="I63" i="27"/>
  <c r="I61" i="27"/>
  <c r="J59" i="27"/>
  <c r="I59" i="27"/>
  <c r="I57" i="27"/>
  <c r="I55" i="27"/>
  <c r="J53" i="27"/>
  <c r="I53" i="27"/>
  <c r="J52" i="27"/>
  <c r="I52" i="27"/>
  <c r="J51" i="27"/>
  <c r="I51" i="27"/>
  <c r="J50" i="27"/>
  <c r="I50" i="27"/>
  <c r="I49" i="27"/>
  <c r="I48" i="27"/>
  <c r="I47" i="27"/>
  <c r="J46" i="27"/>
  <c r="I46" i="27"/>
  <c r="J45" i="27"/>
  <c r="I45" i="27"/>
  <c r="J44" i="27"/>
  <c r="I44" i="27"/>
  <c r="J43" i="27"/>
  <c r="I43" i="27"/>
  <c r="J42" i="27"/>
  <c r="I42" i="27"/>
  <c r="I41" i="27"/>
  <c r="I38" i="27"/>
  <c r="I37" i="27"/>
  <c r="J36" i="27"/>
  <c r="I36" i="27"/>
  <c r="I35" i="27"/>
  <c r="I34" i="27"/>
  <c r="I30" i="27"/>
  <c r="J28" i="27"/>
  <c r="I28" i="27"/>
  <c r="J27" i="27"/>
  <c r="I27" i="27"/>
  <c r="J26" i="27"/>
  <c r="I26" i="27"/>
  <c r="J25" i="27"/>
  <c r="I25" i="27"/>
  <c r="J24" i="27"/>
  <c r="I24" i="27"/>
  <c r="J23" i="27"/>
  <c r="I23" i="27"/>
  <c r="I22" i="27"/>
  <c r="F31" i="24"/>
  <c r="J18" i="27"/>
  <c r="I18" i="27"/>
  <c r="J14" i="27"/>
  <c r="I14" i="27"/>
  <c r="I13" i="27"/>
  <c r="I11" i="27"/>
  <c r="I9" i="27"/>
  <c r="H10" i="27"/>
  <c r="K8" i="1" s="1"/>
  <c r="A3" i="27"/>
  <c r="K2" i="27"/>
  <c r="AP19" i="24" l="1"/>
  <c r="AQ3" i="24"/>
  <c r="F82" i="24"/>
  <c r="G69" i="27"/>
  <c r="F81" i="24" s="1"/>
  <c r="AV79" i="24"/>
  <c r="AW79" i="24" s="1"/>
  <c r="AV97" i="24"/>
  <c r="AW97" i="24" s="1"/>
  <c r="H55" i="24"/>
  <c r="H54" i="24"/>
  <c r="AV54" i="24" s="1"/>
  <c r="AW54" i="24" s="1"/>
  <c r="H51" i="24"/>
  <c r="F94" i="24"/>
  <c r="F86" i="24"/>
  <c r="AD86" i="24" s="1"/>
  <c r="F85" i="24"/>
  <c r="F71" i="24"/>
  <c r="F75" i="24"/>
  <c r="I84" i="27"/>
  <c r="J57" i="27"/>
  <c r="I74" i="27"/>
  <c r="I19" i="27"/>
  <c r="J19" i="27"/>
  <c r="I62" i="27"/>
  <c r="AQ19" i="24" l="1"/>
  <c r="AR3" i="24"/>
  <c r="I69" i="27"/>
  <c r="I70" i="27"/>
  <c r="AV64" i="24"/>
  <c r="AW64" i="24" s="1"/>
  <c r="AV76" i="24"/>
  <c r="AW76" i="24" s="1"/>
  <c r="AV78" i="24"/>
  <c r="AW78" i="24" s="1"/>
  <c r="AV66" i="24"/>
  <c r="AW66" i="24" s="1"/>
  <c r="AV68" i="24"/>
  <c r="AW68" i="24" s="1"/>
  <c r="AV61" i="24"/>
  <c r="AW61" i="24" s="1"/>
  <c r="AV51" i="24"/>
  <c r="AW51" i="24" s="1"/>
  <c r="AV62" i="24"/>
  <c r="AW62" i="24" s="1"/>
  <c r="AS3" i="24" l="1"/>
  <c r="AT3" i="24" s="1"/>
  <c r="AR19" i="24"/>
  <c r="E13" i="1"/>
  <c r="AU3" i="24" l="1"/>
  <c r="AU19" i="24" s="1"/>
  <c r="AT19" i="24"/>
  <c r="J53" i="26"/>
  <c r="H53" i="26"/>
  <c r="O33" i="26" s="1"/>
  <c r="G53" i="26"/>
  <c r="F53" i="26"/>
  <c r="M33" i="26" s="1"/>
  <c r="E53" i="26"/>
  <c r="L33" i="26" s="1"/>
  <c r="D53" i="26"/>
  <c r="K33" i="26" s="1"/>
  <c r="O51" i="26"/>
  <c r="J51" i="26"/>
  <c r="J49" i="26"/>
  <c r="J46" i="26"/>
  <c r="J44" i="26"/>
  <c r="F43" i="26"/>
  <c r="M32" i="26" s="1"/>
  <c r="J42" i="26"/>
  <c r="J40" i="26"/>
  <c r="B39" i="26"/>
  <c r="J38" i="26"/>
  <c r="C38" i="26"/>
  <c r="B38" i="26"/>
  <c r="C37" i="26"/>
  <c r="B37" i="26"/>
  <c r="J36" i="26"/>
  <c r="C36" i="26"/>
  <c r="B36" i="26"/>
  <c r="J34" i="26"/>
  <c r="B33" i="26"/>
  <c r="K34" i="26" s="1"/>
  <c r="Q32" i="26"/>
  <c r="L32" i="26"/>
  <c r="K32" i="26"/>
  <c r="C32" i="26"/>
  <c r="D32" i="26" s="1"/>
  <c r="Q31" i="26"/>
  <c r="Q30" i="26"/>
  <c r="Q29" i="26"/>
  <c r="Q28" i="26"/>
  <c r="R28" i="26" s="1"/>
  <c r="Q27" i="26"/>
  <c r="R27" i="26" s="1"/>
  <c r="Q26" i="26"/>
  <c r="R26" i="26" s="1"/>
  <c r="V25" i="26"/>
  <c r="W25" i="26" s="1"/>
  <c r="Q25" i="26"/>
  <c r="R25" i="26" s="1"/>
  <c r="K25" i="26"/>
  <c r="V24" i="26"/>
  <c r="W24" i="26" s="1"/>
  <c r="K24" i="26"/>
  <c r="V23" i="26"/>
  <c r="W23" i="26" s="1"/>
  <c r="K23" i="26"/>
  <c r="A23" i="26"/>
  <c r="A24" i="26" s="1"/>
  <c r="A25" i="26" s="1"/>
  <c r="A26" i="26" s="1"/>
  <c r="A27" i="26" s="1"/>
  <c r="A28" i="26" s="1"/>
  <c r="A29" i="26" s="1"/>
  <c r="V22" i="26"/>
  <c r="W22" i="26" s="1"/>
  <c r="O22" i="26"/>
  <c r="K22" i="26"/>
  <c r="P21" i="26"/>
  <c r="N21" i="26"/>
  <c r="M21" i="26"/>
  <c r="L21" i="26"/>
  <c r="K21" i="26"/>
  <c r="I21" i="26"/>
  <c r="G21" i="26"/>
  <c r="H21" i="26" s="1"/>
  <c r="E21" i="26"/>
  <c r="E29" i="26" s="1"/>
  <c r="D21" i="26"/>
  <c r="D29" i="26" s="1"/>
  <c r="C29" i="26" s="1"/>
  <c r="P20" i="26"/>
  <c r="N20" i="26"/>
  <c r="M20" i="26"/>
  <c r="L20" i="26"/>
  <c r="K20" i="26"/>
  <c r="I20" i="26"/>
  <c r="G20" i="26"/>
  <c r="H20" i="26" s="1"/>
  <c r="D20" i="26"/>
  <c r="D28" i="26" s="1"/>
  <c r="P19" i="26"/>
  <c r="N19" i="26"/>
  <c r="M19" i="26"/>
  <c r="L19" i="26"/>
  <c r="K19" i="26"/>
  <c r="I19" i="26"/>
  <c r="G19" i="26"/>
  <c r="H19" i="26" s="1"/>
  <c r="D19" i="26"/>
  <c r="C19" i="26" s="1"/>
  <c r="A19" i="26"/>
  <c r="P18" i="26"/>
  <c r="N18" i="26"/>
  <c r="M18" i="26"/>
  <c r="L18" i="26"/>
  <c r="K18" i="26"/>
  <c r="I18" i="26"/>
  <c r="G18" i="26"/>
  <c r="H18" i="26" s="1"/>
  <c r="D18" i="26"/>
  <c r="D26" i="26" s="1"/>
  <c r="C26" i="26" s="1"/>
  <c r="A18" i="26"/>
  <c r="V17" i="26"/>
  <c r="W17" i="26" s="1"/>
  <c r="K17" i="26"/>
  <c r="D17" i="26"/>
  <c r="D25" i="26" s="1"/>
  <c r="V16" i="26"/>
  <c r="W16" i="26" s="1"/>
  <c r="K16" i="26"/>
  <c r="D16" i="26"/>
  <c r="G16" i="26" s="1"/>
  <c r="A16" i="26"/>
  <c r="A20" i="26" s="1"/>
  <c r="A21" i="26" s="1"/>
  <c r="V15" i="26"/>
  <c r="W15" i="26" s="1"/>
  <c r="K15" i="26"/>
  <c r="D15" i="26"/>
  <c r="D23" i="26" s="1"/>
  <c r="C23" i="26" s="1"/>
  <c r="V14" i="26"/>
  <c r="W14" i="26" s="1"/>
  <c r="O14" i="26"/>
  <c r="K14" i="26"/>
  <c r="E14" i="26"/>
  <c r="E22" i="26" s="1"/>
  <c r="D14" i="26"/>
  <c r="D22" i="26" s="1"/>
  <c r="C22" i="26" s="1"/>
  <c r="B14" i="26"/>
  <c r="V13" i="26"/>
  <c r="W13" i="26" s="1"/>
  <c r="R13" i="26"/>
  <c r="K13" i="26"/>
  <c r="G13" i="26"/>
  <c r="H13" i="26" s="1"/>
  <c r="C13" i="26"/>
  <c r="V12" i="26"/>
  <c r="W12" i="26" s="1"/>
  <c r="R12" i="26"/>
  <c r="K12" i="26"/>
  <c r="G12" i="26"/>
  <c r="L12" i="26" s="1"/>
  <c r="E12" i="26"/>
  <c r="E20" i="26" s="1"/>
  <c r="E28" i="26" s="1"/>
  <c r="C12" i="26"/>
  <c r="V11" i="26"/>
  <c r="W11" i="26" s="1"/>
  <c r="R11" i="26"/>
  <c r="K11" i="26"/>
  <c r="G11" i="26"/>
  <c r="L11" i="26" s="1"/>
  <c r="E11" i="26"/>
  <c r="E19" i="26" s="1"/>
  <c r="E27" i="26" s="1"/>
  <c r="C11" i="26"/>
  <c r="A11" i="26"/>
  <c r="V10" i="26"/>
  <c r="W10" i="26" s="1"/>
  <c r="K10" i="26"/>
  <c r="G10" i="26"/>
  <c r="E10" i="26"/>
  <c r="E18" i="26" s="1"/>
  <c r="E26" i="26" s="1"/>
  <c r="C10" i="26"/>
  <c r="A10" i="26"/>
  <c r="V9" i="26"/>
  <c r="W9" i="26" s="1"/>
  <c r="K9" i="26"/>
  <c r="G9" i="26"/>
  <c r="L9" i="26" s="1"/>
  <c r="E9" i="26"/>
  <c r="E17" i="26" s="1"/>
  <c r="E25" i="26" s="1"/>
  <c r="C9" i="26"/>
  <c r="A9" i="26"/>
  <c r="V8" i="26"/>
  <c r="W8" i="26" s="1"/>
  <c r="K8" i="26"/>
  <c r="G8" i="26"/>
  <c r="H8" i="26" s="1"/>
  <c r="E8" i="26"/>
  <c r="E16" i="26" s="1"/>
  <c r="E24" i="26" s="1"/>
  <c r="C8" i="26"/>
  <c r="A8" i="26"/>
  <c r="A12" i="26" s="1"/>
  <c r="A13" i="26" s="1"/>
  <c r="A17" i="26" s="1"/>
  <c r="V7" i="26"/>
  <c r="W7" i="26" s="1"/>
  <c r="R7" i="26"/>
  <c r="K7" i="26"/>
  <c r="G7" i="26"/>
  <c r="H7" i="26" s="1"/>
  <c r="E7" i="26"/>
  <c r="E15" i="26" s="1"/>
  <c r="E23" i="26" s="1"/>
  <c r="C7" i="26"/>
  <c r="V6" i="26"/>
  <c r="W6" i="26" s="1"/>
  <c r="R6" i="26"/>
  <c r="O6" i="26"/>
  <c r="K6" i="26"/>
  <c r="G6" i="26"/>
  <c r="L6" i="26" s="1"/>
  <c r="C6" i="26"/>
  <c r="B6" i="26"/>
  <c r="A1" i="26"/>
  <c r="L42" i="26" l="1"/>
  <c r="L43" i="26" s="1"/>
  <c r="G14" i="26"/>
  <c r="H14" i="26" s="1"/>
  <c r="F26" i="26"/>
  <c r="F30" i="26" s="1"/>
  <c r="D27" i="26"/>
  <c r="F27" i="26" s="1"/>
  <c r="M27" i="26" s="1"/>
  <c r="C16" i="26"/>
  <c r="G15" i="26"/>
  <c r="L15" i="26" s="1"/>
  <c r="C20" i="26"/>
  <c r="C14" i="26"/>
  <c r="F29" i="26"/>
  <c r="J29" i="26" s="1"/>
  <c r="F28" i="26"/>
  <c r="M28" i="26" s="1"/>
  <c r="C28" i="26"/>
  <c r="G25" i="26"/>
  <c r="H25" i="26" s="1"/>
  <c r="C25" i="26"/>
  <c r="C15" i="26"/>
  <c r="C17" i="26"/>
  <c r="L40" i="26"/>
  <c r="L41" i="26" s="1"/>
  <c r="G17" i="26"/>
  <c r="H17" i="26" s="1"/>
  <c r="G43" i="26"/>
  <c r="C21" i="26"/>
  <c r="N3" i="26"/>
  <c r="H12" i="26"/>
  <c r="L13" i="26"/>
  <c r="H6" i="26"/>
  <c r="L7" i="26"/>
  <c r="K42" i="26"/>
  <c r="K43" i="26" s="1"/>
  <c r="J27" i="26"/>
  <c r="G27" i="26"/>
  <c r="H27" i="26" s="1"/>
  <c r="N27" i="26"/>
  <c r="P27" i="26"/>
  <c r="M38" i="26"/>
  <c r="M39" i="26" s="1"/>
  <c r="I7" i="26" s="1"/>
  <c r="D33" i="26"/>
  <c r="M34" i="26" s="1"/>
  <c r="M35" i="26" s="1"/>
  <c r="D34" i="26"/>
  <c r="M36" i="26" s="1"/>
  <c r="M37" i="26" s="1"/>
  <c r="D37" i="26"/>
  <c r="M42" i="26" s="1"/>
  <c r="M43" i="26" s="1"/>
  <c r="D39" i="26"/>
  <c r="M46" i="26" s="1"/>
  <c r="M47" i="26" s="1"/>
  <c r="D38" i="26"/>
  <c r="M44" i="26" s="1"/>
  <c r="M45" i="26" s="1"/>
  <c r="D36" i="26"/>
  <c r="M40" i="26" s="1"/>
  <c r="M41" i="26" s="1"/>
  <c r="K51" i="26"/>
  <c r="K53" i="26"/>
  <c r="K49" i="26"/>
  <c r="L51" i="26"/>
  <c r="L53" i="26"/>
  <c r="G23" i="26"/>
  <c r="L16" i="26"/>
  <c r="H16" i="26"/>
  <c r="K35" i="26"/>
  <c r="L49" i="26"/>
  <c r="L8" i="26"/>
  <c r="G22" i="26"/>
  <c r="J26" i="26"/>
  <c r="R29" i="26"/>
  <c r="L10" i="26"/>
  <c r="H10" i="26"/>
  <c r="R14" i="26"/>
  <c r="L38" i="26"/>
  <c r="L39" i="26" s="1"/>
  <c r="I13" i="26" s="1"/>
  <c r="N26" i="26"/>
  <c r="M26" i="26"/>
  <c r="L26" i="26"/>
  <c r="K26" i="26"/>
  <c r="C33" i="26"/>
  <c r="L34" i="26" s="1"/>
  <c r="L35" i="26" s="1"/>
  <c r="I29" i="26" s="1"/>
  <c r="C34" i="26"/>
  <c r="C39" i="26"/>
  <c r="L46" i="26" s="1"/>
  <c r="L47" i="26" s="1"/>
  <c r="D24" i="26"/>
  <c r="M51" i="26"/>
  <c r="M53" i="26"/>
  <c r="M49" i="26"/>
  <c r="K40" i="26"/>
  <c r="K41" i="26" s="1"/>
  <c r="N33" i="26"/>
  <c r="O53" i="26"/>
  <c r="O49" i="26"/>
  <c r="G26" i="26"/>
  <c r="H26" i="26" s="1"/>
  <c r="H9" i="26"/>
  <c r="L44" i="26"/>
  <c r="L45" i="26" s="1"/>
  <c r="K44" i="26"/>
  <c r="K45" i="26" s="1"/>
  <c r="K46" i="26"/>
  <c r="K47" i="26" s="1"/>
  <c r="H11" i="26"/>
  <c r="B34" i="26"/>
  <c r="C18" i="26"/>
  <c r="K38" i="26"/>
  <c r="K39" i="26" s="1"/>
  <c r="E32" i="26"/>
  <c r="L14" i="26" l="1"/>
  <c r="B22" i="26"/>
  <c r="P26" i="26"/>
  <c r="M29" i="26"/>
  <c r="N29" i="26"/>
  <c r="K27" i="26"/>
  <c r="R30" i="26"/>
  <c r="K28" i="26"/>
  <c r="J28" i="26"/>
  <c r="L27" i="26"/>
  <c r="C27" i="26"/>
  <c r="P29" i="26"/>
  <c r="L25" i="26"/>
  <c r="I22" i="26"/>
  <c r="K29" i="26"/>
  <c r="H15" i="26"/>
  <c r="L29" i="26"/>
  <c r="I14" i="26"/>
  <c r="G29" i="26"/>
  <c r="H29" i="26" s="1"/>
  <c r="R32" i="26"/>
  <c r="I15" i="26"/>
  <c r="P28" i="26"/>
  <c r="I28" i="26"/>
  <c r="L28" i="26"/>
  <c r="G28" i="26"/>
  <c r="H28" i="26" s="1"/>
  <c r="R31" i="26"/>
  <c r="R36" i="26"/>
  <c r="N28" i="26"/>
  <c r="L17" i="26"/>
  <c r="H43" i="26"/>
  <c r="N32" i="26"/>
  <c r="R38" i="26"/>
  <c r="R37" i="26"/>
  <c r="I6" i="26"/>
  <c r="F32" i="26"/>
  <c r="I23" i="26"/>
  <c r="L23" i="26"/>
  <c r="H23" i="26"/>
  <c r="L22" i="26"/>
  <c r="H22" i="26"/>
  <c r="N51" i="26"/>
  <c r="N53" i="26"/>
  <c r="N49" i="26"/>
  <c r="R35" i="26"/>
  <c r="I12" i="26"/>
  <c r="G24" i="26"/>
  <c r="C24" i="26"/>
  <c r="L36" i="26"/>
  <c r="L37" i="26" s="1"/>
  <c r="K36" i="26"/>
  <c r="K37" i="26" s="1"/>
  <c r="R6" i="25"/>
  <c r="N53" i="25"/>
  <c r="J53" i="25"/>
  <c r="H53" i="25"/>
  <c r="O33" i="25" s="1"/>
  <c r="G53" i="25"/>
  <c r="N33" i="25" s="1"/>
  <c r="F53" i="25"/>
  <c r="M33" i="25" s="1"/>
  <c r="M53" i="25" s="1"/>
  <c r="E53" i="25"/>
  <c r="L33" i="25" s="1"/>
  <c r="L53" i="25" s="1"/>
  <c r="D53" i="25"/>
  <c r="K33" i="25" s="1"/>
  <c r="O51" i="25"/>
  <c r="J51" i="25"/>
  <c r="L49" i="25"/>
  <c r="J49" i="25"/>
  <c r="J46" i="25"/>
  <c r="J44" i="25"/>
  <c r="F43" i="25"/>
  <c r="M32" i="25" s="1"/>
  <c r="J42" i="25"/>
  <c r="J40" i="25"/>
  <c r="J38" i="25"/>
  <c r="J36" i="25"/>
  <c r="B34" i="25"/>
  <c r="J34" i="25"/>
  <c r="Q32" i="25"/>
  <c r="L32" i="25"/>
  <c r="K32" i="25"/>
  <c r="C32" i="25"/>
  <c r="D32" i="25" s="1"/>
  <c r="Q31" i="25"/>
  <c r="Q30" i="25"/>
  <c r="Q29" i="25"/>
  <c r="Q28" i="25"/>
  <c r="Q27" i="25"/>
  <c r="Q26" i="25"/>
  <c r="V25" i="25"/>
  <c r="W25" i="25" s="1"/>
  <c r="Q25" i="25"/>
  <c r="K25" i="25"/>
  <c r="L25" i="25"/>
  <c r="V24" i="25"/>
  <c r="W24" i="25" s="1"/>
  <c r="K24" i="25"/>
  <c r="V23" i="25"/>
  <c r="W23" i="25" s="1"/>
  <c r="K23" i="25"/>
  <c r="A23" i="25"/>
  <c r="A24" i="25" s="1"/>
  <c r="A25" i="25" s="1"/>
  <c r="A26" i="25" s="1"/>
  <c r="A27" i="25" s="1"/>
  <c r="A28" i="25" s="1"/>
  <c r="A29" i="25" s="1"/>
  <c r="V22" i="25"/>
  <c r="W22" i="25" s="1"/>
  <c r="O22" i="25"/>
  <c r="K22" i="25"/>
  <c r="P21" i="25"/>
  <c r="N21" i="25"/>
  <c r="M21" i="25"/>
  <c r="L21" i="25"/>
  <c r="K21" i="25"/>
  <c r="I21" i="25"/>
  <c r="H21" i="25"/>
  <c r="E21" i="25"/>
  <c r="E29" i="25" s="1"/>
  <c r="D21" i="25"/>
  <c r="P20" i="25"/>
  <c r="N20" i="25"/>
  <c r="M20" i="25"/>
  <c r="L20" i="25"/>
  <c r="K20" i="25"/>
  <c r="I20" i="25"/>
  <c r="H20" i="25"/>
  <c r="D20" i="25"/>
  <c r="P19" i="25"/>
  <c r="N19" i="25"/>
  <c r="M19" i="25"/>
  <c r="L19" i="25"/>
  <c r="K19" i="25"/>
  <c r="I19" i="25"/>
  <c r="H19" i="25"/>
  <c r="D19" i="25"/>
  <c r="A19" i="25"/>
  <c r="P18" i="25"/>
  <c r="N18" i="25"/>
  <c r="M18" i="25"/>
  <c r="L18" i="25"/>
  <c r="K18" i="25"/>
  <c r="I18" i="25"/>
  <c r="H18" i="25"/>
  <c r="D18" i="25"/>
  <c r="D26" i="25" s="1"/>
  <c r="F26" i="25" s="1"/>
  <c r="N26" i="25" s="1"/>
  <c r="A18" i="25"/>
  <c r="V17" i="25"/>
  <c r="W17" i="25" s="1"/>
  <c r="K17" i="25"/>
  <c r="D17" i="25"/>
  <c r="D25" i="25" s="1"/>
  <c r="V16" i="25"/>
  <c r="W16" i="25" s="1"/>
  <c r="L16" i="25"/>
  <c r="K16" i="25"/>
  <c r="D16" i="25"/>
  <c r="H16" i="25" s="1"/>
  <c r="A16" i="25"/>
  <c r="A20" i="25" s="1"/>
  <c r="A21" i="25" s="1"/>
  <c r="V15" i="25"/>
  <c r="W15" i="25" s="1"/>
  <c r="K15" i="25"/>
  <c r="D15" i="25"/>
  <c r="D23" i="25" s="1"/>
  <c r="V14" i="25"/>
  <c r="W14" i="25" s="1"/>
  <c r="O14" i="25"/>
  <c r="K14" i="25"/>
  <c r="E14" i="25"/>
  <c r="E22" i="25" s="1"/>
  <c r="D14" i="25"/>
  <c r="L14" i="25" s="1"/>
  <c r="B14" i="25"/>
  <c r="V13" i="25"/>
  <c r="W13" i="25" s="1"/>
  <c r="K13" i="25"/>
  <c r="H13" i="25"/>
  <c r="V12" i="25"/>
  <c r="W12" i="25" s="1"/>
  <c r="L12" i="25"/>
  <c r="K12" i="25"/>
  <c r="H12" i="25"/>
  <c r="E12" i="25"/>
  <c r="E20" i="25" s="1"/>
  <c r="E28" i="25" s="1"/>
  <c r="V11" i="25"/>
  <c r="W11" i="25" s="1"/>
  <c r="L11" i="25"/>
  <c r="K11" i="25"/>
  <c r="H11" i="25"/>
  <c r="E11" i="25"/>
  <c r="E19" i="25" s="1"/>
  <c r="E27" i="25" s="1"/>
  <c r="A11" i="25"/>
  <c r="V10" i="25"/>
  <c r="W10" i="25" s="1"/>
  <c r="L10" i="25"/>
  <c r="K10" i="25"/>
  <c r="H10" i="25"/>
  <c r="E10" i="25"/>
  <c r="E18" i="25" s="1"/>
  <c r="E26" i="25" s="1"/>
  <c r="A10" i="25"/>
  <c r="V9" i="25"/>
  <c r="W9" i="25" s="1"/>
  <c r="K9" i="25"/>
  <c r="L9" i="25"/>
  <c r="E9" i="25"/>
  <c r="E17" i="25" s="1"/>
  <c r="E25" i="25" s="1"/>
  <c r="A9" i="25"/>
  <c r="V8" i="25"/>
  <c r="W8" i="25" s="1"/>
  <c r="K8" i="25"/>
  <c r="H8" i="25"/>
  <c r="L8" i="25"/>
  <c r="E8" i="25"/>
  <c r="E16" i="25" s="1"/>
  <c r="E24" i="25" s="1"/>
  <c r="A8" i="25"/>
  <c r="A12" i="25" s="1"/>
  <c r="A13" i="25" s="1"/>
  <c r="A17" i="25" s="1"/>
  <c r="V7" i="25"/>
  <c r="W7" i="25" s="1"/>
  <c r="L7" i="25"/>
  <c r="K7" i="25"/>
  <c r="H7" i="25"/>
  <c r="E7" i="25"/>
  <c r="E15" i="25" s="1"/>
  <c r="E23" i="25" s="1"/>
  <c r="V6" i="25"/>
  <c r="W6" i="25" s="1"/>
  <c r="O6" i="25"/>
  <c r="K6" i="25"/>
  <c r="H6" i="25"/>
  <c r="B6" i="25"/>
  <c r="K30" i="26" l="1"/>
  <c r="R5" i="26" s="1"/>
  <c r="R8" i="26" s="1"/>
  <c r="R9" i="26" s="1"/>
  <c r="R10" i="26" s="1"/>
  <c r="R15" i="26" s="1"/>
  <c r="R16" i="26" s="1"/>
  <c r="G43" i="25"/>
  <c r="H43" i="25" s="1"/>
  <c r="D24" i="25"/>
  <c r="H24" i="25" s="1"/>
  <c r="O32" i="26"/>
  <c r="M7" i="26"/>
  <c r="M9" i="26"/>
  <c r="M22" i="26"/>
  <c r="M13" i="26"/>
  <c r="M11" i="26"/>
  <c r="M10" i="26"/>
  <c r="M25" i="26"/>
  <c r="M16" i="26"/>
  <c r="M12" i="26"/>
  <c r="M8" i="26"/>
  <c r="M14" i="26"/>
  <c r="M15" i="26"/>
  <c r="M23" i="26"/>
  <c r="M6" i="26"/>
  <c r="M17" i="26"/>
  <c r="M24" i="26"/>
  <c r="L24" i="26"/>
  <c r="H24" i="26"/>
  <c r="H30" i="26"/>
  <c r="N38" i="26"/>
  <c r="N39" i="26" s="1"/>
  <c r="G32" i="26"/>
  <c r="E33" i="26"/>
  <c r="E34" i="26"/>
  <c r="E39" i="26"/>
  <c r="E38" i="26"/>
  <c r="E37" i="26"/>
  <c r="E36" i="26"/>
  <c r="N3" i="25"/>
  <c r="L17" i="25"/>
  <c r="H17" i="25"/>
  <c r="D28" i="25"/>
  <c r="M14" i="25"/>
  <c r="M23" i="25"/>
  <c r="D27" i="25"/>
  <c r="H23" i="25"/>
  <c r="L23" i="25"/>
  <c r="H14" i="25"/>
  <c r="K53" i="25"/>
  <c r="K51" i="25"/>
  <c r="K49" i="25"/>
  <c r="M13" i="25"/>
  <c r="M24" i="25"/>
  <c r="M26" i="25"/>
  <c r="L26" i="25"/>
  <c r="K26" i="25"/>
  <c r="P26" i="25"/>
  <c r="J26" i="25"/>
  <c r="H26" i="25"/>
  <c r="M7" i="25"/>
  <c r="M10" i="25"/>
  <c r="D29" i="25"/>
  <c r="E32" i="25"/>
  <c r="O32" i="25"/>
  <c r="M6" i="25"/>
  <c r="C37" i="25"/>
  <c r="C38" i="25"/>
  <c r="C33" i="25"/>
  <c r="C39" i="25"/>
  <c r="C34" i="25"/>
  <c r="L36" i="25" s="1"/>
  <c r="L37" i="25" s="1"/>
  <c r="C36" i="25"/>
  <c r="L15" i="25"/>
  <c r="H15" i="25"/>
  <c r="B36" i="25"/>
  <c r="L51" i="25"/>
  <c r="L6" i="25"/>
  <c r="L13" i="25"/>
  <c r="D22" i="25"/>
  <c r="M51" i="25"/>
  <c r="H25" i="25"/>
  <c r="B39" i="25"/>
  <c r="L24" i="25"/>
  <c r="M17" i="25"/>
  <c r="B33" i="25"/>
  <c r="K36" i="25"/>
  <c r="K37" i="25" s="1"/>
  <c r="B38" i="25"/>
  <c r="N51" i="25"/>
  <c r="N49" i="25"/>
  <c r="O53" i="25"/>
  <c r="O49" i="25"/>
  <c r="M49" i="25"/>
  <c r="B37" i="25"/>
  <c r="K38" i="25"/>
  <c r="K39" i="25" s="1"/>
  <c r="H9" i="25"/>
  <c r="L38" i="25"/>
  <c r="L39" i="25" s="1"/>
  <c r="I13" i="25" s="1"/>
  <c r="M9" i="25" l="1"/>
  <c r="P9" i="25" s="1"/>
  <c r="M15" i="25"/>
  <c r="P15" i="25" s="1"/>
  <c r="N32" i="25"/>
  <c r="M25" i="25"/>
  <c r="M12" i="25"/>
  <c r="P12" i="25" s="1"/>
  <c r="M8" i="25"/>
  <c r="N8" i="25" s="1"/>
  <c r="M11" i="25"/>
  <c r="P11" i="25" s="1"/>
  <c r="P25" i="26"/>
  <c r="N25" i="26"/>
  <c r="P23" i="26"/>
  <c r="N23" i="26"/>
  <c r="P13" i="26"/>
  <c r="N13" i="26"/>
  <c r="N15" i="26"/>
  <c r="P15" i="26"/>
  <c r="P10" i="26"/>
  <c r="N10" i="26"/>
  <c r="P17" i="26"/>
  <c r="N17" i="26"/>
  <c r="N11" i="26"/>
  <c r="P11" i="26"/>
  <c r="N22" i="26"/>
  <c r="P22" i="26"/>
  <c r="P14" i="26"/>
  <c r="N14" i="26"/>
  <c r="N8" i="26"/>
  <c r="P8" i="26"/>
  <c r="P9" i="26"/>
  <c r="N9" i="26"/>
  <c r="P12" i="26"/>
  <c r="N12" i="26"/>
  <c r="P6" i="26"/>
  <c r="N6" i="26"/>
  <c r="P7" i="26"/>
  <c r="N7" i="26"/>
  <c r="P16" i="26"/>
  <c r="N16" i="26"/>
  <c r="I8" i="26"/>
  <c r="I11" i="26"/>
  <c r="G39" i="26"/>
  <c r="O46" i="26" s="1"/>
  <c r="O47" i="26" s="1"/>
  <c r="G38" i="26"/>
  <c r="O44" i="26" s="1"/>
  <c r="O45" i="26" s="1"/>
  <c r="G37" i="26"/>
  <c r="O42" i="26" s="1"/>
  <c r="O43" i="26" s="1"/>
  <c r="G36" i="26"/>
  <c r="O40" i="26" s="1"/>
  <c r="O41" i="26" s="1"/>
  <c r="I17" i="26" s="1"/>
  <c r="G33" i="26"/>
  <c r="O34" i="26" s="1"/>
  <c r="O35" i="26" s="1"/>
  <c r="G34" i="26"/>
  <c r="O36" i="26" s="1"/>
  <c r="O37" i="26" s="1"/>
  <c r="O38" i="26"/>
  <c r="O39" i="26" s="1"/>
  <c r="F34" i="26"/>
  <c r="N36" i="26" s="1"/>
  <c r="N37" i="26" s="1"/>
  <c r="F39" i="26"/>
  <c r="N46" i="26" s="1"/>
  <c r="N47" i="26" s="1"/>
  <c r="F38" i="26"/>
  <c r="N44" i="26" s="1"/>
  <c r="N45" i="26" s="1"/>
  <c r="F37" i="26"/>
  <c r="N42" i="26" s="1"/>
  <c r="N43" i="26" s="1"/>
  <c r="F36" i="26"/>
  <c r="N40" i="26" s="1"/>
  <c r="N41" i="26" s="1"/>
  <c r="I16" i="26" s="1"/>
  <c r="F33" i="26"/>
  <c r="N34" i="26" s="1"/>
  <c r="N35" i="26" s="1"/>
  <c r="P24" i="26"/>
  <c r="N24" i="26"/>
  <c r="N9" i="25"/>
  <c r="L44" i="25"/>
  <c r="L45" i="25" s="1"/>
  <c r="K44" i="25"/>
  <c r="K45" i="25" s="1"/>
  <c r="N23" i="25"/>
  <c r="P23" i="25"/>
  <c r="P10" i="25"/>
  <c r="N10" i="25"/>
  <c r="I6" i="25"/>
  <c r="M16" i="25"/>
  <c r="L34" i="25"/>
  <c r="L35" i="25" s="1"/>
  <c r="K34" i="25"/>
  <c r="K35" i="25" s="1"/>
  <c r="P6" i="25"/>
  <c r="N6" i="25"/>
  <c r="N14" i="25"/>
  <c r="P14" i="25"/>
  <c r="P7" i="25"/>
  <c r="N7" i="25"/>
  <c r="P17" i="25"/>
  <c r="N17" i="25"/>
  <c r="K40" i="25"/>
  <c r="K41" i="25" s="1"/>
  <c r="L40" i="25"/>
  <c r="L41" i="25" s="1"/>
  <c r="I14" i="25" s="1"/>
  <c r="P24" i="25"/>
  <c r="N24" i="25"/>
  <c r="F32" i="25"/>
  <c r="R35" i="25"/>
  <c r="P13" i="25"/>
  <c r="N13" i="25"/>
  <c r="F27" i="25"/>
  <c r="F28" i="25"/>
  <c r="L46" i="25"/>
  <c r="L47" i="25" s="1"/>
  <c r="K46" i="25"/>
  <c r="K47" i="25" s="1"/>
  <c r="N25" i="25"/>
  <c r="P25" i="25"/>
  <c r="L42" i="25"/>
  <c r="L43" i="25" s="1"/>
  <c r="K42" i="25"/>
  <c r="K43" i="25" s="1"/>
  <c r="R38" i="25"/>
  <c r="R37" i="25"/>
  <c r="R36" i="25"/>
  <c r="M38" i="25"/>
  <c r="M39" i="25" s="1"/>
  <c r="D39" i="25"/>
  <c r="M46" i="25" s="1"/>
  <c r="M47" i="25" s="1"/>
  <c r="D33" i="25"/>
  <c r="M34" i="25" s="1"/>
  <c r="M35" i="25" s="1"/>
  <c r="I23" i="25" s="1"/>
  <c r="D34" i="25"/>
  <c r="M36" i="25" s="1"/>
  <c r="M37" i="25" s="1"/>
  <c r="D36" i="25"/>
  <c r="M40" i="25" s="1"/>
  <c r="M41" i="25" s="1"/>
  <c r="I15" i="25" s="1"/>
  <c r="D37" i="25"/>
  <c r="M42" i="25" s="1"/>
  <c r="M43" i="25" s="1"/>
  <c r="D38" i="25"/>
  <c r="M44" i="25" s="1"/>
  <c r="M45" i="25" s="1"/>
  <c r="F29" i="25"/>
  <c r="N11" i="25" l="1"/>
  <c r="P8" i="25"/>
  <c r="N15" i="25"/>
  <c r="N12" i="25"/>
  <c r="M30" i="26"/>
  <c r="I9" i="26"/>
  <c r="I10" i="26"/>
  <c r="I25" i="26"/>
  <c r="I26" i="26"/>
  <c r="I27" i="26"/>
  <c r="I24" i="26"/>
  <c r="I29" i="25"/>
  <c r="H27" i="25"/>
  <c r="N27" i="25"/>
  <c r="P27" i="25"/>
  <c r="L27" i="25"/>
  <c r="K27" i="25"/>
  <c r="J27" i="25"/>
  <c r="M27" i="25"/>
  <c r="F30" i="25"/>
  <c r="B22" i="25"/>
  <c r="L22" i="25"/>
  <c r="H22" i="25"/>
  <c r="G32" i="25"/>
  <c r="N38" i="25"/>
  <c r="N39" i="25" s="1"/>
  <c r="P16" i="25"/>
  <c r="N16" i="25"/>
  <c r="E39" i="25"/>
  <c r="E38" i="25"/>
  <c r="E37" i="25"/>
  <c r="E34" i="25"/>
  <c r="E36" i="25"/>
  <c r="E33" i="25"/>
  <c r="P28" i="25"/>
  <c r="N28" i="25"/>
  <c r="M28" i="25"/>
  <c r="K28" i="25"/>
  <c r="J28" i="25"/>
  <c r="H28" i="25"/>
  <c r="L28" i="25"/>
  <c r="M29" i="25"/>
  <c r="L29" i="25"/>
  <c r="K29" i="25"/>
  <c r="N29" i="25"/>
  <c r="P29" i="25"/>
  <c r="H29" i="25"/>
  <c r="J29" i="25"/>
  <c r="M22" i="25"/>
  <c r="I22" i="25"/>
  <c r="I7" i="25"/>
  <c r="I12" i="25"/>
  <c r="I28" i="25"/>
  <c r="I11" i="25" l="1"/>
  <c r="I8" i="25"/>
  <c r="H30" i="25"/>
  <c r="N40" i="25"/>
  <c r="N41" i="25" s="1"/>
  <c r="I16" i="25" s="1"/>
  <c r="N22" i="25"/>
  <c r="P22" i="25"/>
  <c r="M30" i="25" s="1"/>
  <c r="K30" i="25"/>
  <c r="F39" i="25"/>
  <c r="N46" i="25" s="1"/>
  <c r="N47" i="25" s="1"/>
  <c r="F38" i="25"/>
  <c r="N44" i="25" s="1"/>
  <c r="N45" i="25" s="1"/>
  <c r="F37" i="25"/>
  <c r="N42" i="25" s="1"/>
  <c r="N43" i="25" s="1"/>
  <c r="F36" i="25"/>
  <c r="F33" i="25"/>
  <c r="N34" i="25" s="1"/>
  <c r="N35" i="25" s="1"/>
  <c r="F34" i="25"/>
  <c r="N36" i="25" s="1"/>
  <c r="N37" i="25" s="1"/>
  <c r="G38" i="25"/>
  <c r="O44" i="25" s="1"/>
  <c r="O45" i="25" s="1"/>
  <c r="G37" i="25"/>
  <c r="O42" i="25" s="1"/>
  <c r="O43" i="25" s="1"/>
  <c r="G36" i="25"/>
  <c r="O40" i="25" s="1"/>
  <c r="O41" i="25" s="1"/>
  <c r="I17" i="25" s="1"/>
  <c r="G33" i="25"/>
  <c r="O34" i="25" s="1"/>
  <c r="O35" i="25" s="1"/>
  <c r="G34" i="25"/>
  <c r="O36" i="25" s="1"/>
  <c r="O37" i="25" s="1"/>
  <c r="G39" i="25"/>
  <c r="O46" i="25" s="1"/>
  <c r="O47" i="25" s="1"/>
  <c r="O38" i="25"/>
  <c r="O39" i="25" s="1"/>
  <c r="I24" i="25" l="1"/>
  <c r="I27" i="25"/>
  <c r="I9" i="25"/>
  <c r="I10" i="25"/>
  <c r="I26" i="25"/>
  <c r="I25" i="25"/>
  <c r="J41" i="20" l="1"/>
  <c r="J49" i="1"/>
  <c r="J51" i="1" s="1"/>
  <c r="I49" i="1"/>
  <c r="I51" i="1" s="1"/>
  <c r="L51" i="1" s="1"/>
  <c r="N51" i="1" l="1"/>
  <c r="F38" i="6"/>
  <c r="G38" i="6" s="1"/>
  <c r="H38" i="6" s="1"/>
  <c r="I38" i="6" s="1"/>
  <c r="J38" i="6" s="1"/>
  <c r="K38" i="6" s="1"/>
  <c r="L38" i="6" s="1"/>
  <c r="M38" i="6" s="1"/>
  <c r="N38" i="6" s="1"/>
  <c r="O38" i="6" s="1"/>
  <c r="P38" i="6" s="1"/>
  <c r="Q38" i="6" s="1"/>
  <c r="R38" i="6" s="1"/>
  <c r="S38" i="6" s="1"/>
  <c r="T38" i="6" s="1"/>
  <c r="U38" i="6" s="1"/>
  <c r="V38" i="6" s="1"/>
  <c r="W38" i="6" s="1"/>
  <c r="X38" i="6" s="1"/>
  <c r="Y38" i="6" s="1"/>
  <c r="H6" i="22"/>
  <c r="Q3" i="11"/>
  <c r="Q5" i="11" s="1"/>
  <c r="B11" i="11" s="1"/>
  <c r="E6" i="22"/>
  <c r="K2" i="6" l="1"/>
  <c r="M2" i="9"/>
  <c r="K2" i="20"/>
  <c r="J2" i="24"/>
  <c r="AV35" i="24"/>
  <c r="AV34" i="24"/>
  <c r="AV33" i="24"/>
  <c r="AQ37" i="24"/>
  <c r="AM37" i="24"/>
  <c r="AL37" i="24"/>
  <c r="F83" i="6"/>
  <c r="F92" i="6" s="1"/>
  <c r="F82" i="6"/>
  <c r="K2" i="24" l="1"/>
  <c r="G82" i="6"/>
  <c r="H82" i="6" s="1"/>
  <c r="I82" i="6" s="1"/>
  <c r="J82" i="6" s="1"/>
  <c r="K82" i="6" s="1"/>
  <c r="L82" i="6" s="1"/>
  <c r="M82" i="6" s="1"/>
  <c r="N82" i="6" s="1"/>
  <c r="O82" i="6" s="1"/>
  <c r="P82" i="6" s="1"/>
  <c r="Q82" i="6" s="1"/>
  <c r="R82" i="6" s="1"/>
  <c r="S82" i="6" s="1"/>
  <c r="T82" i="6" s="1"/>
  <c r="G83" i="6"/>
  <c r="K6" i="9"/>
  <c r="O53" i="9"/>
  <c r="P53" i="9" s="1"/>
  <c r="O52" i="9"/>
  <c r="P52" i="9" s="1"/>
  <c r="O50" i="9"/>
  <c r="P50" i="9" s="1"/>
  <c r="O47" i="9"/>
  <c r="P47" i="9" s="1"/>
  <c r="P55" i="9"/>
  <c r="P54" i="9"/>
  <c r="P51" i="9"/>
  <c r="P49" i="9"/>
  <c r="P46" i="9"/>
  <c r="R55" i="9"/>
  <c r="R54" i="9"/>
  <c r="R52" i="9"/>
  <c r="R51" i="9"/>
  <c r="R50" i="9"/>
  <c r="R49" i="9"/>
  <c r="R46" i="9"/>
  <c r="J55" i="9"/>
  <c r="J54" i="9"/>
  <c r="J52" i="9"/>
  <c r="J51" i="9"/>
  <c r="J50" i="9"/>
  <c r="J49" i="9"/>
  <c r="J46" i="9"/>
  <c r="H55" i="9"/>
  <c r="H54" i="9"/>
  <c r="H52" i="9"/>
  <c r="H51" i="9"/>
  <c r="H50" i="9"/>
  <c r="H49" i="9"/>
  <c r="H46" i="9"/>
  <c r="K55" i="9"/>
  <c r="K54" i="9"/>
  <c r="K53" i="9"/>
  <c r="K52" i="9"/>
  <c r="K51" i="9"/>
  <c r="K50" i="9"/>
  <c r="K49" i="9"/>
  <c r="K46" i="9"/>
  <c r="K47" i="9" s="1"/>
  <c r="K42" i="9"/>
  <c r="M55" i="9"/>
  <c r="M54" i="9"/>
  <c r="Q53" i="9"/>
  <c r="R53" i="9" s="1"/>
  <c r="M53" i="9"/>
  <c r="I53" i="9"/>
  <c r="J53" i="9" s="1"/>
  <c r="G53" i="9"/>
  <c r="H53" i="9" s="1"/>
  <c r="M52" i="9"/>
  <c r="M51" i="9"/>
  <c r="M50" i="9"/>
  <c r="M49" i="9"/>
  <c r="Q47" i="9"/>
  <c r="Q48" i="9" s="1"/>
  <c r="R48" i="9" s="1"/>
  <c r="I47" i="9"/>
  <c r="J47" i="9" s="1"/>
  <c r="G47" i="9"/>
  <c r="G48" i="9" s="1"/>
  <c r="H48" i="9" s="1"/>
  <c r="M46" i="9"/>
  <c r="M42" i="9"/>
  <c r="W13" i="20"/>
  <c r="W12" i="20"/>
  <c r="W11" i="20"/>
  <c r="R25" i="1"/>
  <c r="Q25" i="1" s="1"/>
  <c r="L2" i="24" l="1"/>
  <c r="L54" i="9"/>
  <c r="N53" i="9"/>
  <c r="N49" i="9"/>
  <c r="N50" i="9"/>
  <c r="N51" i="9"/>
  <c r="L49" i="9"/>
  <c r="N52" i="9"/>
  <c r="L50" i="9"/>
  <c r="K12" i="9" s="1"/>
  <c r="L51" i="9"/>
  <c r="K13" i="9" s="1"/>
  <c r="L52" i="9"/>
  <c r="O48" i="9"/>
  <c r="P48" i="9" s="1"/>
  <c r="H83" i="6"/>
  <c r="G92" i="6"/>
  <c r="N46" i="9"/>
  <c r="N54" i="9"/>
  <c r="H47" i="9"/>
  <c r="N55" i="9"/>
  <c r="K11" i="9"/>
  <c r="L47" i="9"/>
  <c r="L53" i="9"/>
  <c r="L55" i="9"/>
  <c r="L46" i="9"/>
  <c r="R47" i="9"/>
  <c r="K48" i="9"/>
  <c r="L48" i="9" s="1"/>
  <c r="Q57" i="9"/>
  <c r="R57" i="9" s="1"/>
  <c r="G57" i="9"/>
  <c r="H57" i="9" s="1"/>
  <c r="I48" i="9"/>
  <c r="J48" i="9" s="1"/>
  <c r="M47" i="9"/>
  <c r="K16" i="9" l="1"/>
  <c r="K15" i="9"/>
  <c r="K14" i="9"/>
  <c r="K17" i="9"/>
  <c r="M2" i="24"/>
  <c r="O57" i="9"/>
  <c r="P57" i="9" s="1"/>
  <c r="I83" i="6"/>
  <c r="H92" i="6"/>
  <c r="K8" i="9"/>
  <c r="M48" i="9"/>
  <c r="N48" i="9" s="1"/>
  <c r="K10" i="9" s="1"/>
  <c r="K20" i="9" s="1"/>
  <c r="N47" i="9"/>
  <c r="K9" i="9" s="1"/>
  <c r="K57" i="9"/>
  <c r="L57" i="9" s="1"/>
  <c r="I57" i="9"/>
  <c r="J57" i="9" s="1"/>
  <c r="M57" i="9" l="1"/>
  <c r="N57" i="9" s="1"/>
  <c r="N2" i="24"/>
  <c r="J83" i="6"/>
  <c r="I92" i="6"/>
  <c r="H58" i="24"/>
  <c r="O2" i="24" l="1"/>
  <c r="K83" i="6"/>
  <c r="J92" i="6"/>
  <c r="L49" i="1"/>
  <c r="K23" i="11"/>
  <c r="K24" i="11" s="1"/>
  <c r="K25" i="11" s="1"/>
  <c r="K26" i="11" s="1"/>
  <c r="K27" i="11" s="1"/>
  <c r="K28" i="11" s="1"/>
  <c r="P2" i="24" l="1"/>
  <c r="L83" i="6"/>
  <c r="K92" i="6"/>
  <c r="K29" i="11"/>
  <c r="K30" i="11" s="1"/>
  <c r="K31" i="11" s="1"/>
  <c r="K32" i="11" s="1"/>
  <c r="K33" i="11" s="1"/>
  <c r="K34" i="11" s="1"/>
  <c r="K35" i="11" s="1"/>
  <c r="K36" i="11" s="1"/>
  <c r="K37" i="11" s="1"/>
  <c r="K38" i="11" s="1"/>
  <c r="K39" i="11" s="1"/>
  <c r="K40" i="11" s="1"/>
  <c r="K41" i="11" s="1"/>
  <c r="K42" i="11" s="1"/>
  <c r="K43" i="11" s="1"/>
  <c r="K44" i="11" s="1"/>
  <c r="K45" i="11" s="1"/>
  <c r="K46" i="11" s="1"/>
  <c r="K47" i="11" s="1"/>
  <c r="K48" i="11" s="1"/>
  <c r="K49" i="11" s="1"/>
  <c r="K50" i="11" s="1"/>
  <c r="D45" i="1"/>
  <c r="Q2" i="24" l="1"/>
  <c r="K51" i="11"/>
  <c r="K52" i="11" s="1"/>
  <c r="K53" i="11" s="1"/>
  <c r="K54" i="11" s="1"/>
  <c r="K55" i="11" s="1"/>
  <c r="K56" i="11" s="1"/>
  <c r="K57" i="11" s="1"/>
  <c r="M83" i="6"/>
  <c r="L92" i="6"/>
  <c r="I26" i="24"/>
  <c r="K58" i="11" l="1"/>
  <c r="K59" i="11" s="1"/>
  <c r="R2" i="24"/>
  <c r="J26" i="24"/>
  <c r="K26" i="24" s="1"/>
  <c r="L26" i="24" s="1"/>
  <c r="N83" i="6"/>
  <c r="M92" i="6"/>
  <c r="F14" i="24"/>
  <c r="AW14" i="24" s="1"/>
  <c r="L55" i="1"/>
  <c r="C24" i="11"/>
  <c r="S2" i="24" l="1"/>
  <c r="M26" i="24"/>
  <c r="N26" i="24" s="1"/>
  <c r="O83" i="6"/>
  <c r="N92" i="6"/>
  <c r="T2" i="24" l="1"/>
  <c r="O26" i="24"/>
  <c r="P26" i="24" s="1"/>
  <c r="Q26" i="24" s="1"/>
  <c r="R26" i="24" s="1"/>
  <c r="P83" i="6"/>
  <c r="O92" i="6"/>
  <c r="U2" i="24" l="1"/>
  <c r="Q83" i="6"/>
  <c r="P92" i="6"/>
  <c r="V2" i="24" l="1"/>
  <c r="R83" i="6"/>
  <c r="Q92" i="6"/>
  <c r="S26" i="24"/>
  <c r="L18" i="21"/>
  <c r="L17" i="21"/>
  <c r="L16" i="21"/>
  <c r="H70" i="20"/>
  <c r="G70" i="20"/>
  <c r="F70" i="20"/>
  <c r="H67" i="24"/>
  <c r="H65" i="24"/>
  <c r="H60" i="24"/>
  <c r="AB100" i="24"/>
  <c r="H91" i="24"/>
  <c r="H90" i="24"/>
  <c r="H89" i="24"/>
  <c r="H88" i="24"/>
  <c r="H85" i="24"/>
  <c r="H77" i="24"/>
  <c r="H73" i="24"/>
  <c r="H63" i="24"/>
  <c r="H59" i="24"/>
  <c r="H45" i="24"/>
  <c r="H42" i="24"/>
  <c r="H40" i="24"/>
  <c r="G103" i="24"/>
  <c r="AN100" i="24"/>
  <c r="E39" i="24"/>
  <c r="E38" i="24"/>
  <c r="E36" i="24"/>
  <c r="E35" i="24"/>
  <c r="E34" i="24"/>
  <c r="E33" i="24"/>
  <c r="D24" i="24"/>
  <c r="AV23" i="24"/>
  <c r="E22" i="24"/>
  <c r="H19" i="24"/>
  <c r="G16" i="24"/>
  <c r="C120" i="23"/>
  <c r="E116" i="23"/>
  <c r="C116" i="23"/>
  <c r="E115" i="23"/>
  <c r="C115" i="23"/>
  <c r="E114" i="23"/>
  <c r="C114" i="23"/>
  <c r="E113" i="23"/>
  <c r="C113" i="23"/>
  <c r="C106" i="23"/>
  <c r="C105" i="23"/>
  <c r="C104" i="23"/>
  <c r="C103" i="23"/>
  <c r="F99" i="23"/>
  <c r="D99" i="23"/>
  <c r="O98" i="23"/>
  <c r="O99" i="23" s="1"/>
  <c r="N98" i="23"/>
  <c r="M98" i="23"/>
  <c r="M99" i="23" s="1"/>
  <c r="L98" i="23"/>
  <c r="L99" i="23" s="1"/>
  <c r="H98" i="23"/>
  <c r="H99" i="23" s="1"/>
  <c r="E98" i="23"/>
  <c r="Q97" i="23"/>
  <c r="G96" i="23"/>
  <c r="P96" i="23" s="1"/>
  <c r="B96" i="23"/>
  <c r="G95" i="23"/>
  <c r="P95" i="23" s="1"/>
  <c r="B95" i="23"/>
  <c r="P94" i="23"/>
  <c r="B94" i="23"/>
  <c r="A94" i="23"/>
  <c r="P93" i="23"/>
  <c r="B93" i="23"/>
  <c r="A93" i="23"/>
  <c r="G92" i="23"/>
  <c r="P92" i="23" s="1"/>
  <c r="B92" i="23"/>
  <c r="A92" i="23"/>
  <c r="K91" i="23"/>
  <c r="P91" i="23" s="1"/>
  <c r="B91" i="23"/>
  <c r="A91" i="23"/>
  <c r="K90" i="23"/>
  <c r="P90" i="23" s="1"/>
  <c r="B90" i="23"/>
  <c r="A90" i="23"/>
  <c r="P89" i="23"/>
  <c r="B89" i="23"/>
  <c r="A89" i="23"/>
  <c r="K88" i="23"/>
  <c r="P88" i="23" s="1"/>
  <c r="B88" i="23"/>
  <c r="A88" i="23"/>
  <c r="P87" i="23"/>
  <c r="B87" i="23"/>
  <c r="A87" i="23"/>
  <c r="K86" i="23"/>
  <c r="P86" i="23" s="1"/>
  <c r="B86" i="23"/>
  <c r="A86" i="23"/>
  <c r="P85" i="23"/>
  <c r="B85" i="23"/>
  <c r="A85" i="23"/>
  <c r="P84" i="23"/>
  <c r="B84" i="23"/>
  <c r="A84" i="23"/>
  <c r="P83" i="23"/>
  <c r="B83" i="23"/>
  <c r="A83" i="23"/>
  <c r="B82" i="23"/>
  <c r="K82" i="23" s="1"/>
  <c r="P82" i="23" s="1"/>
  <c r="A82" i="23"/>
  <c r="B81" i="23"/>
  <c r="K81" i="23" s="1"/>
  <c r="P81" i="23" s="1"/>
  <c r="A81" i="23"/>
  <c r="B80" i="23"/>
  <c r="K80" i="23" s="1"/>
  <c r="P80" i="23" s="1"/>
  <c r="R80" i="23" s="1"/>
  <c r="A80" i="23"/>
  <c r="B79" i="23"/>
  <c r="A79" i="23"/>
  <c r="P78" i="23"/>
  <c r="B78" i="23"/>
  <c r="A78" i="23"/>
  <c r="P77" i="23"/>
  <c r="B77" i="23"/>
  <c r="A77" i="23"/>
  <c r="P76" i="23"/>
  <c r="B76" i="23"/>
  <c r="R76" i="23" s="1"/>
  <c r="A76" i="23"/>
  <c r="P75" i="23"/>
  <c r="B75" i="23"/>
  <c r="A75" i="23"/>
  <c r="P74" i="23"/>
  <c r="B74" i="23"/>
  <c r="A74" i="23"/>
  <c r="P73" i="23"/>
  <c r="B73" i="23"/>
  <c r="A73" i="23"/>
  <c r="B72" i="23"/>
  <c r="K72" i="23" s="1"/>
  <c r="P72" i="23" s="1"/>
  <c r="R72" i="23" s="1"/>
  <c r="A72" i="23"/>
  <c r="B71" i="23"/>
  <c r="K71" i="23" s="1"/>
  <c r="P71" i="23" s="1"/>
  <c r="A71" i="23"/>
  <c r="P70" i="23"/>
  <c r="B70" i="23"/>
  <c r="A70" i="23"/>
  <c r="B69" i="23"/>
  <c r="G69" i="23" s="1"/>
  <c r="P69" i="23" s="1"/>
  <c r="A69" i="23"/>
  <c r="B68" i="23"/>
  <c r="G68" i="23" s="1"/>
  <c r="P68" i="23" s="1"/>
  <c r="Q68" i="23" s="1"/>
  <c r="A68" i="23"/>
  <c r="B67" i="23"/>
  <c r="A67" i="23"/>
  <c r="I66" i="23"/>
  <c r="B66" i="23"/>
  <c r="A66" i="23"/>
  <c r="K65" i="23"/>
  <c r="P65" i="23" s="1"/>
  <c r="B65" i="23"/>
  <c r="A65" i="23"/>
  <c r="P64" i="23"/>
  <c r="B64" i="23"/>
  <c r="A64" i="23"/>
  <c r="P63" i="23"/>
  <c r="B63" i="23"/>
  <c r="A63" i="23"/>
  <c r="P62" i="23"/>
  <c r="B62" i="23"/>
  <c r="A62" i="23"/>
  <c r="P61" i="23"/>
  <c r="B61" i="23"/>
  <c r="R61" i="23" s="1"/>
  <c r="A61" i="23"/>
  <c r="C60" i="23"/>
  <c r="P60" i="23" s="1"/>
  <c r="B60" i="23"/>
  <c r="A60" i="23"/>
  <c r="C59" i="23"/>
  <c r="P59" i="23" s="1"/>
  <c r="B59" i="23"/>
  <c r="A59" i="23"/>
  <c r="B58" i="23"/>
  <c r="A58" i="23"/>
  <c r="K57" i="23"/>
  <c r="P57" i="23" s="1"/>
  <c r="B57" i="23"/>
  <c r="A57" i="23"/>
  <c r="B56" i="23"/>
  <c r="K56" i="23" s="1"/>
  <c r="P56" i="23" s="1"/>
  <c r="Q56" i="23" s="1"/>
  <c r="A56" i="23"/>
  <c r="B55" i="23"/>
  <c r="K55" i="23" s="1"/>
  <c r="P55" i="23" s="1"/>
  <c r="A55" i="23"/>
  <c r="I54" i="23"/>
  <c r="B54" i="23"/>
  <c r="A54" i="23"/>
  <c r="P53" i="23"/>
  <c r="B53" i="23"/>
  <c r="A53" i="23"/>
  <c r="B52" i="23"/>
  <c r="K52" i="23" s="1"/>
  <c r="P52" i="23" s="1"/>
  <c r="Q52" i="23" s="1"/>
  <c r="A52" i="23"/>
  <c r="B51" i="23"/>
  <c r="K51" i="23" s="1"/>
  <c r="P51" i="23" s="1"/>
  <c r="A51" i="23"/>
  <c r="B50" i="23"/>
  <c r="K50" i="23" s="1"/>
  <c r="P50" i="23" s="1"/>
  <c r="Q50" i="23" s="1"/>
  <c r="A50" i="23"/>
  <c r="B49" i="23"/>
  <c r="K49" i="23" s="1"/>
  <c r="P49" i="23" s="1"/>
  <c r="Q49" i="23" s="1"/>
  <c r="A49" i="23"/>
  <c r="B48" i="23"/>
  <c r="A48" i="23"/>
  <c r="B47" i="23"/>
  <c r="K47" i="23" s="1"/>
  <c r="P47" i="23" s="1"/>
  <c r="A47" i="23"/>
  <c r="B46" i="23"/>
  <c r="K46" i="23" s="1"/>
  <c r="A46" i="23"/>
  <c r="P45" i="23"/>
  <c r="R45" i="23" s="1"/>
  <c r="P44" i="23"/>
  <c r="Q44" i="23" s="1"/>
  <c r="P43" i="23"/>
  <c r="R43" i="23" s="1"/>
  <c r="P42" i="23"/>
  <c r="R42" i="23" s="1"/>
  <c r="P41" i="23"/>
  <c r="R41" i="23" s="1"/>
  <c r="P40" i="23"/>
  <c r="Q40" i="23" s="1"/>
  <c r="P39" i="23"/>
  <c r="R39" i="23" s="1"/>
  <c r="P38" i="23"/>
  <c r="R38" i="23" s="1"/>
  <c r="P37" i="23"/>
  <c r="R37" i="23" s="1"/>
  <c r="P36" i="23"/>
  <c r="Q36" i="23" s="1"/>
  <c r="P35" i="23"/>
  <c r="R35" i="23" s="1"/>
  <c r="P34" i="23"/>
  <c r="B34" i="23"/>
  <c r="B33" i="23"/>
  <c r="S32" i="23"/>
  <c r="B32" i="23"/>
  <c r="B31" i="23"/>
  <c r="C31" i="23" s="1"/>
  <c r="S30" i="23"/>
  <c r="B30" i="23"/>
  <c r="C30" i="23" s="1"/>
  <c r="P30" i="23" s="1"/>
  <c r="B29" i="23"/>
  <c r="G29" i="23" s="1"/>
  <c r="P29" i="23" s="1"/>
  <c r="B28" i="23"/>
  <c r="C28" i="23" s="1"/>
  <c r="P28" i="23" s="1"/>
  <c r="Q28" i="23" s="1"/>
  <c r="G27" i="23"/>
  <c r="P27" i="23" s="1"/>
  <c r="B27" i="23"/>
  <c r="B26" i="23"/>
  <c r="G26" i="23" s="1"/>
  <c r="P26" i="23" s="1"/>
  <c r="Q26" i="23" s="1"/>
  <c r="B25" i="23"/>
  <c r="P24" i="23"/>
  <c r="Q24" i="23" s="1"/>
  <c r="P23" i="23"/>
  <c r="R23" i="23" s="1"/>
  <c r="B22" i="23"/>
  <c r="G22" i="23" s="1"/>
  <c r="P21" i="23"/>
  <c r="R21" i="23" s="1"/>
  <c r="S16" i="23"/>
  <c r="N16" i="23"/>
  <c r="I16" i="23"/>
  <c r="E16" i="23"/>
  <c r="C16" i="23"/>
  <c r="P14" i="23"/>
  <c r="K13" i="23"/>
  <c r="P13" i="23" s="1"/>
  <c r="P12" i="23"/>
  <c r="P11" i="23"/>
  <c r="G10" i="23"/>
  <c r="G16" i="23" s="1"/>
  <c r="P9" i="23"/>
  <c r="P8" i="23"/>
  <c r="P2" i="23"/>
  <c r="A2" i="23"/>
  <c r="P1" i="23"/>
  <c r="A9" i="22"/>
  <c r="Q53" i="23" l="1"/>
  <c r="R64" i="23"/>
  <c r="R87" i="23"/>
  <c r="R89" i="23"/>
  <c r="R84" i="23"/>
  <c r="R83" i="23"/>
  <c r="R94" i="23"/>
  <c r="R95" i="23"/>
  <c r="R75" i="23"/>
  <c r="R93" i="23"/>
  <c r="R73" i="23"/>
  <c r="R62" i="23"/>
  <c r="Q77" i="23"/>
  <c r="R85" i="23"/>
  <c r="R27" i="23"/>
  <c r="Q34" i="23"/>
  <c r="Q35" i="23"/>
  <c r="Q43" i="23"/>
  <c r="R24" i="23"/>
  <c r="R40" i="23"/>
  <c r="Q21" i="23"/>
  <c r="Q39" i="23"/>
  <c r="R44" i="23"/>
  <c r="K54" i="23"/>
  <c r="P54" i="23" s="1"/>
  <c r="Q23" i="23"/>
  <c r="R70" i="23"/>
  <c r="R74" i="23"/>
  <c r="E99" i="23"/>
  <c r="R36" i="23"/>
  <c r="Q42" i="23"/>
  <c r="N99" i="23"/>
  <c r="I98" i="23"/>
  <c r="I99" i="23" s="1"/>
  <c r="R78" i="23"/>
  <c r="A18" i="22"/>
  <c r="W2" i="24"/>
  <c r="AV88" i="24"/>
  <c r="AW88" i="24" s="1"/>
  <c r="AV90" i="24"/>
  <c r="AW90" i="24" s="1"/>
  <c r="AV91" i="24"/>
  <c r="AW91" i="24" s="1"/>
  <c r="AV40" i="24"/>
  <c r="AW40" i="24" s="1"/>
  <c r="AV26" i="24"/>
  <c r="AW26" i="24" s="1"/>
  <c r="AV73" i="24"/>
  <c r="AW73" i="24" s="1"/>
  <c r="AV85" i="24"/>
  <c r="AW85" i="24" s="1"/>
  <c r="AV42" i="24"/>
  <c r="AW42" i="24" s="1"/>
  <c r="AV60" i="24"/>
  <c r="AV89" i="24"/>
  <c r="AW89" i="24" s="1"/>
  <c r="AV45" i="24"/>
  <c r="AW45" i="24" s="1"/>
  <c r="AA63" i="24"/>
  <c r="AV67" i="24"/>
  <c r="AV65" i="24"/>
  <c r="AW65" i="24" s="1"/>
  <c r="E13" i="22"/>
  <c r="AV77" i="24"/>
  <c r="H50" i="24"/>
  <c r="N58" i="24"/>
  <c r="S83" i="6"/>
  <c r="R92" i="6"/>
  <c r="G23" i="20"/>
  <c r="G22" i="20"/>
  <c r="G21" i="20"/>
  <c r="F21" i="20" s="1"/>
  <c r="G20" i="20"/>
  <c r="F20" i="20" s="1"/>
  <c r="G19" i="20"/>
  <c r="F19" i="20" s="1"/>
  <c r="G11" i="20"/>
  <c r="H11" i="20" s="1"/>
  <c r="G8" i="20"/>
  <c r="F8" i="20" s="1"/>
  <c r="G7" i="20"/>
  <c r="F7" i="20" s="1"/>
  <c r="G9" i="20"/>
  <c r="F9" i="20" s="1"/>
  <c r="G10" i="20"/>
  <c r="G13" i="20"/>
  <c r="F13" i="20" s="1"/>
  <c r="G16" i="20"/>
  <c r="H16" i="20" s="1"/>
  <c r="G15" i="20"/>
  <c r="F15" i="20" s="1"/>
  <c r="G14" i="20"/>
  <c r="F14" i="20" s="1"/>
  <c r="G17" i="20"/>
  <c r="H17" i="20" s="1"/>
  <c r="H30" i="24"/>
  <c r="E9" i="22"/>
  <c r="E5" i="22" s="1"/>
  <c r="F100" i="24"/>
  <c r="K7" i="22"/>
  <c r="Q92" i="23"/>
  <c r="Q90" i="23"/>
  <c r="Q84" i="23"/>
  <c r="C118" i="23"/>
  <c r="C121" i="23" s="1"/>
  <c r="Q96" i="23"/>
  <c r="Q76" i="23"/>
  <c r="R34" i="23"/>
  <c r="Q62" i="23"/>
  <c r="R96" i="23"/>
  <c r="Q93" i="23"/>
  <c r="H44" i="24"/>
  <c r="H43" i="24"/>
  <c r="H41" i="24"/>
  <c r="R30" i="23"/>
  <c r="R57" i="23"/>
  <c r="Q72" i="23"/>
  <c r="Q87" i="23"/>
  <c r="C32" i="23"/>
  <c r="P32" i="23" s="1"/>
  <c r="R32" i="23" s="1"/>
  <c r="K58" i="23"/>
  <c r="P58" i="23" s="1"/>
  <c r="Q58" i="23" s="1"/>
  <c r="R71" i="23"/>
  <c r="Q75" i="23"/>
  <c r="Q85" i="23"/>
  <c r="R90" i="23"/>
  <c r="Q70" i="23"/>
  <c r="R47" i="23"/>
  <c r="Q60" i="23"/>
  <c r="R68" i="23"/>
  <c r="R63" i="23"/>
  <c r="R86" i="23"/>
  <c r="R88" i="23"/>
  <c r="C109" i="23"/>
  <c r="M99" i="24"/>
  <c r="AN59" i="24"/>
  <c r="AH59" i="24"/>
  <c r="J19" i="24"/>
  <c r="I19" i="24"/>
  <c r="AG55" i="24"/>
  <c r="AV55" i="24" s="1"/>
  <c r="Q55" i="23"/>
  <c r="R55" i="23"/>
  <c r="Q65" i="23"/>
  <c r="R65" i="23"/>
  <c r="R29" i="23"/>
  <c r="Q51" i="23"/>
  <c r="R56" i="23"/>
  <c r="Q69" i="23"/>
  <c r="R69" i="23"/>
  <c r="Q59" i="23"/>
  <c r="R59" i="23"/>
  <c r="R82" i="23"/>
  <c r="P22" i="23"/>
  <c r="S27" i="23"/>
  <c r="P46" i="23"/>
  <c r="R91" i="23"/>
  <c r="Q81" i="23"/>
  <c r="R81" i="23"/>
  <c r="G31" i="23"/>
  <c r="R60" i="23"/>
  <c r="P10" i="23"/>
  <c r="P16" i="23" s="1"/>
  <c r="C25" i="23"/>
  <c r="C33" i="23"/>
  <c r="P33" i="23" s="1"/>
  <c r="R33" i="23" s="1"/>
  <c r="Q37" i="23"/>
  <c r="Q45" i="23"/>
  <c r="K48" i="23"/>
  <c r="P48" i="23" s="1"/>
  <c r="Q48" i="23" s="1"/>
  <c r="Q64" i="23"/>
  <c r="G67" i="23"/>
  <c r="P67" i="23" s="1"/>
  <c r="R67" i="23" s="1"/>
  <c r="K79" i="23"/>
  <c r="P79" i="23" s="1"/>
  <c r="R79" i="23" s="1"/>
  <c r="Q80" i="23"/>
  <c r="Q30" i="23"/>
  <c r="Q61" i="23"/>
  <c r="Q71" i="23"/>
  <c r="Q74" i="23"/>
  <c r="Q83" i="23"/>
  <c r="Q86" i="23"/>
  <c r="Q89" i="23"/>
  <c r="Q95" i="23"/>
  <c r="B98" i="23"/>
  <c r="Q27" i="23"/>
  <c r="Q57" i="23"/>
  <c r="Q38" i="23"/>
  <c r="Q63" i="23"/>
  <c r="P66" i="23"/>
  <c r="R66" i="23" s="1"/>
  <c r="K16" i="23"/>
  <c r="Q29" i="23"/>
  <c r="Q41" i="23"/>
  <c r="Q47" i="23"/>
  <c r="Q73" i="23"/>
  <c r="Q78" i="23"/>
  <c r="Q82" i="23"/>
  <c r="Q88" i="23"/>
  <c r="Q94" i="23"/>
  <c r="Q91" i="23"/>
  <c r="Q66" i="23" l="1"/>
  <c r="R54" i="23"/>
  <c r="Q54" i="23"/>
  <c r="N29" i="22"/>
  <c r="N30" i="22"/>
  <c r="X2" i="24"/>
  <c r="AV59" i="24"/>
  <c r="AW59" i="24" s="1"/>
  <c r="AW67" i="24"/>
  <c r="AV41" i="24"/>
  <c r="AW41" i="24" s="1"/>
  <c r="AV63" i="24"/>
  <c r="AW63" i="24" s="1"/>
  <c r="AV53" i="24"/>
  <c r="AW53" i="24" s="1"/>
  <c r="AW60" i="24"/>
  <c r="AV43" i="24"/>
  <c r="AW43" i="24" s="1"/>
  <c r="AW77" i="24"/>
  <c r="AV30" i="24"/>
  <c r="AW30" i="24" s="1"/>
  <c r="AV44" i="24"/>
  <c r="AW44" i="24" s="1"/>
  <c r="AV50" i="24"/>
  <c r="AW50" i="24" s="1"/>
  <c r="AW55" i="24"/>
  <c r="N99" i="24"/>
  <c r="O99" i="24" s="1"/>
  <c r="P99" i="24" s="1"/>
  <c r="AA99" i="24" s="1"/>
  <c r="O58" i="24"/>
  <c r="P58" i="24" s="1"/>
  <c r="T83" i="6"/>
  <c r="S92" i="6"/>
  <c r="Q67" i="23"/>
  <c r="G98" i="23"/>
  <c r="G99" i="23" s="1"/>
  <c r="Q33" i="23"/>
  <c r="P31" i="23"/>
  <c r="Q31" i="23" s="1"/>
  <c r="Q32" i="23"/>
  <c r="R58" i="23"/>
  <c r="K19" i="24"/>
  <c r="S14" i="23"/>
  <c r="S17" i="23"/>
  <c r="Q22" i="23"/>
  <c r="R22" i="23"/>
  <c r="Q46" i="23"/>
  <c r="R46" i="23"/>
  <c r="B101" i="23"/>
  <c r="B99" i="23"/>
  <c r="Q79" i="23"/>
  <c r="K98" i="23"/>
  <c r="K99" i="23" s="1"/>
  <c r="C98" i="23"/>
  <c r="P25" i="23"/>
  <c r="R16" i="23"/>
  <c r="K13" i="22"/>
  <c r="Y2" i="24" l="1"/>
  <c r="AV99" i="24"/>
  <c r="AW99" i="24" s="1"/>
  <c r="Q58" i="24"/>
  <c r="R58" i="24" s="1"/>
  <c r="U83" i="6"/>
  <c r="T92" i="6"/>
  <c r="AE93" i="24"/>
  <c r="S34" i="23"/>
  <c r="R98" i="23"/>
  <c r="L19" i="24"/>
  <c r="Q25" i="23"/>
  <c r="P98" i="23"/>
  <c r="K102" i="23"/>
  <c r="C99" i="23"/>
  <c r="Z2" i="24" l="1"/>
  <c r="AF93" i="24"/>
  <c r="AG93" i="24" s="1"/>
  <c r="AH93" i="24" s="1"/>
  <c r="AI93" i="24" s="1"/>
  <c r="AJ93" i="24" s="1"/>
  <c r="S58" i="24"/>
  <c r="T58" i="24" s="1"/>
  <c r="U58" i="24" s="1"/>
  <c r="V58" i="24" s="1"/>
  <c r="V83" i="6"/>
  <c r="U92" i="6"/>
  <c r="M19" i="24"/>
  <c r="P99" i="23"/>
  <c r="Q98" i="23"/>
  <c r="AA2" i="24" l="1"/>
  <c r="AV93" i="24"/>
  <c r="AW93" i="24" s="1"/>
  <c r="W58" i="24"/>
  <c r="X58" i="24" s="1"/>
  <c r="Y58" i="24" s="1"/>
  <c r="Z58" i="24" s="1"/>
  <c r="AA58" i="24" s="1"/>
  <c r="AB58" i="24" s="1"/>
  <c r="AC58" i="24" s="1"/>
  <c r="AD58" i="24" s="1"/>
  <c r="W83" i="6"/>
  <c r="V92" i="6"/>
  <c r="N19" i="24"/>
  <c r="AB2" i="24" l="1"/>
  <c r="AG58" i="24"/>
  <c r="X83" i="6"/>
  <c r="W92" i="6"/>
  <c r="O19" i="24"/>
  <c r="AC2" i="24" l="1"/>
  <c r="AD2" i="24" s="1"/>
  <c r="AE2" i="24" s="1"/>
  <c r="AF2" i="24" s="1"/>
  <c r="AG2" i="24" s="1"/>
  <c r="AH2" i="24" s="1"/>
  <c r="AI2" i="24" s="1"/>
  <c r="AJ2" i="24" s="1"/>
  <c r="AK2" i="24" s="1"/>
  <c r="AL2" i="24" s="1"/>
  <c r="AM2" i="24" s="1"/>
  <c r="AN2" i="24" s="1"/>
  <c r="AH58" i="24"/>
  <c r="AI58" i="24" s="1"/>
  <c r="AJ58" i="24" s="1"/>
  <c r="AK58" i="24" s="1"/>
  <c r="AL58" i="24" s="1"/>
  <c r="AM58" i="24" s="1"/>
  <c r="AN58" i="24" s="1"/>
  <c r="P19" i="24"/>
  <c r="Y83" i="6"/>
  <c r="Y92" i="6" s="1"/>
  <c r="X92" i="6"/>
  <c r="AQ58" i="24" l="1"/>
  <c r="AO58" i="24"/>
  <c r="AP58" i="24" s="1"/>
  <c r="AO2" i="24"/>
  <c r="AP2" i="24" s="1"/>
  <c r="AQ2" i="24" s="1"/>
  <c r="AR2" i="24" s="1"/>
  <c r="AS2" i="24" s="1"/>
  <c r="AT2" i="24" s="1"/>
  <c r="AU2" i="24" s="1"/>
  <c r="Q19" i="24"/>
  <c r="AU58" i="24" l="1"/>
  <c r="AV58" i="24" s="1"/>
  <c r="AW58" i="24" s="1"/>
  <c r="R19" i="24"/>
  <c r="S19" i="24" l="1"/>
  <c r="T19" i="24" l="1"/>
  <c r="U19" i="24" l="1"/>
  <c r="V19" i="24" l="1"/>
  <c r="W19" i="24" l="1"/>
  <c r="X19" i="24" l="1"/>
  <c r="Y19" i="24" l="1"/>
  <c r="Z19" i="24" l="1"/>
  <c r="AA19" i="24" l="1"/>
  <c r="AB19" i="24" l="1"/>
  <c r="AC19" i="24" l="1"/>
  <c r="AD19" i="24" l="1"/>
  <c r="F6" i="22" l="1"/>
  <c r="AE19" i="24"/>
  <c r="AF19" i="24" l="1"/>
  <c r="AG19" i="24" l="1"/>
  <c r="AH19" i="24" l="1"/>
  <c r="AI19" i="24" l="1"/>
  <c r="AJ19" i="24" l="1"/>
  <c r="AK19" i="24" l="1"/>
  <c r="AL19" i="24" l="1"/>
  <c r="E28" i="6"/>
  <c r="E29" i="6"/>
  <c r="AM19" i="24" l="1"/>
  <c r="H21" i="24"/>
  <c r="AV21" i="24" s="1"/>
  <c r="AW21" i="24" s="1"/>
  <c r="AN19" i="24" l="1"/>
  <c r="E49" i="20"/>
  <c r="E50" i="20"/>
  <c r="E46" i="20"/>
  <c r="E45" i="20"/>
  <c r="D50" i="20"/>
  <c r="D49" i="20"/>
  <c r="D46" i="20"/>
  <c r="D45" i="20"/>
  <c r="C50" i="20"/>
  <c r="C49" i="20"/>
  <c r="C46" i="20"/>
  <c r="C45" i="20"/>
  <c r="O37" i="21"/>
  <c r="O36" i="21"/>
  <c r="O35" i="21"/>
  <c r="E56" i="20" l="1"/>
  <c r="D56" i="20"/>
  <c r="C56" i="20"/>
  <c r="P18" i="20"/>
  <c r="P17" i="20"/>
  <c r="P16" i="20"/>
  <c r="P15" i="20"/>
  <c r="P14" i="20"/>
  <c r="R8" i="20"/>
  <c r="B15" i="20"/>
  <c r="E9" i="20"/>
  <c r="E27" i="6"/>
  <c r="B21" i="20" l="1"/>
  <c r="E21" i="20" s="1"/>
  <c r="E15" i="20"/>
  <c r="A45" i="21" l="1"/>
  <c r="D25" i="21" l="1"/>
  <c r="K3" i="21" l="1"/>
  <c r="G18" i="21" l="1"/>
  <c r="K21" i="20" s="1"/>
  <c r="G17" i="21"/>
  <c r="K15" i="20" s="1"/>
  <c r="G16" i="21"/>
  <c r="K9" i="20" l="1"/>
  <c r="I9" i="20"/>
  <c r="T25" i="21"/>
  <c r="H17" i="21" l="1"/>
  <c r="H18" i="21"/>
  <c r="H16" i="21"/>
  <c r="C65" i="21" l="1"/>
  <c r="N28" i="20" a="1"/>
  <c r="N30" i="20" s="1"/>
  <c r="H27" i="21"/>
  <c r="D27" i="21" s="1"/>
  <c r="G58" i="21"/>
  <c r="K40" i="20" s="1"/>
  <c r="K1" i="21"/>
  <c r="F45" i="21"/>
  <c r="D22" i="6"/>
  <c r="C60" i="21"/>
  <c r="C62" i="21" s="1"/>
  <c r="C63" i="21" s="1"/>
  <c r="B28" i="11"/>
  <c r="B45" i="11" s="1"/>
  <c r="L26" i="21"/>
  <c r="L27" i="21" s="1"/>
  <c r="L28" i="21" s="1"/>
  <c r="L29" i="21" s="1"/>
  <c r="L30" i="21" s="1"/>
  <c r="L31" i="21" s="1"/>
  <c r="L32" i="21" s="1"/>
  <c r="L33" i="21" s="1"/>
  <c r="L34" i="21" s="1"/>
  <c r="L35" i="21" s="1"/>
  <c r="L36" i="21" s="1"/>
  <c r="L37" i="21" s="1"/>
  <c r="L38" i="21" s="1"/>
  <c r="L39" i="21" s="1"/>
  <c r="L40" i="21" s="1"/>
  <c r="L41" i="21" s="1"/>
  <c r="L42" i="21" s="1"/>
  <c r="L43" i="21" s="1"/>
  <c r="L44" i="21" s="1"/>
  <c r="G28" i="21"/>
  <c r="G29" i="21"/>
  <c r="G30" i="21"/>
  <c r="G31" i="21"/>
  <c r="P17" i="21"/>
  <c r="P18" i="21"/>
  <c r="P16" i="21"/>
  <c r="M6" i="6"/>
  <c r="H5" i="6"/>
  <c r="Q38" i="20"/>
  <c r="Q37" i="20" s="1"/>
  <c r="R38" i="20"/>
  <c r="R37" i="20" s="1"/>
  <c r="F50" i="20" s="1"/>
  <c r="P38" i="20"/>
  <c r="P37" i="20" s="1"/>
  <c r="O19" i="21"/>
  <c r="N20" i="21" s="1"/>
  <c r="D48" i="21"/>
  <c r="F44" i="21"/>
  <c r="F43" i="21"/>
  <c r="F34" i="20"/>
  <c r="F41" i="6"/>
  <c r="D12" i="11"/>
  <c r="D13" i="11" s="1"/>
  <c r="D14" i="11" s="1"/>
  <c r="D15" i="11" s="1"/>
  <c r="D16" i="11" s="1"/>
  <c r="D17" i="11" s="1"/>
  <c r="D18" i="11" s="1"/>
  <c r="D19" i="11" s="1"/>
  <c r="D20" i="11" s="1"/>
  <c r="D21" i="11" s="1"/>
  <c r="D22" i="11" s="1"/>
  <c r="D23" i="11" s="1"/>
  <c r="N5" i="11"/>
  <c r="F30" i="6"/>
  <c r="G30" i="6" s="1"/>
  <c r="H30" i="6" s="1"/>
  <c r="I30" i="6" s="1"/>
  <c r="J30" i="6" s="1"/>
  <c r="K30" i="6" s="1"/>
  <c r="L30" i="6" s="1"/>
  <c r="M30" i="6" s="1"/>
  <c r="N30" i="6" s="1"/>
  <c r="O30" i="6" s="1"/>
  <c r="P30" i="6" s="1"/>
  <c r="Q30" i="6" s="1"/>
  <c r="R30" i="6" s="1"/>
  <c r="S30" i="6" s="1"/>
  <c r="T30" i="6" s="1"/>
  <c r="U30" i="6" s="1"/>
  <c r="F29" i="6"/>
  <c r="G29" i="6" s="1"/>
  <c r="F10" i="24"/>
  <c r="D12" i="1"/>
  <c r="D8" i="1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A1" i="22" l="1"/>
  <c r="A1" i="25"/>
  <c r="F2" i="6"/>
  <c r="B2" i="24"/>
  <c r="H29" i="6"/>
  <c r="G1" i="11"/>
  <c r="G1" i="24"/>
  <c r="J1" i="22"/>
  <c r="G41" i="6"/>
  <c r="H41" i="6" s="1"/>
  <c r="I41" i="6" s="1"/>
  <c r="J41" i="6" s="1"/>
  <c r="K41" i="6" s="1"/>
  <c r="L41" i="6" s="1"/>
  <c r="M41" i="6" s="1"/>
  <c r="N41" i="6" s="1"/>
  <c r="O41" i="6" s="1"/>
  <c r="P41" i="6" s="1"/>
  <c r="Q41" i="6" s="1"/>
  <c r="R41" i="6" s="1"/>
  <c r="S41" i="6" s="1"/>
  <c r="T41" i="6" s="1"/>
  <c r="U41" i="6" s="1"/>
  <c r="V41" i="6" s="1"/>
  <c r="W41" i="6" s="1"/>
  <c r="X41" i="6" s="1"/>
  <c r="Y41" i="6" s="1"/>
  <c r="B1" i="11"/>
  <c r="A2" i="9"/>
  <c r="I24" i="11"/>
  <c r="I36" i="11" s="1"/>
  <c r="I48" i="11" s="1"/>
  <c r="G10" i="6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D29" i="11"/>
  <c r="D24" i="11"/>
  <c r="B10" i="20"/>
  <c r="A48" i="20"/>
  <c r="N35" i="20"/>
  <c r="N29" i="20"/>
  <c r="N32" i="20"/>
  <c r="N37" i="20"/>
  <c r="N28" i="20"/>
  <c r="N31" i="20"/>
  <c r="N34" i="20"/>
  <c r="N36" i="20"/>
  <c r="N33" i="20"/>
  <c r="I36" i="20"/>
  <c r="J36" i="20" s="1"/>
  <c r="P20" i="21"/>
  <c r="E22" i="6"/>
  <c r="S37" i="20"/>
  <c r="M1" i="9"/>
  <c r="V30" i="6"/>
  <c r="S25" i="24" l="1"/>
  <c r="AA25" i="24"/>
  <c r="I29" i="6"/>
  <c r="F1" i="24"/>
  <c r="K1" i="22"/>
  <c r="P25" i="24"/>
  <c r="Q25" i="24"/>
  <c r="AK25" i="24"/>
  <c r="AJ25" i="24"/>
  <c r="Y25" i="24"/>
  <c r="J25" i="24"/>
  <c r="I25" i="24"/>
  <c r="AF25" i="24"/>
  <c r="K25" i="24"/>
  <c r="M25" i="24"/>
  <c r="AE25" i="24"/>
  <c r="R25" i="24"/>
  <c r="V25" i="24"/>
  <c r="T25" i="24"/>
  <c r="W25" i="24"/>
  <c r="AH25" i="24"/>
  <c r="AI25" i="24"/>
  <c r="AB25" i="24"/>
  <c r="AD25" i="24"/>
  <c r="L25" i="24"/>
  <c r="N25" i="24"/>
  <c r="O25" i="24"/>
  <c r="Z25" i="24"/>
  <c r="AC25" i="24"/>
  <c r="X25" i="24"/>
  <c r="U25" i="24"/>
  <c r="AG25" i="24"/>
  <c r="F22" i="6"/>
  <c r="V22" i="6"/>
  <c r="W22" i="6"/>
  <c r="X22" i="6"/>
  <c r="Y22" i="6"/>
  <c r="U22" i="6"/>
  <c r="E10" i="20"/>
  <c r="B16" i="20"/>
  <c r="C10" i="20"/>
  <c r="A49" i="20"/>
  <c r="B11" i="20"/>
  <c r="A45" i="20"/>
  <c r="B7" i="20"/>
  <c r="B12" i="20"/>
  <c r="A50" i="20"/>
  <c r="A46" i="20"/>
  <c r="B8" i="20"/>
  <c r="K22" i="6"/>
  <c r="N22" i="6"/>
  <c r="S22" i="6"/>
  <c r="G22" i="6"/>
  <c r="L22" i="6"/>
  <c r="R22" i="6"/>
  <c r="J22" i="6"/>
  <c r="I22" i="6"/>
  <c r="P22" i="6"/>
  <c r="O22" i="6"/>
  <c r="H22" i="6"/>
  <c r="M22" i="6"/>
  <c r="Q22" i="6"/>
  <c r="T22" i="6"/>
  <c r="R28" i="20"/>
  <c r="P28" i="20"/>
  <c r="Q28" i="20"/>
  <c r="R31" i="20"/>
  <c r="P31" i="20"/>
  <c r="Q31" i="20"/>
  <c r="W30" i="6"/>
  <c r="D1" i="6"/>
  <c r="Q1" i="11"/>
  <c r="AV25" i="24" l="1"/>
  <c r="AW25" i="24" s="1"/>
  <c r="J29" i="6"/>
  <c r="H10" i="20"/>
  <c r="K10" i="20" s="1"/>
  <c r="C11" i="20"/>
  <c r="E7" i="20"/>
  <c r="C7" i="20"/>
  <c r="B13" i="20"/>
  <c r="B17" i="20"/>
  <c r="B23" i="20" s="1"/>
  <c r="E11" i="20"/>
  <c r="C8" i="20"/>
  <c r="E8" i="20"/>
  <c r="B14" i="20"/>
  <c r="G12" i="20"/>
  <c r="E12" i="20"/>
  <c r="B18" i="20"/>
  <c r="B22" i="20"/>
  <c r="C16" i="20"/>
  <c r="E16" i="20"/>
  <c r="S28" i="20"/>
  <c r="S31" i="20"/>
  <c r="X30" i="6"/>
  <c r="K29" i="6" l="1"/>
  <c r="C23" i="20"/>
  <c r="E23" i="20"/>
  <c r="I10" i="20"/>
  <c r="H12" i="20"/>
  <c r="I12" i="20" s="1"/>
  <c r="I7" i="20"/>
  <c r="E17" i="20"/>
  <c r="C17" i="20"/>
  <c r="E22" i="20"/>
  <c r="C22" i="20"/>
  <c r="I8" i="20"/>
  <c r="E13" i="20"/>
  <c r="C13" i="20"/>
  <c r="B19" i="20"/>
  <c r="B24" i="20"/>
  <c r="E18" i="20"/>
  <c r="G18" i="20"/>
  <c r="C14" i="20"/>
  <c r="E14" i="20"/>
  <c r="B20" i="20"/>
  <c r="I16" i="20"/>
  <c r="Y30" i="6"/>
  <c r="L29" i="6" l="1"/>
  <c r="H23" i="20"/>
  <c r="I23" i="20" s="1"/>
  <c r="I11" i="20"/>
  <c r="K11" i="20"/>
  <c r="I17" i="20"/>
  <c r="H22" i="20"/>
  <c r="I22" i="20" s="1"/>
  <c r="I13" i="20"/>
  <c r="G24" i="20"/>
  <c r="E24" i="20"/>
  <c r="E20" i="20"/>
  <c r="C20" i="20"/>
  <c r="H18" i="20"/>
  <c r="I18" i="20" s="1"/>
  <c r="C19" i="20"/>
  <c r="E19" i="20"/>
  <c r="M29" i="6" l="1"/>
  <c r="K23" i="20"/>
  <c r="I14" i="20"/>
  <c r="I15" i="20"/>
  <c r="H24" i="20"/>
  <c r="I24" i="20" s="1"/>
  <c r="N29" i="6" l="1"/>
  <c r="I20" i="20"/>
  <c r="I21" i="20"/>
  <c r="O29" i="6" l="1"/>
  <c r="P29" i="6" l="1"/>
  <c r="Q29" i="6" l="1"/>
  <c r="R29" i="6" l="1"/>
  <c r="S29" i="6" l="1"/>
  <c r="T29" i="6" l="1"/>
  <c r="U29" i="6" l="1"/>
  <c r="V29" i="6" l="1"/>
  <c r="W29" i="6" l="1"/>
  <c r="X29" i="6" l="1"/>
  <c r="Y29" i="6" l="1"/>
  <c r="P29" i="20" l="1"/>
  <c r="Q29" i="20"/>
  <c r="R29" i="20"/>
  <c r="S29" i="20" l="1"/>
  <c r="P32" i="20" l="1"/>
  <c r="Q32" i="20"/>
  <c r="R32" i="20"/>
  <c r="H28" i="21"/>
  <c r="D28" i="21" s="1"/>
  <c r="S32" i="20" l="1"/>
  <c r="Q33" i="20"/>
  <c r="H23" i="21"/>
  <c r="R33" i="20"/>
  <c r="H24" i="21"/>
  <c r="H30" i="21"/>
  <c r="D30" i="21" s="1"/>
  <c r="H25" i="21"/>
  <c r="H31" i="21"/>
  <c r="D31" i="21" s="1"/>
  <c r="H26" i="21"/>
  <c r="P33" i="20"/>
  <c r="H29" i="21"/>
  <c r="D29" i="21" s="1"/>
  <c r="D33" i="21" l="1"/>
  <c r="Q30" i="20"/>
  <c r="Q35" i="20"/>
  <c r="P35" i="20"/>
  <c r="R35" i="20"/>
  <c r="P36" i="20"/>
  <c r="Q36" i="20"/>
  <c r="R36" i="20"/>
  <c r="P34" i="20"/>
  <c r="R34" i="20"/>
  <c r="Q34" i="20"/>
  <c r="S33" i="20"/>
  <c r="E33" i="21" l="1"/>
  <c r="P30" i="20"/>
  <c r="R30" i="20"/>
  <c r="S35" i="20"/>
  <c r="S34" i="20"/>
  <c r="S36" i="20"/>
  <c r="S30" i="20" l="1"/>
  <c r="S38" i="20" s="1"/>
  <c r="K24" i="20"/>
  <c r="K18" i="20" l="1"/>
  <c r="K12" i="20"/>
  <c r="C41" i="20" l="1"/>
  <c r="K14" i="20" l="1"/>
  <c r="K8" i="20"/>
  <c r="K22" i="20"/>
  <c r="K13" i="20"/>
  <c r="K16" i="20"/>
  <c r="K20" i="20"/>
  <c r="K17" i="20"/>
  <c r="C40" i="20" l="1"/>
  <c r="F48" i="20" l="1"/>
  <c r="F45" i="20"/>
  <c r="F46" i="20"/>
  <c r="F49" i="20"/>
  <c r="F56" i="20" l="1"/>
  <c r="D57" i="20" s="1"/>
  <c r="D26" i="20"/>
  <c r="E26" i="20" s="1"/>
  <c r="C6" i="6" s="1"/>
  <c r="C57" i="20" l="1"/>
  <c r="E57" i="20"/>
  <c r="E26" i="24"/>
  <c r="E99" i="24"/>
  <c r="E100" i="24"/>
  <c r="R10" i="20"/>
  <c r="E67" i="24"/>
  <c r="E66" i="24"/>
  <c r="E58" i="24"/>
  <c r="E30" i="24"/>
  <c r="E62" i="24"/>
  <c r="E65" i="24"/>
  <c r="E88" i="24"/>
  <c r="E42" i="24"/>
  <c r="E60" i="24"/>
  <c r="E93" i="24"/>
  <c r="E50" i="24"/>
  <c r="E85" i="24"/>
  <c r="E40" i="24"/>
  <c r="E53" i="24"/>
  <c r="E61" i="24"/>
  <c r="E77" i="24"/>
  <c r="E55" i="24"/>
  <c r="E44" i="24"/>
  <c r="E68" i="24"/>
  <c r="E76" i="24"/>
  <c r="E51" i="24"/>
  <c r="E63" i="24"/>
  <c r="E97" i="24"/>
  <c r="E52" i="24"/>
  <c r="E91" i="24"/>
  <c r="E45" i="24"/>
  <c r="E59" i="24"/>
  <c r="E73" i="24"/>
  <c r="E41" i="24"/>
  <c r="E43" i="24"/>
  <c r="E79" i="24"/>
  <c r="E89" i="24"/>
  <c r="E64" i="24"/>
  <c r="E90" i="24"/>
  <c r="E78" i="24"/>
  <c r="E21" i="24"/>
  <c r="E25" i="24"/>
  <c r="C2" i="21"/>
  <c r="U32" i="20" s="1"/>
  <c r="E6" i="9"/>
  <c r="D27" i="20"/>
  <c r="D32" i="1" s="1"/>
  <c r="K4" i="21"/>
  <c r="K5" i="21" s="1"/>
  <c r="U29" i="20" l="1"/>
  <c r="C5" i="21"/>
  <c r="H33" i="20"/>
  <c r="K33" i="20" s="1"/>
  <c r="W33" i="20"/>
  <c r="H29" i="20"/>
  <c r="K29" i="20" s="1"/>
  <c r="J6" i="9"/>
  <c r="E21" i="9"/>
  <c r="J11" i="9"/>
  <c r="J15" i="9"/>
  <c r="J17" i="9"/>
  <c r="J13" i="9"/>
  <c r="J10" i="9"/>
  <c r="J12" i="9"/>
  <c r="J16" i="9"/>
  <c r="J14" i="9"/>
  <c r="F13" i="1"/>
  <c r="F11" i="9"/>
  <c r="F15" i="9"/>
  <c r="F14" i="9"/>
  <c r="F10" i="9"/>
  <c r="F12" i="9"/>
  <c r="F17" i="9"/>
  <c r="F13" i="9"/>
  <c r="C39" i="20"/>
  <c r="N55" i="1"/>
  <c r="U28" i="20"/>
  <c r="W31" i="20"/>
  <c r="C5" i="6"/>
  <c r="V34" i="20"/>
  <c r="U30" i="20"/>
  <c r="H30" i="20"/>
  <c r="K30" i="20" s="1"/>
  <c r="J46" i="21"/>
  <c r="C46" i="21" s="1"/>
  <c r="W30" i="20"/>
  <c r="V31" i="20"/>
  <c r="F4" i="11"/>
  <c r="U37" i="20"/>
  <c r="H31" i="20"/>
  <c r="K31" i="20" s="1"/>
  <c r="V33" i="20"/>
  <c r="V36" i="20"/>
  <c r="V30" i="20"/>
  <c r="V28" i="20"/>
  <c r="U31" i="20"/>
  <c r="W36" i="20"/>
  <c r="W37" i="20"/>
  <c r="C6" i="21"/>
  <c r="W34" i="20"/>
  <c r="H32" i="20"/>
  <c r="K32" i="20" s="1"/>
  <c r="W29" i="20"/>
  <c r="V29" i="20"/>
  <c r="W28" i="20"/>
  <c r="V35" i="20"/>
  <c r="V37" i="20"/>
  <c r="W35" i="20"/>
  <c r="L10" i="1"/>
  <c r="L20" i="1"/>
  <c r="L3" i="1"/>
  <c r="B3" i="24" s="1"/>
  <c r="F14" i="1"/>
  <c r="F10" i="1"/>
  <c r="F11" i="1"/>
  <c r="H57" i="24"/>
  <c r="E57" i="24"/>
  <c r="C51" i="20"/>
  <c r="U35" i="20"/>
  <c r="X35" i="20" s="1"/>
  <c r="Y35" i="20" s="1"/>
  <c r="U34" i="20"/>
  <c r="X34" i="20" s="1"/>
  <c r="Y34" i="20" s="1"/>
  <c r="D51" i="20"/>
  <c r="V32" i="20"/>
  <c r="U33" i="20"/>
  <c r="X33" i="20" s="1"/>
  <c r="Y33" i="20" s="1"/>
  <c r="U36" i="20"/>
  <c r="X36" i="20" s="1"/>
  <c r="Y36" i="20" s="1"/>
  <c r="E51" i="20"/>
  <c r="W32" i="20"/>
  <c r="G86" i="27" l="1"/>
  <c r="F23" i="6"/>
  <c r="G23" i="6" s="1"/>
  <c r="H23" i="6" s="1"/>
  <c r="I23" i="6" s="1"/>
  <c r="J23" i="6" s="1"/>
  <c r="K23" i="6" s="1"/>
  <c r="L23" i="6" s="1"/>
  <c r="M23" i="6" s="1"/>
  <c r="N23" i="6" s="1"/>
  <c r="O23" i="6" s="1"/>
  <c r="P23" i="6" s="1"/>
  <c r="Q23" i="6" s="1"/>
  <c r="R23" i="6" s="1"/>
  <c r="S23" i="6" s="1"/>
  <c r="T23" i="6" s="1"/>
  <c r="U23" i="6" s="1"/>
  <c r="V23" i="6" s="1"/>
  <c r="W23" i="6" s="1"/>
  <c r="X23" i="6" s="1"/>
  <c r="Y23" i="6" s="1"/>
  <c r="C42" i="20"/>
  <c r="D39" i="20" s="1"/>
  <c r="F21" i="9"/>
  <c r="R13" i="25"/>
  <c r="J20" i="9"/>
  <c r="X30" i="20"/>
  <c r="Y30" i="20" s="1"/>
  <c r="H34" i="20"/>
  <c r="X31" i="20"/>
  <c r="Y31" i="20" s="1"/>
  <c r="X28" i="20"/>
  <c r="Y28" i="20" s="1"/>
  <c r="H81" i="24"/>
  <c r="X29" i="20"/>
  <c r="Y29" i="20" s="1"/>
  <c r="A46" i="21"/>
  <c r="A47" i="21" s="1"/>
  <c r="W38" i="20"/>
  <c r="X37" i="20"/>
  <c r="Y37" i="20" s="1"/>
  <c r="K34" i="20"/>
  <c r="V38" i="20"/>
  <c r="H71" i="24"/>
  <c r="X32" i="20"/>
  <c r="Y32" i="20" s="1"/>
  <c r="U38" i="20"/>
  <c r="F51" i="20"/>
  <c r="C47" i="21"/>
  <c r="F47" i="21" s="1"/>
  <c r="F46" i="21"/>
  <c r="L8" i="1"/>
  <c r="D40" i="20" l="1"/>
  <c r="D41" i="20"/>
  <c r="D42" i="20"/>
  <c r="AV71" i="24"/>
  <c r="AW71" i="24" s="1"/>
  <c r="AV81" i="24"/>
  <c r="AW81" i="24" s="1"/>
  <c r="I86" i="27"/>
  <c r="F96" i="24"/>
  <c r="AD96" i="24" s="1"/>
  <c r="E23" i="6"/>
  <c r="K39" i="20"/>
  <c r="R7" i="25"/>
  <c r="I47" i="20"/>
  <c r="H47" i="20"/>
  <c r="E81" i="24"/>
  <c r="E13" i="6"/>
  <c r="F13" i="6" s="1"/>
  <c r="X40" i="20"/>
  <c r="X38" i="20"/>
  <c r="E71" i="24"/>
  <c r="E82" i="24"/>
  <c r="H82" i="24"/>
  <c r="E94" i="24"/>
  <c r="Y94" i="24"/>
  <c r="AH57" i="24"/>
  <c r="H45" i="20"/>
  <c r="I45" i="20"/>
  <c r="I49" i="20"/>
  <c r="I48" i="20"/>
  <c r="H46" i="20"/>
  <c r="H49" i="20"/>
  <c r="F52" i="20"/>
  <c r="H48" i="20"/>
  <c r="H50" i="20"/>
  <c r="I46" i="20"/>
  <c r="C52" i="20"/>
  <c r="D52" i="20"/>
  <c r="E52" i="20"/>
  <c r="L12" i="1"/>
  <c r="AV57" i="24" l="1"/>
  <c r="AW57" i="24" s="1"/>
  <c r="AV82" i="24"/>
  <c r="AW82" i="24" s="1"/>
  <c r="Z94" i="24"/>
  <c r="AA94" i="24" s="1"/>
  <c r="AB94" i="24" s="1"/>
  <c r="E96" i="24"/>
  <c r="I51" i="20"/>
  <c r="H51" i="20"/>
  <c r="G13" i="6"/>
  <c r="AC94" i="24" l="1"/>
  <c r="AD94" i="24" s="1"/>
  <c r="AV86" i="24"/>
  <c r="H13" i="6"/>
  <c r="AW86" i="24" l="1"/>
  <c r="AE94" i="24"/>
  <c r="AF94" i="24" s="1"/>
  <c r="AG94" i="24" s="1"/>
  <c r="C31" i="11"/>
  <c r="D30" i="11"/>
  <c r="E86" i="24"/>
  <c r="I13" i="6"/>
  <c r="AH94" i="24" l="1"/>
  <c r="AI94" i="24" s="1"/>
  <c r="AJ94" i="24" s="1"/>
  <c r="AK94" i="24" s="1"/>
  <c r="AL94" i="24" s="1"/>
  <c r="AM94" i="24" s="1"/>
  <c r="AN94" i="24" s="1"/>
  <c r="D31" i="11"/>
  <c r="C32" i="11"/>
  <c r="C33" i="11" s="1"/>
  <c r="J13" i="6"/>
  <c r="AQ94" i="24" l="1"/>
  <c r="AO94" i="24"/>
  <c r="AP94" i="24" s="1"/>
  <c r="D32" i="11"/>
  <c r="D33" i="11" s="1"/>
  <c r="D34" i="11" s="1"/>
  <c r="K13" i="6"/>
  <c r="AU94" i="24" l="1"/>
  <c r="D35" i="11"/>
  <c r="C41" i="11"/>
  <c r="L13" i="6"/>
  <c r="AV94" i="24" l="1"/>
  <c r="AW94" i="24" s="1"/>
  <c r="D36" i="11"/>
  <c r="D37" i="11" s="1"/>
  <c r="D38" i="11" s="1"/>
  <c r="D39" i="11" s="1"/>
  <c r="D40" i="11" s="1"/>
  <c r="M13" i="6"/>
  <c r="D41" i="11" l="1"/>
  <c r="D46" i="11"/>
  <c r="D47" i="11" s="1"/>
  <c r="D48" i="11" s="1"/>
  <c r="D49" i="11" s="1"/>
  <c r="D50" i="11" s="1"/>
  <c r="D51" i="11" s="1"/>
  <c r="D52" i="11" s="1"/>
  <c r="D53" i="11" s="1"/>
  <c r="D54" i="11" s="1"/>
  <c r="D55" i="11" s="1"/>
  <c r="D56" i="11" s="1"/>
  <c r="D57" i="11" s="1"/>
  <c r="D58" i="11" s="1"/>
  <c r="N13" i="6"/>
  <c r="O13" i="6" l="1"/>
  <c r="P13" i="6" l="1"/>
  <c r="Q13" i="6" l="1"/>
  <c r="R13" i="6" l="1"/>
  <c r="S13" i="6" l="1"/>
  <c r="T13" i="6" l="1"/>
  <c r="U13" i="6" l="1"/>
  <c r="V13" i="6" l="1"/>
  <c r="W13" i="6" l="1"/>
  <c r="N49" i="1" l="1"/>
  <c r="X13" i="6"/>
  <c r="H75" i="24" l="1"/>
  <c r="F27" i="6"/>
  <c r="F37" i="6" s="1"/>
  <c r="Y13" i="6"/>
  <c r="AV75" i="24" l="1"/>
  <c r="AW75" i="24" s="1"/>
  <c r="G27" i="6"/>
  <c r="G37" i="6" s="1"/>
  <c r="E54" i="24"/>
  <c r="E75" i="24"/>
  <c r="L14" i="1"/>
  <c r="H27" i="6" l="1"/>
  <c r="I27" i="6" s="1"/>
  <c r="H37" i="6" l="1"/>
  <c r="J27" i="6"/>
  <c r="I37" i="6"/>
  <c r="K27" i="6" l="1"/>
  <c r="J37" i="6"/>
  <c r="K37" i="6" l="1"/>
  <c r="L27" i="6"/>
  <c r="L37" i="6" l="1"/>
  <c r="M27" i="6"/>
  <c r="M37" i="6" l="1"/>
  <c r="N27" i="6"/>
  <c r="N37" i="6" l="1"/>
  <c r="O27" i="6"/>
  <c r="O37" i="6" l="1"/>
  <c r="P27" i="6"/>
  <c r="P37" i="6" l="1"/>
  <c r="Q27" i="6"/>
  <c r="R27" i="6" l="1"/>
  <c r="Q37" i="6"/>
  <c r="S27" i="6" l="1"/>
  <c r="R37" i="6"/>
  <c r="S37" i="6" l="1"/>
  <c r="T27" i="6"/>
  <c r="T37" i="6" l="1"/>
  <c r="U27" i="6"/>
  <c r="V27" i="6" l="1"/>
  <c r="U37" i="6"/>
  <c r="W27" i="6" l="1"/>
  <c r="V37" i="6"/>
  <c r="W37" i="6" l="1"/>
  <c r="X27" i="6"/>
  <c r="X37" i="6" l="1"/>
  <c r="Y27" i="6"/>
  <c r="Y37" i="6" s="1"/>
  <c r="K19" i="20" l="1"/>
  <c r="K26" i="20" s="1"/>
  <c r="I19" i="20"/>
  <c r="L26" i="20" l="1"/>
  <c r="H26" i="20" l="1"/>
  <c r="E12" i="6"/>
  <c r="F12" i="6" s="1"/>
  <c r="F17" i="6" s="1"/>
  <c r="K38" i="20"/>
  <c r="K41" i="20" s="1"/>
  <c r="K42" i="20" s="1"/>
  <c r="E28" i="9" s="1"/>
  <c r="R5" i="25"/>
  <c r="R8" i="25" s="1"/>
  <c r="R9" i="25" s="1"/>
  <c r="R10" i="25" s="1"/>
  <c r="E15" i="6" l="1"/>
  <c r="E17" i="6"/>
  <c r="G12" i="6"/>
  <c r="F15" i="6"/>
  <c r="E19" i="6" l="1"/>
  <c r="F19" i="6"/>
  <c r="E124" i="9" s="1"/>
  <c r="E130" i="9" s="1"/>
  <c r="H12" i="6"/>
  <c r="G15" i="6"/>
  <c r="G17" i="6"/>
  <c r="E16" i="9" l="1"/>
  <c r="F88" i="6"/>
  <c r="F91" i="6"/>
  <c r="G19" i="6"/>
  <c r="H17" i="6"/>
  <c r="I12" i="6"/>
  <c r="H15" i="6"/>
  <c r="F16" i="9" l="1"/>
  <c r="G91" i="6"/>
  <c r="G88" i="6"/>
  <c r="H19" i="6"/>
  <c r="J12" i="6"/>
  <c r="I17" i="6"/>
  <c r="I15" i="6"/>
  <c r="H88" i="6" l="1"/>
  <c r="H91" i="6"/>
  <c r="I19" i="6"/>
  <c r="J15" i="6"/>
  <c r="J17" i="6"/>
  <c r="K12" i="6"/>
  <c r="I91" i="6" l="1"/>
  <c r="I88" i="6"/>
  <c r="L12" i="6"/>
  <c r="K17" i="6"/>
  <c r="K15" i="6"/>
  <c r="J19" i="6"/>
  <c r="J88" i="6" l="1"/>
  <c r="J91" i="6"/>
  <c r="K19" i="6"/>
  <c r="L17" i="6"/>
  <c r="L15" i="6"/>
  <c r="M12" i="6"/>
  <c r="K88" i="6" l="1"/>
  <c r="K91" i="6"/>
  <c r="L19" i="6"/>
  <c r="M15" i="6"/>
  <c r="M17" i="6"/>
  <c r="N12" i="6"/>
  <c r="L88" i="6" l="1"/>
  <c r="L91" i="6"/>
  <c r="O12" i="6"/>
  <c r="N15" i="6"/>
  <c r="N17" i="6"/>
  <c r="M19" i="6"/>
  <c r="M88" i="6" l="1"/>
  <c r="M91" i="6"/>
  <c r="N19" i="6"/>
  <c r="O15" i="6"/>
  <c r="O17" i="6"/>
  <c r="P12" i="6"/>
  <c r="N88" i="6" l="1"/>
  <c r="N91" i="6"/>
  <c r="P15" i="6"/>
  <c r="Q12" i="6"/>
  <c r="P17" i="6"/>
  <c r="O19" i="6"/>
  <c r="O88" i="6" l="1"/>
  <c r="O91" i="6"/>
  <c r="R12" i="6"/>
  <c r="Q17" i="6"/>
  <c r="Q15" i="6"/>
  <c r="P19" i="6"/>
  <c r="P88" i="6" l="1"/>
  <c r="P91" i="6"/>
  <c r="Q19" i="6"/>
  <c r="R17" i="6"/>
  <c r="R15" i="6"/>
  <c r="S12" i="6"/>
  <c r="Q88" i="6" l="1"/>
  <c r="Q91" i="6"/>
  <c r="R19" i="6"/>
  <c r="S17" i="6"/>
  <c r="S15" i="6"/>
  <c r="T12" i="6"/>
  <c r="R91" i="6" l="1"/>
  <c r="R88" i="6"/>
  <c r="S19" i="6"/>
  <c r="T15" i="6"/>
  <c r="U12" i="6"/>
  <c r="T17" i="6"/>
  <c r="S91" i="6" l="1"/>
  <c r="S88" i="6"/>
  <c r="U15" i="6"/>
  <c r="V12" i="6"/>
  <c r="U17" i="6"/>
  <c r="T19" i="6"/>
  <c r="T91" i="6" l="1"/>
  <c r="T88" i="6"/>
  <c r="U19" i="6"/>
  <c r="W12" i="6"/>
  <c r="V17" i="6"/>
  <c r="V15" i="6"/>
  <c r="U91" i="6" l="1"/>
  <c r="U88" i="6"/>
  <c r="V19" i="6"/>
  <c r="W15" i="6"/>
  <c r="W17" i="6"/>
  <c r="X12" i="6"/>
  <c r="V88" i="6" l="1"/>
  <c r="V91" i="6"/>
  <c r="X17" i="6"/>
  <c r="Y12" i="6"/>
  <c r="X15" i="6"/>
  <c r="W19" i="6"/>
  <c r="W88" i="6" l="1"/>
  <c r="W91" i="6"/>
  <c r="X19" i="6"/>
  <c r="Y17" i="6"/>
  <c r="Y15" i="6"/>
  <c r="X88" i="6" l="1"/>
  <c r="X91" i="6"/>
  <c r="Y19" i="6"/>
  <c r="Y88" i="6" l="1"/>
  <c r="Y91" i="6"/>
  <c r="F8" i="24" l="1"/>
  <c r="AR8" i="24" s="1"/>
  <c r="F8" i="1"/>
  <c r="F9" i="24" l="1"/>
  <c r="F9" i="1"/>
  <c r="F76" i="6"/>
  <c r="L53" i="1"/>
  <c r="G77" i="6" l="1"/>
  <c r="J77" i="6"/>
  <c r="N77" i="6"/>
  <c r="R77" i="6"/>
  <c r="P77" i="6"/>
  <c r="F28" i="6"/>
  <c r="L77" i="6"/>
  <c r="M77" i="6"/>
  <c r="T77" i="6"/>
  <c r="N53" i="1"/>
  <c r="X77" i="6"/>
  <c r="O77" i="6"/>
  <c r="L63" i="1"/>
  <c r="S77" i="6"/>
  <c r="F77" i="6"/>
  <c r="H77" i="6"/>
  <c r="W77" i="6"/>
  <c r="U77" i="6"/>
  <c r="Q77" i="6"/>
  <c r="K77" i="6"/>
  <c r="I77" i="6"/>
  <c r="Y77" i="6"/>
  <c r="V77" i="6"/>
  <c r="G28" i="6" l="1"/>
  <c r="H28" i="6" s="1"/>
  <c r="I28" i="6" s="1"/>
  <c r="J28" i="6" s="1"/>
  <c r="K28" i="6" s="1"/>
  <c r="L28" i="6" s="1"/>
  <c r="M28" i="6" s="1"/>
  <c r="N28" i="6" s="1"/>
  <c r="O28" i="6" s="1"/>
  <c r="P28" i="6" s="1"/>
  <c r="Q28" i="6" s="1"/>
  <c r="R28" i="6" s="1"/>
  <c r="S28" i="6" s="1"/>
  <c r="T28" i="6" s="1"/>
  <c r="U28" i="6" s="1"/>
  <c r="V28" i="6" s="1"/>
  <c r="W28" i="6" s="1"/>
  <c r="X28" i="6" s="1"/>
  <c r="Y28" i="6" s="1"/>
  <c r="E31" i="24" l="1"/>
  <c r="H31" i="24"/>
  <c r="AV31" i="24" s="1"/>
  <c r="F51" i="21"/>
  <c r="H37" i="24" l="1"/>
  <c r="AW31" i="24"/>
  <c r="I51" i="21"/>
  <c r="F52" i="21"/>
  <c r="F19" i="11" l="1"/>
  <c r="F14" i="11"/>
  <c r="F16" i="11"/>
  <c r="F21" i="11"/>
  <c r="F20" i="11"/>
  <c r="F22" i="11"/>
  <c r="F18" i="11"/>
  <c r="F15" i="11"/>
  <c r="F17" i="11"/>
  <c r="F13" i="11"/>
  <c r="F23" i="11"/>
  <c r="F12" i="11"/>
  <c r="F24" i="11" l="1"/>
  <c r="F12" i="1" l="1"/>
  <c r="F12" i="24"/>
  <c r="AW12" i="24" s="1"/>
  <c r="L16" i="1" l="1"/>
  <c r="L18" i="1" l="1"/>
  <c r="I56" i="27" l="1"/>
  <c r="J56" i="27"/>
  <c r="I58" i="27"/>
  <c r="J58" i="27"/>
  <c r="F70" i="24"/>
  <c r="F72" i="24"/>
  <c r="E72" i="24" l="1"/>
  <c r="H70" i="24"/>
  <c r="E70" i="24"/>
  <c r="H72" i="24"/>
  <c r="AV72" i="24" l="1"/>
  <c r="AW72" i="24" s="1"/>
  <c r="AV70" i="24"/>
  <c r="AW70" i="24" s="1"/>
  <c r="L13" i="1"/>
  <c r="J15" i="27" l="1"/>
  <c r="I15" i="27"/>
  <c r="F27" i="24"/>
  <c r="X27" i="24" l="1"/>
  <c r="J27" i="24"/>
  <c r="AF27" i="24"/>
  <c r="AE27" i="24"/>
  <c r="V27" i="24"/>
  <c r="AC27" i="24"/>
  <c r="AJ27" i="24"/>
  <c r="P27" i="24"/>
  <c r="S27" i="24"/>
  <c r="M27" i="24"/>
  <c r="R27" i="24"/>
  <c r="AG27" i="24"/>
  <c r="N27" i="24"/>
  <c r="AK27" i="24"/>
  <c r="I27" i="24"/>
  <c r="AB27" i="24"/>
  <c r="Y27" i="24"/>
  <c r="Z27" i="24"/>
  <c r="AA27" i="24"/>
  <c r="K27" i="24"/>
  <c r="U27" i="24"/>
  <c r="AH27" i="24"/>
  <c r="T27" i="24"/>
  <c r="AD27" i="24"/>
  <c r="W27" i="24"/>
  <c r="L27" i="24"/>
  <c r="Q27" i="24"/>
  <c r="AI27" i="24"/>
  <c r="E27" i="24"/>
  <c r="O27" i="24"/>
  <c r="AV27" i="24" l="1"/>
  <c r="AW27" i="24" s="1"/>
  <c r="I12" i="27"/>
  <c r="G17" i="27"/>
  <c r="G20" i="27" s="1"/>
  <c r="F24" i="24"/>
  <c r="I16" i="27"/>
  <c r="F29" i="24" l="1"/>
  <c r="N29" i="24" s="1"/>
  <c r="AO24" i="24"/>
  <c r="AP24" i="24"/>
  <c r="K24" i="24"/>
  <c r="I24" i="24"/>
  <c r="I17" i="27"/>
  <c r="J17" i="27"/>
  <c r="E24" i="24"/>
  <c r="AK24" i="24"/>
  <c r="J16" i="27"/>
  <c r="J24" i="24"/>
  <c r="Z24" i="24"/>
  <c r="N24" i="24"/>
  <c r="AI24" i="24"/>
  <c r="AD24" i="24"/>
  <c r="V24" i="24"/>
  <c r="P24" i="24"/>
  <c r="Q24" i="24"/>
  <c r="L24" i="24"/>
  <c r="U24" i="24"/>
  <c r="T24" i="24"/>
  <c r="AB24" i="24"/>
  <c r="S24" i="24"/>
  <c r="X24" i="24"/>
  <c r="AJ24" i="24"/>
  <c r="R24" i="24"/>
  <c r="W24" i="24"/>
  <c r="AG24" i="24"/>
  <c r="AC24" i="24"/>
  <c r="AH24" i="24"/>
  <c r="AA24" i="24"/>
  <c r="AN24" i="24"/>
  <c r="O24" i="24"/>
  <c r="AF24" i="24"/>
  <c r="AE24" i="24"/>
  <c r="M24" i="24"/>
  <c r="F28" i="24"/>
  <c r="Y24" i="24"/>
  <c r="L29" i="24" l="1"/>
  <c r="M29" i="24"/>
  <c r="P29" i="24"/>
  <c r="AH29" i="24"/>
  <c r="Z29" i="24"/>
  <c r="AF29" i="24"/>
  <c r="R29" i="24"/>
  <c r="AI29" i="24"/>
  <c r="AE29" i="24"/>
  <c r="I29" i="24"/>
  <c r="E29" i="24"/>
  <c r="J29" i="24"/>
  <c r="AG29" i="24"/>
  <c r="U29" i="24"/>
  <c r="Q29" i="24"/>
  <c r="V29" i="24"/>
  <c r="O29" i="24"/>
  <c r="AA29" i="24"/>
  <c r="X29" i="24"/>
  <c r="AC29" i="24"/>
  <c r="AJ29" i="24"/>
  <c r="W29" i="24"/>
  <c r="AD29" i="24"/>
  <c r="S29" i="24"/>
  <c r="Y29" i="24"/>
  <c r="K29" i="24"/>
  <c r="T29" i="24"/>
  <c r="AK29" i="24"/>
  <c r="AB29" i="24"/>
  <c r="AV24" i="24"/>
  <c r="AW24" i="24" s="1"/>
  <c r="F32" i="24"/>
  <c r="AP32" i="24" s="1"/>
  <c r="AP37" i="24" s="1"/>
  <c r="I20" i="27"/>
  <c r="J20" i="27"/>
  <c r="H21" i="27"/>
  <c r="K9" i="1" s="1"/>
  <c r="L9" i="1" s="1"/>
  <c r="AH28" i="24"/>
  <c r="AD28" i="24"/>
  <c r="Z28" i="24"/>
  <c r="K28" i="24"/>
  <c r="O28" i="24"/>
  <c r="Y28" i="24"/>
  <c r="AA28" i="24"/>
  <c r="AK28" i="24"/>
  <c r="W28" i="24"/>
  <c r="P28" i="24"/>
  <c r="T28" i="24"/>
  <c r="AG28" i="24"/>
  <c r="S28" i="24"/>
  <c r="R28" i="24"/>
  <c r="V28" i="24"/>
  <c r="U28" i="24"/>
  <c r="AI28" i="24"/>
  <c r="AF28" i="24"/>
  <c r="E28" i="24"/>
  <c r="I28" i="24"/>
  <c r="AB28" i="24"/>
  <c r="Q28" i="24"/>
  <c r="J28" i="24"/>
  <c r="AC28" i="24"/>
  <c r="L28" i="24"/>
  <c r="X28" i="24"/>
  <c r="AE28" i="24"/>
  <c r="AJ28" i="24"/>
  <c r="M28" i="24"/>
  <c r="N28" i="24"/>
  <c r="AV29" i="24" l="1"/>
  <c r="AW29" i="24" s="1"/>
  <c r="M32" i="24"/>
  <c r="AO32" i="24"/>
  <c r="AO37" i="24" s="1"/>
  <c r="AK32" i="24"/>
  <c r="AK37" i="24" s="1"/>
  <c r="E32" i="24"/>
  <c r="AN32" i="24"/>
  <c r="AN37" i="24" s="1"/>
  <c r="AV28" i="24"/>
  <c r="AW28" i="24" s="1"/>
  <c r="AE32" i="24"/>
  <c r="AE37" i="24" s="1"/>
  <c r="Z32" i="24"/>
  <c r="Z37" i="24" s="1"/>
  <c r="X32" i="24"/>
  <c r="X37" i="24" s="1"/>
  <c r="AI32" i="24"/>
  <c r="AI37" i="24" s="1"/>
  <c r="R32" i="24"/>
  <c r="R37" i="24" s="1"/>
  <c r="AD32" i="24"/>
  <c r="AD37" i="24" s="1"/>
  <c r="Y32" i="24"/>
  <c r="Y37" i="24" s="1"/>
  <c r="AG32" i="24"/>
  <c r="AG37" i="24" s="1"/>
  <c r="P32" i="24"/>
  <c r="P37" i="24" s="1"/>
  <c r="S32" i="24"/>
  <c r="S37" i="24" s="1"/>
  <c r="V32" i="24"/>
  <c r="V37" i="24" s="1"/>
  <c r="AH32" i="24"/>
  <c r="AH37" i="24" s="1"/>
  <c r="L32" i="24"/>
  <c r="L37" i="24" s="1"/>
  <c r="U32" i="24"/>
  <c r="U37" i="24" s="1"/>
  <c r="AA32" i="24"/>
  <c r="AA37" i="24" s="1"/>
  <c r="AB32" i="24"/>
  <c r="AB37" i="24" s="1"/>
  <c r="F37" i="24"/>
  <c r="N32" i="24"/>
  <c r="N37" i="24" s="1"/>
  <c r="AC32" i="24"/>
  <c r="AC37" i="24" s="1"/>
  <c r="K32" i="24"/>
  <c r="K37" i="24" s="1"/>
  <c r="I32" i="24"/>
  <c r="J32" i="24"/>
  <c r="J37" i="24" s="1"/>
  <c r="AF32" i="24"/>
  <c r="AF37" i="24" s="1"/>
  <c r="T32" i="24"/>
  <c r="T37" i="24" s="1"/>
  <c r="AJ32" i="24"/>
  <c r="AJ37" i="24" s="1"/>
  <c r="D32" i="24"/>
  <c r="Q32" i="24"/>
  <c r="Q37" i="24" s="1"/>
  <c r="O32" i="24"/>
  <c r="O37" i="24" s="1"/>
  <c r="W32" i="24"/>
  <c r="W37" i="24" s="1"/>
  <c r="M37" i="24"/>
  <c r="E37" i="24" l="1"/>
  <c r="I37" i="24"/>
  <c r="AV37" i="24" s="1"/>
  <c r="AW37" i="24" s="1"/>
  <c r="AV32" i="24"/>
  <c r="AW32" i="24" s="1"/>
  <c r="R141" i="24" l="1"/>
  <c r="U141" i="24" l="1"/>
  <c r="Y141" i="24" l="1"/>
  <c r="Z141" i="24" l="1"/>
  <c r="AA141" i="24" l="1"/>
  <c r="AV8" i="24" l="1"/>
  <c r="AW8" i="24" s="1"/>
  <c r="AC141" i="24" l="1"/>
  <c r="AD141" i="24" l="1"/>
  <c r="AE141" i="24" l="1"/>
  <c r="AF141" i="24" l="1"/>
  <c r="AG141" i="24" l="1"/>
  <c r="AH141" i="24" l="1"/>
  <c r="AI141" i="24" l="1"/>
  <c r="AJ141" i="24" l="1"/>
  <c r="AK141" i="24" l="1"/>
  <c r="AL141" i="24" l="1"/>
  <c r="AM141" i="24" l="1"/>
  <c r="AN141" i="24" l="1"/>
  <c r="AB141" i="24" l="1"/>
  <c r="I141" i="24" l="1"/>
  <c r="AU16" i="24" l="1"/>
  <c r="N149" i="24" l="1"/>
  <c r="O149" i="24" l="1"/>
  <c r="AF133" i="24" l="1"/>
  <c r="AG133" i="24" l="1"/>
  <c r="AH133" i="24" l="1"/>
  <c r="AI133" i="24" l="1"/>
  <c r="AJ133" i="24" l="1"/>
  <c r="AK133" i="24" l="1"/>
  <c r="AL133" i="24" l="1"/>
  <c r="AM133" i="24" l="1"/>
  <c r="AN133" i="24" l="1"/>
  <c r="H100" i="24" l="1"/>
  <c r="AV100" i="24" s="1"/>
  <c r="AW100" i="24" s="1"/>
  <c r="H141" i="24" l="1"/>
  <c r="H142" i="24" l="1"/>
  <c r="I143" i="24" l="1"/>
  <c r="I142" i="24"/>
  <c r="J143" i="24" s="1"/>
  <c r="M149" i="24" l="1"/>
  <c r="Q60" i="11" l="1"/>
  <c r="E47" i="21" l="1"/>
  <c r="E48" i="21" s="1"/>
  <c r="AU103" i="24"/>
  <c r="AU104" i="24" s="1"/>
  <c r="AR149" i="24"/>
  <c r="AP149" i="24"/>
  <c r="AQ149" i="24"/>
  <c r="AV15" i="24"/>
  <c r="H149" i="24"/>
  <c r="H150" i="24" l="1"/>
  <c r="I151" i="24" l="1"/>
  <c r="I149" i="24"/>
  <c r="I150" i="24" s="1"/>
  <c r="J150" i="24" s="1"/>
  <c r="K151" i="24" s="1"/>
  <c r="K149" i="24"/>
  <c r="J151" i="24" l="1"/>
  <c r="K150" i="24"/>
  <c r="L151" i="24" l="1"/>
  <c r="L150" i="24"/>
  <c r="M150" i="24" l="1"/>
  <c r="M151" i="24"/>
  <c r="N151" i="24" l="1"/>
  <c r="N150" i="24"/>
  <c r="O150" i="24" l="1"/>
  <c r="O151" i="24"/>
  <c r="P151" i="24" l="1"/>
  <c r="P133" i="24" l="1"/>
  <c r="AV96" i="24"/>
  <c r="AW96" i="24" s="1"/>
  <c r="J133" i="24" l="1"/>
  <c r="K133" i="24"/>
  <c r="L133" i="24"/>
  <c r="N141" i="24"/>
  <c r="P149" i="24"/>
  <c r="P150" i="24" s="1"/>
  <c r="Q149" i="24"/>
  <c r="R149" i="24"/>
  <c r="Q151" i="24"/>
  <c r="Q150" i="24" l="1"/>
  <c r="R150" i="24" s="1"/>
  <c r="S151" i="24" s="1"/>
  <c r="S150" i="24"/>
  <c r="R151" i="24" l="1"/>
  <c r="T151" i="24"/>
  <c r="T150" i="24"/>
  <c r="U151" i="24" l="1"/>
  <c r="U150" i="24"/>
  <c r="V151" i="24" l="1"/>
  <c r="V150" i="24"/>
  <c r="W151" i="24" l="1"/>
  <c r="W150" i="24"/>
  <c r="X151" i="24" l="1"/>
  <c r="X150" i="24"/>
  <c r="Y151" i="24" l="1"/>
  <c r="Y150" i="24"/>
  <c r="Z150" i="24" l="1"/>
  <c r="Z151" i="24"/>
  <c r="AA150" i="24" l="1"/>
  <c r="AA151" i="24"/>
  <c r="AB151" i="24" l="1"/>
  <c r="S133" i="24"/>
  <c r="W133" i="24"/>
  <c r="AV9" i="24" l="1"/>
  <c r="AW9" i="24" s="1"/>
  <c r="AB149" i="24"/>
  <c r="AC149" i="24"/>
  <c r="AD149" i="24"/>
  <c r="AE149" i="24"/>
  <c r="AF149" i="24"/>
  <c r="AF156" i="24" s="1"/>
  <c r="AG149" i="24"/>
  <c r="AG156" i="24" s="1"/>
  <c r="AH149" i="24"/>
  <c r="AH156" i="24" s="1"/>
  <c r="AI149" i="24"/>
  <c r="AI156" i="24" s="1"/>
  <c r="AJ149" i="24"/>
  <c r="AJ156" i="24" s="1"/>
  <c r="AK149" i="24"/>
  <c r="AK156" i="24" s="1"/>
  <c r="AL149" i="24"/>
  <c r="AL156" i="24" s="1"/>
  <c r="AM149" i="24"/>
  <c r="AM156" i="24" s="1"/>
  <c r="AN149" i="24"/>
  <c r="AN156" i="24" s="1"/>
  <c r="AO149" i="24"/>
  <c r="AB150" i="24" l="1"/>
  <c r="AC151" i="24" l="1"/>
  <c r="AC150" i="24"/>
  <c r="AD150" i="24" l="1"/>
  <c r="AD151" i="24"/>
  <c r="H153" i="24" s="1"/>
  <c r="AE151" i="24" l="1"/>
  <c r="AE150" i="24"/>
  <c r="AF150" i="24" l="1"/>
  <c r="AF151" i="24"/>
  <c r="AG150" i="24" l="1"/>
  <c r="AG151" i="24"/>
  <c r="AH150" i="24" l="1"/>
  <c r="AH151" i="24"/>
  <c r="AI150" i="24" l="1"/>
  <c r="AI151" i="24"/>
  <c r="AJ150" i="24" l="1"/>
  <c r="AJ151" i="24"/>
  <c r="AK150" i="24" l="1"/>
  <c r="AK151" i="24"/>
  <c r="AL150" i="24" l="1"/>
  <c r="AL151" i="24"/>
  <c r="AM151" i="24" l="1"/>
  <c r="AM150" i="24"/>
  <c r="AN151" i="24" l="1"/>
  <c r="AN150" i="24"/>
  <c r="AO151" i="24" l="1"/>
  <c r="AO150" i="24"/>
  <c r="AP151" i="24" l="1"/>
  <c r="AP150" i="24"/>
  <c r="AQ150" i="24" l="1"/>
  <c r="AQ151" i="24"/>
  <c r="H152" i="24" s="1"/>
  <c r="AR151" i="24" l="1"/>
  <c r="AR150" i="24"/>
  <c r="AT150" i="24" l="1"/>
  <c r="AU151" i="24"/>
  <c r="AT151" i="24"/>
  <c r="AU150" i="24"/>
  <c r="F53" i="11" l="1"/>
  <c r="E53" i="11"/>
  <c r="E72" i="6"/>
  <c r="F72" i="6"/>
  <c r="F49" i="6"/>
  <c r="AO121" i="24"/>
  <c r="AN120" i="24"/>
  <c r="AA127" i="24"/>
  <c r="AA126" i="24"/>
  <c r="AR17" i="24"/>
  <c r="AR11" i="24"/>
  <c r="N58" i="11"/>
  <c r="U61" i="6"/>
  <c r="U55" i="6"/>
  <c r="F33" i="11"/>
  <c r="E33" i="11"/>
  <c r="AG121" i="24"/>
  <c r="AF120" i="24"/>
  <c r="AV17" i="24"/>
  <c r="H17" i="24"/>
  <c r="K22" i="22"/>
  <c r="E22" i="22"/>
  <c r="G71" i="6"/>
  <c r="G48" i="6"/>
  <c r="F26" i="22"/>
  <c r="F22" i="22"/>
  <c r="K26" i="22"/>
  <c r="E26" i="22"/>
  <c r="AB104" i="24"/>
  <c r="H25" i="22"/>
  <c r="H21" i="22"/>
  <c r="H6" i="24"/>
  <c r="F6" i="24"/>
  <c r="AB156" i="24"/>
  <c r="AB133" i="24"/>
  <c r="P143" i="24"/>
  <c r="F47" i="11"/>
  <c r="E47" i="11"/>
  <c r="Z143" i="24"/>
  <c r="AB127" i="24"/>
  <c r="AB126" i="24"/>
  <c r="F51" i="11"/>
  <c r="E51" i="11"/>
  <c r="AI143" i="24"/>
  <c r="X121" i="24"/>
  <c r="W120" i="24"/>
  <c r="AJ127" i="24"/>
  <c r="AI126" i="24"/>
  <c r="K64" i="6"/>
  <c r="K54" i="6"/>
  <c r="V61" i="6"/>
  <c r="V55" i="6"/>
  <c r="AA143" i="24"/>
  <c r="X71" i="6"/>
  <c r="X48" i="6"/>
  <c r="I26" i="22"/>
  <c r="I22" i="22"/>
  <c r="N71" i="6"/>
  <c r="N48" i="6"/>
  <c r="AH121" i="24"/>
  <c r="AG120" i="24"/>
  <c r="U51" i="6"/>
  <c r="U52" i="6"/>
  <c r="R17" i="1"/>
  <c r="R16" i="1"/>
  <c r="L127" i="24"/>
  <c r="L126" i="24"/>
  <c r="N143" i="24"/>
  <c r="U70" i="6"/>
  <c r="U78" i="6"/>
  <c r="U47" i="6"/>
  <c r="U58" i="6"/>
  <c r="M121" i="24"/>
  <c r="L120" i="24"/>
  <c r="V49" i="6"/>
  <c r="V72" i="6"/>
  <c r="AT127" i="24"/>
  <c r="AR126" i="24"/>
  <c r="AU127" i="24"/>
  <c r="AU157" i="24"/>
  <c r="AU134" i="24"/>
  <c r="AU125" i="24"/>
  <c r="H69" i="6"/>
  <c r="H65" i="6"/>
  <c r="H33" i="6"/>
  <c r="E16" i="22"/>
  <c r="K16" i="22"/>
  <c r="F32" i="11"/>
  <c r="E32" i="11"/>
  <c r="AV13" i="24"/>
  <c r="I13" i="24"/>
  <c r="L143" i="24"/>
  <c r="W127" i="24"/>
  <c r="W126" i="24"/>
  <c r="Z125" i="24"/>
  <c r="Z157" i="24"/>
  <c r="F22" i="9"/>
  <c r="E22" i="9"/>
  <c r="AP121" i="24"/>
  <c r="AO120" i="24"/>
  <c r="AA125" i="24"/>
  <c r="AA157" i="24"/>
  <c r="Q127" i="24"/>
  <c r="Q126" i="24"/>
  <c r="I51" i="6"/>
  <c r="I52" i="6"/>
  <c r="AR16" i="24"/>
  <c r="Q55" i="6"/>
  <c r="Q42" i="6"/>
  <c r="Q61" i="6"/>
  <c r="T13" i="24"/>
  <c r="S114" i="24"/>
  <c r="T115" i="24"/>
  <c r="T49" i="24"/>
  <c r="AO13" i="24"/>
  <c r="AN114" i="24"/>
  <c r="AO115" i="24"/>
  <c r="AO49" i="24"/>
  <c r="F57" i="11"/>
  <c r="E57" i="11"/>
  <c r="R69" i="6"/>
  <c r="R65" i="6"/>
  <c r="R33" i="6"/>
  <c r="AM16" i="24"/>
  <c r="AM11" i="24"/>
  <c r="AM17" i="24"/>
  <c r="N72" i="6"/>
  <c r="N49" i="6"/>
  <c r="AR7" i="24"/>
  <c r="AR133" i="24"/>
  <c r="AR156" i="24"/>
  <c r="K46" i="6"/>
  <c r="K87" i="6"/>
  <c r="K93" i="6"/>
  <c r="K94" i="6"/>
  <c r="K95" i="6"/>
  <c r="K89" i="6"/>
  <c r="V121" i="24"/>
  <c r="U120" i="24"/>
  <c r="F50" i="11"/>
  <c r="E50" i="11"/>
  <c r="E65" i="6"/>
  <c r="F49" i="11"/>
  <c r="E49" i="11"/>
  <c r="S125" i="24"/>
  <c r="S157" i="24"/>
  <c r="Y143" i="24"/>
  <c r="I127" i="24"/>
  <c r="I126" i="24"/>
  <c r="J49" i="24"/>
  <c r="I114" i="24"/>
  <c r="J115" i="24"/>
  <c r="J13" i="24"/>
  <c r="W71" i="6"/>
  <c r="W48" i="6"/>
  <c r="AM135" i="24"/>
  <c r="AM158" i="24"/>
  <c r="AM48" i="24"/>
  <c r="AM103" i="24"/>
  <c r="AM104" i="24"/>
  <c r="P49" i="24"/>
  <c r="O114" i="24"/>
  <c r="P115" i="24"/>
  <c r="P13" i="24"/>
  <c r="M51" i="6"/>
  <c r="M52" i="6"/>
  <c r="AB135" i="24"/>
  <c r="AB158" i="24"/>
  <c r="AB48" i="24"/>
  <c r="AB103" i="24"/>
  <c r="AB7" i="24"/>
  <c r="AB16" i="24"/>
  <c r="L55" i="6"/>
  <c r="L42" i="6"/>
  <c r="L61" i="6"/>
  <c r="AH125" i="24"/>
  <c r="AH157" i="24"/>
  <c r="AR115" i="24"/>
  <c r="AQ114" i="24"/>
  <c r="AI104" i="24"/>
  <c r="K25" i="22"/>
  <c r="E25" i="22"/>
  <c r="W58" i="6"/>
  <c r="W78" i="6"/>
  <c r="W47" i="6"/>
  <c r="W70" i="6"/>
  <c r="AE121" i="24"/>
  <c r="AD120" i="24"/>
  <c r="N157" i="24"/>
  <c r="N125" i="24"/>
  <c r="U49" i="6"/>
  <c r="U72" i="6"/>
  <c r="AC143" i="24"/>
  <c r="E140" i="9"/>
  <c r="I94" i="27"/>
  <c r="G94" i="27"/>
  <c r="N52" i="6"/>
  <c r="N51" i="6"/>
  <c r="R52" i="6"/>
  <c r="R51" i="6"/>
  <c r="G16" i="1"/>
  <c r="E40" i="1"/>
  <c r="E41" i="1"/>
  <c r="E16" i="1"/>
  <c r="F16" i="1"/>
  <c r="K69" i="6"/>
  <c r="K65" i="6"/>
  <c r="K33" i="6"/>
  <c r="F35" i="11"/>
  <c r="E35" i="11"/>
  <c r="M15" i="1"/>
  <c r="H75" i="27"/>
  <c r="K15" i="1"/>
  <c r="L15" i="1"/>
  <c r="O156" i="24"/>
  <c r="O133" i="24"/>
  <c r="R13" i="1"/>
  <c r="R12" i="1"/>
  <c r="S46" i="6"/>
  <c r="S87" i="6"/>
  <c r="S93" i="6"/>
  <c r="S94" i="6"/>
  <c r="S95" i="6"/>
  <c r="S89" i="6"/>
  <c r="O30" i="22"/>
  <c r="D22" i="22"/>
  <c r="A22" i="22"/>
  <c r="E24" i="6"/>
  <c r="I55" i="6"/>
  <c r="I42" i="6"/>
  <c r="I61" i="6"/>
  <c r="AW48" i="24"/>
  <c r="F48" i="24"/>
  <c r="E48" i="24"/>
  <c r="L54" i="6"/>
  <c r="L64" i="6"/>
  <c r="H125" i="24"/>
  <c r="H157" i="24"/>
  <c r="AH17" i="24"/>
  <c r="AH11" i="24"/>
  <c r="AH16" i="24"/>
  <c r="R55" i="6"/>
  <c r="R42" i="6"/>
  <c r="R61" i="6"/>
  <c r="O78" i="6"/>
  <c r="O70" i="6"/>
  <c r="O47" i="6"/>
  <c r="O58" i="6"/>
  <c r="S70" i="6"/>
  <c r="S78" i="6"/>
  <c r="S47" i="6"/>
  <c r="S58" i="6"/>
  <c r="G92" i="27"/>
  <c r="I92" i="27"/>
  <c r="M141" i="24"/>
  <c r="M10" i="24"/>
  <c r="G55" i="6"/>
  <c r="G42" i="6"/>
  <c r="G61" i="6"/>
  <c r="Y72" i="6"/>
  <c r="Z72" i="6"/>
  <c r="AA72" i="6"/>
  <c r="AB72" i="6"/>
  <c r="AC72" i="6"/>
  <c r="AD72" i="6"/>
  <c r="AE72" i="6"/>
  <c r="AF72" i="6"/>
  <c r="AG72" i="6"/>
  <c r="AH72" i="6"/>
  <c r="AI72" i="6"/>
  <c r="AC13" i="24"/>
  <c r="AB114" i="24"/>
  <c r="AC115" i="24"/>
  <c r="AC49" i="24"/>
  <c r="AD49" i="24"/>
  <c r="AC114" i="24"/>
  <c r="AD115" i="24"/>
  <c r="AD13" i="24"/>
  <c r="AM13" i="24"/>
  <c r="AL114" i="24"/>
  <c r="AM115" i="24"/>
  <c r="AM49" i="24"/>
  <c r="W52" i="6"/>
  <c r="W51" i="6"/>
  <c r="O7" i="24"/>
  <c r="O16" i="24"/>
  <c r="H11" i="24"/>
  <c r="AV11" i="24"/>
  <c r="K121" i="24"/>
  <c r="J120" i="24"/>
  <c r="AO127" i="24"/>
  <c r="AN126" i="24"/>
  <c r="G69" i="6"/>
  <c r="G65" i="6"/>
  <c r="G33" i="6"/>
  <c r="AU158" i="24"/>
  <c r="AU135" i="24"/>
  <c r="W13" i="24"/>
  <c r="V114" i="24"/>
  <c r="W115" i="24"/>
  <c r="W49" i="24"/>
  <c r="Q46" i="6"/>
  <c r="Q87" i="6"/>
  <c r="Q93" i="6"/>
  <c r="Q94" i="6"/>
  <c r="Q95" i="6"/>
  <c r="Q89" i="6"/>
  <c r="Y121" i="24"/>
  <c r="X120" i="24"/>
  <c r="Q156" i="24"/>
  <c r="Q133" i="24"/>
  <c r="R46" i="6"/>
  <c r="R89" i="6"/>
  <c r="R95" i="6"/>
  <c r="R94" i="6"/>
  <c r="R93" i="6"/>
  <c r="R87" i="6"/>
  <c r="N3" i="11"/>
  <c r="I69" i="6"/>
  <c r="I65" i="6"/>
  <c r="I33" i="6"/>
  <c r="S121" i="24"/>
  <c r="R120" i="24"/>
  <c r="S64" i="6"/>
  <c r="S54" i="6"/>
  <c r="AH127" i="24"/>
  <c r="AG126" i="24"/>
  <c r="F64" i="6"/>
  <c r="S72" i="6"/>
  <c r="S49" i="6"/>
  <c r="Z127" i="24"/>
  <c r="Z126" i="24"/>
  <c r="M87" i="6"/>
  <c r="M93" i="6"/>
  <c r="M94" i="6"/>
  <c r="M95" i="6"/>
  <c r="M89" i="6"/>
  <c r="M46" i="6"/>
  <c r="AE16" i="24"/>
  <c r="L72" i="6"/>
  <c r="L49" i="6"/>
  <c r="M64" i="6"/>
  <c r="M54" i="6"/>
  <c r="V51" i="6"/>
  <c r="V52" i="6"/>
  <c r="Q71" i="6"/>
  <c r="Q48" i="6"/>
  <c r="F65" i="6"/>
  <c r="F69" i="6"/>
  <c r="E69" i="6"/>
  <c r="O143" i="24"/>
  <c r="O71" i="6"/>
  <c r="O48" i="6"/>
  <c r="J78" i="6"/>
  <c r="J70" i="6"/>
  <c r="J47" i="6"/>
  <c r="J58" i="6"/>
  <c r="AB49" i="24"/>
  <c r="AA114" i="24"/>
  <c r="AB115" i="24"/>
  <c r="AB13" i="24"/>
  <c r="AI16" i="24"/>
  <c r="AI135" i="24"/>
  <c r="AI158" i="24"/>
  <c r="AI48" i="24"/>
  <c r="AI103" i="24"/>
  <c r="AI11" i="24"/>
  <c r="AI17" i="24"/>
  <c r="L156" i="24"/>
  <c r="L141" i="24"/>
  <c r="O127" i="24"/>
  <c r="O126" i="24"/>
  <c r="P87" i="6"/>
  <c r="P93" i="6"/>
  <c r="P94" i="6"/>
  <c r="P95" i="6"/>
  <c r="P89" i="6"/>
  <c r="P46" i="6"/>
  <c r="S71" i="6"/>
  <c r="S48" i="6"/>
  <c r="N156" i="24"/>
  <c r="N133" i="24"/>
  <c r="AT115" i="24"/>
  <c r="AR114" i="24"/>
  <c r="AU115" i="24"/>
  <c r="O135" i="24"/>
  <c r="O158" i="24"/>
  <c r="O48" i="24"/>
  <c r="O103" i="24"/>
  <c r="O104" i="24"/>
  <c r="O72" i="6"/>
  <c r="O49" i="6"/>
  <c r="O121" i="24"/>
  <c r="N120" i="24"/>
  <c r="T141" i="24"/>
  <c r="T10" i="24"/>
  <c r="M71" i="6"/>
  <c r="M48" i="6"/>
  <c r="S156" i="24"/>
  <c r="S141" i="24"/>
  <c r="L10" i="24"/>
  <c r="L16" i="24"/>
  <c r="H24" i="22"/>
  <c r="H20" i="22"/>
  <c r="F38" i="11"/>
  <c r="E38" i="11"/>
  <c r="AA16" i="24"/>
  <c r="Q13" i="24"/>
  <c r="P114" i="24"/>
  <c r="Q115" i="24"/>
  <c r="Q49" i="24"/>
  <c r="M13" i="24"/>
  <c r="L114" i="24"/>
  <c r="M115" i="24"/>
  <c r="M49" i="24"/>
  <c r="F46" i="6"/>
  <c r="F87" i="6"/>
  <c r="F93" i="6"/>
  <c r="F94" i="6"/>
  <c r="F95" i="6"/>
  <c r="F89" i="6"/>
  <c r="U13" i="24"/>
  <c r="T114" i="24"/>
  <c r="U115" i="24"/>
  <c r="U49" i="24"/>
  <c r="F37" i="11"/>
  <c r="E37" i="11"/>
  <c r="O61" i="6"/>
  <c r="O42" i="6"/>
  <c r="O55" i="6"/>
  <c r="I71" i="27"/>
  <c r="Q121" i="24"/>
  <c r="P120" i="24"/>
  <c r="J52" i="6"/>
  <c r="J51" i="6"/>
  <c r="Y49" i="24"/>
  <c r="X114" i="24"/>
  <c r="Y115" i="24"/>
  <c r="Y13" i="24"/>
  <c r="T156" i="24"/>
  <c r="T133" i="24"/>
  <c r="S69" i="6"/>
  <c r="S65" i="6"/>
  <c r="S33" i="6"/>
  <c r="K13" i="24"/>
  <c r="J114" i="24"/>
  <c r="K115" i="24"/>
  <c r="K49" i="24"/>
  <c r="K69" i="1"/>
  <c r="D10" i="28"/>
  <c r="D6" i="28"/>
  <c r="O52" i="6"/>
  <c r="O51" i="6"/>
  <c r="I24" i="22"/>
  <c r="I20" i="22"/>
  <c r="AW49" i="24"/>
  <c r="F49" i="24"/>
  <c r="K72" i="6"/>
  <c r="K49" i="6"/>
  <c r="W43" i="6"/>
  <c r="W44" i="6"/>
  <c r="W45" i="6"/>
  <c r="L51" i="6"/>
  <c r="L52" i="6"/>
  <c r="AW10" i="24"/>
  <c r="AV10" i="24"/>
  <c r="F40" i="11"/>
  <c r="E40" i="11"/>
  <c r="F24" i="22"/>
  <c r="F20" i="22"/>
  <c r="N58" i="6"/>
  <c r="N70" i="6"/>
  <c r="N47" i="6"/>
  <c r="N78" i="6"/>
  <c r="AW15" i="24"/>
  <c r="F15" i="24"/>
  <c r="D15" i="24"/>
  <c r="AL125" i="24"/>
  <c r="AL157" i="24"/>
  <c r="Q70" i="6"/>
  <c r="Q58" i="6"/>
  <c r="Q47" i="6"/>
  <c r="Q78" i="6"/>
  <c r="S52" i="6"/>
  <c r="S51" i="6"/>
  <c r="R58" i="6"/>
  <c r="R70" i="6"/>
  <c r="R47" i="6"/>
  <c r="R78" i="6"/>
  <c r="T87" i="6"/>
  <c r="T93" i="6"/>
  <c r="T94" i="6"/>
  <c r="T95" i="6"/>
  <c r="T89" i="6"/>
  <c r="T46" i="6"/>
  <c r="AG157" i="24"/>
  <c r="AG125" i="24"/>
  <c r="P33" i="6"/>
  <c r="P65" i="6"/>
  <c r="P69" i="6"/>
  <c r="T70" i="6"/>
  <c r="T78" i="6"/>
  <c r="T47" i="6"/>
  <c r="T58" i="6"/>
  <c r="S10" i="24"/>
  <c r="S16" i="24"/>
  <c r="X58" i="6"/>
  <c r="X70" i="6"/>
  <c r="X47" i="6"/>
  <c r="X78" i="6"/>
  <c r="F48" i="11"/>
  <c r="E48" i="11"/>
  <c r="AH135" i="24"/>
  <c r="AH158" i="24"/>
  <c r="AH48" i="24"/>
  <c r="AH103" i="24"/>
  <c r="AH104" i="24"/>
  <c r="P72" i="6"/>
  <c r="P49" i="6"/>
  <c r="P55" i="6"/>
  <c r="P42" i="6"/>
  <c r="P61" i="6"/>
  <c r="Y49" i="6"/>
  <c r="Y55" i="6"/>
  <c r="Y61" i="6"/>
  <c r="J71" i="6"/>
  <c r="J48" i="6"/>
  <c r="AA7" i="24"/>
  <c r="AA133" i="24"/>
  <c r="AA156" i="24"/>
  <c r="AN49" i="24"/>
  <c r="AM114" i="24"/>
  <c r="AN115" i="24"/>
  <c r="AN13" i="24"/>
  <c r="H51" i="6"/>
  <c r="H52" i="6"/>
  <c r="L49" i="24"/>
  <c r="K114" i="24"/>
  <c r="L115" i="24"/>
  <c r="L13" i="24"/>
  <c r="E29" i="11"/>
  <c r="F29" i="11"/>
  <c r="F41" i="11"/>
  <c r="L17" i="1"/>
  <c r="H88" i="27"/>
  <c r="K17" i="1"/>
  <c r="M17" i="1"/>
  <c r="V71" i="6"/>
  <c r="V48" i="6"/>
  <c r="J72" i="6"/>
  <c r="J49" i="6"/>
  <c r="T69" i="6"/>
  <c r="T65" i="6"/>
  <c r="T33" i="6"/>
  <c r="X143" i="24"/>
  <c r="H71" i="6"/>
  <c r="H48" i="6"/>
  <c r="V46" i="6"/>
  <c r="V89" i="6"/>
  <c r="V95" i="6"/>
  <c r="V94" i="6"/>
  <c r="V93" i="6"/>
  <c r="V87" i="6"/>
  <c r="N104" i="24"/>
  <c r="X49" i="24"/>
  <c r="W114" i="24"/>
  <c r="X115" i="24"/>
  <c r="X13" i="24"/>
  <c r="K71" i="6"/>
  <c r="K48" i="6"/>
  <c r="V143" i="24"/>
  <c r="AV95" i="24"/>
  <c r="AD95" i="24"/>
  <c r="K15" i="22"/>
  <c r="H46" i="6"/>
  <c r="H89" i="6"/>
  <c r="H95" i="6"/>
  <c r="H87" i="6"/>
  <c r="H93" i="6"/>
  <c r="H94" i="6"/>
  <c r="Q157" i="24"/>
  <c r="Q125" i="24"/>
  <c r="J33" i="27"/>
  <c r="H117" i="24"/>
  <c r="AG143" i="24"/>
  <c r="F34" i="11"/>
  <c r="E34" i="11"/>
  <c r="P121" i="24"/>
  <c r="O120" i="24"/>
  <c r="AR158" i="24"/>
  <c r="AR135" i="24"/>
  <c r="I31" i="27"/>
  <c r="E71" i="6"/>
  <c r="F71" i="6"/>
  <c r="F48" i="6"/>
  <c r="F39" i="11"/>
  <c r="E39" i="11"/>
  <c r="F56" i="6"/>
  <c r="F55" i="6"/>
  <c r="AA135" i="24"/>
  <c r="AA158" i="24"/>
  <c r="AA48" i="24"/>
  <c r="AA103" i="24"/>
  <c r="AA104" i="24"/>
  <c r="S135" i="24"/>
  <c r="S158" i="24"/>
  <c r="S48" i="24"/>
  <c r="S103" i="24"/>
  <c r="S104" i="24"/>
  <c r="X61" i="6"/>
  <c r="X55" i="6"/>
  <c r="S13" i="24"/>
  <c r="R114" i="24"/>
  <c r="S115" i="24"/>
  <c r="S49" i="24"/>
  <c r="AE127" i="24"/>
  <c r="AD126" i="24"/>
  <c r="H108" i="24"/>
  <c r="C108" i="24"/>
  <c r="AQ49" i="24"/>
  <c r="AP114" i="24"/>
  <c r="AQ115" i="24"/>
  <c r="AQ13" i="24"/>
  <c r="V125" i="24"/>
  <c r="V157" i="24"/>
  <c r="H126" i="24"/>
  <c r="H127" i="24"/>
  <c r="H128" i="24"/>
  <c r="O33" i="6"/>
  <c r="O65" i="6"/>
  <c r="O69" i="6"/>
  <c r="N127" i="24"/>
  <c r="N126" i="24"/>
  <c r="F30" i="11"/>
  <c r="E30" i="11"/>
  <c r="T64" i="6"/>
  <c r="S63" i="6"/>
  <c r="T63" i="6"/>
  <c r="T54" i="6"/>
  <c r="AB121" i="24"/>
  <c r="AA120" i="24"/>
  <c r="AE157" i="24"/>
  <c r="AE125" i="24"/>
  <c r="AL143" i="24"/>
  <c r="G26" i="22"/>
  <c r="G22" i="22"/>
  <c r="N32" i="22"/>
  <c r="T104" i="24"/>
  <c r="AQ121" i="24"/>
  <c r="AP120" i="24"/>
  <c r="AR121" i="24"/>
  <c r="AQ120" i="24"/>
  <c r="F52" i="11"/>
  <c r="E52" i="11"/>
  <c r="K125" i="24"/>
  <c r="K157" i="24"/>
  <c r="AO16" i="24"/>
  <c r="P156" i="24"/>
  <c r="P141" i="24"/>
  <c r="AV7" i="24"/>
  <c r="Z121" i="24"/>
  <c r="Y120" i="24"/>
  <c r="Y127" i="24"/>
  <c r="Y126" i="24"/>
  <c r="R49" i="1"/>
  <c r="T51" i="6"/>
  <c r="X87" i="6"/>
  <c r="X93" i="6"/>
  <c r="X94" i="6"/>
  <c r="X95" i="6"/>
  <c r="X89" i="6"/>
  <c r="X46" i="6"/>
  <c r="T143" i="24"/>
  <c r="AC156" i="24"/>
  <c r="AC133" i="24"/>
  <c r="F36" i="11"/>
  <c r="E36" i="11"/>
  <c r="X127" i="24"/>
  <c r="X126" i="24"/>
  <c r="AO7" i="24"/>
  <c r="AO133" i="24"/>
  <c r="AO156" i="24"/>
  <c r="AD104" i="24"/>
  <c r="H16" i="24"/>
  <c r="AV16" i="24"/>
  <c r="Q104" i="24"/>
  <c r="H92" i="27"/>
  <c r="H101" i="27"/>
  <c r="V156" i="24"/>
  <c r="V133" i="24"/>
  <c r="M143" i="24"/>
  <c r="T72" i="6"/>
  <c r="T49" i="6"/>
  <c r="G24" i="22"/>
  <c r="G20" i="22"/>
  <c r="AH143" i="24"/>
  <c r="R11" i="25"/>
  <c r="R14" i="25"/>
  <c r="R15" i="25"/>
  <c r="R16" i="25"/>
  <c r="R125" i="24"/>
  <c r="R157" i="24"/>
  <c r="AF104" i="24"/>
  <c r="U43" i="6"/>
  <c r="U44" i="6"/>
  <c r="U45" i="6"/>
  <c r="AU121" i="24"/>
  <c r="AR120" i="24"/>
  <c r="AT121" i="24"/>
  <c r="G64" i="6"/>
  <c r="G54" i="6"/>
  <c r="U104" i="24"/>
  <c r="AE104" i="24"/>
  <c r="N22" i="11"/>
  <c r="N60" i="11"/>
  <c r="N61" i="11"/>
  <c r="F56" i="11"/>
  <c r="E56" i="11"/>
  <c r="Q135" i="24"/>
  <c r="Q158" i="24"/>
  <c r="Q48" i="24"/>
  <c r="Q103" i="24"/>
  <c r="Q7" i="24"/>
  <c r="Q16" i="24"/>
  <c r="AC157" i="24"/>
  <c r="AC125" i="24"/>
  <c r="F52" i="6"/>
  <c r="AD125" i="24"/>
  <c r="AD157" i="24"/>
  <c r="F55" i="11"/>
  <c r="E55" i="11"/>
  <c r="O157" i="24"/>
  <c r="O125" i="24"/>
  <c r="AL127" i="24"/>
  <c r="AK126" i="24"/>
  <c r="W104" i="24"/>
  <c r="AA121" i="24"/>
  <c r="Z120" i="24"/>
  <c r="W156" i="24"/>
  <c r="W141" i="24"/>
  <c r="AD16" i="24"/>
  <c r="I9" i="22"/>
  <c r="I18" i="22"/>
  <c r="I21" i="22"/>
  <c r="I25" i="22"/>
  <c r="T121" i="24"/>
  <c r="S120" i="24"/>
  <c r="AD121" i="24"/>
  <c r="AC120" i="24"/>
  <c r="N16" i="24"/>
  <c r="AC104" i="24"/>
  <c r="R54" i="6"/>
  <c r="R63" i="6"/>
  <c r="R64" i="6"/>
  <c r="AN125" i="24"/>
  <c r="AN157" i="24"/>
  <c r="X51" i="6"/>
  <c r="X52" i="6"/>
  <c r="H144" i="24"/>
  <c r="K143" i="24"/>
  <c r="H145" i="24"/>
  <c r="F4" i="28"/>
  <c r="J64" i="6"/>
  <c r="J54" i="6"/>
  <c r="H61" i="6"/>
  <c r="H42" i="6"/>
  <c r="H55" i="6"/>
  <c r="AD135" i="24"/>
  <c r="AD158" i="24"/>
  <c r="AD48" i="24"/>
  <c r="AD103" i="24"/>
  <c r="AD7" i="24"/>
  <c r="AD133" i="24"/>
  <c r="AD156" i="24"/>
  <c r="AM125" i="24"/>
  <c r="AM157" i="24"/>
  <c r="I72" i="6"/>
  <c r="I49" i="6"/>
  <c r="W72" i="6"/>
  <c r="E30" i="9"/>
  <c r="E29" i="9"/>
  <c r="H28" i="9"/>
  <c r="AO125" i="24"/>
  <c r="AO157" i="24"/>
  <c r="L87" i="6"/>
  <c r="L93" i="6"/>
  <c r="L94" i="6"/>
  <c r="L95" i="6"/>
  <c r="L89" i="6"/>
  <c r="L46" i="6"/>
  <c r="R121" i="24"/>
  <c r="Q120" i="24"/>
  <c r="AQ143" i="24"/>
  <c r="AK17" i="24"/>
  <c r="AK11" i="24"/>
  <c r="AK16" i="24"/>
  <c r="AR127" i="24"/>
  <c r="AQ126" i="24"/>
  <c r="AJ143" i="24"/>
  <c r="W49" i="6"/>
  <c r="W55" i="6"/>
  <c r="W61" i="6"/>
  <c r="AJ121" i="24"/>
  <c r="AI120" i="24"/>
  <c r="E25" i="9"/>
  <c r="F25" i="9"/>
  <c r="K21" i="22"/>
  <c r="E21" i="22"/>
  <c r="AV48" i="24"/>
  <c r="AI70" i="6"/>
  <c r="AH70" i="6"/>
  <c r="Y70" i="6"/>
  <c r="Z70" i="6"/>
  <c r="AA70" i="6"/>
  <c r="AB70" i="6"/>
  <c r="AC70" i="6"/>
  <c r="AD70" i="6"/>
  <c r="AE70" i="6"/>
  <c r="AF70" i="6"/>
  <c r="AG70" i="6"/>
  <c r="K51" i="6"/>
  <c r="K52" i="6"/>
  <c r="T127" i="24"/>
  <c r="T126" i="24"/>
  <c r="J55" i="6"/>
  <c r="J42" i="6"/>
  <c r="J61" i="6"/>
  <c r="AP104" i="24"/>
  <c r="AN121" i="24"/>
  <c r="AM120" i="24"/>
  <c r="X49" i="6"/>
  <c r="X72" i="6"/>
  <c r="H133" i="24"/>
  <c r="H156" i="24"/>
  <c r="AW84" i="24"/>
  <c r="E84" i="24"/>
  <c r="AE143" i="24"/>
  <c r="Y52" i="6"/>
  <c r="AF49" i="24"/>
  <c r="AE114" i="24"/>
  <c r="AF115" i="24"/>
  <c r="AF13" i="24"/>
  <c r="N44" i="11"/>
  <c r="AE11" i="24"/>
  <c r="AE17" i="24"/>
  <c r="G25" i="22"/>
  <c r="G18" i="22"/>
  <c r="G21" i="22"/>
  <c r="J46" i="6"/>
  <c r="J87" i="6"/>
  <c r="J93" i="6"/>
  <c r="J94" i="6"/>
  <c r="J95" i="6"/>
  <c r="J89" i="6"/>
  <c r="U46" i="6"/>
  <c r="U87" i="6"/>
  <c r="U93" i="6"/>
  <c r="U94" i="6"/>
  <c r="U95" i="6"/>
  <c r="U89" i="6"/>
  <c r="V127" i="24"/>
  <c r="V126" i="24"/>
  <c r="X16" i="24"/>
  <c r="R156" i="24"/>
  <c r="R133" i="24"/>
  <c r="I16" i="24"/>
  <c r="AW83" i="24"/>
  <c r="E83" i="24"/>
  <c r="M125" i="24"/>
  <c r="M157" i="24"/>
  <c r="AP16" i="24"/>
  <c r="AJ17" i="24"/>
  <c r="AJ11" i="24"/>
  <c r="AJ16" i="24"/>
  <c r="Q72" i="6"/>
  <c r="Q49" i="6"/>
  <c r="AT158" i="24"/>
  <c r="AT135" i="24"/>
  <c r="F54" i="11"/>
  <c r="E54" i="11"/>
  <c r="AP127" i="24"/>
  <c r="AO126" i="24"/>
  <c r="J156" i="24"/>
  <c r="G7" i="22"/>
  <c r="G9" i="22"/>
  <c r="AR101" i="24"/>
  <c r="AR103" i="24"/>
  <c r="AR104" i="24"/>
  <c r="I72" i="27"/>
  <c r="S127" i="24"/>
  <c r="S126" i="24"/>
  <c r="R127" i="24"/>
  <c r="R126" i="24"/>
  <c r="AW95" i="24"/>
  <c r="F95" i="24"/>
  <c r="E95" i="24"/>
  <c r="E43" i="1"/>
  <c r="Y51" i="6"/>
  <c r="S49" i="1"/>
  <c r="H7" i="22"/>
  <c r="H9" i="22"/>
  <c r="H18" i="22"/>
  <c r="H22" i="22"/>
  <c r="H26" i="22"/>
  <c r="N43" i="6"/>
  <c r="N45" i="6"/>
  <c r="N44" i="6"/>
  <c r="AN16" i="24"/>
  <c r="AN11" i="24"/>
  <c r="AN17" i="24"/>
  <c r="Q143" i="24"/>
  <c r="I49" i="24"/>
  <c r="AV49" i="24"/>
  <c r="X7" i="24"/>
  <c r="X133" i="24"/>
  <c r="X156" i="24"/>
  <c r="U157" i="24"/>
  <c r="U125" i="24"/>
  <c r="X43" i="6"/>
  <c r="X45" i="6"/>
  <c r="X21" i="6"/>
  <c r="X24" i="6"/>
  <c r="X36" i="6"/>
  <c r="X39" i="6"/>
  <c r="X44" i="6"/>
  <c r="I7" i="24"/>
  <c r="I133" i="24"/>
  <c r="I156" i="24"/>
  <c r="AN127" i="24"/>
  <c r="AM126" i="24"/>
  <c r="AJ49" i="24"/>
  <c r="AI114" i="24"/>
  <c r="AJ115" i="24"/>
  <c r="AJ13" i="24"/>
  <c r="I45" i="6"/>
  <c r="I44" i="6"/>
  <c r="I43" i="6"/>
  <c r="K20" i="22"/>
  <c r="AC135" i="24"/>
  <c r="AC158" i="24"/>
  <c r="AC48" i="24"/>
  <c r="AC103" i="24"/>
  <c r="AC7" i="24"/>
  <c r="AC16" i="24"/>
  <c r="Q64" i="6"/>
  <c r="Q63" i="6"/>
  <c r="Q54" i="6"/>
  <c r="L121" i="24"/>
  <c r="K120" i="24"/>
  <c r="AA13" i="24"/>
  <c r="Z114" i="24"/>
  <c r="AA115" i="24"/>
  <c r="AA49" i="24"/>
  <c r="V7" i="24"/>
  <c r="V16" i="24"/>
  <c r="AL17" i="24"/>
  <c r="AL11" i="24"/>
  <c r="AL16" i="24"/>
  <c r="O64" i="6"/>
  <c r="O54" i="6"/>
  <c r="AW7" i="24"/>
  <c r="F7" i="24"/>
  <c r="E20" i="22"/>
  <c r="E24" i="22"/>
  <c r="K24" i="22"/>
  <c r="U16" i="24"/>
  <c r="J16" i="24"/>
  <c r="V141" i="24"/>
  <c r="V10" i="24"/>
  <c r="O49" i="24"/>
  <c r="N114" i="24"/>
  <c r="O115" i="24"/>
  <c r="O13" i="24"/>
  <c r="AO135" i="24"/>
  <c r="AO158" i="24"/>
  <c r="AO48" i="24"/>
  <c r="AO103" i="24"/>
  <c r="AO104" i="24"/>
  <c r="E73" i="6"/>
  <c r="E68" i="6"/>
  <c r="U121" i="24"/>
  <c r="T120" i="24"/>
  <c r="N61" i="6"/>
  <c r="N42" i="6"/>
  <c r="N55" i="6"/>
  <c r="F20" i="9"/>
  <c r="M5" i="6"/>
  <c r="M7" i="6"/>
  <c r="T71" i="6"/>
  <c r="T48" i="6"/>
  <c r="J121" i="24"/>
  <c r="I120" i="24"/>
  <c r="C110" i="24"/>
  <c r="C111" i="24"/>
  <c r="P70" i="6"/>
  <c r="P78" i="6"/>
  <c r="P47" i="6"/>
  <c r="P58" i="6"/>
  <c r="P52" i="6"/>
  <c r="P51" i="6"/>
  <c r="G70" i="6"/>
  <c r="G58" i="6"/>
  <c r="G47" i="6"/>
  <c r="G78" i="6"/>
  <c r="W21" i="6"/>
  <c r="W24" i="6"/>
  <c r="W36" i="6"/>
  <c r="W39" i="6"/>
  <c r="W87" i="6"/>
  <c r="W93" i="6"/>
  <c r="W94" i="6"/>
  <c r="W95" i="6"/>
  <c r="W89" i="6"/>
  <c r="W46" i="6"/>
  <c r="AJ125" i="24"/>
  <c r="AJ157" i="24"/>
  <c r="AK143" i="24"/>
  <c r="AF143" i="24"/>
  <c r="D21" i="1"/>
  <c r="F54" i="6"/>
  <c r="C54" i="6"/>
  <c r="H78" i="6"/>
  <c r="H58" i="6"/>
  <c r="H47" i="6"/>
  <c r="H70" i="6"/>
  <c r="X135" i="24"/>
  <c r="X158" i="24"/>
  <c r="X48" i="24"/>
  <c r="X103" i="24"/>
  <c r="X104" i="24"/>
  <c r="Z13" i="24"/>
  <c r="Y114" i="24"/>
  <c r="Z115" i="24"/>
  <c r="Z49" i="24"/>
  <c r="G72" i="27"/>
  <c r="F84" i="24"/>
  <c r="H84" i="24"/>
  <c r="AV84" i="24"/>
  <c r="S143" i="24"/>
  <c r="P104" i="24"/>
  <c r="I48" i="6"/>
  <c r="I71" i="6"/>
  <c r="AK121" i="24"/>
  <c r="AJ120" i="24"/>
  <c r="I104" i="24"/>
  <c r="I158" i="24"/>
  <c r="I48" i="24"/>
  <c r="I103" i="24"/>
  <c r="I105" i="24"/>
  <c r="AQ157" i="24"/>
  <c r="AQ125" i="24"/>
  <c r="I54" i="6"/>
  <c r="I64" i="6"/>
  <c r="N87" i="6"/>
  <c r="N93" i="6"/>
  <c r="N94" i="6"/>
  <c r="N95" i="6"/>
  <c r="N89" i="6"/>
  <c r="N46" i="6"/>
  <c r="I87" i="6"/>
  <c r="I93" i="6"/>
  <c r="I94" i="6"/>
  <c r="I95" i="6"/>
  <c r="I89" i="6"/>
  <c r="I46" i="6"/>
  <c r="X125" i="24"/>
  <c r="X157" i="24"/>
  <c r="AW47" i="24"/>
  <c r="E47" i="24"/>
  <c r="L135" i="24"/>
  <c r="L158" i="24"/>
  <c r="L48" i="24"/>
  <c r="L103" i="24"/>
  <c r="L104" i="24"/>
  <c r="L125" i="24"/>
  <c r="L157" i="24"/>
  <c r="K127" i="24"/>
  <c r="K126" i="24"/>
  <c r="A21" i="22"/>
  <c r="R71" i="6"/>
  <c r="R48" i="6"/>
  <c r="AG127" i="24"/>
  <c r="AF126" i="24"/>
  <c r="AK49" i="24"/>
  <c r="AJ114" i="24"/>
  <c r="AK115" i="24"/>
  <c r="AK13" i="24"/>
  <c r="AF127" i="24"/>
  <c r="AE126" i="24"/>
  <c r="AR143" i="24"/>
  <c r="O32" i="22"/>
  <c r="G72" i="6"/>
  <c r="G49" i="6"/>
  <c r="AD143" i="24"/>
  <c r="K104" i="24"/>
  <c r="F15" i="1"/>
  <c r="G15" i="1"/>
  <c r="X10" i="24"/>
  <c r="X141" i="24"/>
  <c r="S55" i="6"/>
  <c r="S42" i="6"/>
  <c r="S61" i="6"/>
  <c r="AM121" i="24"/>
  <c r="AL120" i="24"/>
  <c r="O29" i="22"/>
  <c r="D20" i="22"/>
  <c r="A20" i="22"/>
  <c r="AI127" i="24"/>
  <c r="AH126" i="24"/>
  <c r="G46" i="6"/>
  <c r="G89" i="6"/>
  <c r="G95" i="6"/>
  <c r="G94" i="6"/>
  <c r="G93" i="6"/>
  <c r="G87" i="6"/>
  <c r="M127" i="24"/>
  <c r="M126" i="24"/>
  <c r="J104" i="24"/>
  <c r="J43" i="6"/>
  <c r="J44" i="6"/>
  <c r="J45" i="6"/>
  <c r="G85" i="27"/>
  <c r="I85" i="27"/>
  <c r="H122" i="24"/>
  <c r="I121" i="24"/>
  <c r="AF16" i="24"/>
  <c r="AF135" i="24"/>
  <c r="AF158" i="24"/>
  <c r="AF48" i="24"/>
  <c r="AF103" i="24"/>
  <c r="AF11" i="24"/>
  <c r="AF17" i="24"/>
  <c r="F51" i="6"/>
  <c r="Q49" i="1"/>
  <c r="AK127" i="24"/>
  <c r="AJ126" i="24"/>
  <c r="N21" i="6"/>
  <c r="N24" i="6"/>
  <c r="N36" i="6"/>
  <c r="N39" i="6"/>
  <c r="N33" i="6"/>
  <c r="N65" i="6"/>
  <c r="N69" i="6"/>
  <c r="AN135" i="24"/>
  <c r="AN158" i="24"/>
  <c r="AN48" i="24"/>
  <c r="AN103" i="24"/>
  <c r="AN104" i="24"/>
  <c r="AE49" i="24"/>
  <c r="AD114" i="24"/>
  <c r="AE115" i="24"/>
  <c r="AE13" i="24"/>
  <c r="R104" i="24"/>
  <c r="F78" i="6"/>
  <c r="F79" i="6"/>
  <c r="G76" i="6"/>
  <c r="G79" i="6"/>
  <c r="H76" i="6"/>
  <c r="H79" i="6"/>
  <c r="I76" i="6"/>
  <c r="I79" i="6"/>
  <c r="J76" i="6"/>
  <c r="J79" i="6"/>
  <c r="K76" i="6"/>
  <c r="K79" i="6"/>
  <c r="L76" i="6"/>
  <c r="L79" i="6"/>
  <c r="M76" i="6"/>
  <c r="M79" i="6"/>
  <c r="N76" i="6"/>
  <c r="N79" i="6"/>
  <c r="O76" i="6"/>
  <c r="O79" i="6"/>
  <c r="P76" i="6"/>
  <c r="P79" i="6"/>
  <c r="Q76" i="6"/>
  <c r="Q79" i="6"/>
  <c r="R76" i="6"/>
  <c r="R79" i="6"/>
  <c r="S76" i="6"/>
  <c r="S79" i="6"/>
  <c r="T76" i="6"/>
  <c r="T79" i="6"/>
  <c r="U76" i="6"/>
  <c r="U79" i="6"/>
  <c r="V76" i="6"/>
  <c r="V79" i="6"/>
  <c r="W76" i="6"/>
  <c r="W79" i="6"/>
  <c r="X76" i="6"/>
  <c r="X79" i="6"/>
  <c r="Y76" i="6"/>
  <c r="Y79" i="6"/>
  <c r="F43" i="6"/>
  <c r="F45" i="6"/>
  <c r="F44" i="6"/>
  <c r="Y78" i="6"/>
  <c r="Y47" i="6"/>
  <c r="Y58" i="6"/>
  <c r="M78" i="6"/>
  <c r="M58" i="6"/>
  <c r="M47" i="6"/>
  <c r="M70" i="6"/>
  <c r="AK135" i="24"/>
  <c r="AK158" i="24"/>
  <c r="AK48" i="24"/>
  <c r="AK103" i="24"/>
  <c r="AK104" i="24"/>
  <c r="W135" i="24"/>
  <c r="W158" i="24"/>
  <c r="W48" i="24"/>
  <c r="W103" i="24"/>
  <c r="W10" i="24"/>
  <c r="W16" i="24"/>
  <c r="P135" i="24"/>
  <c r="P158" i="24"/>
  <c r="P48" i="24"/>
  <c r="P103" i="24"/>
  <c r="P10" i="24"/>
  <c r="P16" i="24"/>
  <c r="AE135" i="24"/>
  <c r="AE158" i="24"/>
  <c r="AE48" i="24"/>
  <c r="AE103" i="24"/>
  <c r="AE7" i="24"/>
  <c r="AE133" i="24"/>
  <c r="AE156" i="24"/>
  <c r="AU126" i="24"/>
  <c r="AT126" i="24"/>
  <c r="U21" i="6"/>
  <c r="U24" i="6"/>
  <c r="U36" i="6"/>
  <c r="U39" i="6"/>
  <c r="U48" i="6"/>
  <c r="U71" i="6"/>
  <c r="T52" i="6"/>
  <c r="W143" i="24"/>
  <c r="AT143" i="24"/>
  <c r="AU142" i="24"/>
  <c r="AU143" i="24"/>
  <c r="AP142" i="24"/>
  <c r="AQ142" i="24"/>
  <c r="AR142" i="24"/>
  <c r="AT142" i="24"/>
  <c r="N135" i="24"/>
  <c r="N158" i="24"/>
  <c r="N48" i="24"/>
  <c r="N103" i="24"/>
  <c r="N7" i="24"/>
  <c r="Q10" i="24"/>
  <c r="Q141" i="24"/>
  <c r="F25" i="22"/>
  <c r="F21" i="22"/>
  <c r="AC127" i="24"/>
  <c r="AC126" i="24"/>
  <c r="AD127" i="24"/>
  <c r="J127" i="24"/>
  <c r="J126" i="24"/>
  <c r="G71" i="27"/>
  <c r="F83" i="24"/>
  <c r="H83" i="24"/>
  <c r="AV83" i="24"/>
  <c r="N64" i="6"/>
  <c r="N54" i="6"/>
  <c r="O44" i="6"/>
  <c r="O45" i="6"/>
  <c r="O43" i="6"/>
  <c r="AP135" i="24"/>
  <c r="AP158" i="24"/>
  <c r="AP48" i="24"/>
  <c r="AP103" i="24"/>
  <c r="AP7" i="24"/>
  <c r="AP133" i="24"/>
  <c r="AP156" i="24"/>
  <c r="U135" i="24"/>
  <c r="U158" i="24"/>
  <c r="U48" i="24"/>
  <c r="U103" i="24"/>
  <c r="U7" i="24"/>
  <c r="U133" i="24"/>
  <c r="U156" i="24"/>
  <c r="AI157" i="24"/>
  <c r="AI125" i="24"/>
  <c r="S44" i="6"/>
  <c r="S43" i="6"/>
  <c r="S21" i="6"/>
  <c r="S24" i="6"/>
  <c r="S36" i="6"/>
  <c r="S39" i="6"/>
  <c r="S45" i="6"/>
  <c r="Y156" i="24"/>
  <c r="Y133" i="24"/>
  <c r="Y7" i="24"/>
  <c r="Y16" i="24"/>
  <c r="P54" i="6"/>
  <c r="I63" i="6"/>
  <c r="J63" i="6"/>
  <c r="K63" i="6"/>
  <c r="L63" i="6"/>
  <c r="M63" i="6"/>
  <c r="N63" i="6"/>
  <c r="O63" i="6"/>
  <c r="P63" i="6"/>
  <c r="P64" i="6"/>
  <c r="AM127" i="24"/>
  <c r="AL126" i="24"/>
  <c r="P125" i="24"/>
  <c r="P157" i="24"/>
  <c r="F18" i="9"/>
  <c r="K156" i="24"/>
  <c r="K141" i="24"/>
  <c r="M156" i="24"/>
  <c r="M133" i="24"/>
  <c r="K45" i="6"/>
  <c r="K44" i="6"/>
  <c r="K43" i="6"/>
  <c r="AP125" i="24"/>
  <c r="AP157" i="24"/>
  <c r="Y135" i="24"/>
  <c r="Y158" i="24"/>
  <c r="Y48" i="24"/>
  <c r="Y103" i="24"/>
  <c r="Y104" i="24"/>
  <c r="V45" i="6"/>
  <c r="V44" i="6"/>
  <c r="V43" i="6"/>
  <c r="T135" i="24"/>
  <c r="T158" i="24"/>
  <c r="T48" i="24"/>
  <c r="T103" i="24"/>
  <c r="T7" i="24"/>
  <c r="T16" i="24"/>
  <c r="E70" i="6"/>
  <c r="F70" i="6"/>
  <c r="Y43" i="6"/>
  <c r="Y45" i="6"/>
  <c r="Y44" i="6"/>
  <c r="K70" i="6"/>
  <c r="K78" i="6"/>
  <c r="K47" i="6"/>
  <c r="K58" i="6"/>
  <c r="E31" i="11"/>
  <c r="F31" i="11"/>
  <c r="R143" i="24"/>
  <c r="M43" i="6"/>
  <c r="M45" i="6"/>
  <c r="M44" i="6"/>
  <c r="K55" i="6"/>
  <c r="K21" i="6"/>
  <c r="K24" i="6"/>
  <c r="K36" i="6"/>
  <c r="K39" i="6"/>
  <c r="K42" i="6"/>
  <c r="K61" i="6"/>
  <c r="F3" i="11"/>
  <c r="F6" i="11"/>
  <c r="E46" i="11"/>
  <c r="F46" i="11"/>
  <c r="F58" i="11"/>
  <c r="V70" i="6"/>
  <c r="V58" i="6"/>
  <c r="V21" i="6"/>
  <c r="V24" i="6"/>
  <c r="V36" i="6"/>
  <c r="V39" i="6"/>
  <c r="V47" i="6"/>
  <c r="V78" i="6"/>
  <c r="Q30" i="1"/>
  <c r="R30" i="1"/>
  <c r="R29" i="1"/>
  <c r="AJ135" i="24"/>
  <c r="AJ158" i="24"/>
  <c r="AJ48" i="24"/>
  <c r="AJ103" i="24"/>
  <c r="AJ104" i="24"/>
  <c r="AI13" i="24"/>
  <c r="AH114" i="24"/>
  <c r="AI115" i="24"/>
  <c r="AI49" i="24"/>
  <c r="P44" i="6"/>
  <c r="P43" i="6"/>
  <c r="P45" i="6"/>
  <c r="AR157" i="24"/>
  <c r="AR125" i="24"/>
  <c r="M33" i="6"/>
  <c r="M65" i="6"/>
  <c r="M69" i="6"/>
  <c r="H137" i="24"/>
  <c r="H160" i="24"/>
  <c r="J32" i="27"/>
  <c r="W121" i="24"/>
  <c r="V120" i="24"/>
  <c r="AQ127" i="24"/>
  <c r="AP126" i="24"/>
  <c r="V135" i="24"/>
  <c r="V158" i="24"/>
  <c r="V48" i="24"/>
  <c r="V103" i="24"/>
  <c r="V104" i="24"/>
  <c r="AF157" i="24"/>
  <c r="AF125" i="24"/>
  <c r="AB143" i="24"/>
  <c r="M104" i="24"/>
  <c r="AN143" i="24"/>
  <c r="Q51" i="6"/>
  <c r="Q52" i="6"/>
  <c r="AG17" i="24"/>
  <c r="AG11" i="24"/>
  <c r="AG16" i="24"/>
  <c r="O46" i="6"/>
  <c r="O89" i="6"/>
  <c r="O21" i="6"/>
  <c r="O24" i="6"/>
  <c r="O36" i="6"/>
  <c r="O39" i="6"/>
  <c r="O87" i="6"/>
  <c r="O93" i="6"/>
  <c r="O94" i="6"/>
  <c r="O95" i="6"/>
  <c r="Q43" i="6"/>
  <c r="Q45" i="6"/>
  <c r="Q44" i="6"/>
  <c r="AF121" i="24"/>
  <c r="AE120" i="24"/>
  <c r="AQ16" i="24"/>
  <c r="Z104" i="24"/>
  <c r="AI121" i="24"/>
  <c r="AH120" i="24"/>
  <c r="G18" i="1"/>
  <c r="M49" i="6"/>
  <c r="M72" i="6"/>
  <c r="M16" i="24"/>
  <c r="V49" i="24"/>
  <c r="U114" i="24"/>
  <c r="V115" i="24"/>
  <c r="V13" i="24"/>
  <c r="P21" i="6"/>
  <c r="P24" i="6"/>
  <c r="P36" i="6"/>
  <c r="P39" i="6"/>
  <c r="P48" i="6"/>
  <c r="P71" i="6"/>
  <c r="AG49" i="24"/>
  <c r="AF114" i="24"/>
  <c r="AG115" i="24"/>
  <c r="AG13" i="24"/>
  <c r="AE108" i="24"/>
  <c r="AE101" i="24"/>
  <c r="AV101" i="24"/>
  <c r="AT157" i="24"/>
  <c r="AQ134" i="24"/>
  <c r="AR134" i="24"/>
  <c r="AT134" i="24"/>
  <c r="AT125" i="24"/>
  <c r="Y48" i="6"/>
  <c r="Y71" i="6"/>
  <c r="Z71" i="6"/>
  <c r="AA71" i="6"/>
  <c r="AB71" i="6"/>
  <c r="AC71" i="6"/>
  <c r="AD71" i="6"/>
  <c r="AE71" i="6"/>
  <c r="AF71" i="6"/>
  <c r="AG71" i="6"/>
  <c r="AH71" i="6"/>
  <c r="AI71" i="6"/>
  <c r="Z16" i="24"/>
  <c r="AL121" i="24"/>
  <c r="AK120" i="24"/>
  <c r="L71" i="6"/>
  <c r="L48" i="6"/>
  <c r="H45" i="6"/>
  <c r="H44" i="6"/>
  <c r="H43" i="6"/>
  <c r="P127" i="24"/>
  <c r="P126" i="24"/>
  <c r="AC121" i="24"/>
  <c r="AB120" i="24"/>
  <c r="G51" i="6"/>
  <c r="G52" i="6"/>
  <c r="T125" i="24"/>
  <c r="T157" i="24"/>
  <c r="E103" i="24"/>
  <c r="F103" i="24"/>
  <c r="AW103" i="24"/>
  <c r="R135" i="24"/>
  <c r="R158" i="24"/>
  <c r="R48" i="24"/>
  <c r="R103" i="24"/>
  <c r="R7" i="24"/>
  <c r="R16" i="24"/>
  <c r="AL13" i="24"/>
  <c r="AK114" i="24"/>
  <c r="AL115" i="24"/>
  <c r="AL49" i="24"/>
  <c r="AM143" i="24"/>
  <c r="I157" i="24"/>
  <c r="I125" i="24"/>
  <c r="AG135" i="24"/>
  <c r="AG158" i="24"/>
  <c r="AG48" i="24"/>
  <c r="AG103" i="24"/>
  <c r="AG104" i="24"/>
  <c r="AK157" i="24"/>
  <c r="AK125" i="24"/>
  <c r="J125" i="24"/>
  <c r="J157" i="24"/>
  <c r="H21" i="6"/>
  <c r="H24" i="6"/>
  <c r="H36" i="6"/>
  <c r="H39" i="6"/>
  <c r="H49" i="6"/>
  <c r="H72" i="6"/>
  <c r="R13" i="24"/>
  <c r="Q114" i="24"/>
  <c r="R115" i="24"/>
  <c r="R49" i="24"/>
  <c r="H64" i="6"/>
  <c r="F63" i="6"/>
  <c r="G63" i="6"/>
  <c r="H63" i="6"/>
  <c r="H54" i="6"/>
  <c r="AL135" i="24"/>
  <c r="AL158" i="24"/>
  <c r="AL48" i="24"/>
  <c r="AL103" i="24"/>
  <c r="AL104" i="24"/>
  <c r="AQ7" i="24"/>
  <c r="AQ133" i="24"/>
  <c r="AQ156" i="24"/>
  <c r="U143" i="24"/>
  <c r="G13" i="1"/>
  <c r="G11" i="1"/>
  <c r="G9" i="1"/>
  <c r="G8" i="1"/>
  <c r="G10" i="1"/>
  <c r="F23" i="1"/>
  <c r="G14" i="1"/>
  <c r="E15" i="1"/>
  <c r="E23" i="1"/>
  <c r="G12" i="1"/>
  <c r="AP49" i="24"/>
  <c r="AO114" i="24"/>
  <c r="AP115" i="24"/>
  <c r="AP13" i="24"/>
  <c r="I33" i="27"/>
  <c r="U127" i="24"/>
  <c r="U126" i="24"/>
  <c r="AH49" i="24"/>
  <c r="AG114" i="24"/>
  <c r="AH115" i="24"/>
  <c r="AH13" i="24"/>
  <c r="N13" i="24"/>
  <c r="M114" i="24"/>
  <c r="N115" i="24"/>
  <c r="N49" i="24"/>
  <c r="M135" i="24"/>
  <c r="M158" i="24"/>
  <c r="M48" i="24"/>
  <c r="M103" i="24"/>
  <c r="M7" i="24"/>
  <c r="O10" i="24"/>
  <c r="O141" i="24"/>
  <c r="D20" i="1"/>
  <c r="F17" i="1"/>
  <c r="G17" i="1"/>
  <c r="J93" i="27"/>
  <c r="F33" i="6"/>
  <c r="F42" i="6"/>
  <c r="F61" i="6"/>
  <c r="F62" i="6"/>
  <c r="AE134" i="24"/>
  <c r="AF134" i="24"/>
  <c r="AG134" i="24"/>
  <c r="AH134" i="24"/>
  <c r="AI134" i="24"/>
  <c r="AJ134" i="24"/>
  <c r="AK134" i="24"/>
  <c r="AL134" i="24"/>
  <c r="AM134" i="24"/>
  <c r="AN134" i="24"/>
  <c r="AO134" i="24"/>
  <c r="AP134" i="24"/>
  <c r="AQ135" i="24"/>
  <c r="AQ158" i="24"/>
  <c r="AQ48" i="24"/>
  <c r="AQ103" i="24"/>
  <c r="AQ104" i="24"/>
  <c r="AO142" i="24"/>
  <c r="AP143" i="24"/>
  <c r="F24" i="6"/>
  <c r="F36" i="6"/>
  <c r="F39" i="6"/>
  <c r="F47" i="6"/>
  <c r="F58" i="6"/>
  <c r="F59" i="6"/>
  <c r="AT120" i="24"/>
  <c r="AU120" i="24"/>
  <c r="Z135" i="24"/>
  <c r="Z158" i="24"/>
  <c r="Z48" i="24"/>
  <c r="Z103" i="24"/>
  <c r="Z7" i="24"/>
  <c r="Z133" i="24"/>
  <c r="Z156" i="24"/>
  <c r="K17" i="24"/>
  <c r="AA17" i="24"/>
  <c r="N17" i="24"/>
  <c r="AU17" i="24"/>
  <c r="Q17" i="24"/>
  <c r="I17" i="24"/>
  <c r="AQ17" i="24"/>
  <c r="X17" i="24"/>
  <c r="AT17" i="24"/>
  <c r="AO17" i="24"/>
  <c r="Y17" i="24"/>
  <c r="G17" i="24"/>
  <c r="AP17" i="24"/>
  <c r="Z17" i="24"/>
  <c r="O17" i="24"/>
  <c r="AC17" i="24"/>
  <c r="AB17" i="24"/>
  <c r="V17" i="24"/>
  <c r="M17" i="24"/>
  <c r="L17" i="24"/>
  <c r="R17" i="24"/>
  <c r="T17" i="24"/>
  <c r="U17" i="24"/>
  <c r="S17" i="24"/>
  <c r="W17" i="24"/>
  <c r="P17" i="24"/>
  <c r="AD17" i="24"/>
  <c r="D11" i="24"/>
  <c r="AW11" i="24"/>
  <c r="J17" i="24"/>
  <c r="I135" i="24"/>
  <c r="H136" i="24"/>
  <c r="H159" i="24"/>
  <c r="G32" i="27"/>
  <c r="I32" i="27"/>
  <c r="K9" i="22"/>
  <c r="N31" i="22"/>
  <c r="O31" i="22"/>
  <c r="D21" i="22"/>
  <c r="E15" i="22"/>
  <c r="E18" i="22"/>
  <c r="K18" i="22"/>
  <c r="L43" i="6"/>
  <c r="L44" i="6"/>
  <c r="L45" i="6"/>
  <c r="I70" i="6"/>
  <c r="I58" i="6"/>
  <c r="I21" i="6"/>
  <c r="I24" i="6"/>
  <c r="I36" i="6"/>
  <c r="I39" i="6"/>
  <c r="I47" i="6"/>
  <c r="I78" i="6"/>
  <c r="W157" i="24"/>
  <c r="W125" i="24"/>
  <c r="AB125" i="24"/>
  <c r="AB157" i="24"/>
  <c r="Y125" i="24"/>
  <c r="Y157" i="24"/>
  <c r="Q21" i="6"/>
  <c r="Q24" i="6"/>
  <c r="Q36" i="6"/>
  <c r="Q39" i="6"/>
  <c r="Q33" i="6"/>
  <c r="Q65" i="6"/>
  <c r="Q69" i="6"/>
  <c r="R45" i="6"/>
  <c r="R43" i="6"/>
  <c r="R44" i="6"/>
  <c r="T61" i="6"/>
  <c r="T42" i="6"/>
  <c r="T55" i="6"/>
  <c r="D12" i="24"/>
  <c r="D9" i="24"/>
  <c r="AW16" i="24"/>
  <c r="D14" i="24"/>
  <c r="D10" i="24"/>
  <c r="E29" i="1"/>
  <c r="E32" i="1"/>
  <c r="E33" i="1"/>
  <c r="E35" i="1"/>
  <c r="E36" i="1"/>
  <c r="E37" i="1"/>
  <c r="E38" i="1"/>
  <c r="E39" i="1"/>
  <c r="N7" i="11"/>
  <c r="F11" i="24"/>
  <c r="F16" i="24"/>
  <c r="D8" i="24"/>
  <c r="J135" i="24"/>
  <c r="J158" i="24"/>
  <c r="J48" i="24"/>
  <c r="J103" i="24"/>
  <c r="J10" i="24"/>
  <c r="J141" i="24"/>
  <c r="J142" i="24"/>
  <c r="K142" i="24"/>
  <c r="L142" i="24"/>
  <c r="M142" i="24"/>
  <c r="N142" i="24"/>
  <c r="O142" i="24"/>
  <c r="P142" i="24"/>
  <c r="Q142" i="24"/>
  <c r="R142" i="24"/>
  <c r="S142" i="24"/>
  <c r="T142" i="24"/>
  <c r="U142" i="24"/>
  <c r="V142" i="24"/>
  <c r="W142" i="24"/>
  <c r="X142" i="24"/>
  <c r="Y142" i="24"/>
  <c r="Z142" i="24"/>
  <c r="AA142" i="24"/>
  <c r="AB142" i="24"/>
  <c r="AC142" i="24"/>
  <c r="AD142" i="24"/>
  <c r="AE142" i="24"/>
  <c r="AF142" i="24"/>
  <c r="AG142" i="24"/>
  <c r="AH142" i="24"/>
  <c r="AI142" i="24"/>
  <c r="AJ142" i="24"/>
  <c r="AK142" i="24"/>
  <c r="AL142" i="24"/>
  <c r="AM142" i="24"/>
  <c r="AN142" i="24"/>
  <c r="AO143" i="24"/>
  <c r="M14" i="1"/>
  <c r="M20" i="1"/>
  <c r="M16" i="1"/>
  <c r="M9" i="1"/>
  <c r="M13" i="1"/>
  <c r="M8" i="1"/>
  <c r="M12" i="1"/>
  <c r="M10" i="1"/>
  <c r="M18" i="1"/>
  <c r="L23" i="1"/>
  <c r="J21" i="6"/>
  <c r="J24" i="6"/>
  <c r="J36" i="6"/>
  <c r="J39" i="6"/>
  <c r="J33" i="6"/>
  <c r="J65" i="6"/>
  <c r="J69" i="6"/>
  <c r="D13" i="24"/>
  <c r="I115" i="24"/>
  <c r="H116" i="24"/>
  <c r="G33" i="27"/>
  <c r="E18" i="1"/>
  <c r="F13" i="24"/>
  <c r="AW13" i="24"/>
  <c r="T44" i="6"/>
  <c r="T45" i="6"/>
  <c r="T21" i="6"/>
  <c r="T24" i="6"/>
  <c r="T36" i="6"/>
  <c r="T39" i="6"/>
  <c r="T43" i="6"/>
  <c r="L78" i="6"/>
  <c r="L58" i="6"/>
  <c r="L47" i="6"/>
  <c r="L70" i="6"/>
  <c r="M61" i="6"/>
  <c r="M21" i="6"/>
  <c r="M24" i="6"/>
  <c r="M36" i="6"/>
  <c r="M39" i="6"/>
  <c r="M42" i="6"/>
  <c r="M55" i="6"/>
  <c r="AO108" i="24"/>
  <c r="E101" i="24"/>
  <c r="I7" i="22"/>
  <c r="F7" i="22"/>
  <c r="F9" i="22"/>
  <c r="F18" i="22"/>
  <c r="F101" i="24"/>
  <c r="AW101" i="24"/>
  <c r="Y21" i="6"/>
  <c r="Y24" i="6"/>
  <c r="Y36" i="6"/>
  <c r="Y39" i="6"/>
  <c r="Y87" i="6"/>
  <c r="Y93" i="6"/>
  <c r="Y94" i="6"/>
  <c r="Y95" i="6"/>
  <c r="Y89" i="6"/>
  <c r="Y46" i="6"/>
  <c r="AT114" i="24"/>
  <c r="H114" i="24"/>
  <c r="AU114" i="24"/>
  <c r="F56" i="21"/>
  <c r="F55" i="21"/>
  <c r="F19" i="24"/>
  <c r="H104" i="24"/>
  <c r="H105" i="24"/>
  <c r="M11" i="1"/>
  <c r="L11" i="1"/>
  <c r="H40" i="27"/>
  <c r="K11" i="1"/>
  <c r="K23" i="1"/>
  <c r="E17" i="1"/>
  <c r="F54" i="21"/>
  <c r="I54" i="21"/>
  <c r="R21" i="6"/>
  <c r="R24" i="6"/>
  <c r="R36" i="6"/>
  <c r="R39" i="6"/>
  <c r="R49" i="6"/>
  <c r="R72" i="6"/>
  <c r="L21" i="6"/>
  <c r="L24" i="6"/>
  <c r="L36" i="6"/>
  <c r="L39" i="6"/>
  <c r="L33" i="6"/>
  <c r="L65" i="6"/>
  <c r="L69" i="6"/>
  <c r="G44" i="6"/>
  <c r="G45" i="6"/>
  <c r="E138" i="9"/>
  <c r="E18" i="9"/>
  <c r="E20" i="9"/>
  <c r="E21" i="6"/>
  <c r="F21" i="6"/>
  <c r="G21" i="6"/>
  <c r="G24" i="6"/>
  <c r="G36" i="6"/>
  <c r="G39" i="6"/>
  <c r="G43" i="6"/>
  <c r="AV47" i="24"/>
  <c r="AV103" i="24"/>
  <c r="AV104" i="24"/>
  <c r="J31" i="27"/>
  <c r="J92" i="27"/>
  <c r="J94" i="27"/>
  <c r="D3" i="28"/>
  <c r="D4" i="28"/>
  <c r="F5" i="28"/>
  <c r="K67" i="1"/>
  <c r="H120" i="24"/>
  <c r="M120" i="24"/>
  <c r="N121" i="24"/>
  <c r="K134" i="24"/>
  <c r="L134" i="24"/>
  <c r="M134" i="24"/>
  <c r="N134" i="24"/>
  <c r="O134" i="24"/>
  <c r="P134" i="24"/>
  <c r="Q134" i="24"/>
  <c r="R134" i="24"/>
  <c r="S134" i="24"/>
  <c r="T134" i="24"/>
  <c r="U134" i="24"/>
  <c r="V134" i="24"/>
  <c r="W134" i="24"/>
  <c r="X134" i="24"/>
  <c r="Y134" i="24"/>
  <c r="Z134" i="24"/>
  <c r="AA134" i="24"/>
  <c r="AB134" i="24"/>
  <c r="AC134" i="24"/>
  <c r="AD134" i="24"/>
  <c r="K68" i="1"/>
  <c r="G31" i="27"/>
  <c r="F47" i="24"/>
  <c r="H47" i="24"/>
  <c r="H103" i="24"/>
  <c r="H7" i="24"/>
  <c r="H134" i="24"/>
  <c r="I134" i="24"/>
  <c r="J134" i="24"/>
  <c r="K135" i="24"/>
  <c r="K158" i="24"/>
  <c r="K48" i="24"/>
  <c r="K103" i="24"/>
  <c r="K10" i="24"/>
  <c r="K16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 Grauley</author>
  </authors>
  <commentList>
    <comment ref="C1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NOTE:  </t>
        </r>
        <r>
          <rPr>
            <sz val="9"/>
            <color indexed="81"/>
            <rFont val="Tahoma"/>
            <family val="2"/>
          </rPr>
          <t>2022 rents from Novogradac and CR Compliance</t>
        </r>
      </text>
    </comment>
    <comment ref="L1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NOTE: u</t>
        </r>
        <r>
          <rPr>
            <sz val="9"/>
            <color indexed="81"/>
            <rFont val="Tahoma"/>
            <family val="2"/>
          </rPr>
          <t xml:space="preserve">tility allowances based on HHA standards - all electric and furnished (12/2021)
</t>
        </r>
      </text>
    </comment>
    <comment ref="G1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NOTE:  </t>
        </r>
        <r>
          <rPr>
            <sz val="9"/>
            <color indexed="81"/>
            <rFont val="Tahoma"/>
            <family val="2"/>
          </rPr>
          <t>rents on PBV units shown at 110% FMR -HAP contract from HHA;  all units 30%/50% AMI and half of 60% AMI units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King</author>
  </authors>
  <commentList>
    <comment ref="G32" authorId="0" shapeId="0" xr:uid="{25655C9C-6EA0-4779-8C77-5EBF9E1AD4EF}">
      <text>
        <r>
          <rPr>
            <b/>
            <sz val="9"/>
            <color rgb="FF000000"/>
            <rFont val="Tahoma"/>
            <family val="2"/>
          </rPr>
          <t xml:space="preserve">NOTE:  </t>
        </r>
        <r>
          <rPr>
            <sz val="9"/>
            <color rgb="FF000000"/>
            <rFont val="Tahoma"/>
            <family val="2"/>
          </rPr>
          <t>based on calculation from  flow of funds</t>
        </r>
      </text>
    </comment>
    <comment ref="P42" authorId="0" shapeId="0" xr:uid="{7F36E362-678F-4509-9A61-86BBBBFABE2E}">
      <text>
        <r>
          <rPr>
            <b/>
            <sz val="9"/>
            <color indexed="81"/>
            <rFont val="Tahoma"/>
            <family val="2"/>
          </rPr>
          <t>Ben King:</t>
        </r>
        <r>
          <rPr>
            <sz val="9"/>
            <color indexed="81"/>
            <rFont val="Tahoma"/>
            <family val="2"/>
          </rPr>
          <t xml:space="preserve">
 Eligible Building Costs will be defined as Building Costs includable in Eligible Basis for the 
purposes  of  determining  a  Housing  Credit  Allocation.    Eligible  Building  Costs  will  exclude 
structured parking or commercial space that is not included in Eligible Basis</t>
        </r>
      </text>
    </comment>
    <comment ref="P43" authorId="0" shapeId="0" xr:uid="{34B1871A-7739-41FE-B6FE-2F6FE9BAAB4A}">
      <text>
        <r>
          <rPr>
            <b/>
            <sz val="9"/>
            <color indexed="81"/>
            <rFont val="Tahoma"/>
            <family val="2"/>
          </rPr>
          <t>Ben King:</t>
        </r>
        <r>
          <rPr>
            <sz val="9"/>
            <color indexed="81"/>
            <rFont val="Tahoma"/>
            <family val="2"/>
          </rPr>
          <t xml:space="preserve">
Eligible Hard 
Costs  will  include  general  contractor  overhead,  profit,  and  general  requirements</t>
        </r>
      </text>
    </comment>
    <comment ref="P48" authorId="0" shapeId="0" xr:uid="{DD00C9C4-6A18-4893-8F52-A1500DCF15E3}">
      <text>
        <r>
          <rPr>
            <b/>
            <sz val="9"/>
            <color indexed="81"/>
            <rFont val="Tahoma"/>
            <family val="2"/>
          </rPr>
          <t>Ben King:</t>
        </r>
        <r>
          <rPr>
            <sz val="9"/>
            <color indexed="81"/>
            <rFont val="Tahoma"/>
            <family val="2"/>
          </rPr>
          <t xml:space="preserve">
 Eligible Building Costs will be defined as Building Costs includable in Eligible Basis for the 
purposes  of  determining  a  Housing  Credit  Allocation.    Eligible  Building  Costs  will  exclude 
structured parking or commercial space that is not included in Eligible Basis</t>
        </r>
      </text>
    </comment>
    <comment ref="P49" authorId="0" shapeId="0" xr:uid="{F60C4295-0589-419B-B0C2-1857AC02A999}">
      <text>
        <r>
          <rPr>
            <b/>
            <sz val="9"/>
            <color indexed="81"/>
            <rFont val="Tahoma"/>
            <family val="2"/>
          </rPr>
          <t>Ben King:</t>
        </r>
        <r>
          <rPr>
            <sz val="9"/>
            <color indexed="81"/>
            <rFont val="Tahoma"/>
            <family val="2"/>
          </rPr>
          <t xml:space="preserve">
Eligible Hard 
Costs  will  include  general  contractor  overhead,  profit,  and  general  requirements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 Compton</author>
    <author>TBullard</author>
  </authors>
  <commentList>
    <comment ref="J32" authorId="0" shapeId="0" xr:uid="{6D479613-F59F-4A41-BD5E-90C6AD9D92EB}">
      <text>
        <r>
          <rPr>
            <b/>
            <sz val="9"/>
            <color indexed="81"/>
            <rFont val="Tahoma"/>
            <family val="2"/>
          </rPr>
          <t>J Compton:</t>
        </r>
        <r>
          <rPr>
            <sz val="9"/>
            <color indexed="81"/>
            <rFont val="Tahoma"/>
            <family val="2"/>
          </rPr>
          <t xml:space="preserve">
Use most recent Gross Program Rents; If GPR are adjusted after App Accept Period but prior to releash of Report, you may adjust with the new GPR #'s</t>
        </r>
      </text>
    </comment>
    <comment ref="J35" authorId="1" shapeId="0" xr:uid="{3DCD1B03-2169-4C19-A97B-867DCBBD6D91}">
      <text>
        <r>
          <rPr>
            <b/>
            <sz val="9"/>
            <color indexed="81"/>
            <rFont val="Tahoma"/>
            <family val="2"/>
          </rPr>
          <t>TBullard:</t>
        </r>
        <r>
          <rPr>
            <sz val="9"/>
            <color indexed="81"/>
            <rFont val="Tahoma"/>
            <family val="2"/>
          </rPr>
          <t xml:space="preserve">
If requesting RPP, sub-50% AMI units restricted to lesser of Targeting % for points, Low HOME, or FMR rents.</t>
        </r>
      </text>
    </comment>
    <comment ref="J37" authorId="1" shapeId="0" xr:uid="{E8947BCB-174B-4833-9934-E7113968FF94}">
      <text>
        <r>
          <rPr>
            <b/>
            <sz val="9"/>
            <color indexed="81"/>
            <rFont val="Tahoma"/>
            <family val="2"/>
          </rPr>
          <t>TBullard:</t>
        </r>
        <r>
          <rPr>
            <sz val="9"/>
            <color indexed="81"/>
            <rFont val="Tahoma"/>
            <family val="2"/>
          </rPr>
          <t xml:space="preserve">
If requesting RPP, sub-50% AMI units restricted to lesser of Targeting % for points, Low HOME, or FMR rents.</t>
        </r>
      </text>
    </comment>
    <comment ref="J39" authorId="1" shapeId="0" xr:uid="{54E5F5F1-1FAF-4C35-BB70-740199C40507}">
      <text>
        <r>
          <rPr>
            <b/>
            <sz val="9"/>
            <color indexed="81"/>
            <rFont val="Tahoma"/>
            <family val="2"/>
          </rPr>
          <t>TBullard:</t>
        </r>
        <r>
          <rPr>
            <sz val="9"/>
            <color indexed="81"/>
            <rFont val="Tahoma"/>
            <family val="2"/>
          </rPr>
          <t xml:space="preserve">
If requesting RPP, sub-50% AMI units restricted to lesser of Targeting % for points, Low HOME, or FMR rents.</t>
        </r>
      </text>
    </comment>
    <comment ref="J41" authorId="1" shapeId="0" xr:uid="{034D3814-11A0-46BA-980C-1FEEED305E42}">
      <text>
        <r>
          <rPr>
            <b/>
            <sz val="9"/>
            <color rgb="FF000000"/>
            <rFont val="Tahoma"/>
            <family val="2"/>
          </rPr>
          <t>TBullard: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If requesting RPP, 60% AMI units restricted to lesser of AMI, High HOME, or FMR rents.</t>
        </r>
      </text>
    </comment>
    <comment ref="J43" authorId="1" shapeId="0" xr:uid="{3A8FDD9B-EBEF-4FFE-B886-3900929AF1B0}">
      <text>
        <r>
          <rPr>
            <b/>
            <sz val="9"/>
            <color indexed="81"/>
            <rFont val="Tahoma"/>
            <family val="2"/>
          </rPr>
          <t>TBullard:</t>
        </r>
        <r>
          <rPr>
            <sz val="9"/>
            <color indexed="81"/>
            <rFont val="Tahoma"/>
            <family val="2"/>
          </rPr>
          <t xml:space="preserve">
If requesting RPP, 60% AMI units restricted to lesser of AMI, High HOME, or FMR rents.</t>
        </r>
      </text>
    </comment>
    <comment ref="J45" authorId="1" shapeId="0" xr:uid="{4CF67060-627A-4D2A-B625-C522475DF7A1}">
      <text>
        <r>
          <rPr>
            <b/>
            <sz val="9"/>
            <color indexed="81"/>
            <rFont val="Tahoma"/>
            <family val="2"/>
          </rPr>
          <t>TBullard:</t>
        </r>
        <r>
          <rPr>
            <sz val="9"/>
            <color indexed="81"/>
            <rFont val="Tahoma"/>
            <family val="2"/>
          </rPr>
          <t xml:space="preserve">
If requesting RPP, 60% AMI units restricted to lesser of AMI, High HOME, or FMR rents.</t>
        </r>
      </text>
    </comment>
    <comment ref="J47" authorId="1" shapeId="0" xr:uid="{5D246C1E-E7C5-4ED1-8182-ADDE9160E9DD}">
      <text>
        <r>
          <rPr>
            <b/>
            <sz val="9"/>
            <color indexed="81"/>
            <rFont val="Tahoma"/>
            <family val="2"/>
          </rPr>
          <t>TBullard:</t>
        </r>
        <r>
          <rPr>
            <sz val="9"/>
            <color indexed="81"/>
            <rFont val="Tahoma"/>
            <family val="2"/>
          </rPr>
          <t xml:space="preserve">
If requesting RPP, 60% AMI units restricted to lesser of AMI, High HOME, or FMR rents.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 Compton</author>
    <author>TBullard</author>
  </authors>
  <commentList>
    <comment ref="J32" authorId="0" shapeId="0" xr:uid="{94CC5596-0BC8-4FCC-A930-DB31F699B6F3}">
      <text>
        <r>
          <rPr>
            <b/>
            <sz val="9"/>
            <color indexed="81"/>
            <rFont val="Tahoma"/>
            <family val="2"/>
          </rPr>
          <t>J Compton:</t>
        </r>
        <r>
          <rPr>
            <sz val="9"/>
            <color indexed="81"/>
            <rFont val="Tahoma"/>
            <family val="2"/>
          </rPr>
          <t xml:space="preserve">
Use most recent Gross Program Rents; If GPR are adjusted after App Accept Period but prior to releash of Report, you may adjust with the new GPR #'s</t>
        </r>
      </text>
    </comment>
    <comment ref="J35" authorId="1" shapeId="0" xr:uid="{FFD8D549-BD85-4438-9C68-5A57CE30A939}">
      <text>
        <r>
          <rPr>
            <b/>
            <sz val="9"/>
            <color indexed="81"/>
            <rFont val="Tahoma"/>
            <family val="2"/>
          </rPr>
          <t>TBullard:</t>
        </r>
        <r>
          <rPr>
            <sz val="9"/>
            <color indexed="81"/>
            <rFont val="Tahoma"/>
            <family val="2"/>
          </rPr>
          <t xml:space="preserve">
If requesting RPP, sub-50% AMI units restricted to lesser of Targeting % for points, Low HOME, or FMR rents.</t>
        </r>
      </text>
    </comment>
    <comment ref="J37" authorId="1" shapeId="0" xr:uid="{C9E96089-8224-440E-AEC9-9FCC0240F075}">
      <text>
        <r>
          <rPr>
            <b/>
            <sz val="9"/>
            <color indexed="81"/>
            <rFont val="Tahoma"/>
            <family val="2"/>
          </rPr>
          <t>TBullard:</t>
        </r>
        <r>
          <rPr>
            <sz val="9"/>
            <color indexed="81"/>
            <rFont val="Tahoma"/>
            <family val="2"/>
          </rPr>
          <t xml:space="preserve">
If requesting RPP, sub-50% AMI units restricted to lesser of Targeting % for points, Low HOME, or FMR rents.</t>
        </r>
      </text>
    </comment>
    <comment ref="J39" authorId="1" shapeId="0" xr:uid="{3293A6CA-0801-431B-A8BF-8617E79542D4}">
      <text>
        <r>
          <rPr>
            <b/>
            <sz val="9"/>
            <color indexed="81"/>
            <rFont val="Tahoma"/>
            <family val="2"/>
          </rPr>
          <t>TBullard:</t>
        </r>
        <r>
          <rPr>
            <sz val="9"/>
            <color indexed="81"/>
            <rFont val="Tahoma"/>
            <family val="2"/>
          </rPr>
          <t xml:space="preserve">
If requesting RPP, sub-50% AMI units restricted to lesser of Targeting % for points, Low HOME, or FMR rents.</t>
        </r>
      </text>
    </comment>
    <comment ref="J41" authorId="1" shapeId="0" xr:uid="{005A76D8-3675-4C86-BABE-2F6EAD519724}">
      <text>
        <r>
          <rPr>
            <b/>
            <sz val="9"/>
            <color rgb="FF000000"/>
            <rFont val="Tahoma"/>
            <family val="2"/>
          </rPr>
          <t>TBullard: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If requesting RPP, 60% AMI units restricted to lesser of AMI, High HOME, or FMR rents.</t>
        </r>
      </text>
    </comment>
    <comment ref="J43" authorId="1" shapeId="0" xr:uid="{D64C084B-FFB8-4ACC-8426-7AAD4358C2F5}">
      <text>
        <r>
          <rPr>
            <b/>
            <sz val="9"/>
            <color indexed="81"/>
            <rFont val="Tahoma"/>
            <family val="2"/>
          </rPr>
          <t>TBullard:</t>
        </r>
        <r>
          <rPr>
            <sz val="9"/>
            <color indexed="81"/>
            <rFont val="Tahoma"/>
            <family val="2"/>
          </rPr>
          <t xml:space="preserve">
If requesting RPP, 60% AMI units restricted to lesser of AMI, High HOME, or FMR rents.</t>
        </r>
      </text>
    </comment>
    <comment ref="J45" authorId="1" shapeId="0" xr:uid="{D397CD8E-D751-4B53-BF1E-C171493226C0}">
      <text>
        <r>
          <rPr>
            <b/>
            <sz val="9"/>
            <color indexed="81"/>
            <rFont val="Tahoma"/>
            <family val="2"/>
          </rPr>
          <t>TBullard:</t>
        </r>
        <r>
          <rPr>
            <sz val="9"/>
            <color indexed="81"/>
            <rFont val="Tahoma"/>
            <family val="2"/>
          </rPr>
          <t xml:space="preserve">
If requesting RPP, 60% AMI units restricted to lesser of AMI, High HOME, or FMR rents.</t>
        </r>
      </text>
    </comment>
    <comment ref="J47" authorId="1" shapeId="0" xr:uid="{49826C84-1D38-41E1-889D-B240D98B6909}">
      <text>
        <r>
          <rPr>
            <b/>
            <sz val="9"/>
            <color indexed="81"/>
            <rFont val="Tahoma"/>
            <family val="2"/>
          </rPr>
          <t>TBullard:</t>
        </r>
        <r>
          <rPr>
            <sz val="9"/>
            <color indexed="81"/>
            <rFont val="Tahoma"/>
            <family val="2"/>
          </rPr>
          <t xml:space="preserve">
If requesting RPP, 60% AMI units restricted to lesser of AMI, High HOME, or FMR rents.</t>
        </r>
      </text>
    </comment>
  </commentList>
</comments>
</file>

<file path=xl/sharedStrings.xml><?xml version="1.0" encoding="utf-8"?>
<sst xmlns="http://schemas.openxmlformats.org/spreadsheetml/2006/main" count="1312" uniqueCount="847">
  <si>
    <t>Sources:</t>
  </si>
  <si>
    <t>Total Sources:</t>
  </si>
  <si>
    <t>Uses:</t>
  </si>
  <si>
    <t>Total Uses:</t>
  </si>
  <si>
    <t>Total</t>
  </si>
  <si>
    <t>per unit</t>
  </si>
  <si>
    <t>Net Operating Income:</t>
  </si>
  <si>
    <t>principal</t>
  </si>
  <si>
    <t>Per Unit</t>
  </si>
  <si>
    <t>Maximum Eligible &amp; Projected Rents</t>
  </si>
  <si>
    <t>Monthly</t>
  </si>
  <si>
    <t>Notes</t>
  </si>
  <si>
    <t>1 BR</t>
  </si>
  <si>
    <t>2 BR</t>
  </si>
  <si>
    <t>3 BR</t>
  </si>
  <si>
    <t>4 BR</t>
  </si>
  <si>
    <t xml:space="preserve">Total </t>
  </si>
  <si>
    <t>Other Income</t>
  </si>
  <si>
    <t>Gross Potential Income</t>
  </si>
  <si>
    <t>First Mortgage</t>
  </si>
  <si>
    <t>Deferred Devel Fee</t>
  </si>
  <si>
    <t>SOURCES &amp; USES - Total Project</t>
  </si>
  <si>
    <t>UA</t>
  </si>
  <si>
    <t>Development Name:</t>
  </si>
  <si>
    <t>Year</t>
  </si>
  <si>
    <t>Total Potential Rent Income</t>
  </si>
  <si>
    <t>ADD:</t>
  </si>
  <si>
    <t>LESS:</t>
  </si>
  <si>
    <t>Vacancy Allowance/Bad Debts/Concessions</t>
  </si>
  <si>
    <t>Operating Expenses</t>
  </si>
  <si>
    <t>Replacement Reserves</t>
  </si>
  <si>
    <t>Net Operating Income</t>
  </si>
  <si>
    <r>
      <t>Debt Service 1</t>
    </r>
    <r>
      <rPr>
        <vertAlign val="superscript"/>
        <sz val="9"/>
        <color theme="1"/>
        <rFont val="Arial"/>
        <family val="2"/>
      </rPr>
      <t>st</t>
    </r>
  </si>
  <si>
    <t>Debt Service 2nd</t>
  </si>
  <si>
    <t>Debt Service 3rd</t>
  </si>
  <si>
    <t>Debt Service 4th</t>
  </si>
  <si>
    <t>Debt Service 5th</t>
  </si>
  <si>
    <t>Vacancy Loss</t>
  </si>
  <si>
    <t>Annual Income Growth Rate:</t>
  </si>
  <si>
    <t>Annual Expense Growth Rate:</t>
  </si>
  <si>
    <t>Annual Operating Expense/unit</t>
  </si>
  <si>
    <t>Annual Replacement Reserve/unit</t>
  </si>
  <si>
    <t>Units:</t>
  </si>
  <si>
    <t>cash flow</t>
  </si>
  <si>
    <t>deferred fee note</t>
  </si>
  <si>
    <t>SCHEDULED DEBT SERVICE:</t>
  </si>
  <si>
    <t>(less) payment to DDF</t>
  </si>
  <si>
    <t>Net Cash Flow</t>
  </si>
  <si>
    <t>SUMMARY SOURCES &amp; USES</t>
  </si>
  <si>
    <t>SUMMARY PROFORMA</t>
  </si>
  <si>
    <t>Debt Sources:</t>
  </si>
  <si>
    <t>1st Mortgage:</t>
  </si>
  <si>
    <t>2nd Mortgage</t>
  </si>
  <si>
    <t>rate</t>
  </si>
  <si>
    <t>term</t>
  </si>
  <si>
    <t>amortiz</t>
  </si>
  <si>
    <t>annual DS</t>
  </si>
  <si>
    <t>Units</t>
  </si>
  <si>
    <t>Total Rentable SF:</t>
  </si>
  <si>
    <t>total</t>
  </si>
  <si>
    <t>Soft Cost Contingency</t>
  </si>
  <si>
    <t>LIHTC Equity</t>
  </si>
  <si>
    <t>Total Equity Yield</t>
  </si>
  <si>
    <t>3rd Mortgage</t>
  </si>
  <si>
    <t>FHLB AHP</t>
  </si>
  <si>
    <t>investor</t>
  </si>
  <si>
    <t>n.a.</t>
  </si>
  <si>
    <t>OPERATING BUDGET / EXPENSES</t>
  </si>
  <si>
    <t>EXPENSES</t>
  </si>
  <si>
    <t> OPERATING EXPENSES</t>
  </si>
  <si>
    <t>TOTAL EXPENSE</t>
  </si>
  <si>
    <t>developer</t>
  </si>
  <si>
    <t>units</t>
  </si>
  <si>
    <t>totals:</t>
  </si>
  <si>
    <t>Other grant/loan</t>
  </si>
  <si>
    <t>4th Mortgage</t>
  </si>
  <si>
    <t>Stabilized Income</t>
  </si>
  <si>
    <t>Percentage Low Income</t>
  </si>
  <si>
    <t>Eligible Basis Acquis.</t>
  </si>
  <si>
    <t>Eligible Basis-Dev. Cost</t>
  </si>
  <si>
    <t>Combined Basis</t>
  </si>
  <si>
    <t>Boost</t>
  </si>
  <si>
    <t>Qualified Basis:</t>
  </si>
  <si>
    <t>Eligible Annual Credit:</t>
  </si>
  <si>
    <t xml:space="preserve">LIHTC allocation </t>
  </si>
  <si>
    <t>Federal Equity Pricing ($/credit)</t>
  </si>
  <si>
    <t>Total Federal LIHTC Equity</t>
  </si>
  <si>
    <t>State Equity Pricing ($/credit)</t>
  </si>
  <si>
    <t>Total State LIHTC Equity</t>
  </si>
  <si>
    <t>Operating Cash Flow Waterfall:</t>
  </si>
  <si>
    <t>Cash Flow after 1st Mortg Debt:</t>
  </si>
  <si>
    <t>fee increases 3% per annum</t>
  </si>
  <si>
    <t>* on sqr. foot basis</t>
  </si>
  <si>
    <t xml:space="preserve">  (incl A/M fee; share of DDF; cash flow loan) </t>
  </si>
  <si>
    <t>scheduled P&amp;I</t>
  </si>
  <si>
    <t xml:space="preserve">from cash flow </t>
  </si>
  <si>
    <t>Total Cash Flow to AHA (prior to residual CF split):</t>
  </si>
  <si>
    <t>Year 16</t>
  </si>
  <si>
    <t>Year 17</t>
  </si>
  <si>
    <t>Year 18</t>
  </si>
  <si>
    <t>Year 19</t>
  </si>
  <si>
    <t>Year 20</t>
  </si>
  <si>
    <t>5th Mortgage</t>
  </si>
  <si>
    <t>6th Mortgage</t>
  </si>
  <si>
    <t>Title and Recording Fees</t>
  </si>
  <si>
    <t>Professional Services</t>
  </si>
  <si>
    <t>Engineering</t>
  </si>
  <si>
    <t>Marketing</t>
  </si>
  <si>
    <t>Debt Service 6th</t>
  </si>
  <si>
    <t>from cash flow -to P&amp;I</t>
  </si>
  <si>
    <t>Total Cash Flow to ELHC (prior to residual CF split):</t>
  </si>
  <si>
    <t>annual DS/unit</t>
  </si>
  <si>
    <t>TOTAL EXPENSE + Repl Res.</t>
  </si>
  <si>
    <t>baseline</t>
  </si>
  <si>
    <t>Developer Fee</t>
  </si>
  <si>
    <t>* note that rents/expenses are trended from current levels</t>
  </si>
  <si>
    <t>LP Investor Asset Mgmt Fee:</t>
  </si>
  <si>
    <t>Development Costs &amp; Tax Treatment</t>
  </si>
  <si>
    <t>Construction:</t>
  </si>
  <si>
    <t>Section 42</t>
  </si>
  <si>
    <t xml:space="preserve">Basis Eligible </t>
  </si>
  <si>
    <t xml:space="preserve">Acquisition Costs </t>
  </si>
  <si>
    <t>Demolition</t>
  </si>
  <si>
    <t xml:space="preserve">Construction Costs </t>
  </si>
  <si>
    <t xml:space="preserve">Hard Costs </t>
  </si>
  <si>
    <t>Sitework &amp; Related Fees</t>
  </si>
  <si>
    <t xml:space="preserve">General Conditions </t>
  </si>
  <si>
    <t>GC Overhead</t>
  </si>
  <si>
    <t>GC Profit</t>
  </si>
  <si>
    <t>Payment and Performance Bond</t>
  </si>
  <si>
    <t>Predevelopment Costs</t>
  </si>
  <si>
    <t>Property Appraisal</t>
  </si>
  <si>
    <t>Market Study</t>
  </si>
  <si>
    <t>Environmental Report(s)</t>
  </si>
  <si>
    <t>Soil Borings</t>
  </si>
  <si>
    <t>Boundary and Topographical Survey</t>
  </si>
  <si>
    <t>Zoning/Site Plan Fees</t>
  </si>
  <si>
    <t xml:space="preserve">Construction Loan Interest </t>
  </si>
  <si>
    <t>Construction Period Real Estate Tax</t>
  </si>
  <si>
    <t>Architectural Fee - Reimbursables</t>
  </si>
  <si>
    <t>Real Estate Attorney</t>
  </si>
  <si>
    <t>Accounting</t>
  </si>
  <si>
    <t>Green Building Certification/Registration</t>
  </si>
  <si>
    <t>Construction Inspection Fees</t>
  </si>
  <si>
    <t>Accessibility Consulting</t>
  </si>
  <si>
    <t>Construction Materials Testing</t>
  </si>
  <si>
    <t>Local Government Fees</t>
  </si>
  <si>
    <t>Building Permits</t>
  </si>
  <si>
    <t>Impact Fees</t>
  </si>
  <si>
    <t>Permanent Financing Fees</t>
  </si>
  <si>
    <t>Permanent Loan Fees</t>
  </si>
  <si>
    <t>Permanent Loan Legal Fees</t>
  </si>
  <si>
    <t>As-Built Survey</t>
  </si>
  <si>
    <t>Tax Credit Costs</t>
  </si>
  <si>
    <t>LIHTC Allocation Processing Fee</t>
  </si>
  <si>
    <t>LIHTC Compliance Monitoring Fee</t>
  </si>
  <si>
    <t>Equity Costs</t>
  </si>
  <si>
    <t>Partnership Organization Fees</t>
  </si>
  <si>
    <t>Tax Credit Legal Opinion</t>
  </si>
  <si>
    <t>Syndicator Legal Fees</t>
  </si>
  <si>
    <t>Syndicator Due Diligence Fee</t>
  </si>
  <si>
    <t>Start Up and Reserves</t>
  </si>
  <si>
    <t>Operating Deficit Reserve</t>
  </si>
  <si>
    <t>Replacement Reserve</t>
  </si>
  <si>
    <t>Furniture, Fixtures and Equipment</t>
  </si>
  <si>
    <t>Other Costs</t>
  </si>
  <si>
    <t>Total, Excluding Developer Fee</t>
  </si>
  <si>
    <t xml:space="preserve">Page 3 </t>
  </si>
  <si>
    <t>Property Taxes</t>
  </si>
  <si>
    <t>n. a.</t>
  </si>
  <si>
    <t>Credit Allocation (annual):</t>
  </si>
  <si>
    <t>Annual Credits (allocation):</t>
  </si>
  <si>
    <t>Total Units:</t>
  </si>
  <si>
    <t>Syndicator Percentage:</t>
  </si>
  <si>
    <t>LIHTC Units:</t>
  </si>
  <si>
    <t>Equity Pricing (per credit):</t>
  </si>
  <si>
    <t>Total Equity Pay-In</t>
  </si>
  <si>
    <t>LEASE-UP / CREDIT DELIVERY SCHEDULE</t>
  </si>
  <si>
    <t>LIHTC Units Only</t>
  </si>
  <si>
    <t>Units Leased</t>
  </si>
  <si>
    <t>Cumulative</t>
  </si>
  <si>
    <t>Tax Credit</t>
  </si>
  <si>
    <t>EQUITY PAY-IN SCHEDULE</t>
  </si>
  <si>
    <t>In Month</t>
  </si>
  <si>
    <t>Leased</t>
  </si>
  <si>
    <t>Factor</t>
  </si>
  <si>
    <t>Credits</t>
  </si>
  <si>
    <t>July</t>
  </si>
  <si>
    <t>January</t>
  </si>
  <si>
    <t>August</t>
  </si>
  <si>
    <t>February</t>
  </si>
  <si>
    <t>September</t>
  </si>
  <si>
    <t>March</t>
  </si>
  <si>
    <t>October</t>
  </si>
  <si>
    <t>April</t>
  </si>
  <si>
    <t>November</t>
  </si>
  <si>
    <t xml:space="preserve">May </t>
  </si>
  <si>
    <t>December</t>
  </si>
  <si>
    <t>June</t>
  </si>
  <si>
    <t>Closing</t>
  </si>
  <si>
    <t>Totals:</t>
  </si>
  <si>
    <t>DSC 1st &amp; subordinate mortgages+DDF</t>
  </si>
  <si>
    <t>Rents</t>
  </si>
  <si>
    <t>DSCR Y1</t>
  </si>
  <si>
    <t>DSCR Y15</t>
  </si>
  <si>
    <t>LIHTC</t>
  </si>
  <si>
    <t>DSCR Y20</t>
  </si>
  <si>
    <t>TOTAL ADMINISTRATIVE EXPENSES</t>
  </si>
  <si>
    <t>TOTAL MARKETING EXPENSES</t>
  </si>
  <si>
    <t>TOTAL PAYROLL EXPENSES</t>
  </si>
  <si>
    <t>TOTAL MAINTENANCE EXPENSES</t>
  </si>
  <si>
    <t>TOTAL CONTRACT EXPENSES</t>
  </si>
  <si>
    <t>TOTAL UTILITY EXPENSES</t>
  </si>
  <si>
    <t>TOTAL MANAGEMENT AND PROFESSIONAL EXPENSES</t>
  </si>
  <si>
    <t>TOTAL TAXES AND INSURANCE</t>
  </si>
  <si>
    <t>Architectural Fee - Design</t>
  </si>
  <si>
    <t>Architectural Fee - Supervision</t>
  </si>
  <si>
    <t>Total, With Developer Fee</t>
  </si>
  <si>
    <t>Laundry Machine Collections</t>
  </si>
  <si>
    <t xml:space="preserve">Late Fees </t>
  </si>
  <si>
    <t>Application Fees</t>
  </si>
  <si>
    <t>Security Deposit Forfeitures</t>
  </si>
  <si>
    <t xml:space="preserve">Other </t>
  </si>
  <si>
    <t>Vacancy</t>
  </si>
  <si>
    <t>Commercial Income per year</t>
  </si>
  <si>
    <t>Net Income</t>
  </si>
  <si>
    <t>Lender's Legal Fees</t>
  </si>
  <si>
    <t>30% LIHTC</t>
  </si>
  <si>
    <t>50% LIHTC</t>
  </si>
  <si>
    <t>60% LIHTC</t>
  </si>
  <si>
    <t>LIHTC Equity (4%)-Fed</t>
  </si>
  <si>
    <t>Expense Ratio</t>
  </si>
  <si>
    <t>Average of Comparable Properties</t>
  </si>
  <si>
    <t>Project</t>
  </si>
  <si>
    <t>Financing</t>
  </si>
  <si>
    <t>Market</t>
  </si>
  <si>
    <t>811</t>
  </si>
  <si>
    <t>Plug</t>
  </si>
  <si>
    <t>Market Rate</t>
  </si>
  <si>
    <t>Variance</t>
  </si>
  <si>
    <t>Target Total Distribution</t>
  </si>
  <si>
    <t>Actual Distribution by Unit Type</t>
  </si>
  <si>
    <t>Distribution of Units</t>
  </si>
  <si>
    <t>Share</t>
  </si>
  <si>
    <t>W/o Property Taxes or replacement reserves</t>
  </si>
  <si>
    <t>Net Revenue</t>
  </si>
  <si>
    <t>NOI/Net Revenue</t>
  </si>
  <si>
    <t>ADD:  Property Tax Reduction</t>
  </si>
  <si>
    <t>of Total</t>
  </si>
  <si>
    <t>Application Fee</t>
  </si>
  <si>
    <t>Pre-application Fee</t>
  </si>
  <si>
    <t>Commitment Fee</t>
  </si>
  <si>
    <t>of annual LIHTC</t>
  </si>
  <si>
    <t>Start</t>
  </si>
  <si>
    <t>months</t>
  </si>
  <si>
    <t>Completion</t>
  </si>
  <si>
    <t>Application</t>
  </si>
  <si>
    <t>Stabilization</t>
  </si>
  <si>
    <t>Fee Schedule</t>
  </si>
  <si>
    <t>8609's</t>
  </si>
  <si>
    <t>Construction Duration</t>
  </si>
  <si>
    <t>Interest</t>
  </si>
  <si>
    <t>* adjusted for security expense</t>
  </si>
  <si>
    <t>Payments</t>
  </si>
  <si>
    <t>    FMR</t>
  </si>
  <si>
    <t>Unit Type</t>
  </si>
  <si>
    <t>Set-Aside</t>
  </si>
  <si>
    <t>Number of Units</t>
  </si>
  <si>
    <t>Avg NRSF</t>
  </si>
  <si>
    <t>Max Eligible Gross Rent</t>
  </si>
  <si>
    <t>Net Rent</t>
  </si>
  <si>
    <t>$/NRSF</t>
  </si>
  <si>
    <t>Annual Rent</t>
  </si>
  <si>
    <t>Set Asides</t>
  </si>
  <si>
    <t>Income Limit</t>
  </si>
  <si>
    <t>Y</t>
  </si>
  <si>
    <t>N</t>
  </si>
  <si>
    <t>TOTAL</t>
  </si>
  <si>
    <t>Per Unit/Mo.</t>
  </si>
  <si>
    <t>All Units/Mo.</t>
  </si>
  <si>
    <t>Annual Revenue</t>
  </si>
  <si>
    <t>Subsidy Type</t>
  </si>
  <si>
    <t>Unit Count</t>
  </si>
  <si>
    <t>% of Total</t>
  </si>
  <si>
    <t>% of LI</t>
  </si>
  <si>
    <t>LIHTC Equity (4%)-State</t>
  </si>
  <si>
    <t>UA's</t>
  </si>
  <si>
    <t>Income Limits</t>
  </si>
  <si>
    <t>Total Mix</t>
  </si>
  <si>
    <t>None</t>
  </si>
  <si>
    <t>Vacancy Rate</t>
  </si>
  <si>
    <t>Revenue Inflation</t>
  </si>
  <si>
    <t>Expense Inflation</t>
  </si>
  <si>
    <t>Start Year</t>
  </si>
  <si>
    <t>Equity Schedule</t>
  </si>
  <si>
    <t>SF</t>
  </si>
  <si>
    <t>Mix</t>
  </si>
  <si>
    <t>Hard Cost Per Unit</t>
  </si>
  <si>
    <t>Contingency</t>
  </si>
  <si>
    <t>Total LI</t>
  </si>
  <si>
    <t>Total Eligible Costs</t>
  </si>
  <si>
    <t>per units</t>
  </si>
  <si>
    <t>Developer Fee Interest</t>
  </si>
  <si>
    <t>Market Rate/SF</t>
  </si>
  <si>
    <t>months from app date</t>
  </si>
  <si>
    <t>Landscape Architect</t>
  </si>
  <si>
    <t>Max Dev. Fee Allowable</t>
  </si>
  <si>
    <t>Max Credit Allocation</t>
  </si>
  <si>
    <t>GA: $1.8MM for 9%, $2.5MM for 4%</t>
  </si>
  <si>
    <t>GA: $950,000; TX: $1,500,000</t>
  </si>
  <si>
    <t>Acres</t>
  </si>
  <si>
    <t>Units/Acre</t>
  </si>
  <si>
    <t>Acquisition Price</t>
  </si>
  <si>
    <t>Land/Ground Lease Prepayment</t>
  </si>
  <si>
    <t>*Incl. comm SF</t>
  </si>
  <si>
    <t>Version</t>
  </si>
  <si>
    <t>Date</t>
  </si>
  <si>
    <t>Type of Allocation</t>
  </si>
  <si>
    <t>Appl Frac</t>
  </si>
  <si>
    <t>Based on MIP and HUD loan amount</t>
  </si>
  <si>
    <t>30% PBV</t>
  </si>
  <si>
    <t>50% PBV</t>
  </si>
  <si>
    <t>Of</t>
  </si>
  <si>
    <t>Less</t>
  </si>
  <si>
    <t/>
  </si>
  <si>
    <t>Tax Abatement</t>
  </si>
  <si>
    <t>*adjusted for tenant paid utilities</t>
  </si>
  <si>
    <t>Units/month</t>
  </si>
  <si>
    <t>Month</t>
  </si>
  <si>
    <t>Federal</t>
  </si>
  <si>
    <t>State</t>
  </si>
  <si>
    <t>Milestone</t>
  </si>
  <si>
    <t>% complete</t>
  </si>
  <si>
    <t>Commercial SF</t>
  </si>
  <si>
    <t>Parking</t>
  </si>
  <si>
    <t>per 1000</t>
  </si>
  <si>
    <t>spaces</t>
  </si>
  <si>
    <t>average</t>
  </si>
  <si>
    <t>Total SF</t>
  </si>
  <si>
    <t>acres</t>
  </si>
  <si>
    <t>Cost per SF</t>
  </si>
  <si>
    <t>total cost</t>
  </si>
  <si>
    <t>apex apartments with ext detention</t>
  </si>
  <si>
    <t>Rent</t>
  </si>
  <si>
    <t>/sf/year</t>
  </si>
  <si>
    <t>per SF/mo</t>
  </si>
  <si>
    <t>per year</t>
  </si>
  <si>
    <t>Commerical Space</t>
  </si>
  <si>
    <t>Builders Risk Insurance</t>
  </si>
  <si>
    <t>Plan review</t>
  </si>
  <si>
    <t>Other local fees</t>
  </si>
  <si>
    <t>Bond Development Determination Fee</t>
  </si>
  <si>
    <t>Per TDHCA - $20/unit</t>
  </si>
  <si>
    <t>Per TDHCA - $10 per unit</t>
  </si>
  <si>
    <t>Per TDHCA - 4% of annual LIHTC allocation</t>
  </si>
  <si>
    <t>Per TDHCA</t>
  </si>
  <si>
    <t>per NRSF</t>
  </si>
  <si>
    <t>Commercial + Other Income</t>
  </si>
  <si>
    <t>80% LIHTC</t>
  </si>
  <si>
    <t>y</t>
  </si>
  <si>
    <t>income avg</t>
  </si>
  <si>
    <t>*asssume $20/unit savings</t>
  </si>
  <si>
    <t>buildable NRSF per JHP</t>
  </si>
  <si>
    <t>avg unit SF</t>
  </si>
  <si>
    <t>*adjusted for flood insurance where applicable</t>
  </si>
  <si>
    <t>const contract per unit</t>
  </si>
  <si>
    <t>Unit Mix</t>
  </si>
  <si>
    <t>total const contract</t>
  </si>
  <si>
    <t>deferred fee target</t>
  </si>
  <si>
    <t>target const contract</t>
  </si>
  <si>
    <t>need to cut</t>
  </si>
  <si>
    <t>need to cut per unit</t>
  </si>
  <si>
    <t>target per unit cost</t>
  </si>
  <si>
    <t>&lt;- may not exceed 65% per TDHCA</t>
  </si>
  <si>
    <t>Columbia Parc, Renaissance Square, Pendana, Brookside</t>
  </si>
  <si>
    <t>Columbia Portfolio Family Comps:</t>
  </si>
  <si>
    <t>percent of fee deferred</t>
  </si>
  <si>
    <t>Bond Allocation:</t>
  </si>
  <si>
    <t>50% Test Calculation:</t>
  </si>
  <si>
    <t>unrestricted</t>
  </si>
  <si>
    <t>Other Asset Mgmt. Fee:</t>
  </si>
  <si>
    <t>60% PBV</t>
  </si>
  <si>
    <t>Total Required HAP Vouchers from HHA</t>
  </si>
  <si>
    <t>HAP Voucher Payment Standard</t>
  </si>
  <si>
    <t>of HUD FMR rent</t>
  </si>
  <si>
    <t>Total Affordable Units below 60% AMI</t>
  </si>
  <si>
    <t>RENT ROLL</t>
  </si>
  <si>
    <t>HHA Legal (Coats Rose)</t>
  </si>
  <si>
    <t>LIHTC only</t>
  </si>
  <si>
    <t>PBV-LIHTC</t>
  </si>
  <si>
    <t>market</t>
  </si>
  <si>
    <t>Cred Factor</t>
  </si>
  <si>
    <t>(less)  First mortgage debt</t>
  </si>
  <si>
    <t>(less)  Investor LP Asset Mgmt fee</t>
  </si>
  <si>
    <t>% of total</t>
  </si>
  <si>
    <t>DDF Balance &amp; Payments</t>
  </si>
  <si>
    <t>HHA Share of Paid Devel Fee:</t>
  </si>
  <si>
    <t>HHA Share of Deferred Devel Fee:</t>
  </si>
  <si>
    <t>HHA Share of Net Cash Flow:</t>
  </si>
  <si>
    <t>APV Redevelopment Corp.</t>
  </si>
  <si>
    <t>I. Closing</t>
  </si>
  <si>
    <t>II. Completion</t>
  </si>
  <si>
    <t>III. Stabilization</t>
  </si>
  <si>
    <t>IV. Final Install</t>
  </si>
  <si>
    <t>deferred fee</t>
  </si>
  <si>
    <t>New Affordable Housing Partners, LLC</t>
  </si>
  <si>
    <t>investor LPA- % of paid fee</t>
  </si>
  <si>
    <t>from</t>
  </si>
  <si>
    <t>sum totals</t>
  </si>
  <si>
    <r>
      <t xml:space="preserve">Fee </t>
    </r>
    <r>
      <rPr>
        <sz val="11"/>
        <rFont val="Calibri"/>
        <family val="2"/>
        <scheme val="minor"/>
      </rPr>
      <t>Scheduled to be Paid*</t>
    </r>
  </si>
  <si>
    <t>Total Development Fee</t>
  </si>
  <si>
    <t>(actual paid fee) -------&gt;</t>
  </si>
  <si>
    <t>To New AHP LLC</t>
  </si>
  <si>
    <t>Total Fee Splits</t>
  </si>
  <si>
    <t>APV Redevelopment Corp (HHA)</t>
  </si>
  <si>
    <t>New AHP LLC</t>
  </si>
  <si>
    <t xml:space="preserve">Payment dates are estimated based on when we believe benchmarks will be met, but are subject to change.  In addition, paid fee amounts are projected assuming a succesful project.  </t>
  </si>
  <si>
    <t xml:space="preserve">The amount of paid fee could change depending on how successful the project is.  </t>
  </si>
  <si>
    <t>SDK Independence Heights LLC</t>
  </si>
  <si>
    <t>CONSTRUCTION SOURCES &amp; USES and BOND COSTS</t>
  </si>
  <si>
    <t xml:space="preserve"> </t>
  </si>
  <si>
    <t>Bond Proceeds</t>
  </si>
  <si>
    <t>Other Sources</t>
  </si>
  <si>
    <t>Deferred Fee</t>
  </si>
  <si>
    <t>Total Funds</t>
  </si>
  <si>
    <t>Tax-Exempt</t>
  </si>
  <si>
    <t>Taxable</t>
  </si>
  <si>
    <t>(City DR-17 Loan)</t>
  </si>
  <si>
    <t>(HHA FEMA loan)</t>
  </si>
  <si>
    <t>(Construction)</t>
  </si>
  <si>
    <t>DEVELOPMENT SOURCES</t>
  </si>
  <si>
    <t>Construction Loan - Bonds "A")</t>
  </si>
  <si>
    <t>Permanent Loan Bonds "B")</t>
  </si>
  <si>
    <t>City of Houston Loan - Tranche I  (2nd)</t>
  </si>
  <si>
    <t>City of Houston Loan - Tranche II  (2nd)</t>
  </si>
  <si>
    <t>HHA /FEMA Loan  (3rd)</t>
  </si>
  <si>
    <t>LIHTC Equity (investor)</t>
  </si>
  <si>
    <t>Deferred Development Fee</t>
  </si>
  <si>
    <t>TOTAL DEVELOPMENT SOURCES</t>
  </si>
  <si>
    <t>DEVELOPMENT USES</t>
  </si>
  <si>
    <t>ACQUISITION</t>
  </si>
  <si>
    <t>Building</t>
  </si>
  <si>
    <t>Land</t>
  </si>
  <si>
    <t>HARD COST CONSTRUCTION</t>
  </si>
  <si>
    <t>Demo/Abatement Contract</t>
  </si>
  <si>
    <t>Demo/Abatement Contingency</t>
  </si>
  <si>
    <t>Construction Hard Costs</t>
  </si>
  <si>
    <t>Sitework</t>
  </si>
  <si>
    <t>GC General Conditions</t>
  </si>
  <si>
    <t>P&amp;P Bond</t>
  </si>
  <si>
    <t>Site Preparation</t>
  </si>
  <si>
    <t>Site Utilities</t>
  </si>
  <si>
    <t>Landscaping</t>
  </si>
  <si>
    <t>Retaining walls</t>
  </si>
  <si>
    <t>Fencing and Vehicle Gates</t>
  </si>
  <si>
    <t>Roads</t>
  </si>
  <si>
    <t>Sidewalks</t>
  </si>
  <si>
    <t>Exterior Amenities</t>
  </si>
  <si>
    <t>DEVELOPMENT COSTS</t>
  </si>
  <si>
    <t>Developer Overhead</t>
  </si>
  <si>
    <t>TOTAL DEVELOPMENT USES</t>
  </si>
  <si>
    <t>Equity pays down TEBonds to TEL loan amount</t>
  </si>
  <si>
    <t>AMOUNT</t>
  </si>
  <si>
    <t>DUE DATE</t>
  </si>
  <si>
    <t>50% Test:</t>
  </si>
  <si>
    <t>Initial Cap contribution (Closing)</t>
  </si>
  <si>
    <t>2nd cap contribution</t>
  </si>
  <si>
    <t>meets 50% test</t>
  </si>
  <si>
    <t>3rd cap contribution</t>
  </si>
  <si>
    <t>4th cap contribution</t>
  </si>
  <si>
    <t>6th cap contribution</t>
  </si>
  <si>
    <t>DEVELOPER FEE SCHEDULE</t>
  </si>
  <si>
    <t>Admission/ Closing</t>
  </si>
  <si>
    <t>2nd Capital Contribution</t>
  </si>
  <si>
    <t xml:space="preserve">3rd Capital Contribution </t>
  </si>
  <si>
    <t xml:space="preserve">4th Capital Contribution </t>
  </si>
  <si>
    <t>TOTAL PAID DEVELOPER'S FEE</t>
  </si>
  <si>
    <t>TOTAL DEVELOPER'S FEE</t>
  </si>
  <si>
    <t>FLOW OF FUNDS</t>
  </si>
  <si>
    <t>Construction Start----------&gt;</t>
  </si>
  <si>
    <t>SOURCES</t>
  </si>
  <si>
    <t>CLOSING</t>
  </si>
  <si>
    <t xml:space="preserve">L.P. Capital Contribution </t>
  </si>
  <si>
    <t>Deferred Developer Fee</t>
  </si>
  <si>
    <t>% of Equity Capital</t>
  </si>
  <si>
    <t>USES</t>
  </si>
  <si>
    <t>INSERT % OF HARD COST EXPENDED PER MONTH &gt;</t>
  </si>
  <si>
    <t>Warehouse key</t>
  </si>
  <si>
    <t>Multivista Documentation Allowance</t>
  </si>
  <si>
    <t>Parking lot rental allowance</t>
  </si>
  <si>
    <t xml:space="preserve"> Construction Cost Subtotals</t>
  </si>
  <si>
    <t xml:space="preserve">Construction Period Financing  </t>
  </si>
  <si>
    <t>Return of Capital/Special Distribution</t>
  </si>
  <si>
    <t>Paid fee</t>
  </si>
  <si>
    <t>% of Paid Developer Fee</t>
  </si>
  <si>
    <t>OK</t>
  </si>
  <si>
    <t>of total fee is deferred</t>
  </si>
  <si>
    <t>Other</t>
  </si>
  <si>
    <t>50% Completion</t>
  </si>
  <si>
    <t>100% Complete</t>
  </si>
  <si>
    <t>Conversion Fee</t>
  </si>
  <si>
    <t>Developer Fee - Net Fee (80%)</t>
  </si>
  <si>
    <t>To SDK Independence LLC</t>
  </si>
  <si>
    <t>SDK Independence LLC</t>
  </si>
  <si>
    <t>Utility</t>
  </si>
  <si>
    <t>Who Pays</t>
  </si>
  <si>
    <t>Energy Source</t>
  </si>
  <si>
    <t>3BR</t>
  </si>
  <si>
    <t>4BR</t>
  </si>
  <si>
    <t>Source of Utility Allowance &amp; Effective Date</t>
  </si>
  <si>
    <t>Heating</t>
  </si>
  <si>
    <t>Tenant</t>
  </si>
  <si>
    <t>Electric</t>
  </si>
  <si>
    <t>Cooking</t>
  </si>
  <si>
    <t>Other Electric</t>
  </si>
  <si>
    <t>Air Conditioning</t>
  </si>
  <si>
    <t>Water Heater</t>
  </si>
  <si>
    <t>Water</t>
  </si>
  <si>
    <t>Sewer</t>
  </si>
  <si>
    <t>Trash</t>
  </si>
  <si>
    <t>Landlord</t>
  </si>
  <si>
    <t>Flat Fee</t>
  </si>
  <si>
    <t>Total Paid by Tenant</t>
  </si>
  <si>
    <t xml:space="preserve">$         -   </t>
  </si>
  <si>
    <t xml:space="preserve"> $         -   </t>
  </si>
  <si>
    <t>0-BR</t>
  </si>
  <si>
    <t>1-BR</t>
  </si>
  <si>
    <t>2-BR</t>
  </si>
  <si>
    <t xml:space="preserve">* Development Fee is paid upon satisfaction of benchmarks as set out in the Limited Partnership Agreement and Development Services Agreement of Independence Heights Apartments II, Limited Partnership. </t>
  </si>
  <si>
    <t xml:space="preserve">1st Mortgage  </t>
  </si>
  <si>
    <t>PHA Sec 8 PBV-HAP</t>
  </si>
  <si>
    <t>Principal</t>
  </si>
  <si>
    <t>Cummulative Balance</t>
  </si>
  <si>
    <t>HHA Loan Info-2nd and 3rd Combined</t>
  </si>
  <si>
    <t>cash flow-interest only</t>
  </si>
  <si>
    <t>15 Year Total:</t>
  </si>
  <si>
    <t xml:space="preserve">August </t>
  </si>
  <si>
    <t xml:space="preserve">April </t>
  </si>
  <si>
    <t>May</t>
  </si>
  <si>
    <t>TOTAL:</t>
  </si>
  <si>
    <t>Structured Parking</t>
  </si>
  <si>
    <t>Bond issuer Fee (APV)</t>
  </si>
  <si>
    <t>remaining to pay out</t>
  </si>
  <si>
    <t>split to APV Redevelopment Corp (HHA)</t>
  </si>
  <si>
    <t>split to SDK Independence LLC</t>
  </si>
  <si>
    <t>split to New AHP LLC</t>
  </si>
  <si>
    <t>2023 Houston LIHTC rents</t>
  </si>
  <si>
    <t>2023 FMR+10%</t>
  </si>
  <si>
    <t>(less) 2nd mortgage debt-HHA</t>
  </si>
  <si>
    <t>SLP Asset Mgt fee</t>
  </si>
  <si>
    <t>Updated September 2023 - Structured Parking transaction</t>
  </si>
  <si>
    <t xml:space="preserve">45L Credits </t>
  </si>
  <si>
    <t>Other Equity</t>
  </si>
  <si>
    <t>45L Credits</t>
  </si>
  <si>
    <t>100% completion-CO</t>
  </si>
  <si>
    <t>Commercial Space</t>
  </si>
  <si>
    <t>GAP</t>
  </si>
  <si>
    <t>Bond Arbitrage Earnings</t>
  </si>
  <si>
    <t>Independence Heights</t>
  </si>
  <si>
    <t>COMPARABLES in COLUMBIA PORTFOLIO</t>
  </si>
  <si>
    <t>2023 Full Year</t>
  </si>
  <si>
    <t>Pendana at W Lakes</t>
  </si>
  <si>
    <t>Columbia Sylvan Hills</t>
  </si>
  <si>
    <t>Columbia Brookside II-III</t>
  </si>
  <si>
    <t>Park Commons HFS, HFOP</t>
  </si>
  <si>
    <t>Columbia Parc @ Bayou Distr</t>
  </si>
  <si>
    <t>Bad Debt Expense</t>
  </si>
  <si>
    <t>All Other Admin Expense</t>
  </si>
  <si>
    <t> TOTAL ADMINISTRATIVE EXPENSES</t>
  </si>
  <si>
    <t> TOTAL MARKETING EXPENSES</t>
  </si>
  <si>
    <t> TOTAL PAYROLL EXPENSES</t>
  </si>
  <si>
    <t> TOTAL MAINTENANCE EXPENSES</t>
  </si>
  <si>
    <t> TOTAL CONTRACT EXPENSES</t>
  </si>
  <si>
    <t> TOTAL UTILITY EXPENSES</t>
  </si>
  <si>
    <t>net of water/sewer collection</t>
  </si>
  <si>
    <t> TOTAL MANAGEMENT &amp; PROFESSIONAL EXPENSES</t>
  </si>
  <si>
    <t> TOTAL TAX &amp; INSURANCE EXPENSES*</t>
  </si>
  <si>
    <t>* includes anticipated tax abatement for RAD/PBV</t>
  </si>
  <si>
    <t>TOTAL EXPENSES:</t>
  </si>
  <si>
    <t>TOTAL OPERATING EXPENSES</t>
  </si>
  <si>
    <t>includes full property tax; regional mgr charges</t>
  </si>
  <si>
    <t>no property tax payment; social services costs ($95K/yr); high w&amp;s cost; high security cost</t>
  </si>
  <si>
    <t>combined two phases in single office; high contract labor; short-staffed</t>
  </si>
  <si>
    <t>low taxation; water &amp; sewer paid by property; operates as combined site; insurance seems incorrect</t>
  </si>
  <si>
    <t>water/sewer indiv billed; very high contract expenses; lower turn costs; PILOT taxes; very high insurance</t>
  </si>
  <si>
    <t>2024 Baseline</t>
  </si>
  <si>
    <t>bad debt</t>
  </si>
  <si>
    <t>other admin</t>
  </si>
  <si>
    <t>Renaissance Square</t>
  </si>
  <si>
    <t>Full taxation; contract leasing &amp; maint added into payroll; some shared cost with Ren II</t>
  </si>
  <si>
    <t>(less)  SLP Asset Mgmt fee-Columbia SLP</t>
  </si>
  <si>
    <t>Asset Mgmt Fees projection;</t>
  </si>
  <si>
    <r>
      <rPr>
        <b/>
        <sz val="10"/>
        <color rgb="FFC00000"/>
        <rFont val="Calibri"/>
        <family val="2"/>
      </rPr>
      <t>60%</t>
    </r>
    <r>
      <rPr>
        <sz val="10"/>
        <color indexed="8"/>
        <rFont val="Calibri"/>
        <family val="2"/>
      </rPr>
      <t xml:space="preserve"> to New AHP LLC/SDK Interests</t>
    </r>
  </si>
  <si>
    <t>Construction</t>
  </si>
  <si>
    <t>50% complete</t>
  </si>
  <si>
    <t>Taxable Construction Loan</t>
  </si>
  <si>
    <t>3rd Mortgage (FEMA)</t>
  </si>
  <si>
    <t>Based on CIP Calc - Flow of funds</t>
  </si>
  <si>
    <t>Construction Financing and Placement Fees</t>
  </si>
  <si>
    <t>Annual HHA Issuer Fee</t>
  </si>
  <si>
    <t>Unit Mix Set-Asides, County AMI and Rent Limits, and Utility Allowances</t>
  </si>
  <si>
    <t>Average Income Targeting:</t>
  </si>
  <si>
    <t>Stabilized Net
Operating Income</t>
  </si>
  <si>
    <t>AMI
Set-Asides</t>
  </si>
  <si>
    <t>Targeted /</t>
  </si>
  <si>
    <t>Unit Style</t>
  </si>
  <si>
    <t>Number</t>
  </si>
  <si>
    <t>Net</t>
  </si>
  <si>
    <t>Max Net</t>
  </si>
  <si>
    <t>Min BR</t>
  </si>
  <si>
    <t>Hourly</t>
  </si>
  <si>
    <t>Actual</t>
  </si>
  <si>
    <t>BR</t>
  </si>
  <si>
    <t>Type</t>
  </si>
  <si>
    <t>BA</t>
  </si>
  <si>
    <t>of Units</t>
  </si>
  <si>
    <t>Area</t>
  </si>
  <si>
    <t>SqFt</t>
  </si>
  <si>
    <t>p/Unit</t>
  </si>
  <si>
    <t>Rent/Mo</t>
  </si>
  <si>
    <t>p/SqFt</t>
  </si>
  <si>
    <t>Income</t>
  </si>
  <si>
    <t>Wages</t>
  </si>
  <si>
    <t>Rental Inc.</t>
  </si>
  <si>
    <t>Advantage</t>
  </si>
  <si>
    <t>% RA</t>
  </si>
  <si>
    <t>A</t>
  </si>
  <si>
    <t>Garage/Comm.</t>
  </si>
  <si>
    <t>B</t>
  </si>
  <si>
    <t>Other Inc.</t>
  </si>
  <si>
    <t>C</t>
  </si>
  <si>
    <t>Gross Potential</t>
  </si>
  <si>
    <t>D</t>
  </si>
  <si>
    <t>E</t>
  </si>
  <si>
    <t>Effective Gross</t>
  </si>
  <si>
    <t>F</t>
  </si>
  <si>
    <t>Net OpEx</t>
  </si>
  <si>
    <t>G</t>
  </si>
  <si>
    <t>H</t>
  </si>
  <si>
    <t>Repl. Res.</t>
  </si>
  <si>
    <t>Total OpEx</t>
  </si>
  <si>
    <t>Net Oper. Inc.</t>
  </si>
  <si>
    <t>NNMMI</t>
  </si>
  <si>
    <t>Per Unit Type Income Averaging</t>
  </si>
  <si>
    <t>Totals</t>
  </si>
  <si>
    <t>Average Income</t>
  </si>
  <si>
    <t>Utilities</t>
  </si>
  <si>
    <t>Per BR Type Income Averaging</t>
  </si>
  <si>
    <t>Max Rent</t>
  </si>
  <si>
    <t>Building:</t>
  </si>
  <si>
    <t>LowRise</t>
  </si>
  <si>
    <t>Utility Allowances</t>
  </si>
  <si>
    <t>Effective:</t>
  </si>
  <si>
    <t>Use</t>
  </si>
  <si>
    <t>Tenant Pd?</t>
  </si>
  <si>
    <t>Heating - Electric</t>
  </si>
  <si>
    <t>Cooking - Electric</t>
  </si>
  <si>
    <t>Other:</t>
  </si>
  <si>
    <t>A/C</t>
  </si>
  <si>
    <t>Hot Water - Electric</t>
  </si>
  <si>
    <t>FMR</t>
  </si>
  <si>
    <t>Low HOME</t>
  </si>
  <si>
    <t>Trash Collection</t>
  </si>
  <si>
    <t>High HOME</t>
  </si>
  <si>
    <t>Sum "Y" =</t>
  </si>
  <si>
    <t>HHA</t>
  </si>
  <si>
    <t>Houston-The Woolands-Sugar Land</t>
  </si>
  <si>
    <t>Bond Interst (Fully Drawn)</t>
  </si>
  <si>
    <t>Earnings on GIC (set equal to interest exp)</t>
  </si>
  <si>
    <t>Stabilized Year 1 =</t>
  </si>
  <si>
    <t>Houston Housing Authority</t>
  </si>
  <si>
    <t>Houston-The Woodlands-Sugar Land, TX HUD Metro FMR Area</t>
  </si>
  <si>
    <t>Harris County</t>
  </si>
  <si>
    <t>Resident Services</t>
  </si>
  <si>
    <t>(less) Cash Flow to Investor LP</t>
  </si>
  <si>
    <t>(less) Cashflow to GP/SLP</t>
  </si>
  <si>
    <t>(less) Incentive Mgmt Fee to GP/SLP</t>
  </si>
  <si>
    <t>Incentive Mgmt Fee Paid</t>
  </si>
  <si>
    <t>Incentive Management Fee</t>
  </si>
  <si>
    <t>Potential Incentive Mgmt Fee</t>
  </si>
  <si>
    <t>***Sum of Incentive Management Fee, management fees (assumed 6%) and asset management fee may not exceed 12% of effective gross income.</t>
  </si>
  <si>
    <t>Max Incentive Mgmt Fee*</t>
  </si>
  <si>
    <t>Asset Mgmt Fee</t>
  </si>
  <si>
    <t>Mgmt Fee (6% of Stabilized Income):</t>
  </si>
  <si>
    <t>Incentive Mgmt Fee</t>
  </si>
  <si>
    <t>Total:</t>
  </si>
  <si>
    <t>Reduction in IMF (Max-Total):</t>
  </si>
  <si>
    <t>MATCHES TDHCA CORE APP (4%)</t>
  </si>
  <si>
    <t xml:space="preserve">  </t>
  </si>
  <si>
    <t>Absorbtion Rate</t>
  </si>
  <si>
    <t>3/14/2025</t>
  </si>
  <si>
    <t>HHA Ground Lease- confirm not capitalized- $100/year for 75 years</t>
  </si>
  <si>
    <t>Invoice amt. from City</t>
  </si>
  <si>
    <t>Building Permits &amp; Park Open Spaces Fees- quotes from permit expeditor</t>
  </si>
  <si>
    <t>App. Fee, Origination Fee, Freddie Mac Fee, Standby Fee, Construction Monitoring Fee</t>
  </si>
  <si>
    <t>Bond Issuer Legal-Bond Board and Trustee Fees</t>
  </si>
  <si>
    <t>Freddie TEL legal &amp; Associated Fees</t>
  </si>
  <si>
    <t>Rent-Up Reserves</t>
  </si>
  <si>
    <t>per tax credit unit</t>
  </si>
  <si>
    <t>*</t>
  </si>
  <si>
    <t>Per TDHCA- 2-6 months opex + debt service</t>
  </si>
  <si>
    <t>OPERATING EXPENSES</t>
  </si>
  <si>
    <t xml:space="preserve">Annual </t>
  </si>
  <si>
    <t>ADMINISTRATIVE EXPENSES</t>
  </si>
  <si>
    <t>Office Supplies / Postage</t>
  </si>
  <si>
    <t>Equipment Rental</t>
  </si>
  <si>
    <t>Travel</t>
  </si>
  <si>
    <t>Reports / Screening</t>
  </si>
  <si>
    <t>Social Entertainment</t>
  </si>
  <si>
    <t xml:space="preserve"> TOTAL ADMINISTRATIVE EXPENSES</t>
  </si>
  <si>
    <t>MARKETING EXPENSES</t>
  </si>
  <si>
    <t>PAYROLL EXPENSES</t>
  </si>
  <si>
    <t>Manager</t>
  </si>
  <si>
    <t>CONTRACT EXPENSES</t>
  </si>
  <si>
    <t>Elevator</t>
  </si>
  <si>
    <t>Security Services</t>
  </si>
  <si>
    <t>UTILITY EXPENSES</t>
  </si>
  <si>
    <t>Water / Sewer</t>
  </si>
  <si>
    <t>MANAGEMENT &amp; PROFESSIONAL EXPENSES</t>
  </si>
  <si>
    <t>Management Fee</t>
  </si>
  <si>
    <t>TAX &amp; INSURANCE EXPENSES</t>
  </si>
  <si>
    <t>Insurance Expenses</t>
  </si>
  <si>
    <t>Added Insuarnce Expense</t>
  </si>
  <si>
    <t> TOTAL TAX &amp; INSURANCE EXPENSES</t>
  </si>
  <si>
    <t>TOTAL EXPENSES</t>
  </si>
  <si>
    <t xml:space="preserve">Uniforms </t>
  </si>
  <si>
    <t>Employee Education/Training</t>
  </si>
  <si>
    <t>Cable/Internet Expense</t>
  </si>
  <si>
    <t>Computer Equipment</t>
  </si>
  <si>
    <t>Apartment Guide/Blue Book</t>
  </si>
  <si>
    <t>Promotional/Other Marketing</t>
  </si>
  <si>
    <t>Leasing Consultant</t>
  </si>
  <si>
    <t>Assistant Manager</t>
  </si>
  <si>
    <t>Maintenance</t>
  </si>
  <si>
    <t>Grounds/Porter</t>
  </si>
  <si>
    <t>Benefits/Taxes</t>
  </si>
  <si>
    <t>INTERIOR SUPPLIES &amp; REPAIRS</t>
  </si>
  <si>
    <t>Cleaning/Painting</t>
  </si>
  <si>
    <t>Fire Inspection/Repairs</t>
  </si>
  <si>
    <t>Dryer Vent Cleaning</t>
  </si>
  <si>
    <t>EXTERIOR SUPPLIES &amp; REPAIRS</t>
  </si>
  <si>
    <t>Grounds Supplies</t>
  </si>
  <si>
    <t>Landscape Supplies</t>
  </si>
  <si>
    <t>Maintenance Equipment/Supplies</t>
  </si>
  <si>
    <t>Pest Control</t>
  </si>
  <si>
    <t>Sanitation</t>
  </si>
  <si>
    <t>Vacant Electricity</t>
  </si>
  <si>
    <t>Computer Software/Network</t>
  </si>
  <si>
    <t>Accounting Fees</t>
  </si>
  <si>
    <t>Legal Fees</t>
  </si>
  <si>
    <t>Misc. Professional Fees</t>
  </si>
  <si>
    <t>Property Tax</t>
  </si>
  <si>
    <t>Telephones</t>
  </si>
  <si>
    <t>ANNUAL ISSUER FEE</t>
  </si>
  <si>
    <t xml:space="preserve">Common Electricity </t>
  </si>
  <si>
    <t>NOTE:  Expenses updated. Do not match TDHCA application</t>
  </si>
  <si>
    <t>2nd Mortgage (HHA Funds)</t>
  </si>
  <si>
    <t>Expended</t>
  </si>
  <si>
    <t>2nd Installment</t>
  </si>
  <si>
    <t>Constr Completion</t>
  </si>
  <si>
    <t>3rd Installment</t>
  </si>
  <si>
    <t>Total Drawn</t>
  </si>
  <si>
    <t>LIHTC rents are 2025 rents per Novogradac</t>
  </si>
  <si>
    <t>PBV rents are 110% of 2025 FMR Rents</t>
  </si>
  <si>
    <t>Utility Allowances (UA) are based on HHA 1/25 schedule</t>
  </si>
  <si>
    <t>HHA 1/1/2025</t>
  </si>
  <si>
    <t>99.99% to LP investor</t>
  </si>
  <si>
    <t>Bond Interest Expense</t>
  </si>
  <si>
    <t>Total Interest:</t>
  </si>
  <si>
    <t>Bond Construction Period Interest</t>
  </si>
  <si>
    <t>Cumulative Draw</t>
  </si>
  <si>
    <t>Bond Interest Accrued</t>
  </si>
  <si>
    <t>Interest Accrued</t>
  </si>
  <si>
    <t>Current Draw Amount</t>
  </si>
  <si>
    <t>Construction Period Interest</t>
  </si>
  <si>
    <t>Investment Earnings</t>
  </si>
  <si>
    <t>Trustee Outstanding Bond Balance</t>
  </si>
  <si>
    <t>Total Investment Earnings:</t>
  </si>
  <si>
    <t>Total Construction Period Interest:</t>
  </si>
  <si>
    <t>Cumulative Construction Loan Amount</t>
  </si>
  <si>
    <t>Tax Exempt Bonds</t>
  </si>
  <si>
    <t>First Mortgage (Freddie TEL)</t>
  </si>
  <si>
    <t>Investment Earnings on Bond Proceeds</t>
  </si>
  <si>
    <t>Trustee Investment Earnings</t>
  </si>
  <si>
    <t>Total Earnings:</t>
  </si>
  <si>
    <t>Positive Arbitrage is in Texas is rebated back to state… max earnings equals amt of bond interest expense</t>
  </si>
  <si>
    <t>Total Current Draw:</t>
  </si>
  <si>
    <t>Total Cumulative Draw:</t>
  </si>
  <si>
    <t>Cumulative Interest Accrued:</t>
  </si>
  <si>
    <t>Columbia</t>
  </si>
  <si>
    <t>SDK</t>
  </si>
  <si>
    <t>Construction Contingency  (5%)</t>
  </si>
  <si>
    <t>GL Insurance &amp; BR Security during construction</t>
  </si>
  <si>
    <t>Includes Part 58 costs, and phase 2</t>
  </si>
  <si>
    <t>Developer Fee - Overhead (30%)</t>
  </si>
  <si>
    <t xml:space="preserve">95% affordable below 60% AMI, 5% Market </t>
  </si>
  <si>
    <r>
      <rPr>
        <b/>
        <sz val="10"/>
        <color rgb="FFC00000"/>
        <rFont val="Calibri"/>
        <family val="2"/>
      </rPr>
      <t>40%</t>
    </r>
    <r>
      <rPr>
        <sz val="10"/>
        <color indexed="8"/>
        <rFont val="Calibri"/>
        <family val="2"/>
      </rPr>
      <t xml:space="preserve"> to APV Redevelopment Corp (HHA)</t>
    </r>
  </si>
  <si>
    <t>20% Developer Overhead:</t>
  </si>
  <si>
    <t>$400K carved out of basis for commercial space</t>
  </si>
  <si>
    <t>1.3% of construction bonds- 50% in basis (confirming w/ CohnReznick)</t>
  </si>
  <si>
    <t>1.0% of construction bonds- 10% in basis (confirming w/ CohnReznick)</t>
  </si>
  <si>
    <t>Uses from Development Budget:</t>
  </si>
  <si>
    <t>Aggregate Basis</t>
  </si>
  <si>
    <t>Total Bond Needed:</t>
  </si>
  <si>
    <t>Max Bond Amt:</t>
  </si>
  <si>
    <t>Total Bonds</t>
  </si>
  <si>
    <t>Total Bond Proceeds</t>
  </si>
  <si>
    <t>50% Test</t>
  </si>
  <si>
    <t>Cannot exceed 55% per 2024 QAP</t>
  </si>
  <si>
    <t>Construction Loan (Taxable)</t>
  </si>
  <si>
    <t>Affordable / Mixed-Income Family Housing  (221 units)</t>
  </si>
  <si>
    <t>4 months OpEx</t>
  </si>
  <si>
    <t>HHA 3rd Mortgage Loan Pmts (FEMA):</t>
  </si>
  <si>
    <t>HHA 2nd Mortgage Loan Pmts (HHA Soft):</t>
  </si>
  <si>
    <t>22 month construction period per GC contract</t>
  </si>
  <si>
    <t>90% for basis</t>
  </si>
  <si>
    <t>noQCT</t>
  </si>
  <si>
    <t>QCT Equity</t>
  </si>
  <si>
    <t>QCT Credits</t>
  </si>
  <si>
    <t>Loss in credits</t>
  </si>
  <si>
    <t>Loss in Equity</t>
  </si>
  <si>
    <t>Payback period</t>
  </si>
  <si>
    <t>QCT Perm Debt</t>
  </si>
  <si>
    <t>Increase in debt</t>
  </si>
  <si>
    <t>QCT DDF</t>
  </si>
  <si>
    <t xml:space="preserve">QCT FEMA </t>
  </si>
  <si>
    <t>Columbia at Independence Heights (NO QCT)</t>
  </si>
  <si>
    <t>Increase in DDF</t>
  </si>
  <si>
    <t>Increase in FEMA</t>
  </si>
  <si>
    <t>Permanent Debt</t>
  </si>
  <si>
    <t>FEMA Allocation</t>
  </si>
  <si>
    <t>CHANGES to SOURCES</t>
  </si>
  <si>
    <t>HHA Portion</t>
  </si>
  <si>
    <t>Wells Portion</t>
  </si>
  <si>
    <t>Soft Loan B</t>
  </si>
  <si>
    <t>(less)  Second mortgage debt_HHA</t>
  </si>
  <si>
    <t>DSC - 1st &amp; 2nd Mrgt</t>
  </si>
  <si>
    <t xml:space="preserve">(less) </t>
  </si>
  <si>
    <t>update based on Apt Life quote</t>
  </si>
  <si>
    <t>*  rate is 30-day SOFR 4.00% + 245bp with 15 bps hedge</t>
  </si>
  <si>
    <t>Soft Loan</t>
  </si>
  <si>
    <t>n/a</t>
  </si>
  <si>
    <t>*10yr (4.05%) + 184bp spread + 25bp cushion</t>
  </si>
  <si>
    <t>Project Name</t>
  </si>
  <si>
    <t xml:space="preserve"> Units New (61 Affordable units, amenities, community space)</t>
  </si>
  <si>
    <t>GAP Funding (TBD)</t>
  </si>
  <si>
    <t>(TBD)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</si>
</sst>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General_);[Red]\-General_)"/>
    <numFmt numFmtId="166" formatCode="m/d/yy\ h:mm\ AM/PM"/>
    <numFmt numFmtId="167" formatCode="&quot;$&quot;#,##0"/>
    <numFmt numFmtId="168" formatCode="&quot;$&quot;#,##0.000_);\(&quot;$&quot;#,##0.000\)"/>
    <numFmt numFmtId="169" formatCode="_(&quot;$&quot;* #,##0_);_(&quot;$&quot;* \(#,##0\);_(&quot;$&quot;* &quot;-&quot;??_);_(@_)"/>
    <numFmt numFmtId="170" formatCode="&quot;$&quot;#,##0.00"/>
    <numFmt numFmtId="171" formatCode="mm/dd/yy;@"/>
    <numFmt numFmtId="172" formatCode="0.000&quot;  &quot;"/>
    <numFmt numFmtId="173" formatCode="_([$€-2]* #,##0.00_);_([$€-2]* \(#,##0.00\);_([$€-2]* &quot;-&quot;??_)"/>
    <numFmt numFmtId="174" formatCode="0.00_);[Red]\(0.00\)"/>
    <numFmt numFmtId="175" formatCode="&quot; &quot;#,##0.00&quot; &quot;;&quot; (&quot;#,##0.00&quot;)&quot;;&quot; -&quot;00&quot; &quot;;&quot; &quot;@&quot; &quot;"/>
    <numFmt numFmtId="176" formatCode="&quot; &quot;&quot;$&quot;#,##0.00&quot; &quot;;&quot; &quot;&quot;$&quot;&quot;(&quot;#,##0.00&quot;)&quot;;&quot; &quot;&quot;$&quot;&quot;-&quot;00&quot; &quot;;&quot; &quot;@&quot; &quot;"/>
    <numFmt numFmtId="177" formatCode="_(&quot;$&quot;* #,##0.0000_);_(&quot;$&quot;* \(#,##0.0000\);_(&quot;$&quot;* &quot;-&quot;????_);_(@_)"/>
    <numFmt numFmtId="178" formatCode="_(* #,##0_);_(* \(#,##0\);_(* &quot;-&quot;??_);_(@_)"/>
    <numFmt numFmtId="179" formatCode="mmm\ yyyy"/>
    <numFmt numFmtId="180" formatCode="_(&quot;$&quot;* #,##0.0_);_(&quot;$&quot;* \(#,##0.0\);_(&quot;$&quot;* &quot;-&quot;?_);_(@_)"/>
    <numFmt numFmtId="181" formatCode="mmmm"/>
    <numFmt numFmtId="182" formatCode="0.0"/>
    <numFmt numFmtId="183" formatCode="#,##0.000_);\(#,##0.000\)"/>
    <numFmt numFmtId="184" formatCode="[$-409]mmm\-yy;@"/>
    <numFmt numFmtId="185" formatCode="0.000000000000000%"/>
    <numFmt numFmtId="186" formatCode="&quot;$&quot;#,##0.000"/>
    <numFmt numFmtId="187" formatCode="&quot; &quot;#,##0&quot; &quot;;&quot; (&quot;#,##0&quot;)&quot;;&quot; -&quot;00&quot; &quot;;&quot; &quot;@&quot; &quot;"/>
    <numFmt numFmtId="188" formatCode="_(* #,##0.0_);_(* \(#,##0.0\);_(* &quot;-&quot;??_);_(@_)"/>
    <numFmt numFmtId="189" formatCode="_(* #,##0.0_);_(* \(#,##0.0\);_(* &quot;-&quot;?_);_(@_)"/>
    <numFmt numFmtId="190" formatCode="[$-409]m/d/yy\ h:mm\ AM/PM;@"/>
    <numFmt numFmtId="191" formatCode="#,##0&quot; &quot;;[Red]&quot;(&quot;#,##0&quot;)&quot;"/>
    <numFmt numFmtId="192" formatCode="&quot;$&quot;#,##0&quot; &quot;;&quot;(&quot;&quot;$&quot;#,##0&quot;)&quot;"/>
    <numFmt numFmtId="193" formatCode="0.0000"/>
    <numFmt numFmtId="194" formatCode="&quot;$&quot;#,##0.000_);[Red]\(&quot;$&quot;#,##0.000\)"/>
    <numFmt numFmtId="195" formatCode="0.000%"/>
    <numFmt numFmtId="196" formatCode="0.000"/>
    <numFmt numFmtId="197" formatCode="0%&quot; AMI&quot;"/>
    <numFmt numFmtId="198" formatCode="0.00%&quot; LI Units&quot;"/>
    <numFmt numFmtId="199" formatCode="&quot;R/E Tx Year &quot;#"/>
    <numFmt numFmtId="200" formatCode="_&amp;&quot; County&quot;"/>
    <numFmt numFmtId="201" formatCode="#&quot; Bedroom&quot;"/>
    <numFmt numFmtId="202" formatCode="0&quot; - persons&quot;"/>
    <numFmt numFmtId="203" formatCode="0&quot; BR&quot;"/>
    <numFmt numFmtId="204" formatCode="&quot; &quot;#,##0.0&quot; &quot;;&quot; (&quot;#,##0.0&quot;)&quot;;&quot; -&quot;00.0&quot; &quot;;&quot; &quot;@&quot; &quot;"/>
    <numFmt numFmtId="205" formatCode="&quot; &quot;#,##0.00&quot; &quot;;&quot; (&quot;#,##0.00&quot;)&quot;;&quot; -&quot;00.00&quot; &quot;;&quot; &quot;@&quot; &quot;"/>
    <numFmt numFmtId="206" formatCode="&quot;$&quot;#,##0.0"/>
    <numFmt numFmtId="207" formatCode="&quot; &quot;&quot;$&quot;#,##0&quot; &quot;;&quot; &quot;&quot;$&quot;&quot;(&quot;#,##0&quot;)&quot;;&quot; &quot;&quot;$&quot;&quot;-&quot;00&quot; &quot;;&quot; &quot;@&quot; &quot;"/>
  </numFmts>
  <fonts count="20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color indexed="12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sz val="8"/>
      <color indexed="8"/>
      <name val="Arial"/>
      <family val="2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b/>
      <i/>
      <u/>
      <sz val="9"/>
      <color theme="1"/>
      <name val="Calibri"/>
      <family val="2"/>
      <scheme val="minor"/>
    </font>
    <font>
      <i/>
      <sz val="9"/>
      <color rgb="FF0033CC"/>
      <name val="Calibri"/>
      <family val="2"/>
      <scheme val="minor"/>
    </font>
    <font>
      <b/>
      <i/>
      <sz val="11"/>
      <color rgb="FF0033CC"/>
      <name val="Calibri"/>
      <family val="2"/>
      <scheme val="minor"/>
    </font>
    <font>
      <b/>
      <u/>
      <sz val="14"/>
      <color rgb="FF0033CC"/>
      <name val="Calibri"/>
      <family val="2"/>
      <scheme val="minor"/>
    </font>
    <font>
      <b/>
      <sz val="12"/>
      <color rgb="FF0033CC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rgb="FF000000"/>
      <name val="Calibri"/>
      <family val="2"/>
      <scheme val="minor"/>
    </font>
    <font>
      <i/>
      <u/>
      <sz val="10"/>
      <color theme="1"/>
      <name val="Calibri"/>
      <family val="2"/>
      <scheme val="minor"/>
    </font>
    <font>
      <sz val="10"/>
      <color rgb="FFC00000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4"/>
      <color rgb="FF0033CC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name val="Arial"/>
      <family val="2"/>
    </font>
    <font>
      <b/>
      <u/>
      <sz val="12"/>
      <name val="Arial"/>
      <family val="2"/>
    </font>
    <font>
      <u/>
      <sz val="8.0500000000000007"/>
      <color indexed="12"/>
      <name val="Arial"/>
      <family val="2"/>
    </font>
    <font>
      <sz val="9"/>
      <name val="Arial"/>
      <family val="2"/>
    </font>
    <font>
      <u/>
      <sz val="12"/>
      <name val="Arial"/>
      <family val="2"/>
    </font>
    <font>
      <vertAlign val="superscript"/>
      <sz val="12"/>
      <name val="Arial"/>
      <family val="2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Garamond"/>
      <family val="1"/>
    </font>
    <font>
      <sz val="12"/>
      <name val="Tms Rmn"/>
    </font>
    <font>
      <sz val="11"/>
      <color indexed="8"/>
      <name val="Calibri"/>
      <family val="2"/>
    </font>
    <font>
      <sz val="12"/>
      <name val="Helv"/>
    </font>
    <font>
      <sz val="9"/>
      <name val="Times New Roman"/>
      <family val="1"/>
    </font>
    <font>
      <sz val="12"/>
      <color indexed="9"/>
      <name val="Helv"/>
    </font>
    <font>
      <sz val="12"/>
      <color indexed="13"/>
      <name val="Helv"/>
    </font>
    <font>
      <sz val="7"/>
      <name val="Small Fonts"/>
      <family val="2"/>
    </font>
    <font>
      <i/>
      <sz val="2"/>
      <color indexed="9"/>
      <name val="Tms Rmn"/>
    </font>
    <font>
      <sz val="12"/>
      <color indexed="17"/>
      <name val="Helv"/>
    </font>
    <font>
      <sz val="11"/>
      <color rgb="FF000000"/>
      <name val="Calibri"/>
      <family val="2"/>
    </font>
    <font>
      <u/>
      <sz val="8"/>
      <color rgb="FF0000FF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rgb="FF0000CC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i/>
      <sz val="9"/>
      <color rgb="FF0000CC"/>
      <name val="Calibri"/>
      <family val="2"/>
    </font>
    <font>
      <b/>
      <i/>
      <sz val="9"/>
      <color rgb="FFC00000"/>
      <name val="Calibri"/>
      <family val="2"/>
      <scheme val="minor"/>
    </font>
    <font>
      <b/>
      <sz val="12"/>
      <color indexed="9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rgb="FFFF0000"/>
      <name val="Arial"/>
      <family val="2"/>
    </font>
    <font>
      <b/>
      <sz val="11"/>
      <color rgb="FFFF0000"/>
      <name val="Calibri"/>
      <family val="2"/>
      <scheme val="minor"/>
    </font>
    <font>
      <i/>
      <sz val="11"/>
      <color rgb="FF0033CC"/>
      <name val="Calibri"/>
      <family val="2"/>
      <scheme val="minor"/>
    </font>
    <font>
      <b/>
      <sz val="14"/>
      <color rgb="FF0033CC"/>
      <name val="Arial"/>
      <family val="2"/>
    </font>
    <font>
      <sz val="11"/>
      <name val="Calibri"/>
      <family val="2"/>
      <scheme val="minor"/>
    </font>
    <font>
      <sz val="10"/>
      <name val="Helvetica"/>
      <family val="2"/>
    </font>
    <font>
      <b/>
      <sz val="11"/>
      <color rgb="FF0033CC"/>
      <name val="Calibri"/>
      <family val="2"/>
      <scheme val="minor"/>
    </font>
    <font>
      <sz val="11"/>
      <color rgb="FF0033CC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000000"/>
      <name val="Calibri"/>
      <family val="2"/>
    </font>
    <font>
      <b/>
      <sz val="8"/>
      <color theme="1"/>
      <name val="Calibri"/>
      <family val="2"/>
      <scheme val="minor"/>
    </font>
    <font>
      <i/>
      <sz val="8"/>
      <color rgb="FF000000"/>
      <name val="Calibri"/>
      <family val="2"/>
    </font>
    <font>
      <b/>
      <sz val="8"/>
      <color rgb="FF000000"/>
      <name val="Calibri"/>
      <family val="2"/>
    </font>
    <font>
      <b/>
      <sz val="9"/>
      <color rgb="FF333333"/>
      <name val="Verdana"/>
      <family val="2"/>
    </font>
    <font>
      <b/>
      <u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i/>
      <sz val="9"/>
      <color rgb="FF0033CC"/>
      <name val="Arial"/>
      <family val="2"/>
    </font>
    <font>
      <sz val="11"/>
      <color rgb="FFC00000"/>
      <name val="Calibri"/>
      <family val="2"/>
    </font>
    <font>
      <b/>
      <sz val="16"/>
      <color indexed="8"/>
      <name val="Calibri"/>
      <family val="2"/>
    </font>
    <font>
      <i/>
      <sz val="9"/>
      <color rgb="FF0000CC"/>
      <name val="Calibri"/>
      <family val="2"/>
      <scheme val="minor"/>
    </font>
    <font>
      <b/>
      <i/>
      <sz val="9"/>
      <color rgb="FF0000FF"/>
      <name val="Calibri"/>
      <family val="2"/>
      <scheme val="minor"/>
    </font>
    <font>
      <b/>
      <sz val="12"/>
      <color indexed="8"/>
      <name val="Calibri"/>
      <family val="2"/>
    </font>
    <font>
      <b/>
      <sz val="11"/>
      <color rgb="FF0000FF"/>
      <name val="Calibri"/>
      <family val="2"/>
      <scheme val="minor"/>
    </font>
    <font>
      <i/>
      <sz val="9"/>
      <color indexed="8"/>
      <name val="Calibri"/>
      <family val="2"/>
    </font>
    <font>
      <b/>
      <sz val="11"/>
      <name val="Calibri"/>
      <family val="2"/>
    </font>
    <font>
      <b/>
      <i/>
      <sz val="9"/>
      <color rgb="FFC00000"/>
      <name val="Calibri"/>
      <family val="2"/>
    </font>
    <font>
      <b/>
      <sz val="9"/>
      <color indexed="8"/>
      <name val="Calibri"/>
      <family val="2"/>
    </font>
    <font>
      <b/>
      <sz val="9"/>
      <name val="Calibri"/>
      <family val="2"/>
    </font>
    <font>
      <b/>
      <u/>
      <sz val="9"/>
      <color indexed="8"/>
      <name val="Calibri"/>
      <family val="2"/>
    </font>
    <font>
      <i/>
      <sz val="8"/>
      <color rgb="FF0000FF"/>
      <name val="Calibri"/>
      <family val="2"/>
      <scheme val="minor"/>
    </font>
    <font>
      <i/>
      <sz val="8"/>
      <name val="Calibri"/>
      <family val="2"/>
      <scheme val="minor"/>
    </font>
    <font>
      <sz val="10"/>
      <color indexed="8"/>
      <name val="Calibri"/>
      <family val="2"/>
    </font>
    <font>
      <b/>
      <sz val="10"/>
      <color rgb="FF000000"/>
      <name val="Calibri"/>
      <family val="2"/>
    </font>
    <font>
      <u/>
      <sz val="11"/>
      <color indexed="8"/>
      <name val="Calibri"/>
      <family val="2"/>
    </font>
    <font>
      <b/>
      <sz val="10"/>
      <name val="Calibri"/>
      <family val="2"/>
      <scheme val="minor"/>
    </font>
    <font>
      <b/>
      <i/>
      <sz val="12"/>
      <color rgb="FF0033CC"/>
      <name val="Arial"/>
      <family val="2"/>
    </font>
    <font>
      <b/>
      <sz val="9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6"/>
      <color theme="1"/>
      <name val="Calibri"/>
      <family val="2"/>
      <scheme val="minor"/>
    </font>
    <font>
      <b/>
      <sz val="12"/>
      <color rgb="FF0000CC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u val="singleAccounting"/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10"/>
      <color rgb="FF0000CC"/>
      <name val="Arial"/>
      <family val="2"/>
    </font>
    <font>
      <sz val="10"/>
      <color rgb="FF000000"/>
      <name val="Calibri"/>
      <family val="2"/>
    </font>
    <font>
      <b/>
      <sz val="14"/>
      <color rgb="FF0000CC"/>
      <name val="Arial"/>
      <family val="2"/>
    </font>
    <font>
      <b/>
      <sz val="10"/>
      <color theme="0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i/>
      <sz val="10"/>
      <name val="Arial"/>
      <family val="2"/>
    </font>
    <font>
      <b/>
      <sz val="10"/>
      <color rgb="FF000000"/>
      <name val="Arial"/>
      <family val="2"/>
    </font>
    <font>
      <i/>
      <u/>
      <sz val="10"/>
      <name val="Arial"/>
      <family val="2"/>
    </font>
    <font>
      <sz val="10"/>
      <color indexed="12"/>
      <name val="Arial"/>
      <family val="2"/>
    </font>
    <font>
      <i/>
      <sz val="9"/>
      <name val="Arial"/>
      <family val="2"/>
    </font>
    <font>
      <b/>
      <sz val="9"/>
      <name val="Arial"/>
      <family val="2"/>
    </font>
    <font>
      <b/>
      <i/>
      <sz val="10"/>
      <color rgb="FF0000CC"/>
      <name val="Arial"/>
      <family val="2"/>
    </font>
    <font>
      <i/>
      <sz val="8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8"/>
      <name val="Arial"/>
      <family val="2"/>
    </font>
    <font>
      <b/>
      <sz val="10"/>
      <color rgb="FFC00000"/>
      <name val="Arial"/>
      <family val="2"/>
    </font>
    <font>
      <b/>
      <sz val="12"/>
      <color rgb="FF000000"/>
      <name val="Calibri"/>
      <family val="2"/>
    </font>
    <font>
      <sz val="11"/>
      <color rgb="FF0000FF"/>
      <name val="Calibri"/>
      <family val="2"/>
    </font>
    <font>
      <b/>
      <sz val="11"/>
      <color rgb="FF0033CC"/>
      <name val="Calibri"/>
      <family val="2"/>
    </font>
    <font>
      <b/>
      <sz val="12"/>
      <color rgb="FF0033CC"/>
      <name val="Arial"/>
      <family val="2"/>
    </font>
    <font>
      <b/>
      <u/>
      <sz val="9"/>
      <color theme="1"/>
      <name val="Arial"/>
      <family val="2"/>
    </font>
    <font>
      <b/>
      <i/>
      <sz val="10"/>
      <color rgb="FFC00000"/>
      <name val="Calibri"/>
      <family val="2"/>
      <scheme val="minor"/>
    </font>
    <font>
      <i/>
      <sz val="10"/>
      <color rgb="FF000000"/>
      <name val="Calibri"/>
      <family val="2"/>
    </font>
    <font>
      <i/>
      <u/>
      <sz val="10"/>
      <color rgb="FF000000"/>
      <name val="Calibri"/>
      <family val="2"/>
    </font>
    <font>
      <i/>
      <sz val="11"/>
      <color rgb="FF000000"/>
      <name val="Calibri"/>
      <family val="2"/>
    </font>
    <font>
      <u/>
      <sz val="11"/>
      <color rgb="FF000000"/>
      <name val="Calibri"/>
      <family val="2"/>
    </font>
    <font>
      <b/>
      <u/>
      <sz val="10"/>
      <color rgb="FF000000"/>
      <name val="Calibri"/>
      <family val="2"/>
    </font>
    <font>
      <b/>
      <sz val="11"/>
      <color rgb="FFFF0000"/>
      <name val="Calibri"/>
      <family val="2"/>
    </font>
    <font>
      <sz val="8"/>
      <name val="Calibri"/>
      <family val="2"/>
      <scheme val="minor"/>
    </font>
    <font>
      <u/>
      <sz val="10"/>
      <color rgb="FF000000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u val="singleAccounting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C00000"/>
      <name val="Calibri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8"/>
      <name val="Calibri"/>
      <family val="2"/>
      <scheme val="minor"/>
    </font>
    <font>
      <sz val="7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8"/>
      <color indexed="1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2"/>
      <name val="Calibri"/>
      <family val="2"/>
    </font>
    <font>
      <b/>
      <sz val="11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9"/>
      <name val="Proxima nova"/>
    </font>
    <font>
      <sz val="10"/>
      <color theme="1"/>
      <name val="Arial"/>
      <family val="2"/>
    </font>
    <font>
      <b/>
      <sz val="9"/>
      <color theme="4"/>
      <name val="Arial"/>
      <family val="2"/>
    </font>
    <font>
      <sz val="10"/>
      <color theme="0"/>
      <name val="Arial"/>
      <family val="2"/>
    </font>
    <font>
      <b/>
      <sz val="10"/>
      <color theme="4"/>
      <name val="Arial"/>
      <family val="2"/>
    </font>
    <font>
      <sz val="10"/>
      <color rgb="FFFF0000"/>
      <name val="Arial"/>
      <family val="2"/>
    </font>
    <font>
      <b/>
      <i/>
      <sz val="10"/>
      <color theme="4"/>
      <name val="Arial"/>
      <family val="2"/>
    </font>
    <font>
      <i/>
      <sz val="10"/>
      <color rgb="FFFF0000"/>
      <name val="Calibri"/>
      <family val="2"/>
    </font>
    <font>
      <b/>
      <sz val="13"/>
      <color rgb="FF000000"/>
      <name val="Calibri"/>
      <family val="2"/>
    </font>
    <font>
      <i/>
      <sz val="11"/>
      <color rgb="FFFF0000"/>
      <name val="Calibri"/>
      <family val="2"/>
    </font>
    <font>
      <sz val="10"/>
      <color rgb="FF000000"/>
      <name val="Arial"/>
      <family val="2"/>
    </font>
    <font>
      <sz val="11"/>
      <color rgb="FFFF0000"/>
      <name val="Calibri"/>
      <family val="2"/>
    </font>
    <font>
      <sz val="11"/>
      <color theme="5" tint="-0.249977111117893"/>
      <name val="Calibri"/>
      <family val="2"/>
      <scheme val="minor"/>
    </font>
    <font>
      <u/>
      <sz val="14"/>
      <color theme="1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2"/>
        <bgColor indexed="26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CCFF"/>
        <bgColor indexed="26"/>
      </patternFill>
    </fill>
    <fill>
      <patternFill patternType="solid">
        <fgColor rgb="FFCCCC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26"/>
      </patternFill>
    </fill>
    <fill>
      <patternFill patternType="solid">
        <fgColor theme="4" tint="0.79998168889431442"/>
        <bgColor indexed="26"/>
      </patternFill>
    </fill>
    <fill>
      <patternFill patternType="solid">
        <fgColor theme="9" tint="0.79998168889431442"/>
        <bgColor indexed="2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26"/>
      </patternFill>
    </fill>
    <fill>
      <patternFill patternType="solid">
        <fgColor rgb="FF333399"/>
        <bgColor indexed="64"/>
      </patternFill>
    </fill>
  </fills>
  <borders count="2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/>
      <top/>
      <bottom/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double">
        <color indexed="8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10"/>
      </left>
      <right style="double">
        <color indexed="10"/>
      </right>
      <top style="double">
        <color indexed="10"/>
      </top>
      <bottom style="double">
        <color indexed="1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theme="1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double">
        <color auto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auto="1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auto="1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double">
        <color indexed="64"/>
      </right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auto="1"/>
      </right>
      <top/>
      <bottom style="mediumDashed">
        <color indexed="64"/>
      </bottom>
      <diagonal/>
    </border>
    <border>
      <left style="thin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thin">
        <color auto="1"/>
      </right>
      <top/>
      <bottom style="mediumDashed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medium">
        <color theme="1"/>
      </right>
      <top style="thin">
        <color indexed="64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/>
      <top style="double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Dashed">
        <color auto="1"/>
      </top>
      <bottom/>
      <diagonal/>
    </border>
    <border>
      <left style="thin">
        <color auto="1"/>
      </left>
      <right style="thin">
        <color auto="1"/>
      </right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/>
      <right style="thin">
        <color auto="1"/>
      </right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1">
    <xf numFmtId="0" fontId="0" fillId="0" borderId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52" fillId="0" borderId="0"/>
    <xf numFmtId="43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38" fontId="53" fillId="16" borderId="0" applyNumberFormat="0" applyBorder="0" applyAlignment="0" applyProtection="0"/>
    <xf numFmtId="0" fontId="14" fillId="0" borderId="30" applyNumberFormat="0" applyAlignment="0" applyProtection="0">
      <alignment horizontal="left" vertical="center"/>
    </xf>
    <xf numFmtId="0" fontId="14" fillId="0" borderId="29">
      <alignment horizontal="left" vertical="center"/>
    </xf>
    <xf numFmtId="0" fontId="54" fillId="0" borderId="0" applyNumberFormat="0" applyFill="0" applyBorder="0" applyAlignment="0" applyProtection="0">
      <alignment vertical="top"/>
      <protection locked="0"/>
    </xf>
    <xf numFmtId="10" fontId="53" fillId="15" borderId="28" applyNumberFormat="0" applyBorder="0" applyAlignment="0" applyProtection="0"/>
    <xf numFmtId="172" fontId="52" fillId="0" borderId="0"/>
    <xf numFmtId="9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0" fontId="9" fillId="0" borderId="0"/>
    <xf numFmtId="0" fontId="52" fillId="0" borderId="0"/>
    <xf numFmtId="0" fontId="56" fillId="0" borderId="0" applyNumberFormat="0" applyFill="0" applyBorder="0" applyAlignment="0" applyProtection="0"/>
    <xf numFmtId="43" fontId="57" fillId="0" borderId="0" applyFont="0" applyFill="0" applyBorder="0" applyAlignment="0" applyProtection="0"/>
    <xf numFmtId="44" fontId="55" fillId="0" borderId="0" applyFont="0" applyFill="0" applyBorder="0" applyAlignment="0" applyProtection="0"/>
    <xf numFmtId="15" fontId="58" fillId="0" borderId="31" applyFont="0" applyFill="0" applyBorder="0" applyProtection="0">
      <alignment horizontal="center"/>
      <protection locked="0"/>
    </xf>
    <xf numFmtId="173" fontId="59" fillId="0" borderId="0" applyFont="0" applyFill="0" applyBorder="0" applyAlignment="0" applyProtection="0"/>
    <xf numFmtId="38" fontId="58" fillId="0" borderId="0" applyFill="0" applyBorder="0" applyAlignment="0" applyProtection="0"/>
    <xf numFmtId="174" fontId="60" fillId="0" borderId="0" applyFill="0" applyBorder="0" applyAlignment="0" applyProtection="0">
      <alignment horizontal="right"/>
    </xf>
    <xf numFmtId="37" fontId="61" fillId="0" borderId="31" applyNumberFormat="0" applyFont="0" applyFill="0" applyAlignment="0" applyProtection="0">
      <alignment horizontal="center" vertical="center"/>
    </xf>
    <xf numFmtId="37" fontId="62" fillId="0" borderId="0"/>
    <xf numFmtId="0" fontId="52" fillId="0" borderId="0"/>
    <xf numFmtId="0" fontId="52" fillId="0" borderId="0"/>
    <xf numFmtId="0" fontId="63" fillId="0" borderId="0" applyNumberFormat="0" applyFill="0" applyBorder="0" applyAlignment="0" applyProtection="0"/>
    <xf numFmtId="37" fontId="64" fillId="0" borderId="0" applyFill="0" applyBorder="0" applyAlignment="0" applyProtection="0"/>
    <xf numFmtId="9" fontId="57" fillId="0" borderId="0" applyFont="0" applyFill="0" applyBorder="0" applyAlignment="0" applyProtection="0"/>
    <xf numFmtId="0" fontId="14" fillId="0" borderId="33">
      <alignment horizontal="left" vertical="center"/>
    </xf>
    <xf numFmtId="10" fontId="53" fillId="15" borderId="32" applyNumberFormat="0" applyBorder="0" applyAlignment="0" applyProtection="0"/>
    <xf numFmtId="0" fontId="14" fillId="0" borderId="35">
      <alignment horizontal="left" vertical="center"/>
    </xf>
    <xf numFmtId="10" fontId="53" fillId="15" borderId="34" applyNumberFormat="0" applyBorder="0" applyAlignment="0" applyProtection="0"/>
    <xf numFmtId="0" fontId="65" fillId="0" borderId="0"/>
    <xf numFmtId="175" fontId="65" fillId="0" borderId="0" applyFont="0" applyFill="0" applyBorder="0" applyAlignment="0" applyProtection="0"/>
    <xf numFmtId="176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0" fontId="65" fillId="17" borderId="0" applyNumberFormat="0" applyFont="0" applyBorder="0" applyAlignment="0" applyProtection="0"/>
    <xf numFmtId="0" fontId="66" fillId="0" borderId="0" applyNumberFormat="0" applyFill="0" applyBorder="0" applyAlignment="0" applyProtection="0"/>
    <xf numFmtId="0" fontId="10" fillId="0" borderId="0"/>
    <xf numFmtId="0" fontId="57" fillId="18" borderId="0" applyNumberFormat="0" applyBorder="0" applyAlignment="0" applyProtection="0"/>
    <xf numFmtId="0" fontId="57" fillId="19" borderId="0" applyNumberFormat="0" applyBorder="0" applyAlignment="0" applyProtection="0"/>
    <xf numFmtId="0" fontId="57" fillId="20" borderId="0" applyNumberFormat="0" applyBorder="0" applyAlignment="0" applyProtection="0"/>
    <xf numFmtId="0" fontId="57" fillId="21" borderId="0" applyNumberFormat="0" applyBorder="0" applyAlignment="0" applyProtection="0"/>
    <xf numFmtId="0" fontId="57" fillId="22" borderId="0" applyNumberFormat="0" applyBorder="0" applyAlignment="0" applyProtection="0"/>
    <xf numFmtId="0" fontId="57" fillId="23" borderId="0" applyNumberFormat="0" applyBorder="0" applyAlignment="0" applyProtection="0"/>
    <xf numFmtId="0" fontId="57" fillId="24" borderId="0" applyNumberFormat="0" applyBorder="0" applyAlignment="0" applyProtection="0"/>
    <xf numFmtId="0" fontId="57" fillId="25" borderId="0" applyNumberFormat="0" applyBorder="0" applyAlignment="0" applyProtection="0"/>
    <xf numFmtId="0" fontId="57" fillId="26" borderId="0" applyNumberFormat="0" applyBorder="0" applyAlignment="0" applyProtection="0"/>
    <xf numFmtId="0" fontId="57" fillId="21" borderId="0" applyNumberFormat="0" applyBorder="0" applyAlignment="0" applyProtection="0"/>
    <xf numFmtId="0" fontId="57" fillId="24" borderId="0" applyNumberFormat="0" applyBorder="0" applyAlignment="0" applyProtection="0"/>
    <xf numFmtId="0" fontId="5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5" borderId="0" applyNumberFormat="0" applyBorder="0" applyAlignment="0" applyProtection="0"/>
    <xf numFmtId="0" fontId="67" fillId="26" borderId="0" applyNumberFormat="0" applyBorder="0" applyAlignment="0" applyProtection="0"/>
    <xf numFmtId="0" fontId="67" fillId="29" borderId="0" applyNumberFormat="0" applyBorder="0" applyAlignment="0" applyProtection="0"/>
    <xf numFmtId="0" fontId="67" fillId="30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34" borderId="0" applyNumberFormat="0" applyBorder="0" applyAlignment="0" applyProtection="0"/>
    <xf numFmtId="0" fontId="67" fillId="29" borderId="0" applyNumberFormat="0" applyBorder="0" applyAlignment="0" applyProtection="0"/>
    <xf numFmtId="0" fontId="67" fillId="30" borderId="0" applyNumberFormat="0" applyBorder="0" applyAlignment="0" applyProtection="0"/>
    <xf numFmtId="0" fontId="67" fillId="35" borderId="0" applyNumberFormat="0" applyBorder="0" applyAlignment="0" applyProtection="0"/>
    <xf numFmtId="0" fontId="68" fillId="19" borderId="0" applyNumberFormat="0" applyBorder="0" applyAlignment="0" applyProtection="0"/>
    <xf numFmtId="0" fontId="69" fillId="36" borderId="36" applyNumberFormat="0" applyAlignment="0" applyProtection="0"/>
    <xf numFmtId="0" fontId="70" fillId="37" borderId="37" applyNumberFormat="0" applyAlignment="0" applyProtection="0"/>
    <xf numFmtId="43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2" fillId="20" borderId="0" applyNumberFormat="0" applyBorder="0" applyAlignment="0" applyProtection="0"/>
    <xf numFmtId="0" fontId="73" fillId="0" borderId="38" applyNumberFormat="0" applyFill="0" applyAlignment="0" applyProtection="0"/>
    <xf numFmtId="0" fontId="74" fillId="0" borderId="39" applyNumberFormat="0" applyFill="0" applyAlignment="0" applyProtection="0"/>
    <xf numFmtId="0" fontId="75" fillId="0" borderId="40" applyNumberFormat="0" applyFill="0" applyAlignment="0" applyProtection="0"/>
    <xf numFmtId="0" fontId="75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76" fillId="23" borderId="36" applyNumberFormat="0" applyAlignment="0" applyProtection="0"/>
    <xf numFmtId="0" fontId="77" fillId="0" borderId="41" applyNumberFormat="0" applyFill="0" applyAlignment="0" applyProtection="0"/>
    <xf numFmtId="0" fontId="78" fillId="38" borderId="0" applyNumberFormat="0" applyBorder="0" applyAlignment="0" applyProtection="0"/>
    <xf numFmtId="0" fontId="52" fillId="39" borderId="42" applyNumberFormat="0" applyFont="0" applyAlignment="0" applyProtection="0"/>
    <xf numFmtId="0" fontId="79" fillId="36" borderId="43" applyNumberFormat="0" applyAlignment="0" applyProtection="0"/>
    <xf numFmtId="9" fontId="52" fillId="0" borderId="0" applyFon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44" applyNumberFormat="0" applyFill="0" applyAlignment="0" applyProtection="0"/>
    <xf numFmtId="0" fontId="82" fillId="0" borderId="0" applyNumberFormat="0" applyFill="0" applyBorder="0" applyAlignment="0" applyProtection="0"/>
    <xf numFmtId="0" fontId="10" fillId="0" borderId="0"/>
    <xf numFmtId="43" fontId="9" fillId="0" borderId="0" applyFont="0" applyFill="0" applyBorder="0" applyAlignment="0" applyProtection="0"/>
    <xf numFmtId="0" fontId="175" fillId="0" borderId="0"/>
  </cellStyleXfs>
  <cellXfs count="1733">
    <xf numFmtId="0" fontId="0" fillId="0" borderId="0" xfId="0"/>
    <xf numFmtId="42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center"/>
    </xf>
    <xf numFmtId="42" fontId="1" fillId="0" borderId="0" xfId="0" applyNumberFormat="1" applyFont="1"/>
    <xf numFmtId="0" fontId="8" fillId="0" borderId="0" xfId="0" applyFont="1" applyAlignment="1">
      <alignment horizontal="center"/>
    </xf>
    <xf numFmtId="0" fontId="0" fillId="0" borderId="14" xfId="0" applyBorder="1"/>
    <xf numFmtId="0" fontId="18" fillId="0" borderId="0" xfId="0" applyFont="1"/>
    <xf numFmtId="0" fontId="0" fillId="0" borderId="0" xfId="0" applyAlignment="1">
      <alignment horizontal="left" indent="1"/>
    </xf>
    <xf numFmtId="0" fontId="20" fillId="0" borderId="0" xfId="0" applyFont="1"/>
    <xf numFmtId="44" fontId="0" fillId="0" borderId="21" xfId="1" applyFont="1" applyBorder="1" applyProtection="1">
      <protection locked="0"/>
    </xf>
    <xf numFmtId="0" fontId="21" fillId="0" borderId="0" xfId="0" applyFont="1" applyAlignment="1">
      <alignment horizontal="left" indent="1"/>
    </xf>
    <xf numFmtId="0" fontId="21" fillId="0" borderId="0" xfId="0" applyFont="1"/>
    <xf numFmtId="44" fontId="0" fillId="0" borderId="21" xfId="1" applyFont="1" applyFill="1" applyBorder="1" applyProtection="1">
      <protection locked="0"/>
    </xf>
    <xf numFmtId="0" fontId="17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64" fontId="5" fillId="6" borderId="0" xfId="0" applyNumberFormat="1" applyFont="1" applyFill="1" applyAlignment="1">
      <alignment horizontal="center"/>
    </xf>
    <xf numFmtId="0" fontId="5" fillId="0" borderId="0" xfId="0" applyFont="1"/>
    <xf numFmtId="167" fontId="5" fillId="6" borderId="0" xfId="0" applyNumberFormat="1" applyFont="1" applyFill="1" applyAlignment="1">
      <alignment horizontal="center"/>
    </xf>
    <xf numFmtId="38" fontId="0" fillId="0" borderId="0" xfId="0" applyNumberFormat="1"/>
    <xf numFmtId="39" fontId="0" fillId="0" borderId="0" xfId="0" applyNumberFormat="1" applyAlignment="1">
      <alignment horizontal="center"/>
    </xf>
    <xf numFmtId="0" fontId="21" fillId="0" borderId="15" xfId="0" applyFont="1" applyBorder="1"/>
    <xf numFmtId="0" fontId="21" fillId="0" borderId="16" xfId="0" applyFont="1" applyBorder="1"/>
    <xf numFmtId="0" fontId="21" fillId="0" borderId="10" xfId="0" applyFont="1" applyBorder="1"/>
    <xf numFmtId="0" fontId="0" fillId="0" borderId="11" xfId="0" applyBorder="1"/>
    <xf numFmtId="0" fontId="21" fillId="0" borderId="19" xfId="0" applyFont="1" applyBorder="1"/>
    <xf numFmtId="0" fontId="21" fillId="0" borderId="14" xfId="0" applyFont="1" applyBorder="1"/>
    <xf numFmtId="44" fontId="0" fillId="0" borderId="0" xfId="1" applyFont="1" applyBorder="1" applyProtection="1">
      <protection locked="0"/>
    </xf>
    <xf numFmtId="44" fontId="0" fillId="0" borderId="0" xfId="1" applyFont="1" applyFill="1" applyBorder="1" applyProtection="1">
      <protection locked="0"/>
    </xf>
    <xf numFmtId="5" fontId="0" fillId="0" borderId="21" xfId="1" applyNumberFormat="1" applyFont="1" applyBorder="1" applyProtection="1">
      <protection locked="0"/>
    </xf>
    <xf numFmtId="5" fontId="0" fillId="0" borderId="0" xfId="0" applyNumberFormat="1"/>
    <xf numFmtId="5" fontId="0" fillId="7" borderId="0" xfId="1" applyNumberFormat="1" applyFont="1" applyFill="1"/>
    <xf numFmtId="5" fontId="0" fillId="0" borderId="0" xfId="1" applyNumberFormat="1" applyFont="1" applyBorder="1" applyProtection="1">
      <protection locked="0"/>
    </xf>
    <xf numFmtId="0" fontId="1" fillId="0" borderId="14" xfId="0" applyFont="1" applyBorder="1"/>
    <xf numFmtId="0" fontId="23" fillId="0" borderId="0" xfId="0" applyFont="1" applyAlignment="1">
      <alignment horizontal="center"/>
    </xf>
    <xf numFmtId="42" fontId="24" fillId="0" borderId="0" xfId="0" applyNumberFormat="1" applyFont="1" applyAlignment="1">
      <alignment horizontal="right"/>
    </xf>
    <xf numFmtId="0" fontId="26" fillId="0" borderId="0" xfId="0" applyFont="1"/>
    <xf numFmtId="42" fontId="0" fillId="0" borderId="14" xfId="0" applyNumberFormat="1" applyBorder="1"/>
    <xf numFmtId="6" fontId="0" fillId="0" borderId="0" xfId="0" applyNumberFormat="1"/>
    <xf numFmtId="0" fontId="23" fillId="0" borderId="0" xfId="0" applyFont="1"/>
    <xf numFmtId="42" fontId="23" fillId="0" borderId="0" xfId="0" applyNumberFormat="1" applyFont="1" applyAlignment="1">
      <alignment horizontal="center"/>
    </xf>
    <xf numFmtId="0" fontId="1" fillId="0" borderId="22" xfId="0" applyFont="1" applyBorder="1"/>
    <xf numFmtId="42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3" fontId="0" fillId="0" borderId="0" xfId="0" applyNumberFormat="1" applyAlignment="1">
      <alignment horizontal="right"/>
    </xf>
    <xf numFmtId="7" fontId="0" fillId="0" borderId="0" xfId="0" applyNumberFormat="1"/>
    <xf numFmtId="10" fontId="0" fillId="0" borderId="0" xfId="0" applyNumberFormat="1"/>
    <xf numFmtId="10" fontId="0" fillId="0" borderId="17" xfId="0" applyNumberFormat="1" applyBorder="1" applyAlignment="1">
      <alignment horizontal="center"/>
    </xf>
    <xf numFmtId="5" fontId="1" fillId="0" borderId="0" xfId="0" applyNumberFormat="1" applyFont="1"/>
    <xf numFmtId="0" fontId="0" fillId="0" borderId="12" xfId="0" applyBorder="1"/>
    <xf numFmtId="0" fontId="0" fillId="0" borderId="22" xfId="0" applyBorder="1"/>
    <xf numFmtId="42" fontId="0" fillId="0" borderId="22" xfId="0" applyNumberFormat="1" applyBorder="1"/>
    <xf numFmtId="42" fontId="4" fillId="0" borderId="0" xfId="0" applyNumberFormat="1" applyFont="1"/>
    <xf numFmtId="42" fontId="23" fillId="0" borderId="0" xfId="0" applyNumberFormat="1" applyFont="1"/>
    <xf numFmtId="167" fontId="4" fillId="0" borderId="0" xfId="0" applyNumberFormat="1" applyFont="1"/>
    <xf numFmtId="167" fontId="0" fillId="0" borderId="0" xfId="0" applyNumberFormat="1"/>
    <xf numFmtId="167" fontId="1" fillId="0" borderId="0" xfId="0" applyNumberFormat="1" applyFont="1"/>
    <xf numFmtId="167" fontId="0" fillId="0" borderId="14" xfId="0" applyNumberFormat="1" applyBorder="1"/>
    <xf numFmtId="42" fontId="21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14" xfId="0" applyFont="1" applyBorder="1"/>
    <xf numFmtId="0" fontId="19" fillId="0" borderId="0" xfId="0" applyFont="1"/>
    <xf numFmtId="42" fontId="21" fillId="0" borderId="16" xfId="0" applyNumberFormat="1" applyFont="1" applyBorder="1"/>
    <xf numFmtId="42" fontId="28" fillId="0" borderId="0" xfId="0" applyNumberFormat="1" applyFont="1"/>
    <xf numFmtId="168" fontId="28" fillId="0" borderId="0" xfId="0" applyNumberFormat="1" applyFont="1"/>
    <xf numFmtId="0" fontId="0" fillId="0" borderId="0" xfId="0" quotePrefix="1" applyAlignment="1">
      <alignment horizontal="right"/>
    </xf>
    <xf numFmtId="0" fontId="29" fillId="0" borderId="0" xfId="0" applyFont="1"/>
    <xf numFmtId="0" fontId="30" fillId="0" borderId="0" xfId="0" applyFont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0" xfId="0" applyFont="1" applyAlignment="1">
      <alignment horizontal="left"/>
    </xf>
    <xf numFmtId="5" fontId="5" fillId="0" borderId="0" xfId="0" applyNumberFormat="1" applyFont="1"/>
    <xf numFmtId="5" fontId="29" fillId="0" borderId="0" xfId="0" applyNumberFormat="1" applyFont="1" applyAlignment="1">
      <alignment horizontal="right"/>
    </xf>
    <xf numFmtId="0" fontId="31" fillId="0" borderId="0" xfId="0" applyFont="1" applyAlignment="1">
      <alignment horizontal="left" vertical="top" indent="1"/>
    </xf>
    <xf numFmtId="42" fontId="1" fillId="0" borderId="14" xfId="0" applyNumberFormat="1" applyFont="1" applyBorder="1"/>
    <xf numFmtId="42" fontId="37" fillId="0" borderId="0" xfId="0" applyNumberFormat="1" applyFont="1" applyAlignment="1">
      <alignment horizontal="right"/>
    </xf>
    <xf numFmtId="9" fontId="0" fillId="0" borderId="0" xfId="0" applyNumberFormat="1"/>
    <xf numFmtId="7" fontId="5" fillId="0" borderId="0" xfId="0" applyNumberFormat="1" applyFont="1"/>
    <xf numFmtId="5" fontId="33" fillId="0" borderId="0" xfId="0" applyNumberFormat="1" applyFont="1" applyAlignment="1">
      <alignment horizontal="center" vertical="top"/>
    </xf>
    <xf numFmtId="6" fontId="19" fillId="0" borderId="14" xfId="0" applyNumberFormat="1" applyFont="1" applyBorder="1" applyAlignment="1">
      <alignment horizontal="right"/>
    </xf>
    <xf numFmtId="0" fontId="39" fillId="0" borderId="0" xfId="0" applyFont="1"/>
    <xf numFmtId="0" fontId="40" fillId="0" borderId="0" xfId="0" applyFont="1"/>
    <xf numFmtId="42" fontId="4" fillId="0" borderId="0" xfId="0" applyNumberFormat="1" applyFont="1" applyAlignment="1">
      <alignment horizontal="right"/>
    </xf>
    <xf numFmtId="42" fontId="0" fillId="0" borderId="0" xfId="0" applyNumberFormat="1" applyAlignment="1">
      <alignment horizontal="right"/>
    </xf>
    <xf numFmtId="164" fontId="17" fillId="0" borderId="0" xfId="1" applyNumberFormat="1" applyFont="1"/>
    <xf numFmtId="169" fontId="0" fillId="0" borderId="0" xfId="1" applyNumberFormat="1" applyFont="1"/>
    <xf numFmtId="9" fontId="0" fillId="0" borderId="0" xfId="2" applyFont="1"/>
    <xf numFmtId="42" fontId="0" fillId="4" borderId="0" xfId="1" applyNumberFormat="1" applyFont="1" applyFill="1"/>
    <xf numFmtId="10" fontId="0" fillId="4" borderId="0" xfId="1" applyNumberFormat="1" applyFont="1" applyFill="1"/>
    <xf numFmtId="42" fontId="0" fillId="0" borderId="0" xfId="1" applyNumberFormat="1" applyFont="1"/>
    <xf numFmtId="42" fontId="0" fillId="0" borderId="13" xfId="0" applyNumberFormat="1" applyBorder="1"/>
    <xf numFmtId="42" fontId="17" fillId="0" borderId="0" xfId="0" applyNumberFormat="1" applyFont="1"/>
    <xf numFmtId="0" fontId="34" fillId="10" borderId="11" xfId="0" applyFont="1" applyFill="1" applyBorder="1" applyAlignment="1">
      <alignment horizontal="center"/>
    </xf>
    <xf numFmtId="0" fontId="32" fillId="10" borderId="11" xfId="0" applyFont="1" applyFill="1" applyBorder="1"/>
    <xf numFmtId="5" fontId="33" fillId="10" borderId="11" xfId="0" applyNumberFormat="1" applyFont="1" applyFill="1" applyBorder="1" applyAlignment="1">
      <alignment horizontal="center" vertical="top"/>
    </xf>
    <xf numFmtId="5" fontId="33" fillId="10" borderId="11" xfId="0" applyNumberFormat="1" applyFont="1" applyFill="1" applyBorder="1" applyAlignment="1">
      <alignment horizontal="left"/>
    </xf>
    <xf numFmtId="0" fontId="5" fillId="10" borderId="15" xfId="0" applyFont="1" applyFill="1" applyBorder="1"/>
    <xf numFmtId="0" fontId="5" fillId="10" borderId="18" xfId="0" applyFont="1" applyFill="1" applyBorder="1"/>
    <xf numFmtId="0" fontId="29" fillId="10" borderId="23" xfId="0" applyFont="1" applyFill="1" applyBorder="1" applyAlignment="1">
      <alignment horizontal="left" indent="1"/>
    </xf>
    <xf numFmtId="0" fontId="5" fillId="10" borderId="11" xfId="0" applyFont="1" applyFill="1" applyBorder="1"/>
    <xf numFmtId="38" fontId="30" fillId="10" borderId="23" xfId="0" applyNumberFormat="1" applyFont="1" applyFill="1" applyBorder="1" applyAlignment="1">
      <alignment horizontal="right" vertical="top"/>
    </xf>
    <xf numFmtId="0" fontId="30" fillId="10" borderId="11" xfId="0" applyFont="1" applyFill="1" applyBorder="1" applyAlignment="1">
      <alignment horizontal="left" vertical="top"/>
    </xf>
    <xf numFmtId="0" fontId="33" fillId="10" borderId="11" xfId="0" applyFont="1" applyFill="1" applyBorder="1" applyAlignment="1">
      <alignment horizontal="left"/>
    </xf>
    <xf numFmtId="0" fontId="30" fillId="10" borderId="23" xfId="0" applyFont="1" applyFill="1" applyBorder="1" applyAlignment="1">
      <alignment horizontal="left" vertical="top"/>
    </xf>
    <xf numFmtId="42" fontId="37" fillId="11" borderId="0" xfId="0" applyNumberFormat="1" applyFont="1" applyFill="1"/>
    <xf numFmtId="170" fontId="0" fillId="0" borderId="0" xfId="0" applyNumberFormat="1"/>
    <xf numFmtId="0" fontId="5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5" fontId="6" fillId="0" borderId="0" xfId="1" applyNumberFormat="1" applyFont="1" applyBorder="1" applyProtection="1">
      <protection locked="0"/>
    </xf>
    <xf numFmtId="5" fontId="0" fillId="0" borderId="16" xfId="0" applyNumberFormat="1" applyBorder="1"/>
    <xf numFmtId="5" fontId="0" fillId="0" borderId="18" xfId="0" applyNumberFormat="1" applyBorder="1"/>
    <xf numFmtId="0" fontId="17" fillId="0" borderId="0" xfId="0" applyFont="1" applyAlignment="1">
      <alignment horizontal="right"/>
    </xf>
    <xf numFmtId="5" fontId="0" fillId="0" borderId="0" xfId="1" applyNumberFormat="1" applyFont="1" applyFill="1" applyBorder="1" applyProtection="1">
      <protection locked="0"/>
    </xf>
    <xf numFmtId="0" fontId="20" fillId="11" borderId="0" xfId="0" applyFont="1" applyFill="1"/>
    <xf numFmtId="0" fontId="42" fillId="11" borderId="0" xfId="0" applyFont="1" applyFill="1"/>
    <xf numFmtId="5" fontId="1" fillId="11" borderId="0" xfId="1" applyNumberFormat="1" applyFont="1" applyFill="1" applyBorder="1" applyProtection="1">
      <protection locked="0"/>
    </xf>
    <xf numFmtId="0" fontId="20" fillId="0" borderId="0" xfId="0" applyFont="1" applyAlignment="1">
      <alignment horizontal="left" indent="3"/>
    </xf>
    <xf numFmtId="0" fontId="35" fillId="0" borderId="20" xfId="0" applyFont="1" applyBorder="1"/>
    <xf numFmtId="44" fontId="0" fillId="0" borderId="0" xfId="0" applyNumberFormat="1"/>
    <xf numFmtId="0" fontId="38" fillId="0" borderId="0" xfId="0" applyFont="1" applyAlignment="1">
      <alignment horizontal="left" indent="1"/>
    </xf>
    <xf numFmtId="5" fontId="0" fillId="12" borderId="0" xfId="1" applyNumberFormat="1" applyFont="1" applyFill="1"/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left" indent="4"/>
    </xf>
    <xf numFmtId="0" fontId="0" fillId="8" borderId="0" xfId="0" applyFill="1" applyAlignment="1">
      <alignment horizontal="center"/>
    </xf>
    <xf numFmtId="0" fontId="23" fillId="8" borderId="0" xfId="0" applyFont="1" applyFill="1" applyAlignment="1">
      <alignment horizontal="center"/>
    </xf>
    <xf numFmtId="0" fontId="43" fillId="8" borderId="0" xfId="0" applyFont="1" applyFill="1" applyAlignment="1">
      <alignment horizontal="center"/>
    </xf>
    <xf numFmtId="5" fontId="0" fillId="8" borderId="21" xfId="1" applyNumberFormat="1" applyFont="1" applyFill="1" applyBorder="1" applyProtection="1">
      <protection locked="0"/>
    </xf>
    <xf numFmtId="0" fontId="0" fillId="8" borderId="0" xfId="0" applyFill="1"/>
    <xf numFmtId="5" fontId="0" fillId="8" borderId="0" xfId="0" applyNumberFormat="1" applyFill="1"/>
    <xf numFmtId="44" fontId="0" fillId="8" borderId="21" xfId="1" applyFont="1" applyFill="1" applyBorder="1" applyProtection="1">
      <protection locked="0"/>
    </xf>
    <xf numFmtId="44" fontId="0" fillId="8" borderId="0" xfId="1" applyFont="1" applyFill="1" applyBorder="1" applyProtection="1">
      <protection locked="0"/>
    </xf>
    <xf numFmtId="5" fontId="0" fillId="8" borderId="0" xfId="1" applyNumberFormat="1" applyFont="1" applyFill="1" applyBorder="1" applyProtection="1">
      <protection locked="0"/>
    </xf>
    <xf numFmtId="5" fontId="6" fillId="8" borderId="0" xfId="1" applyNumberFormat="1" applyFont="1" applyFill="1" applyBorder="1" applyProtection="1">
      <protection locked="0"/>
    </xf>
    <xf numFmtId="5" fontId="1" fillId="8" borderId="0" xfId="1" applyNumberFormat="1" applyFont="1" applyFill="1" applyBorder="1" applyProtection="1">
      <protection locked="0"/>
    </xf>
    <xf numFmtId="5" fontId="1" fillId="8" borderId="0" xfId="0" applyNumberFormat="1" applyFont="1" applyFill="1"/>
    <xf numFmtId="6" fontId="19" fillId="0" borderId="0" xfId="0" applyNumberFormat="1" applyFont="1" applyAlignment="1">
      <alignment horizontal="right"/>
    </xf>
    <xf numFmtId="5" fontId="21" fillId="0" borderId="15" xfId="0" applyNumberFormat="1" applyFont="1" applyBorder="1"/>
    <xf numFmtId="5" fontId="21" fillId="0" borderId="16" xfId="0" applyNumberFormat="1" applyFont="1" applyBorder="1"/>
    <xf numFmtId="5" fontId="4" fillId="0" borderId="19" xfId="0" applyNumberFormat="1" applyFont="1" applyBorder="1"/>
    <xf numFmtId="5" fontId="17" fillId="0" borderId="14" xfId="0" applyNumberFormat="1" applyFont="1" applyBorder="1"/>
    <xf numFmtId="5" fontId="17" fillId="0" borderId="20" xfId="0" applyNumberFormat="1" applyFont="1" applyBorder="1"/>
    <xf numFmtId="5" fontId="21" fillId="0" borderId="11" xfId="0" applyNumberFormat="1" applyFont="1" applyBorder="1"/>
    <xf numFmtId="5" fontId="17" fillId="0" borderId="11" xfId="0" applyNumberFormat="1" applyFont="1" applyBorder="1"/>
    <xf numFmtId="167" fontId="0" fillId="9" borderId="0" xfId="0" applyNumberFormat="1" applyFill="1" applyAlignment="1">
      <alignment horizontal="center"/>
    </xf>
    <xf numFmtId="167" fontId="36" fillId="6" borderId="0" xfId="0" applyNumberFormat="1" applyFont="1" applyFill="1" applyAlignment="1">
      <alignment horizontal="center"/>
    </xf>
    <xf numFmtId="0" fontId="42" fillId="0" borderId="0" xfId="0" applyFont="1" applyAlignment="1">
      <alignment horizontal="center"/>
    </xf>
    <xf numFmtId="0" fontId="0" fillId="0" borderId="0" xfId="0" quotePrefix="1"/>
    <xf numFmtId="0" fontId="43" fillId="0" borderId="0" xfId="0" applyFont="1" applyAlignment="1">
      <alignment horizontal="right"/>
    </xf>
    <xf numFmtId="165" fontId="11" fillId="3" borderId="25" xfId="0" applyNumberFormat="1" applyFont="1" applyFill="1" applyBorder="1" applyAlignment="1" applyProtection="1">
      <alignment horizontal="centerContinuous"/>
      <protection locked="0"/>
    </xf>
    <xf numFmtId="0" fontId="10" fillId="0" borderId="25" xfId="0" applyFont="1" applyBorder="1" applyAlignment="1" applyProtection="1">
      <alignment horizontal="centerContinuous"/>
      <protection locked="0"/>
    </xf>
    <xf numFmtId="5" fontId="3" fillId="11" borderId="0" xfId="0" applyNumberFormat="1" applyFont="1" applyFill="1"/>
    <xf numFmtId="0" fontId="32" fillId="4" borderId="0" xfId="0" applyFont="1" applyFill="1"/>
    <xf numFmtId="0" fontId="35" fillId="4" borderId="0" xfId="0" applyFont="1" applyFill="1" applyAlignment="1">
      <alignment horizontal="center"/>
    </xf>
    <xf numFmtId="0" fontId="31" fillId="4" borderId="0" xfId="0" applyFont="1" applyFill="1" applyAlignment="1">
      <alignment horizontal="center" vertical="top"/>
    </xf>
    <xf numFmtId="167" fontId="5" fillId="4" borderId="0" xfId="0" applyNumberFormat="1" applyFont="1" applyFill="1" applyAlignment="1">
      <alignment horizontal="right" vertical="top"/>
    </xf>
    <xf numFmtId="5" fontId="31" fillId="4" borderId="0" xfId="0" applyNumberFormat="1" applyFont="1" applyFill="1" applyAlignment="1">
      <alignment horizontal="left"/>
    </xf>
    <xf numFmtId="5" fontId="29" fillId="4" borderId="0" xfId="0" applyNumberFormat="1" applyFont="1" applyFill="1"/>
    <xf numFmtId="0" fontId="5" fillId="7" borderId="0" xfId="0" applyFont="1" applyFill="1"/>
    <xf numFmtId="0" fontId="32" fillId="0" borderId="0" xfId="0" applyFont="1"/>
    <xf numFmtId="0" fontId="41" fillId="0" borderId="0" xfId="0" applyFont="1" applyAlignment="1">
      <alignment horizontal="right" vertical="top" indent="1"/>
    </xf>
    <xf numFmtId="0" fontId="29" fillId="0" borderId="0" xfId="0" applyFont="1" applyAlignment="1">
      <alignment horizontal="left" indent="1"/>
    </xf>
    <xf numFmtId="5" fontId="33" fillId="10" borderId="20" xfId="0" applyNumberFormat="1" applyFont="1" applyFill="1" applyBorder="1" applyAlignment="1">
      <alignment horizontal="center" vertical="top"/>
    </xf>
    <xf numFmtId="167" fontId="5" fillId="0" borderId="0" xfId="0" applyNumberFormat="1" applyFont="1"/>
    <xf numFmtId="0" fontId="65" fillId="0" borderId="0" xfId="36"/>
    <xf numFmtId="167" fontId="65" fillId="0" borderId="0" xfId="36" applyNumberFormat="1"/>
    <xf numFmtId="0" fontId="65" fillId="0" borderId="0" xfId="36" applyAlignment="1">
      <alignment horizontal="center"/>
    </xf>
    <xf numFmtId="10" fontId="65" fillId="0" borderId="0" xfId="36" applyNumberFormat="1"/>
    <xf numFmtId="0" fontId="18" fillId="0" borderId="0" xfId="36" applyFont="1"/>
    <xf numFmtId="42" fontId="83" fillId="0" borderId="0" xfId="36" applyNumberFormat="1" applyFont="1"/>
    <xf numFmtId="42" fontId="65" fillId="0" borderId="0" xfId="36" applyNumberFormat="1"/>
    <xf numFmtId="38" fontId="83" fillId="0" borderId="0" xfId="36" applyNumberFormat="1" applyFont="1" applyAlignment="1">
      <alignment horizontal="center"/>
    </xf>
    <xf numFmtId="1" fontId="83" fillId="0" borderId="0" xfId="36" applyNumberFormat="1" applyFont="1" applyAlignment="1">
      <alignment horizontal="center"/>
    </xf>
    <xf numFmtId="0" fontId="1" fillId="0" borderId="12" xfId="36" applyFont="1" applyBorder="1"/>
    <xf numFmtId="0" fontId="1" fillId="0" borderId="22" xfId="36" applyFont="1" applyBorder="1"/>
    <xf numFmtId="42" fontId="1" fillId="0" borderId="13" xfId="36" applyNumberFormat="1" applyFont="1" applyBorder="1"/>
    <xf numFmtId="0" fontId="1" fillId="7" borderId="45" xfId="36" applyFont="1" applyFill="1" applyBorder="1" applyAlignment="1">
      <alignment horizontal="left" indent="1"/>
    </xf>
    <xf numFmtId="0" fontId="65" fillId="7" borderId="47" xfId="36" applyFill="1" applyBorder="1"/>
    <xf numFmtId="0" fontId="65" fillId="7" borderId="30" xfId="36" applyFill="1" applyBorder="1"/>
    <xf numFmtId="0" fontId="65" fillId="7" borderId="46" xfId="36" applyFill="1" applyBorder="1"/>
    <xf numFmtId="0" fontId="84" fillId="0" borderId="0" xfId="36" applyFont="1"/>
    <xf numFmtId="0" fontId="17" fillId="7" borderId="17" xfId="36" applyFont="1" applyFill="1" applyBorder="1" applyAlignment="1">
      <alignment horizontal="center"/>
    </xf>
    <xf numFmtId="0" fontId="1" fillId="7" borderId="48" xfId="36" applyFont="1" applyFill="1" applyBorder="1" applyAlignment="1">
      <alignment horizontal="center"/>
    </xf>
    <xf numFmtId="0" fontId="17" fillId="7" borderId="48" xfId="36" applyFont="1" applyFill="1" applyBorder="1" applyAlignment="1">
      <alignment horizontal="center"/>
    </xf>
    <xf numFmtId="0" fontId="65" fillId="0" borderId="10" xfId="36" applyBorder="1"/>
    <xf numFmtId="0" fontId="37" fillId="10" borderId="2" xfId="36" applyFont="1" applyFill="1" applyBorder="1" applyAlignment="1">
      <alignment horizontal="center"/>
    </xf>
    <xf numFmtId="44" fontId="44" fillId="0" borderId="2" xfId="36" applyNumberFormat="1" applyFont="1" applyBorder="1"/>
    <xf numFmtId="170" fontId="65" fillId="0" borderId="0" xfId="36" applyNumberFormat="1"/>
    <xf numFmtId="0" fontId="1" fillId="0" borderId="0" xfId="36" applyFont="1"/>
    <xf numFmtId="0" fontId="65" fillId="0" borderId="49" xfId="36" applyBorder="1"/>
    <xf numFmtId="0" fontId="37" fillId="10" borderId="48" xfId="36" applyFont="1" applyFill="1" applyBorder="1" applyAlignment="1">
      <alignment horizontal="center"/>
    </xf>
    <xf numFmtId="0" fontId="65" fillId="0" borderId="48" xfId="36" applyBorder="1" applyAlignment="1">
      <alignment horizontal="center"/>
    </xf>
    <xf numFmtId="44" fontId="44" fillId="0" borderId="48" xfId="36" applyNumberFormat="1" applyFont="1" applyBorder="1"/>
    <xf numFmtId="42" fontId="65" fillId="0" borderId="50" xfId="36" applyNumberFormat="1" applyBorder="1"/>
    <xf numFmtId="0" fontId="1" fillId="0" borderId="19" xfId="36" applyFont="1" applyBorder="1"/>
    <xf numFmtId="0" fontId="1" fillId="0" borderId="1" xfId="36" applyFont="1" applyBorder="1" applyAlignment="1">
      <alignment horizontal="center"/>
    </xf>
    <xf numFmtId="0" fontId="1" fillId="0" borderId="14" xfId="36" applyFont="1" applyBorder="1" applyAlignment="1">
      <alignment horizontal="center"/>
    </xf>
    <xf numFmtId="0" fontId="1" fillId="0" borderId="1" xfId="36" applyFont="1" applyBorder="1"/>
    <xf numFmtId="42" fontId="1" fillId="0" borderId="20" xfId="36" applyNumberFormat="1" applyFont="1" applyBorder="1"/>
    <xf numFmtId="42" fontId="17" fillId="0" borderId="0" xfId="36" applyNumberFormat="1" applyFont="1"/>
    <xf numFmtId="177" fontId="83" fillId="2" borderId="0" xfId="36" applyNumberFormat="1" applyFont="1" applyFill="1"/>
    <xf numFmtId="42" fontId="65" fillId="0" borderId="51" xfId="36" applyNumberFormat="1" applyBorder="1"/>
    <xf numFmtId="5" fontId="17" fillId="0" borderId="0" xfId="36" applyNumberFormat="1" applyFont="1"/>
    <xf numFmtId="42" fontId="42" fillId="0" borderId="0" xfId="36" applyNumberFormat="1" applyFont="1"/>
    <xf numFmtId="0" fontId="42" fillId="0" borderId="0" xfId="36" applyFont="1"/>
    <xf numFmtId="170" fontId="37" fillId="10" borderId="0" xfId="0" applyNumberFormat="1" applyFont="1" applyFill="1"/>
    <xf numFmtId="170" fontId="37" fillId="0" borderId="0" xfId="0" applyNumberFormat="1" applyFont="1"/>
    <xf numFmtId="0" fontId="86" fillId="0" borderId="0" xfId="0" applyFont="1" applyAlignment="1">
      <alignment horizontal="right" indent="1"/>
    </xf>
    <xf numFmtId="2" fontId="0" fillId="0" borderId="0" xfId="0" applyNumberFormat="1"/>
    <xf numFmtId="3" fontId="0" fillId="0" borderId="0" xfId="0" applyNumberFormat="1"/>
    <xf numFmtId="6" fontId="0" fillId="0" borderId="0" xfId="0" applyNumberFormat="1" applyAlignment="1">
      <alignment horizontal="center"/>
    </xf>
    <xf numFmtId="9" fontId="4" fillId="0" borderId="0" xfId="0" applyNumberFormat="1" applyFont="1"/>
    <xf numFmtId="44" fontId="1" fillId="0" borderId="0" xfId="0" applyNumberFormat="1" applyFont="1"/>
    <xf numFmtId="0" fontId="10" fillId="0" borderId="24" xfId="42" applyBorder="1" applyProtection="1">
      <protection locked="0"/>
    </xf>
    <xf numFmtId="0" fontId="10" fillId="0" borderId="25" xfId="42" applyBorder="1" applyProtection="1">
      <protection locked="0"/>
    </xf>
    <xf numFmtId="0" fontId="10" fillId="0" borderId="26" xfId="42" applyBorder="1" applyProtection="1">
      <protection locked="0"/>
    </xf>
    <xf numFmtId="0" fontId="10" fillId="0" borderId="0" xfId="42" applyProtection="1">
      <protection locked="0"/>
    </xf>
    <xf numFmtId="0" fontId="45" fillId="0" borderId="25" xfId="42" applyFont="1" applyBorder="1" applyAlignment="1" applyProtection="1">
      <alignment horizontal="left"/>
      <protection locked="0"/>
    </xf>
    <xf numFmtId="0" fontId="10" fillId="0" borderId="25" xfId="42" applyBorder="1" applyAlignment="1" applyProtection="1">
      <alignment horizontal="centerContinuous"/>
      <protection locked="0"/>
    </xf>
    <xf numFmtId="0" fontId="10" fillId="0" borderId="0" xfId="42" applyAlignment="1" applyProtection="1">
      <alignment horizontal="centerContinuous"/>
      <protection locked="0"/>
    </xf>
    <xf numFmtId="0" fontId="10" fillId="0" borderId="3" xfId="42" applyBorder="1" applyProtection="1">
      <protection locked="0"/>
    </xf>
    <xf numFmtId="0" fontId="14" fillId="0" borderId="0" xfId="42" applyFont="1" applyProtection="1">
      <protection locked="0"/>
    </xf>
    <xf numFmtId="0" fontId="14" fillId="0" borderId="0" xfId="42" applyFont="1" applyAlignment="1" applyProtection="1">
      <alignment horizontal="center"/>
      <protection locked="0"/>
    </xf>
    <xf numFmtId="0" fontId="14" fillId="0" borderId="4" xfId="42" applyFont="1" applyBorder="1" applyAlignment="1" applyProtection="1">
      <alignment horizontal="center"/>
      <protection locked="0"/>
    </xf>
    <xf numFmtId="0" fontId="10" fillId="0" borderId="4" xfId="42" applyBorder="1" applyProtection="1">
      <protection locked="0"/>
    </xf>
    <xf numFmtId="165" fontId="87" fillId="40" borderId="54" xfId="4" applyNumberFormat="1" applyFont="1" applyFill="1" applyBorder="1" applyAlignment="1" applyProtection="1">
      <alignment horizontal="center"/>
      <protection locked="0"/>
    </xf>
    <xf numFmtId="165" fontId="87" fillId="40" borderId="55" xfId="4" applyNumberFormat="1" applyFont="1" applyFill="1" applyBorder="1" applyAlignment="1" applyProtection="1">
      <alignment horizontal="center"/>
      <protection locked="0"/>
    </xf>
    <xf numFmtId="165" fontId="87" fillId="40" borderId="56" xfId="4" applyNumberFormat="1" applyFont="1" applyFill="1" applyBorder="1" applyAlignment="1" applyProtection="1">
      <alignment horizontal="center"/>
      <protection locked="0"/>
    </xf>
    <xf numFmtId="165" fontId="87" fillId="40" borderId="57" xfId="4" applyNumberFormat="1" applyFont="1" applyFill="1" applyBorder="1" applyAlignment="1" applyProtection="1">
      <alignment horizontal="center"/>
      <protection locked="0"/>
    </xf>
    <xf numFmtId="165" fontId="87" fillId="40" borderId="0" xfId="4" applyNumberFormat="1" applyFont="1" applyFill="1" applyAlignment="1" applyProtection="1">
      <alignment horizontal="center"/>
      <protection locked="0"/>
    </xf>
    <xf numFmtId="165" fontId="87" fillId="40" borderId="58" xfId="4" applyNumberFormat="1" applyFont="1" applyFill="1" applyBorder="1" applyAlignment="1" applyProtection="1">
      <alignment horizontal="center"/>
      <protection locked="0"/>
    </xf>
    <xf numFmtId="165" fontId="87" fillId="40" borderId="59" xfId="4" applyNumberFormat="1" applyFont="1" applyFill="1" applyBorder="1" applyAlignment="1" applyProtection="1">
      <alignment horizontal="center"/>
      <protection locked="0"/>
    </xf>
    <xf numFmtId="165" fontId="87" fillId="40" borderId="60" xfId="4" applyNumberFormat="1" applyFont="1" applyFill="1" applyBorder="1" applyAlignment="1" applyProtection="1">
      <alignment horizontal="center"/>
      <protection locked="0"/>
    </xf>
    <xf numFmtId="165" fontId="87" fillId="40" borderId="61" xfId="4" applyNumberFormat="1" applyFont="1" applyFill="1" applyBorder="1" applyAlignment="1" applyProtection="1">
      <alignment horizontal="center"/>
      <protection locked="0"/>
    </xf>
    <xf numFmtId="0" fontId="14" fillId="0" borderId="60" xfId="42" applyFont="1" applyBorder="1" applyProtection="1">
      <protection locked="0"/>
    </xf>
    <xf numFmtId="0" fontId="10" fillId="0" borderId="60" xfId="42" applyBorder="1" applyProtection="1">
      <protection locked="0"/>
    </xf>
    <xf numFmtId="0" fontId="10" fillId="0" borderId="62" xfId="42" applyBorder="1" applyProtection="1">
      <protection locked="0"/>
    </xf>
    <xf numFmtId="5" fontId="10" fillId="0" borderId="60" xfId="42" applyNumberFormat="1" applyBorder="1" applyProtection="1">
      <protection locked="0"/>
    </xf>
    <xf numFmtId="0" fontId="46" fillId="0" borderId="4" xfId="42" applyFont="1" applyBorder="1" applyProtection="1">
      <protection locked="0"/>
    </xf>
    <xf numFmtId="5" fontId="10" fillId="0" borderId="0" xfId="42" applyNumberFormat="1" applyProtection="1">
      <protection locked="0"/>
    </xf>
    <xf numFmtId="5" fontId="10" fillId="0" borderId="63" xfId="42" applyNumberFormat="1" applyBorder="1" applyProtection="1">
      <protection locked="0"/>
    </xf>
    <xf numFmtId="5" fontId="10" fillId="14" borderId="63" xfId="42" applyNumberFormat="1" applyFill="1" applyBorder="1" applyProtection="1">
      <protection locked="0"/>
    </xf>
    <xf numFmtId="5" fontId="10" fillId="0" borderId="4" xfId="42" applyNumberFormat="1" applyBorder="1" applyProtection="1">
      <protection locked="0"/>
    </xf>
    <xf numFmtId="37" fontId="10" fillId="0" borderId="0" xfId="42" applyNumberFormat="1" applyProtection="1">
      <protection locked="0"/>
    </xf>
    <xf numFmtId="37" fontId="10" fillId="0" borderId="63" xfId="42" applyNumberFormat="1" applyBorder="1" applyProtection="1">
      <protection locked="0"/>
    </xf>
    <xf numFmtId="37" fontId="10" fillId="0" borderId="4" xfId="42" applyNumberFormat="1" applyBorder="1" applyProtection="1">
      <protection locked="0"/>
    </xf>
    <xf numFmtId="165" fontId="10" fillId="0" borderId="0" xfId="3" applyNumberFormat="1" applyFont="1" applyFill="1" applyBorder="1" applyAlignment="1" applyProtection="1">
      <protection locked="0"/>
    </xf>
    <xf numFmtId="37" fontId="10" fillId="0" borderId="63" xfId="42" quotePrefix="1" applyNumberFormat="1" applyBorder="1" applyProtection="1">
      <protection locked="0"/>
    </xf>
    <xf numFmtId="37" fontId="10" fillId="0" borderId="0" xfId="42" quotePrefix="1" applyNumberFormat="1" applyProtection="1">
      <protection locked="0"/>
    </xf>
    <xf numFmtId="9" fontId="14" fillId="0" borderId="0" xfId="84" applyFont="1" applyBorder="1" applyProtection="1">
      <protection locked="0"/>
    </xf>
    <xf numFmtId="169" fontId="10" fillId="0" borderId="0" xfId="71" applyNumberFormat="1" applyFont="1" applyBorder="1" applyAlignment="1" applyProtection="1">
      <protection locked="0"/>
    </xf>
    <xf numFmtId="0" fontId="13" fillId="0" borderId="0" xfId="42" applyFont="1" applyProtection="1">
      <protection locked="0"/>
    </xf>
    <xf numFmtId="5" fontId="14" fillId="0" borderId="62" xfId="42" applyNumberFormat="1" applyFont="1" applyBorder="1" applyProtection="1">
      <protection locked="0"/>
    </xf>
    <xf numFmtId="5" fontId="10" fillId="0" borderId="62" xfId="42" applyNumberFormat="1" applyBorder="1" applyProtection="1">
      <protection locked="0"/>
    </xf>
    <xf numFmtId="0" fontId="10" fillId="0" borderId="64" xfId="42" applyBorder="1" applyProtection="1">
      <protection locked="0"/>
    </xf>
    <xf numFmtId="5" fontId="10" fillId="0" borderId="27" xfId="42" applyNumberFormat="1" applyBorder="1" applyProtection="1">
      <protection locked="0"/>
    </xf>
    <xf numFmtId="5" fontId="10" fillId="0" borderId="64" xfId="42" applyNumberFormat="1" applyBorder="1" applyProtection="1">
      <protection locked="0"/>
    </xf>
    <xf numFmtId="5" fontId="14" fillId="0" borderId="0" xfId="42" applyNumberFormat="1" applyFont="1" applyProtection="1">
      <protection locked="0"/>
    </xf>
    <xf numFmtId="0" fontId="50" fillId="0" borderId="0" xfId="42" quotePrefix="1" applyFont="1" applyProtection="1">
      <protection locked="0"/>
    </xf>
    <xf numFmtId="165" fontId="16" fillId="3" borderId="4" xfId="42" applyNumberFormat="1" applyFont="1" applyFill="1" applyBorder="1" applyAlignment="1" applyProtection="1">
      <alignment horizontal="right"/>
      <protection locked="0"/>
    </xf>
    <xf numFmtId="166" fontId="16" fillId="3" borderId="4" xfId="42" applyNumberFormat="1" applyFont="1" applyFill="1" applyBorder="1" applyAlignment="1" applyProtection="1">
      <alignment horizontal="right"/>
      <protection locked="0"/>
    </xf>
    <xf numFmtId="0" fontId="10" fillId="0" borderId="0" xfId="42"/>
    <xf numFmtId="5" fontId="13" fillId="0" borderId="0" xfId="71" applyNumberFormat="1" applyFont="1" applyProtection="1">
      <protection locked="0"/>
    </xf>
    <xf numFmtId="5" fontId="13" fillId="0" borderId="0" xfId="42" applyNumberFormat="1" applyFont="1" applyProtection="1">
      <protection locked="0"/>
    </xf>
    <xf numFmtId="0" fontId="10" fillId="0" borderId="0" xfId="42" applyAlignment="1" applyProtection="1">
      <alignment horizontal="center" wrapText="1"/>
      <protection locked="0"/>
    </xf>
    <xf numFmtId="0" fontId="10" fillId="0" borderId="0" xfId="42" applyAlignment="1" applyProtection="1">
      <alignment wrapText="1"/>
      <protection locked="0"/>
    </xf>
    <xf numFmtId="169" fontId="1" fillId="0" borderId="0" xfId="1" applyNumberFormat="1" applyFont="1"/>
    <xf numFmtId="6" fontId="43" fillId="0" borderId="0" xfId="0" applyNumberFormat="1" applyFont="1"/>
    <xf numFmtId="164" fontId="44" fillId="0" borderId="0" xfId="0" applyNumberFormat="1" applyFont="1" applyAlignment="1">
      <alignment horizontal="left"/>
    </xf>
    <xf numFmtId="9" fontId="14" fillId="0" borderId="0" xfId="42" applyNumberFormat="1" applyFont="1" applyProtection="1">
      <protection locked="0"/>
    </xf>
    <xf numFmtId="164" fontId="0" fillId="0" borderId="0" xfId="0" applyNumberFormat="1"/>
    <xf numFmtId="9" fontId="10" fillId="0" borderId="0" xfId="42" applyNumberFormat="1" applyProtection="1">
      <protection locked="0"/>
    </xf>
    <xf numFmtId="0" fontId="14" fillId="0" borderId="60" xfId="42" quotePrefix="1" applyFont="1" applyBorder="1" applyProtection="1">
      <protection locked="0"/>
    </xf>
    <xf numFmtId="10" fontId="53" fillId="0" borderId="0" xfId="42" applyNumberFormat="1" applyFont="1" applyProtection="1">
      <protection locked="0"/>
    </xf>
    <xf numFmtId="42" fontId="91" fillId="0" borderId="0" xfId="0" applyNumberFormat="1" applyFont="1" applyAlignment="1">
      <alignment horizontal="right"/>
    </xf>
    <xf numFmtId="0" fontId="93" fillId="0" borderId="3" xfId="42" applyFont="1" applyBorder="1" applyAlignment="1" applyProtection="1">
      <alignment horizontal="left"/>
      <protection locked="0"/>
    </xf>
    <xf numFmtId="42" fontId="90" fillId="0" borderId="26" xfId="42" applyNumberFormat="1" applyFont="1" applyBorder="1" applyAlignment="1" applyProtection="1">
      <alignment horizontal="right"/>
      <protection locked="0"/>
    </xf>
    <xf numFmtId="10" fontId="10" fillId="0" borderId="0" xfId="42" applyNumberFormat="1" applyProtection="1">
      <protection locked="0"/>
    </xf>
    <xf numFmtId="8" fontId="10" fillId="0" borderId="0" xfId="42" applyNumberFormat="1" applyProtection="1">
      <protection locked="0"/>
    </xf>
    <xf numFmtId="164" fontId="10" fillId="0" borderId="0" xfId="42" applyNumberFormat="1" applyProtection="1">
      <protection locked="0"/>
    </xf>
    <xf numFmtId="0" fontId="95" fillId="0" borderId="0" xfId="0" applyFont="1" applyAlignment="1">
      <alignment horizontal="left"/>
    </xf>
    <xf numFmtId="0" fontId="95" fillId="41" borderId="0" xfId="0" applyFont="1" applyFill="1" applyAlignment="1">
      <alignment horizontal="left"/>
    </xf>
    <xf numFmtId="178" fontId="0" fillId="0" borderId="0" xfId="0" applyNumberFormat="1"/>
    <xf numFmtId="164" fontId="4" fillId="0" borderId="0" xfId="0" applyNumberFormat="1" applyFont="1"/>
    <xf numFmtId="9" fontId="32" fillId="0" borderId="0" xfId="0" applyNumberFormat="1" applyFont="1"/>
    <xf numFmtId="3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2" fontId="91" fillId="0" borderId="0" xfId="0" applyNumberFormat="1" applyFont="1"/>
    <xf numFmtId="42" fontId="96" fillId="0" borderId="0" xfId="0" applyNumberFormat="1" applyFont="1"/>
    <xf numFmtId="38" fontId="10" fillId="0" borderId="0" xfId="42" applyNumberFormat="1" applyProtection="1">
      <protection locked="0"/>
    </xf>
    <xf numFmtId="44" fontId="10" fillId="0" borderId="0" xfId="42" applyNumberFormat="1" applyProtection="1">
      <protection locked="0"/>
    </xf>
    <xf numFmtId="3" fontId="10" fillId="0" borderId="0" xfId="42" applyNumberFormat="1" applyProtection="1">
      <protection locked="0"/>
    </xf>
    <xf numFmtId="7" fontId="10" fillId="0" borderId="4" xfId="42" applyNumberFormat="1" applyBorder="1" applyProtection="1">
      <protection locked="0"/>
    </xf>
    <xf numFmtId="6" fontId="10" fillId="0" borderId="0" xfId="42" applyNumberFormat="1" applyProtection="1">
      <protection locked="0"/>
    </xf>
    <xf numFmtId="8" fontId="0" fillId="0" borderId="0" xfId="0" applyNumberFormat="1"/>
    <xf numFmtId="9" fontId="52" fillId="0" borderId="0" xfId="0" applyNumberFormat="1" applyFont="1"/>
    <xf numFmtId="0" fontId="51" fillId="0" borderId="0" xfId="0" applyFont="1"/>
    <xf numFmtId="6" fontId="0" fillId="0" borderId="14" xfId="0" applyNumberFormat="1" applyBorder="1"/>
    <xf numFmtId="3" fontId="5" fillId="0" borderId="0" xfId="0" applyNumberFormat="1" applyFont="1"/>
    <xf numFmtId="4" fontId="0" fillId="0" borderId="0" xfId="0" applyNumberFormat="1"/>
    <xf numFmtId="0" fontId="1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91" fillId="0" borderId="0" xfId="0" applyFont="1"/>
    <xf numFmtId="9" fontId="0" fillId="0" borderId="0" xfId="0" applyNumberFormat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66" xfId="0" applyBorder="1"/>
    <xf numFmtId="0" fontId="0" fillId="0" borderId="19" xfId="0" applyBorder="1"/>
    <xf numFmtId="0" fontId="0" fillId="0" borderId="20" xfId="0" applyBorder="1"/>
    <xf numFmtId="164" fontId="0" fillId="0" borderId="14" xfId="0" applyNumberFormat="1" applyBorder="1"/>
    <xf numFmtId="9" fontId="94" fillId="0" borderId="0" xfId="0" applyNumberFormat="1" applyFont="1"/>
    <xf numFmtId="3" fontId="0" fillId="0" borderId="14" xfId="0" applyNumberFormat="1" applyBorder="1" applyAlignment="1">
      <alignment horizontal="center"/>
    </xf>
    <xf numFmtId="3" fontId="1" fillId="0" borderId="0" xfId="0" applyNumberFormat="1" applyFont="1" applyAlignment="1">
      <alignment horizontal="center"/>
    </xf>
    <xf numFmtId="3" fontId="1" fillId="0" borderId="0" xfId="0" applyNumberFormat="1" applyFont="1"/>
    <xf numFmtId="6" fontId="1" fillId="0" borderId="0" xfId="0" applyNumberFormat="1" applyFont="1"/>
    <xf numFmtId="8" fontId="0" fillId="0" borderId="14" xfId="0" applyNumberFormat="1" applyBorder="1" applyAlignment="1">
      <alignment horizontal="center"/>
    </xf>
    <xf numFmtId="6" fontId="0" fillId="0" borderId="14" xfId="0" applyNumberFormat="1" applyBorder="1" applyAlignment="1">
      <alignment horizontal="center"/>
    </xf>
    <xf numFmtId="6" fontId="0" fillId="0" borderId="53" xfId="0" applyNumberFormat="1" applyBorder="1"/>
    <xf numFmtId="9" fontId="0" fillId="0" borderId="14" xfId="0" applyNumberFormat="1" applyBorder="1"/>
    <xf numFmtId="6" fontId="0" fillId="0" borderId="20" xfId="0" applyNumberFormat="1" applyBorder="1"/>
    <xf numFmtId="9" fontId="1" fillId="0" borderId="0" xfId="0" applyNumberFormat="1" applyFont="1"/>
    <xf numFmtId="0" fontId="1" fillId="0" borderId="19" xfId="0" applyFont="1" applyBorder="1"/>
    <xf numFmtId="3" fontId="1" fillId="0" borderId="14" xfId="0" applyNumberFormat="1" applyFont="1" applyBorder="1"/>
    <xf numFmtId="6" fontId="1" fillId="0" borderId="20" xfId="0" applyNumberFormat="1" applyFont="1" applyBorder="1"/>
    <xf numFmtId="0" fontId="97" fillId="0" borderId="0" xfId="0" applyFont="1"/>
    <xf numFmtId="0" fontId="97" fillId="0" borderId="0" xfId="0" applyFont="1" applyAlignment="1">
      <alignment horizontal="center"/>
    </xf>
    <xf numFmtId="6" fontId="97" fillId="0" borderId="0" xfId="0" applyNumberFormat="1" applyFont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97" fillId="0" borderId="14" xfId="0" applyFont="1" applyBorder="1" applyAlignment="1">
      <alignment horizontal="center"/>
    </xf>
    <xf numFmtId="6" fontId="97" fillId="0" borderId="15" xfId="0" applyNumberFormat="1" applyFont="1" applyBorder="1" applyAlignment="1">
      <alignment horizontal="center"/>
    </xf>
    <xf numFmtId="6" fontId="97" fillId="0" borderId="16" xfId="0" applyNumberFormat="1" applyFont="1" applyBorder="1" applyAlignment="1">
      <alignment horizontal="center"/>
    </xf>
    <xf numFmtId="6" fontId="97" fillId="0" borderId="66" xfId="0" applyNumberFormat="1" applyFont="1" applyBorder="1" applyAlignment="1">
      <alignment horizontal="center"/>
    </xf>
    <xf numFmtId="10" fontId="0" fillId="0" borderId="15" xfId="0" applyNumberFormat="1" applyBorder="1" applyAlignment="1">
      <alignment horizontal="center"/>
    </xf>
    <xf numFmtId="10" fontId="0" fillId="0" borderId="18" xfId="0" applyNumberFormat="1" applyBorder="1" applyAlignment="1">
      <alignment horizontal="center"/>
    </xf>
    <xf numFmtId="6" fontId="97" fillId="0" borderId="18" xfId="0" applyNumberFormat="1" applyFont="1" applyBorder="1" applyAlignment="1">
      <alignment horizontal="center"/>
    </xf>
    <xf numFmtId="6" fontId="97" fillId="0" borderId="53" xfId="0" applyNumberFormat="1" applyFont="1" applyBorder="1" applyAlignment="1">
      <alignment horizontal="center"/>
    </xf>
    <xf numFmtId="0" fontId="94" fillId="0" borderId="19" xfId="0" applyFont="1" applyBorder="1" applyAlignment="1">
      <alignment horizontal="center"/>
    </xf>
    <xf numFmtId="0" fontId="94" fillId="0" borderId="14" xfId="0" applyFont="1" applyBorder="1" applyAlignment="1">
      <alignment horizontal="center"/>
    </xf>
    <xf numFmtId="0" fontId="94" fillId="0" borderId="20" xfId="0" applyFont="1" applyBorder="1" applyAlignment="1">
      <alignment horizontal="center"/>
    </xf>
    <xf numFmtId="6" fontId="0" fillId="0" borderId="20" xfId="0" applyNumberFormat="1" applyBorder="1" applyAlignment="1">
      <alignment horizontal="center"/>
    </xf>
    <xf numFmtId="0" fontId="0" fillId="0" borderId="19" xfId="0" applyBorder="1" applyAlignment="1">
      <alignment horizontal="left"/>
    </xf>
    <xf numFmtId="9" fontId="97" fillId="0" borderId="18" xfId="0" applyNumberFormat="1" applyFont="1" applyBorder="1"/>
    <xf numFmtId="10" fontId="97" fillId="0" borderId="66" xfId="0" applyNumberFormat="1" applyFont="1" applyBorder="1" applyAlignment="1">
      <alignment horizontal="left"/>
    </xf>
    <xf numFmtId="9" fontId="97" fillId="0" borderId="53" xfId="0" applyNumberFormat="1" applyFont="1" applyBorder="1"/>
    <xf numFmtId="10" fontId="97" fillId="0" borderId="66" xfId="0" quotePrefix="1" applyNumberFormat="1" applyFont="1" applyBorder="1" applyAlignment="1">
      <alignment horizontal="left"/>
    </xf>
    <xf numFmtId="0" fontId="97" fillId="0" borderId="53" xfId="0" applyFont="1" applyBorder="1"/>
    <xf numFmtId="9" fontId="97" fillId="0" borderId="0" xfId="0" applyNumberFormat="1" applyFont="1"/>
    <xf numFmtId="164" fontId="97" fillId="0" borderId="0" xfId="0" applyNumberFormat="1" applyFont="1"/>
    <xf numFmtId="14" fontId="52" fillId="0" borderId="16" xfId="0" applyNumberFormat="1" applyFont="1" applyBorder="1"/>
    <xf numFmtId="14" fontId="52" fillId="0" borderId="18" xfId="0" applyNumberFormat="1" applyFont="1" applyBorder="1"/>
    <xf numFmtId="14" fontId="52" fillId="0" borderId="0" xfId="0" applyNumberFormat="1" applyFont="1"/>
    <xf numFmtId="14" fontId="52" fillId="0" borderId="53" xfId="0" applyNumberFormat="1" applyFont="1" applyBorder="1"/>
    <xf numFmtId="14" fontId="52" fillId="0" borderId="14" xfId="0" applyNumberFormat="1" applyFont="1" applyBorder="1"/>
    <xf numFmtId="14" fontId="52" fillId="0" borderId="20" xfId="0" applyNumberFormat="1" applyFont="1" applyBorder="1"/>
    <xf numFmtId="6" fontId="0" fillId="0" borderId="16" xfId="0" applyNumberFormat="1" applyBorder="1" applyAlignment="1">
      <alignment horizontal="center"/>
    </xf>
    <xf numFmtId="6" fontId="97" fillId="0" borderId="0" xfId="0" applyNumberFormat="1" applyFont="1"/>
    <xf numFmtId="164" fontId="98" fillId="0" borderId="0" xfId="1" applyNumberFormat="1" applyFont="1"/>
    <xf numFmtId="5" fontId="51" fillId="11" borderId="0" xfId="0" applyNumberFormat="1" applyFont="1" applyFill="1"/>
    <xf numFmtId="0" fontId="0" fillId="0" borderId="17" xfId="0" applyBorder="1"/>
    <xf numFmtId="6" fontId="97" fillId="0" borderId="2" xfId="0" applyNumberFormat="1" applyFont="1" applyBorder="1" applyAlignment="1">
      <alignment horizontal="center"/>
    </xf>
    <xf numFmtId="0" fontId="97" fillId="0" borderId="1" xfId="0" applyFont="1" applyBorder="1" applyAlignment="1">
      <alignment horizontal="center"/>
    </xf>
    <xf numFmtId="42" fontId="51" fillId="0" borderId="0" xfId="0" applyNumberFormat="1" applyFont="1"/>
    <xf numFmtId="4" fontId="97" fillId="0" borderId="0" xfId="0" applyNumberFormat="1" applyFont="1"/>
    <xf numFmtId="164" fontId="32" fillId="0" borderId="0" xfId="0" applyNumberFormat="1" applyFont="1"/>
    <xf numFmtId="5" fontId="46" fillId="0" borderId="4" xfId="42" applyNumberFormat="1" applyFont="1" applyBorder="1" applyProtection="1">
      <protection locked="0"/>
    </xf>
    <xf numFmtId="8" fontId="97" fillId="0" borderId="0" xfId="0" applyNumberFormat="1" applyFont="1" applyAlignment="1">
      <alignment horizontal="right"/>
    </xf>
    <xf numFmtId="0" fontId="94" fillId="0" borderId="68" xfId="0" applyFont="1" applyBorder="1" applyAlignment="1">
      <alignment horizontal="center"/>
    </xf>
    <xf numFmtId="9" fontId="21" fillId="0" borderId="0" xfId="0" applyNumberFormat="1" applyFont="1"/>
    <xf numFmtId="10" fontId="97" fillId="0" borderId="15" xfId="0" quotePrefix="1" applyNumberFormat="1" applyFont="1" applyBorder="1" applyAlignment="1">
      <alignment horizontal="left"/>
    </xf>
    <xf numFmtId="169" fontId="10" fillId="0" borderId="0" xfId="42" applyNumberFormat="1" applyProtection="1">
      <protection locked="0"/>
    </xf>
    <xf numFmtId="5" fontId="10" fillId="14" borderId="27" xfId="42" applyNumberFormat="1" applyFill="1" applyBorder="1" applyProtection="1">
      <protection locked="0"/>
    </xf>
    <xf numFmtId="179" fontId="92" fillId="0" borderId="0" xfId="0" applyNumberFormat="1" applyFont="1" applyAlignment="1">
      <alignment horizontal="right"/>
    </xf>
    <xf numFmtId="6" fontId="97" fillId="0" borderId="65" xfId="0" applyNumberFormat="1" applyFont="1" applyBorder="1"/>
    <xf numFmtId="10" fontId="97" fillId="0" borderId="0" xfId="0" applyNumberFormat="1" applyFont="1"/>
    <xf numFmtId="0" fontId="97" fillId="0" borderId="66" xfId="0" quotePrefix="1" applyFont="1" applyBorder="1" applyAlignment="1">
      <alignment horizontal="left"/>
    </xf>
    <xf numFmtId="9" fontId="97" fillId="0" borderId="0" xfId="0" applyNumberFormat="1" applyFont="1" applyAlignment="1">
      <alignment horizontal="center"/>
    </xf>
    <xf numFmtId="0" fontId="0" fillId="0" borderId="68" xfId="0" applyBorder="1"/>
    <xf numFmtId="10" fontId="0" fillId="0" borderId="0" xfId="0" quotePrefix="1" applyNumberFormat="1"/>
    <xf numFmtId="0" fontId="99" fillId="0" borderId="0" xfId="0" applyFont="1" applyAlignment="1">
      <alignment horizontal="center"/>
    </xf>
    <xf numFmtId="5" fontId="97" fillId="0" borderId="0" xfId="0" applyNumberFormat="1" applyFont="1"/>
    <xf numFmtId="6" fontId="94" fillId="0" borderId="0" xfId="0" applyNumberFormat="1" applyFont="1"/>
    <xf numFmtId="5" fontId="94" fillId="0" borderId="0" xfId="0" applyNumberFormat="1" applyFont="1"/>
    <xf numFmtId="6" fontId="0" fillId="2" borderId="0" xfId="0" applyNumberFormat="1" applyFill="1"/>
    <xf numFmtId="0" fontId="65" fillId="0" borderId="53" xfId="36" applyBorder="1" applyAlignment="1">
      <alignment horizontal="center"/>
    </xf>
    <xf numFmtId="0" fontId="101" fillId="7" borderId="19" xfId="36" applyFont="1" applyFill="1" applyBorder="1" applyAlignment="1">
      <alignment horizontal="center"/>
    </xf>
    <xf numFmtId="0" fontId="103" fillId="7" borderId="68" xfId="36" applyFont="1" applyFill="1" applyBorder="1" applyAlignment="1">
      <alignment horizontal="center"/>
    </xf>
    <xf numFmtId="0" fontId="1" fillId="7" borderId="12" xfId="36" applyFont="1" applyFill="1" applyBorder="1" applyAlignment="1">
      <alignment horizontal="left" indent="1"/>
    </xf>
    <xf numFmtId="0" fontId="65" fillId="7" borderId="35" xfId="36" applyFill="1" applyBorder="1"/>
    <xf numFmtId="0" fontId="103" fillId="7" borderId="12" xfId="36" applyFont="1" applyFill="1" applyBorder="1" applyAlignment="1">
      <alignment horizontal="center"/>
    </xf>
    <xf numFmtId="0" fontId="103" fillId="7" borderId="13" xfId="36" applyFont="1" applyFill="1" applyBorder="1" applyAlignment="1">
      <alignment horizontal="center"/>
    </xf>
    <xf numFmtId="0" fontId="103" fillId="7" borderId="35" xfId="36" applyFont="1" applyFill="1" applyBorder="1" applyAlignment="1">
      <alignment horizontal="center"/>
    </xf>
    <xf numFmtId="0" fontId="102" fillId="7" borderId="13" xfId="36" applyFont="1" applyFill="1" applyBorder="1" applyAlignment="1">
      <alignment horizontal="right"/>
    </xf>
    <xf numFmtId="0" fontId="103" fillId="7" borderId="65" xfId="36" applyFont="1" applyFill="1" applyBorder="1" applyAlignment="1">
      <alignment horizontal="center"/>
    </xf>
    <xf numFmtId="0" fontId="0" fillId="0" borderId="53" xfId="0" applyBorder="1"/>
    <xf numFmtId="0" fontId="0" fillId="0" borderId="2" xfId="0" applyBorder="1"/>
    <xf numFmtId="6" fontId="51" fillId="0" borderId="17" xfId="0" applyNumberFormat="1" applyFont="1" applyBorder="1" applyAlignment="1">
      <alignment horizontal="center"/>
    </xf>
    <xf numFmtId="6" fontId="51" fillId="0" borderId="2" xfId="0" applyNumberFormat="1" applyFont="1" applyBorder="1" applyAlignment="1">
      <alignment horizontal="center"/>
    </xf>
    <xf numFmtId="0" fontId="1" fillId="0" borderId="68" xfId="0" applyFont="1" applyBorder="1"/>
    <xf numFmtId="6" fontId="1" fillId="0" borderId="68" xfId="0" applyNumberFormat="1" applyFont="1" applyBorder="1" applyAlignment="1">
      <alignment horizontal="center"/>
    </xf>
    <xf numFmtId="0" fontId="1" fillId="0" borderId="68" xfId="0" applyFont="1" applyBorder="1" applyAlignment="1">
      <alignment horizontal="center"/>
    </xf>
    <xf numFmtId="4" fontId="10" fillId="0" borderId="0" xfId="42" applyNumberFormat="1" applyProtection="1">
      <protection locked="0"/>
    </xf>
    <xf numFmtId="0" fontId="104" fillId="0" borderId="0" xfId="0" applyFont="1"/>
    <xf numFmtId="0" fontId="11" fillId="0" borderId="0" xfId="42" applyFont="1" applyProtection="1">
      <protection locked="0"/>
    </xf>
    <xf numFmtId="10" fontId="0" fillId="0" borderId="12" xfId="0" applyNumberFormat="1" applyBorder="1" applyAlignment="1">
      <alignment horizontal="center"/>
    </xf>
    <xf numFmtId="10" fontId="0" fillId="0" borderId="69" xfId="0" applyNumberFormat="1" applyBorder="1" applyAlignment="1">
      <alignment horizontal="center"/>
    </xf>
    <xf numFmtId="10" fontId="0" fillId="0" borderId="13" xfId="0" quotePrefix="1" applyNumberFormat="1" applyBorder="1" applyAlignment="1">
      <alignment horizontal="center"/>
    </xf>
    <xf numFmtId="0" fontId="105" fillId="0" borderId="0" xfId="0" applyFont="1"/>
    <xf numFmtId="5" fontId="33" fillId="0" borderId="0" xfId="0" applyNumberFormat="1" applyFont="1" applyAlignment="1">
      <alignment horizontal="center"/>
    </xf>
    <xf numFmtId="169" fontId="0" fillId="0" borderId="0" xfId="0" applyNumberFormat="1"/>
    <xf numFmtId="169" fontId="29" fillId="0" borderId="0" xfId="0" applyNumberFormat="1" applyFont="1" applyAlignment="1">
      <alignment horizontal="right"/>
    </xf>
    <xf numFmtId="5" fontId="4" fillId="0" borderId="0" xfId="0" applyNumberFormat="1" applyFont="1"/>
    <xf numFmtId="0" fontId="1" fillId="4" borderId="14" xfId="0" applyFont="1" applyFill="1" applyBorder="1"/>
    <xf numFmtId="0" fontId="1" fillId="4" borderId="14" xfId="0" applyFont="1" applyFill="1" applyBorder="1" applyAlignment="1">
      <alignment horizontal="center"/>
    </xf>
    <xf numFmtId="4" fontId="1" fillId="4" borderId="14" xfId="0" applyNumberFormat="1" applyFont="1" applyFill="1" applyBorder="1" applyAlignment="1">
      <alignment horizontal="center"/>
    </xf>
    <xf numFmtId="0" fontId="0" fillId="4" borderId="0" xfId="0" applyFill="1"/>
    <xf numFmtId="1" fontId="0" fillId="4" borderId="0" xfId="0" applyNumberFormat="1" applyFill="1" applyAlignment="1">
      <alignment horizontal="center"/>
    </xf>
    <xf numFmtId="3" fontId="0" fillId="4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1" fillId="4" borderId="0" xfId="0" applyFont="1" applyFill="1"/>
    <xf numFmtId="1" fontId="1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9" fontId="1" fillId="4" borderId="0" xfId="0" applyNumberFormat="1" applyFont="1" applyFill="1" applyAlignment="1">
      <alignment horizontal="center"/>
    </xf>
    <xf numFmtId="9" fontId="0" fillId="4" borderId="0" xfId="0" applyNumberFormat="1" applyFill="1" applyAlignment="1">
      <alignment horizontal="center"/>
    </xf>
    <xf numFmtId="6" fontId="86" fillId="0" borderId="0" xfId="0" applyNumberFormat="1" applyFont="1" applyAlignment="1">
      <alignment horizontal="right" indent="1"/>
    </xf>
    <xf numFmtId="3" fontId="0" fillId="0" borderId="68" xfId="0" applyNumberFormat="1" applyBorder="1"/>
    <xf numFmtId="0" fontId="1" fillId="0" borderId="70" xfId="0" applyFont="1" applyBorder="1"/>
    <xf numFmtId="0" fontId="1" fillId="0" borderId="71" xfId="0" applyFont="1" applyBorder="1"/>
    <xf numFmtId="6" fontId="1" fillId="0" borderId="72" xfId="0" applyNumberFormat="1" applyFont="1" applyBorder="1"/>
    <xf numFmtId="182" fontId="0" fillId="0" borderId="0" xfId="0" applyNumberFormat="1"/>
    <xf numFmtId="6" fontId="97" fillId="11" borderId="16" xfId="0" applyNumberFormat="1" applyFont="1" applyFill="1" applyBorder="1" applyAlignment="1">
      <alignment horizontal="center"/>
    </xf>
    <xf numFmtId="6" fontId="97" fillId="11" borderId="0" xfId="0" applyNumberFormat="1" applyFont="1" applyFill="1" applyAlignment="1">
      <alignment horizontal="center"/>
    </xf>
    <xf numFmtId="0" fontId="0" fillId="0" borderId="65" xfId="0" applyBorder="1" applyAlignment="1">
      <alignment horizontal="center"/>
    </xf>
    <xf numFmtId="164" fontId="96" fillId="0" borderId="19" xfId="0" applyNumberFormat="1" applyFont="1" applyBorder="1"/>
    <xf numFmtId="164" fontId="91" fillId="0" borderId="0" xfId="0" applyNumberFormat="1" applyFont="1" applyAlignment="1">
      <alignment horizontal="center"/>
    </xf>
    <xf numFmtId="9" fontId="91" fillId="0" borderId="0" xfId="0" applyNumberFormat="1" applyFont="1" applyAlignment="1">
      <alignment horizontal="center"/>
    </xf>
    <xf numFmtId="6" fontId="96" fillId="2" borderId="16" xfId="0" applyNumberFormat="1" applyFont="1" applyFill="1" applyBorder="1" applyAlignment="1">
      <alignment horizontal="center"/>
    </xf>
    <xf numFmtId="6" fontId="96" fillId="2" borderId="0" xfId="0" applyNumberFormat="1" applyFont="1" applyFill="1" applyAlignment="1">
      <alignment horizontal="center"/>
    </xf>
    <xf numFmtId="164" fontId="91" fillId="0" borderId="68" xfId="0" applyNumberFormat="1" applyFont="1" applyBorder="1" applyAlignment="1">
      <alignment horizontal="center"/>
    </xf>
    <xf numFmtId="0" fontId="33" fillId="10" borderId="23" xfId="0" applyFont="1" applyFill="1" applyBorder="1" applyAlignment="1">
      <alignment horizontal="right" vertical="top"/>
    </xf>
    <xf numFmtId="9" fontId="0" fillId="0" borderId="1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42" fontId="0" fillId="42" borderId="12" xfId="0" applyNumberFormat="1" applyFill="1" applyBorder="1"/>
    <xf numFmtId="42" fontId="0" fillId="42" borderId="35" xfId="0" applyNumberFormat="1" applyFill="1" applyBorder="1"/>
    <xf numFmtId="0" fontId="0" fillId="42" borderId="35" xfId="0" applyFill="1" applyBorder="1"/>
    <xf numFmtId="42" fontId="0" fillId="43" borderId="12" xfId="0" applyNumberFormat="1" applyFill="1" applyBorder="1"/>
    <xf numFmtId="42" fontId="0" fillId="43" borderId="35" xfId="0" applyNumberFormat="1" applyFill="1" applyBorder="1"/>
    <xf numFmtId="0" fontId="1" fillId="43" borderId="35" xfId="0" applyFont="1" applyFill="1" applyBorder="1"/>
    <xf numFmtId="0" fontId="0" fillId="43" borderId="35" xfId="0" applyFill="1" applyBorder="1"/>
    <xf numFmtId="42" fontId="0" fillId="8" borderId="12" xfId="0" applyNumberFormat="1" applyFill="1" applyBorder="1"/>
    <xf numFmtId="42" fontId="0" fillId="8" borderId="35" xfId="0" applyNumberFormat="1" applyFill="1" applyBorder="1"/>
    <xf numFmtId="0" fontId="1" fillId="8" borderId="35" xfId="0" applyFont="1" applyFill="1" applyBorder="1"/>
    <xf numFmtId="0" fontId="0" fillId="8" borderId="35" xfId="0" applyFill="1" applyBorder="1"/>
    <xf numFmtId="42" fontId="0" fillId="8" borderId="13" xfId="0" applyNumberFormat="1" applyFill="1" applyBorder="1"/>
    <xf numFmtId="164" fontId="1" fillId="43" borderId="13" xfId="0" applyNumberFormat="1" applyFont="1" applyFill="1" applyBorder="1" applyAlignment="1">
      <alignment horizontal="center"/>
    </xf>
    <xf numFmtId="38" fontId="96" fillId="0" borderId="0" xfId="0" applyNumberFormat="1" applyFont="1"/>
    <xf numFmtId="164" fontId="17" fillId="0" borderId="11" xfId="0" applyNumberFormat="1" applyFont="1" applyBorder="1" applyAlignment="1">
      <alignment horizontal="right" indent="1"/>
    </xf>
    <xf numFmtId="42" fontId="17" fillId="0" borderId="18" xfId="0" applyNumberFormat="1" applyFont="1" applyBorder="1" applyAlignment="1">
      <alignment horizontal="right" indent="1"/>
    </xf>
    <xf numFmtId="42" fontId="17" fillId="0" borderId="11" xfId="0" applyNumberFormat="1" applyFont="1" applyBorder="1" applyAlignment="1">
      <alignment horizontal="right" indent="1"/>
    </xf>
    <xf numFmtId="9" fontId="17" fillId="0" borderId="0" xfId="0" applyNumberFormat="1" applyFont="1" applyAlignment="1">
      <alignment horizontal="center"/>
    </xf>
    <xf numFmtId="167" fontId="19" fillId="0" borderId="0" xfId="0" applyNumberFormat="1" applyFont="1"/>
    <xf numFmtId="9" fontId="1" fillId="0" borderId="0" xfId="0" applyNumberFormat="1" applyFont="1" applyAlignment="1">
      <alignment horizontal="center"/>
    </xf>
    <xf numFmtId="165" fontId="25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center"/>
    </xf>
    <xf numFmtId="2" fontId="1" fillId="8" borderId="0" xfId="0" applyNumberFormat="1" applyFont="1" applyFill="1" applyAlignment="1">
      <alignment horizontal="center"/>
    </xf>
    <xf numFmtId="39" fontId="1" fillId="0" borderId="0" xfId="0" applyNumberFormat="1" applyFont="1" applyAlignment="1">
      <alignment horizontal="center"/>
    </xf>
    <xf numFmtId="39" fontId="1" fillId="8" borderId="0" xfId="0" applyNumberFormat="1" applyFont="1" applyFill="1" applyAlignment="1">
      <alignment horizontal="center"/>
    </xf>
    <xf numFmtId="0" fontId="96" fillId="0" borderId="0" xfId="0" applyFont="1" applyAlignment="1">
      <alignment horizontal="left"/>
    </xf>
    <xf numFmtId="0" fontId="19" fillId="0" borderId="0" xfId="0" applyFont="1" applyAlignment="1">
      <alignment horizontal="right"/>
    </xf>
    <xf numFmtId="42" fontId="1" fillId="42" borderId="13" xfId="0" applyNumberFormat="1" applyFont="1" applyFill="1" applyBorder="1"/>
    <xf numFmtId="42" fontId="1" fillId="0" borderId="0" xfId="1" applyNumberFormat="1" applyFont="1"/>
    <xf numFmtId="0" fontId="0" fillId="45" borderId="0" xfId="0" applyFill="1" applyAlignment="1">
      <alignment horizontal="center"/>
    </xf>
    <xf numFmtId="10" fontId="0" fillId="45" borderId="0" xfId="0" applyNumberFormat="1" applyFill="1"/>
    <xf numFmtId="9" fontId="0" fillId="45" borderId="0" xfId="0" applyNumberFormat="1" applyFill="1" applyAlignment="1">
      <alignment horizontal="center"/>
    </xf>
    <xf numFmtId="3" fontId="0" fillId="45" borderId="0" xfId="0" applyNumberFormat="1" applyFill="1" applyAlignment="1">
      <alignment horizontal="center"/>
    </xf>
    <xf numFmtId="6" fontId="0" fillId="45" borderId="0" xfId="0" applyNumberFormat="1" applyFill="1"/>
    <xf numFmtId="8" fontId="0" fillId="45" borderId="0" xfId="0" applyNumberFormat="1" applyFill="1" applyAlignment="1">
      <alignment horizontal="center"/>
    </xf>
    <xf numFmtId="0" fontId="0" fillId="45" borderId="0" xfId="0" applyFill="1"/>
    <xf numFmtId="0" fontId="0" fillId="46" borderId="0" xfId="0" applyFill="1" applyAlignment="1">
      <alignment horizontal="center"/>
    </xf>
    <xf numFmtId="10" fontId="0" fillId="46" borderId="0" xfId="0" applyNumberFormat="1" applyFill="1"/>
    <xf numFmtId="9" fontId="0" fillId="46" borderId="0" xfId="0" applyNumberFormat="1" applyFill="1" applyAlignment="1">
      <alignment horizontal="center"/>
    </xf>
    <xf numFmtId="3" fontId="0" fillId="46" borderId="0" xfId="0" applyNumberFormat="1" applyFill="1" applyAlignment="1">
      <alignment horizontal="center"/>
    </xf>
    <xf numFmtId="6" fontId="0" fillId="46" borderId="0" xfId="0" applyNumberFormat="1" applyFill="1"/>
    <xf numFmtId="8" fontId="0" fillId="46" borderId="0" xfId="0" applyNumberFormat="1" applyFill="1" applyAlignment="1">
      <alignment horizontal="center"/>
    </xf>
    <xf numFmtId="0" fontId="0" fillId="46" borderId="0" xfId="0" applyFill="1"/>
    <xf numFmtId="0" fontId="0" fillId="10" borderId="73" xfId="0" applyFill="1" applyBorder="1" applyAlignment="1">
      <alignment horizontal="center"/>
    </xf>
    <xf numFmtId="10" fontId="0" fillId="10" borderId="73" xfId="0" applyNumberFormat="1" applyFill="1" applyBorder="1"/>
    <xf numFmtId="9" fontId="17" fillId="10" borderId="73" xfId="0" applyNumberFormat="1" applyFont="1" applyFill="1" applyBorder="1" applyAlignment="1">
      <alignment horizontal="center"/>
    </xf>
    <xf numFmtId="3" fontId="0" fillId="10" borderId="73" xfId="0" applyNumberFormat="1" applyFill="1" applyBorder="1" applyAlignment="1">
      <alignment horizontal="center"/>
    </xf>
    <xf numFmtId="6" fontId="0" fillId="10" borderId="73" xfId="0" applyNumberFormat="1" applyFill="1" applyBorder="1"/>
    <xf numFmtId="8" fontId="0" fillId="10" borderId="73" xfId="0" applyNumberFormat="1" applyFill="1" applyBorder="1" applyAlignment="1">
      <alignment horizontal="center"/>
    </xf>
    <xf numFmtId="0" fontId="0" fillId="10" borderId="73" xfId="0" applyFill="1" applyBorder="1"/>
    <xf numFmtId="0" fontId="0" fillId="10" borderId="0" xfId="0" applyFill="1" applyAlignment="1">
      <alignment horizontal="center"/>
    </xf>
    <xf numFmtId="0" fontId="0" fillId="10" borderId="0" xfId="0" applyFill="1"/>
    <xf numFmtId="9" fontId="17" fillId="10" borderId="0" xfId="0" applyNumberFormat="1" applyFont="1" applyFill="1" applyAlignment="1">
      <alignment horizontal="center"/>
    </xf>
    <xf numFmtId="3" fontId="0" fillId="10" borderId="0" xfId="0" applyNumberFormat="1" applyFill="1" applyAlignment="1">
      <alignment horizontal="center"/>
    </xf>
    <xf numFmtId="6" fontId="0" fillId="10" borderId="0" xfId="0" applyNumberFormat="1" applyFill="1"/>
    <xf numFmtId="8" fontId="0" fillId="10" borderId="0" xfId="0" applyNumberFormat="1" applyFill="1" applyAlignment="1">
      <alignment horizontal="center"/>
    </xf>
    <xf numFmtId="6" fontId="96" fillId="8" borderId="18" xfId="0" applyNumberFormat="1" applyFont="1" applyFill="1" applyBorder="1" applyAlignment="1">
      <alignment horizontal="center"/>
    </xf>
    <xf numFmtId="6" fontId="96" fillId="8" borderId="53" xfId="0" applyNumberFormat="1" applyFont="1" applyFill="1" applyBorder="1" applyAlignment="1">
      <alignment horizontal="center"/>
    </xf>
    <xf numFmtId="1" fontId="0" fillId="8" borderId="0" xfId="0" applyNumberFormat="1" applyFill="1" applyAlignment="1">
      <alignment horizontal="center"/>
    </xf>
    <xf numFmtId="3" fontId="0" fillId="8" borderId="0" xfId="0" applyNumberFormat="1" applyFill="1" applyAlignment="1">
      <alignment horizontal="center"/>
    </xf>
    <xf numFmtId="164" fontId="0" fillId="8" borderId="0" xfId="0" applyNumberFormat="1" applyFill="1" applyAlignment="1">
      <alignment horizontal="center"/>
    </xf>
    <xf numFmtId="0" fontId="0" fillId="42" borderId="0" xfId="0" applyFill="1"/>
    <xf numFmtId="1" fontId="0" fillId="42" borderId="0" xfId="0" applyNumberFormat="1" applyFill="1" applyAlignment="1">
      <alignment horizontal="center"/>
    </xf>
    <xf numFmtId="3" fontId="0" fillId="42" borderId="0" xfId="0" applyNumberFormat="1" applyFill="1" applyAlignment="1">
      <alignment horizontal="center"/>
    </xf>
    <xf numFmtId="164" fontId="0" fillId="42" borderId="0" xfId="0" applyNumberFormat="1" applyFill="1" applyAlignment="1">
      <alignment horizontal="center"/>
    </xf>
    <xf numFmtId="0" fontId="0" fillId="10" borderId="68" xfId="0" applyFill="1" applyBorder="1"/>
    <xf numFmtId="1" fontId="0" fillId="10" borderId="68" xfId="0" applyNumberFormat="1" applyFill="1" applyBorder="1" applyAlignment="1">
      <alignment horizontal="center"/>
    </xf>
    <xf numFmtId="0" fontId="0" fillId="10" borderId="68" xfId="0" applyFill="1" applyBorder="1" applyAlignment="1">
      <alignment horizontal="center"/>
    </xf>
    <xf numFmtId="164" fontId="0" fillId="10" borderId="14" xfId="0" applyNumberFormat="1" applyFill="1" applyBorder="1" applyAlignment="1">
      <alignment horizontal="center"/>
    </xf>
    <xf numFmtId="165" fontId="1" fillId="0" borderId="0" xfId="0" applyNumberFormat="1" applyFont="1"/>
    <xf numFmtId="164" fontId="0" fillId="10" borderId="68" xfId="0" applyNumberFormat="1" applyFill="1" applyBorder="1" applyAlignment="1">
      <alignment horizontal="center"/>
    </xf>
    <xf numFmtId="0" fontId="32" fillId="0" borderId="0" xfId="0" applyFont="1" applyAlignment="1">
      <alignment horizontal="right"/>
    </xf>
    <xf numFmtId="6" fontId="1" fillId="45" borderId="0" xfId="0" applyNumberFormat="1" applyFont="1" applyFill="1"/>
    <xf numFmtId="6" fontId="1" fillId="46" borderId="0" xfId="0" applyNumberFormat="1" applyFont="1" applyFill="1"/>
    <xf numFmtId="6" fontId="1" fillId="10" borderId="73" xfId="0" applyNumberFormat="1" applyFont="1" applyFill="1" applyBorder="1"/>
    <xf numFmtId="6" fontId="1" fillId="10" borderId="0" xfId="0" applyNumberFormat="1" applyFont="1" applyFill="1"/>
    <xf numFmtId="3" fontId="1" fillId="45" borderId="0" xfId="0" applyNumberFormat="1" applyFont="1" applyFill="1" applyAlignment="1">
      <alignment horizontal="center"/>
    </xf>
    <xf numFmtId="3" fontId="1" fillId="46" borderId="0" xfId="0" applyNumberFormat="1" applyFont="1" applyFill="1" applyAlignment="1">
      <alignment horizontal="center"/>
    </xf>
    <xf numFmtId="3" fontId="1" fillId="44" borderId="0" xfId="0" applyNumberFormat="1" applyFont="1" applyFill="1" applyAlignment="1">
      <alignment horizontal="center"/>
    </xf>
    <xf numFmtId="3" fontId="1" fillId="10" borderId="73" xfId="0" applyNumberFormat="1" applyFont="1" applyFill="1" applyBorder="1" applyAlignment="1">
      <alignment horizontal="center"/>
    </xf>
    <xf numFmtId="3" fontId="1" fillId="10" borderId="0" xfId="0" applyNumberFormat="1" applyFont="1" applyFill="1" applyAlignment="1">
      <alignment horizontal="center"/>
    </xf>
    <xf numFmtId="14" fontId="97" fillId="0" borderId="0" xfId="0" quotePrefix="1" applyNumberFormat="1" applyFont="1" applyAlignment="1">
      <alignment horizontal="left"/>
    </xf>
    <xf numFmtId="164" fontId="37" fillId="0" borderId="2" xfId="36" applyNumberFormat="1" applyFont="1" applyBorder="1" applyAlignment="1">
      <alignment horizontal="center"/>
    </xf>
    <xf numFmtId="0" fontId="17" fillId="0" borderId="0" xfId="0" applyFont="1" applyAlignment="1">
      <alignment horizontal="left" indent="1"/>
    </xf>
    <xf numFmtId="169" fontId="106" fillId="10" borderId="23" xfId="0" applyNumberFormat="1" applyFont="1" applyFill="1" applyBorder="1" applyAlignment="1">
      <alignment horizontal="right" vertical="top"/>
    </xf>
    <xf numFmtId="5" fontId="106" fillId="10" borderId="23" xfId="0" applyNumberFormat="1" applyFont="1" applyFill="1" applyBorder="1" applyAlignment="1">
      <alignment horizontal="right" vertical="top"/>
    </xf>
    <xf numFmtId="5" fontId="1" fillId="10" borderId="10" xfId="0" applyNumberFormat="1" applyFont="1" applyFill="1" applyBorder="1" applyAlignment="1">
      <alignment horizontal="right"/>
    </xf>
    <xf numFmtId="5" fontId="1" fillId="10" borderId="19" xfId="0" applyNumberFormat="1" applyFont="1" applyFill="1" applyBorder="1" applyAlignment="1">
      <alignment horizontal="right"/>
    </xf>
    <xf numFmtId="6" fontId="100" fillId="0" borderId="0" xfId="36" applyNumberFormat="1" applyFont="1"/>
    <xf numFmtId="0" fontId="100" fillId="0" borderId="0" xfId="36" applyFont="1"/>
    <xf numFmtId="0" fontId="0" fillId="0" borderId="1" xfId="0" applyBorder="1"/>
    <xf numFmtId="42" fontId="1" fillId="0" borderId="66" xfId="36" applyNumberFormat="1" applyFont="1" applyBorder="1"/>
    <xf numFmtId="177" fontId="83" fillId="0" borderId="0" xfId="36" applyNumberFormat="1" applyFont="1"/>
    <xf numFmtId="43" fontId="17" fillId="0" borderId="0" xfId="36" applyNumberFormat="1" applyFont="1" applyAlignment="1">
      <alignment horizontal="left"/>
    </xf>
    <xf numFmtId="5" fontId="0" fillId="0" borderId="21" xfId="1" applyNumberFormat="1" applyFont="1" applyFill="1" applyBorder="1" applyProtection="1">
      <protection locked="0"/>
    </xf>
    <xf numFmtId="0" fontId="6" fillId="0" borderId="0" xfId="0" applyFont="1"/>
    <xf numFmtId="0" fontId="0" fillId="0" borderId="70" xfId="0" applyBorder="1"/>
    <xf numFmtId="0" fontId="0" fillId="0" borderId="71" xfId="0" applyBorder="1"/>
    <xf numFmtId="42" fontId="0" fillId="0" borderId="71" xfId="0" applyNumberFormat="1" applyBorder="1"/>
    <xf numFmtId="42" fontId="0" fillId="0" borderId="72" xfId="0" applyNumberFormat="1" applyBorder="1"/>
    <xf numFmtId="42" fontId="0" fillId="0" borderId="53" xfId="0" applyNumberFormat="1" applyBorder="1"/>
    <xf numFmtId="5" fontId="0" fillId="0" borderId="68" xfId="0" applyNumberFormat="1" applyBorder="1"/>
    <xf numFmtId="5" fontId="0" fillId="0" borderId="20" xfId="0" applyNumberFormat="1" applyBorder="1"/>
    <xf numFmtId="0" fontId="0" fillId="0" borderId="70" xfId="0" applyBorder="1" applyAlignment="1">
      <alignment horizontal="left" indent="1"/>
    </xf>
    <xf numFmtId="0" fontId="0" fillId="0" borderId="66" xfId="0" applyBorder="1" applyAlignment="1">
      <alignment horizontal="left" indent="1"/>
    </xf>
    <xf numFmtId="0" fontId="0" fillId="0" borderId="19" xfId="0" applyBorder="1" applyAlignment="1">
      <alignment horizontal="left" indent="1"/>
    </xf>
    <xf numFmtId="9" fontId="108" fillId="10" borderId="65" xfId="0" applyNumberFormat="1" applyFont="1" applyFill="1" applyBorder="1" applyAlignment="1">
      <alignment horizontal="center"/>
    </xf>
    <xf numFmtId="0" fontId="1" fillId="0" borderId="66" xfId="36" applyFont="1" applyBorder="1" applyAlignment="1">
      <alignment horizontal="center"/>
    </xf>
    <xf numFmtId="42" fontId="109" fillId="0" borderId="0" xfId="36" applyNumberFormat="1" applyFont="1"/>
    <xf numFmtId="5" fontId="17" fillId="0" borderId="0" xfId="0" applyNumberFormat="1" applyFont="1"/>
    <xf numFmtId="0" fontId="6" fillId="0" borderId="70" xfId="0" applyFont="1" applyBorder="1" applyAlignment="1">
      <alignment horizontal="left" indent="1"/>
    </xf>
    <xf numFmtId="0" fontId="0" fillId="0" borderId="19" xfId="0" applyBorder="1" applyAlignment="1">
      <alignment horizontal="left" indent="4"/>
    </xf>
    <xf numFmtId="167" fontId="0" fillId="0" borderId="72" xfId="0" applyNumberFormat="1" applyBorder="1" applyAlignment="1">
      <alignment horizontal="right" indent="1"/>
    </xf>
    <xf numFmtId="167" fontId="0" fillId="0" borderId="53" xfId="0" applyNumberFormat="1" applyBorder="1" applyAlignment="1">
      <alignment horizontal="right" indent="1"/>
    </xf>
    <xf numFmtId="167" fontId="6" fillId="0" borderId="53" xfId="0" applyNumberFormat="1" applyFont="1" applyBorder="1" applyAlignment="1">
      <alignment horizontal="right" indent="1"/>
    </xf>
    <xf numFmtId="167" fontId="0" fillId="0" borderId="20" xfId="0" applyNumberFormat="1" applyBorder="1" applyAlignment="1">
      <alignment horizontal="right" indent="1"/>
    </xf>
    <xf numFmtId="167" fontId="17" fillId="0" borderId="0" xfId="0" applyNumberFormat="1" applyFont="1"/>
    <xf numFmtId="170" fontId="110" fillId="0" borderId="0" xfId="0" applyNumberFormat="1" applyFont="1"/>
    <xf numFmtId="182" fontId="0" fillId="0" borderId="0" xfId="0" applyNumberFormat="1" applyAlignment="1">
      <alignment horizontal="center"/>
    </xf>
    <xf numFmtId="14" fontId="112" fillId="0" borderId="0" xfId="0" applyNumberFormat="1" applyFont="1" applyAlignment="1">
      <alignment horizontal="center"/>
    </xf>
    <xf numFmtId="170" fontId="113" fillId="0" borderId="0" xfId="0" applyNumberFormat="1" applyFont="1"/>
    <xf numFmtId="0" fontId="114" fillId="0" borderId="0" xfId="0" applyFont="1"/>
    <xf numFmtId="0" fontId="111" fillId="0" borderId="0" xfId="0" applyFont="1" applyAlignment="1">
      <alignment horizontal="left" indent="2"/>
    </xf>
    <xf numFmtId="9" fontId="115" fillId="0" borderId="0" xfId="0" applyNumberFormat="1" applyFont="1" applyAlignment="1">
      <alignment horizontal="center"/>
    </xf>
    <xf numFmtId="0" fontId="81" fillId="0" borderId="0" xfId="0" applyFont="1" applyAlignment="1">
      <alignment horizontal="center"/>
    </xf>
    <xf numFmtId="0" fontId="81" fillId="9" borderId="0" xfId="0" applyFont="1" applyFill="1" applyAlignment="1">
      <alignment horizontal="center"/>
    </xf>
    <xf numFmtId="0" fontId="116" fillId="0" borderId="0" xfId="0" applyFont="1" applyAlignment="1">
      <alignment horizontal="center"/>
    </xf>
    <xf numFmtId="0" fontId="86" fillId="0" borderId="12" xfId="0" applyFont="1" applyBorder="1"/>
    <xf numFmtId="164" fontId="117" fillId="9" borderId="35" xfId="0" applyNumberFormat="1" applyFont="1" applyFill="1" applyBorder="1" applyAlignment="1">
      <alignment horizontal="center"/>
    </xf>
    <xf numFmtId="164" fontId="117" fillId="0" borderId="35" xfId="0" applyNumberFormat="1" applyFont="1" applyBorder="1" applyAlignment="1">
      <alignment horizontal="center"/>
    </xf>
    <xf numFmtId="164" fontId="117" fillId="0" borderId="13" xfId="0" applyNumberFormat="1" applyFont="1" applyBorder="1" applyAlignment="1">
      <alignment horizontal="center"/>
    </xf>
    <xf numFmtId="0" fontId="118" fillId="0" borderId="0" xfId="0" applyFont="1" applyAlignment="1">
      <alignment horizontal="center"/>
    </xf>
    <xf numFmtId="17" fontId="118" fillId="9" borderId="0" xfId="0" applyNumberFormat="1" applyFont="1" applyFill="1" applyAlignment="1">
      <alignment horizontal="center"/>
    </xf>
    <xf numFmtId="17" fontId="119" fillId="0" borderId="0" xfId="0" applyNumberFormat="1" applyFont="1" applyAlignment="1">
      <alignment horizontal="center"/>
    </xf>
    <xf numFmtId="17" fontId="118" fillId="0" borderId="0" xfId="0" applyNumberFormat="1" applyFont="1" applyAlignment="1">
      <alignment horizontal="center"/>
    </xf>
    <xf numFmtId="0" fontId="120" fillId="0" borderId="0" xfId="0" applyFont="1" applyAlignment="1">
      <alignment horizontal="center"/>
    </xf>
    <xf numFmtId="167" fontId="99" fillId="9" borderId="0" xfId="38" applyNumberFormat="1" applyFont="1" applyFill="1"/>
    <xf numFmtId="167" fontId="99" fillId="0" borderId="0" xfId="38" applyNumberFormat="1" applyFont="1" applyFill="1"/>
    <xf numFmtId="167" fontId="1" fillId="0" borderId="0" xfId="38" applyNumberFormat="1" applyFont="1"/>
    <xf numFmtId="167" fontId="121" fillId="9" borderId="0" xfId="38" applyNumberFormat="1" applyFont="1" applyFill="1" applyAlignment="1">
      <alignment horizontal="right"/>
    </xf>
    <xf numFmtId="184" fontId="121" fillId="0" borderId="0" xfId="38" applyNumberFormat="1" applyFont="1" applyFill="1" applyAlignment="1">
      <alignment horizontal="center"/>
    </xf>
    <xf numFmtId="184" fontId="122" fillId="0" borderId="0" xfId="38" applyNumberFormat="1" applyFont="1" applyFill="1" applyAlignment="1">
      <alignment horizontal="left" indent="1"/>
    </xf>
    <xf numFmtId="167" fontId="0" fillId="0" borderId="0" xfId="38" applyNumberFormat="1" applyFont="1"/>
    <xf numFmtId="0" fontId="123" fillId="0" borderId="0" xfId="0" applyFont="1" applyAlignment="1">
      <alignment horizontal="left" indent="2"/>
    </xf>
    <xf numFmtId="167" fontId="99" fillId="48" borderId="0" xfId="38" applyNumberFormat="1" applyFont="1" applyFill="1"/>
    <xf numFmtId="167" fontId="99" fillId="7" borderId="0" xfId="38" applyNumberFormat="1" applyFont="1" applyFill="1"/>
    <xf numFmtId="167" fontId="1" fillId="7" borderId="0" xfId="38" applyNumberFormat="1" applyFont="1" applyFill="1"/>
    <xf numFmtId="0" fontId="123" fillId="0" borderId="0" xfId="0" applyFont="1" applyAlignment="1">
      <alignment horizontal="left" indent="1"/>
    </xf>
    <xf numFmtId="0" fontId="123" fillId="0" borderId="0" xfId="0" applyFont="1" applyAlignment="1">
      <alignment horizontal="left" indent="3"/>
    </xf>
    <xf numFmtId="170" fontId="125" fillId="0" borderId="0" xfId="0" applyNumberFormat="1" applyFont="1"/>
    <xf numFmtId="167" fontId="94" fillId="0" borderId="0" xfId="38" applyNumberFormat="1" applyFont="1" applyFill="1"/>
    <xf numFmtId="167" fontId="0" fillId="0" borderId="0" xfId="38" applyNumberFormat="1" applyFont="1" applyFill="1"/>
    <xf numFmtId="167" fontId="9" fillId="0" borderId="0" xfId="38" applyNumberFormat="1" applyFont="1"/>
    <xf numFmtId="167" fontId="0" fillId="9" borderId="0" xfId="0" applyNumberFormat="1" applyFill="1"/>
    <xf numFmtId="0" fontId="29" fillId="0" borderId="70" xfId="0" applyFont="1" applyBorder="1" applyAlignment="1">
      <alignment horizontal="left" indent="1"/>
    </xf>
    <xf numFmtId="0" fontId="5" fillId="0" borderId="71" xfId="0" applyFont="1" applyBorder="1"/>
    <xf numFmtId="167" fontId="126" fillId="9" borderId="71" xfId="38" applyNumberFormat="1" applyFont="1" applyFill="1" applyBorder="1"/>
    <xf numFmtId="167" fontId="29" fillId="0" borderId="71" xfId="38" applyNumberFormat="1" applyFont="1" applyFill="1" applyBorder="1"/>
    <xf numFmtId="167" fontId="29" fillId="0" borderId="71" xfId="38" applyNumberFormat="1" applyFont="1" applyBorder="1"/>
    <xf numFmtId="167" fontId="29" fillId="0" borderId="72" xfId="38" applyNumberFormat="1" applyFont="1" applyBorder="1"/>
    <xf numFmtId="0" fontId="29" fillId="0" borderId="66" xfId="0" applyFont="1" applyBorder="1" applyAlignment="1">
      <alignment horizontal="left" indent="1"/>
    </xf>
    <xf numFmtId="167" fontId="126" fillId="9" borderId="0" xfId="38" applyNumberFormat="1" applyFont="1" applyFill="1" applyBorder="1"/>
    <xf numFmtId="167" fontId="29" fillId="0" borderId="0" xfId="38" applyNumberFormat="1" applyFont="1" applyFill="1" applyBorder="1"/>
    <xf numFmtId="167" fontId="29" fillId="0" borderId="0" xfId="38" applyNumberFormat="1" applyFont="1" applyBorder="1"/>
    <xf numFmtId="167" fontId="29" fillId="0" borderId="53" xfId="38" applyNumberFormat="1" applyFont="1" applyBorder="1"/>
    <xf numFmtId="0" fontId="29" fillId="0" borderId="19" xfId="0" applyFont="1" applyBorder="1" applyAlignment="1">
      <alignment horizontal="left" indent="1"/>
    </xf>
    <xf numFmtId="0" fontId="5" fillId="0" borderId="68" xfId="0" applyFont="1" applyBorder="1"/>
    <xf numFmtId="167" fontId="126" fillId="9" borderId="68" xfId="38" applyNumberFormat="1" applyFont="1" applyFill="1" applyBorder="1"/>
    <xf numFmtId="167" fontId="29" fillId="0" borderId="68" xfId="38" applyNumberFormat="1" applyFont="1" applyFill="1" applyBorder="1"/>
    <xf numFmtId="167" fontId="29" fillId="0" borderId="68" xfId="38" applyNumberFormat="1" applyFont="1" applyBorder="1"/>
    <xf numFmtId="167" fontId="29" fillId="0" borderId="20" xfId="38" applyNumberFormat="1" applyFont="1" applyBorder="1"/>
    <xf numFmtId="167" fontId="94" fillId="0" borderId="0" xfId="38" applyNumberFormat="1" applyFont="1" applyFill="1" applyBorder="1"/>
    <xf numFmtId="167" fontId="0" fillId="0" borderId="0" xfId="38" applyNumberFormat="1" applyFont="1" applyBorder="1"/>
    <xf numFmtId="167" fontId="0" fillId="0" borderId="0" xfId="38" applyNumberFormat="1" applyFont="1" applyFill="1" applyBorder="1"/>
    <xf numFmtId="167" fontId="94" fillId="0" borderId="0" xfId="38" applyNumberFormat="1" applyFont="1" applyBorder="1"/>
    <xf numFmtId="0" fontId="44" fillId="0" borderId="0" xfId="0" applyFont="1"/>
    <xf numFmtId="0" fontId="44" fillId="0" borderId="0" xfId="0" applyFont="1" applyAlignment="1">
      <alignment horizontal="left" indent="2"/>
    </xf>
    <xf numFmtId="185" fontId="0" fillId="0" borderId="0" xfId="0" applyNumberFormat="1"/>
    <xf numFmtId="42" fontId="111" fillId="0" borderId="0" xfId="0" applyNumberFormat="1" applyFont="1" applyAlignment="1">
      <alignment horizontal="right"/>
    </xf>
    <xf numFmtId="0" fontId="129" fillId="0" borderId="0" xfId="36" applyFont="1"/>
    <xf numFmtId="0" fontId="130" fillId="0" borderId="0" xfId="0" applyFont="1"/>
    <xf numFmtId="44" fontId="0" fillId="0" borderId="0" xfId="71" applyFont="1"/>
    <xf numFmtId="44" fontId="107" fillId="0" borderId="0" xfId="71" applyFont="1" applyAlignment="1">
      <alignment horizontal="right"/>
    </xf>
    <xf numFmtId="0" fontId="131" fillId="0" borderId="0" xfId="0" applyFont="1"/>
    <xf numFmtId="44" fontId="14" fillId="0" borderId="0" xfId="71" applyFont="1"/>
    <xf numFmtId="44" fontId="132" fillId="0" borderId="0" xfId="71" applyFont="1"/>
    <xf numFmtId="14" fontId="7" fillId="0" borderId="0" xfId="71" applyNumberFormat="1" applyFont="1" applyAlignment="1">
      <alignment horizontal="right"/>
    </xf>
    <xf numFmtId="44" fontId="132" fillId="0" borderId="0" xfId="71" applyFont="1" applyAlignment="1">
      <alignment horizontal="center"/>
    </xf>
    <xf numFmtId="44" fontId="0" fillId="0" borderId="70" xfId="71" applyFont="1" applyBorder="1"/>
    <xf numFmtId="44" fontId="133" fillId="11" borderId="74" xfId="71" applyFont="1" applyFill="1" applyBorder="1" applyAlignment="1">
      <alignment horizontal="center"/>
    </xf>
    <xf numFmtId="44" fontId="132" fillId="0" borderId="71" xfId="71" applyFont="1" applyBorder="1" applyAlignment="1">
      <alignment horizontal="center"/>
    </xf>
    <xf numFmtId="44" fontId="133" fillId="0" borderId="74" xfId="71" applyFont="1" applyBorder="1" applyAlignment="1">
      <alignment horizontal="center"/>
    </xf>
    <xf numFmtId="44" fontId="133" fillId="0" borderId="71" xfId="71" applyFont="1" applyBorder="1"/>
    <xf numFmtId="44" fontId="132" fillId="0" borderId="74" xfId="71" applyFont="1" applyBorder="1" applyAlignment="1">
      <alignment horizontal="center"/>
    </xf>
    <xf numFmtId="44" fontId="0" fillId="0" borderId="66" xfId="71" applyFont="1" applyBorder="1"/>
    <xf numFmtId="44" fontId="132" fillId="11" borderId="2" xfId="71" applyFont="1" applyFill="1" applyBorder="1" applyAlignment="1">
      <alignment horizontal="center"/>
    </xf>
    <xf numFmtId="44" fontId="132" fillId="0" borderId="2" xfId="71" applyFont="1" applyBorder="1" applyAlignment="1">
      <alignment horizontal="center"/>
    </xf>
    <xf numFmtId="44" fontId="0" fillId="0" borderId="2" xfId="71" applyFont="1" applyBorder="1"/>
    <xf numFmtId="44" fontId="1" fillId="0" borderId="2" xfId="71" applyFont="1" applyBorder="1"/>
    <xf numFmtId="0" fontId="134" fillId="0" borderId="2" xfId="0" applyFont="1" applyBorder="1" applyAlignment="1">
      <alignment horizontal="center"/>
    </xf>
    <xf numFmtId="44" fontId="134" fillId="0" borderId="0" xfId="71" applyFont="1" applyBorder="1" applyAlignment="1">
      <alignment horizontal="center"/>
    </xf>
    <xf numFmtId="44" fontId="0" fillId="11" borderId="2" xfId="71" applyFont="1" applyFill="1" applyBorder="1"/>
    <xf numFmtId="0" fontId="133" fillId="0" borderId="2" xfId="0" applyFont="1" applyBorder="1" applyAlignment="1">
      <alignment horizontal="left"/>
    </xf>
    <xf numFmtId="44" fontId="133" fillId="0" borderId="0" xfId="71" applyFont="1" applyBorder="1" applyAlignment="1">
      <alignment horizontal="left"/>
    </xf>
    <xf numFmtId="0" fontId="52" fillId="0" borderId="2" xfId="0" applyFont="1" applyBorder="1"/>
    <xf numFmtId="44" fontId="0" fillId="0" borderId="0" xfId="71" applyFont="1" applyBorder="1"/>
    <xf numFmtId="0" fontId="0" fillId="42" borderId="2" xfId="0" applyFill="1" applyBorder="1"/>
    <xf numFmtId="44" fontId="0" fillId="42" borderId="0" xfId="71" applyFont="1" applyFill="1"/>
    <xf numFmtId="44" fontId="0" fillId="42" borderId="2" xfId="71" applyFont="1" applyFill="1" applyBorder="1"/>
    <xf numFmtId="44" fontId="44" fillId="0" borderId="0" xfId="0" applyNumberFormat="1" applyFont="1"/>
    <xf numFmtId="37" fontId="0" fillId="0" borderId="0" xfId="0" applyNumberFormat="1"/>
    <xf numFmtId="39" fontId="44" fillId="0" borderId="0" xfId="0" applyNumberFormat="1" applyFont="1"/>
    <xf numFmtId="0" fontId="134" fillId="0" borderId="19" xfId="0" applyFont="1" applyBorder="1" applyAlignment="1">
      <alignment horizontal="center"/>
    </xf>
    <xf numFmtId="44" fontId="134" fillId="0" borderId="19" xfId="71" applyFont="1" applyBorder="1" applyAlignment="1">
      <alignment horizontal="center"/>
    </xf>
    <xf numFmtId="44" fontId="1" fillId="11" borderId="1" xfId="71" applyFont="1" applyFill="1" applyBorder="1"/>
    <xf numFmtId="44" fontId="1" fillId="0" borderId="68" xfId="71" applyFont="1" applyBorder="1"/>
    <xf numFmtId="44" fontId="1" fillId="0" borderId="1" xfId="71" applyFont="1" applyBorder="1"/>
    <xf numFmtId="37" fontId="1" fillId="0" borderId="0" xfId="0" applyNumberFormat="1" applyFont="1"/>
    <xf numFmtId="44" fontId="1" fillId="2" borderId="0" xfId="0" applyNumberFormat="1" applyFont="1" applyFill="1"/>
    <xf numFmtId="0" fontId="0" fillId="0" borderId="74" xfId="0" applyBorder="1"/>
    <xf numFmtId="44" fontId="134" fillId="0" borderId="2" xfId="71" applyFont="1" applyBorder="1" applyAlignment="1">
      <alignment horizontal="center"/>
    </xf>
    <xf numFmtId="0" fontId="133" fillId="0" borderId="2" xfId="0" applyFont="1" applyBorder="1"/>
    <xf numFmtId="44" fontId="133" fillId="0" borderId="2" xfId="71" applyFont="1" applyBorder="1"/>
    <xf numFmtId="0" fontId="52" fillId="42" borderId="2" xfId="0" applyFont="1" applyFill="1" applyBorder="1"/>
    <xf numFmtId="44" fontId="52" fillId="42" borderId="2" xfId="71" applyFill="1" applyBorder="1"/>
    <xf numFmtId="44" fontId="52" fillId="42" borderId="2" xfId="71" applyFont="1" applyFill="1" applyBorder="1"/>
    <xf numFmtId="44" fontId="107" fillId="42" borderId="2" xfId="71" applyFont="1" applyFill="1" applyBorder="1"/>
    <xf numFmtId="44" fontId="107" fillId="11" borderId="2" xfId="71" applyFont="1" applyFill="1" applyBorder="1"/>
    <xf numFmtId="44" fontId="52" fillId="0" borderId="2" xfId="71" applyBorder="1"/>
    <xf numFmtId="186" fontId="0" fillId="0" borderId="0" xfId="0" applyNumberFormat="1"/>
    <xf numFmtId="186" fontId="0" fillId="8" borderId="0" xfId="0" applyNumberFormat="1" applyFill="1"/>
    <xf numFmtId="167" fontId="0" fillId="8" borderId="0" xfId="0" applyNumberFormat="1" applyFill="1"/>
    <xf numFmtId="0" fontId="134" fillId="0" borderId="1" xfId="0" applyFont="1" applyBorder="1" applyAlignment="1">
      <alignment horizontal="center"/>
    </xf>
    <xf numFmtId="42" fontId="134" fillId="0" borderId="1" xfId="71" applyNumberFormat="1" applyFont="1" applyBorder="1" applyAlignment="1">
      <alignment horizontal="center"/>
    </xf>
    <xf numFmtId="44" fontId="1" fillId="0" borderId="0" xfId="71" applyFont="1"/>
    <xf numFmtId="44" fontId="0" fillId="0" borderId="65" xfId="71" applyFont="1" applyBorder="1"/>
    <xf numFmtId="0" fontId="53" fillId="0" borderId="0" xfId="0" applyFont="1"/>
    <xf numFmtId="42" fontId="53" fillId="0" borderId="0" xfId="71" applyNumberFormat="1" applyFont="1"/>
    <xf numFmtId="42" fontId="0" fillId="0" borderId="0" xfId="71" applyNumberFormat="1" applyFont="1"/>
    <xf numFmtId="0" fontId="46" fillId="0" borderId="0" xfId="0" applyFont="1" applyAlignment="1">
      <alignment horizontal="center"/>
    </xf>
    <xf numFmtId="42" fontId="46" fillId="0" borderId="0" xfId="71" applyNumberFormat="1" applyFont="1" applyAlignment="1">
      <alignment horizontal="center"/>
    </xf>
    <xf numFmtId="44" fontId="46" fillId="0" borderId="0" xfId="71" applyFont="1" applyAlignment="1">
      <alignment horizontal="center"/>
    </xf>
    <xf numFmtId="44" fontId="10" fillId="0" borderId="0" xfId="71" applyFont="1"/>
    <xf numFmtId="44" fontId="1" fillId="0" borderId="45" xfId="71" applyFont="1" applyBorder="1"/>
    <xf numFmtId="44" fontId="1" fillId="0" borderId="30" xfId="71" applyFont="1" applyBorder="1"/>
    <xf numFmtId="164" fontId="1" fillId="0" borderId="46" xfId="71" applyNumberFormat="1" applyFont="1" applyBorder="1"/>
    <xf numFmtId="17" fontId="0" fillId="0" borderId="0" xfId="71" applyNumberFormat="1" applyFont="1"/>
    <xf numFmtId="0" fontId="135" fillId="0" borderId="0" xfId="0" applyFont="1" applyAlignment="1">
      <alignment horizontal="center"/>
    </xf>
    <xf numFmtId="44" fontId="135" fillId="0" borderId="0" xfId="71" applyFont="1" applyAlignment="1">
      <alignment horizontal="center"/>
    </xf>
    <xf numFmtId="42" fontId="135" fillId="0" borderId="0" xfId="71" applyNumberFormat="1" applyFont="1"/>
    <xf numFmtId="44" fontId="10" fillId="0" borderId="0" xfId="71" applyFont="1" applyAlignment="1">
      <alignment horizontal="center"/>
    </xf>
    <xf numFmtId="9" fontId="0" fillId="0" borderId="0" xfId="71" applyNumberFormat="1" applyFont="1"/>
    <xf numFmtId="42" fontId="136" fillId="0" borderId="0" xfId="71" applyNumberFormat="1" applyFont="1"/>
    <xf numFmtId="0" fontId="133" fillId="0" borderId="0" xfId="0" applyFont="1" applyAlignment="1">
      <alignment horizontal="center"/>
    </xf>
    <xf numFmtId="44" fontId="133" fillId="0" borderId="0" xfId="71" applyFont="1" applyAlignment="1">
      <alignment horizontal="center"/>
    </xf>
    <xf numFmtId="42" fontId="133" fillId="0" borderId="0" xfId="71" applyNumberFormat="1" applyFont="1"/>
    <xf numFmtId="0" fontId="133" fillId="0" borderId="0" xfId="0" applyFont="1"/>
    <xf numFmtId="44" fontId="133" fillId="0" borderId="0" xfId="71" applyFont="1"/>
    <xf numFmtId="42" fontId="135" fillId="0" borderId="75" xfId="71" applyNumberFormat="1" applyFont="1" applyBorder="1"/>
    <xf numFmtId="165" fontId="52" fillId="0" borderId="25" xfId="88" applyNumberFormat="1" applyFont="1" applyBorder="1" applyProtection="1">
      <protection locked="0"/>
    </xf>
    <xf numFmtId="0" fontId="137" fillId="0" borderId="0" xfId="0" applyFont="1"/>
    <xf numFmtId="14" fontId="138" fillId="0" borderId="25" xfId="88" applyNumberFormat="1" applyFont="1" applyBorder="1" applyAlignment="1" applyProtection="1">
      <alignment horizontal="center"/>
      <protection locked="0"/>
    </xf>
    <xf numFmtId="165" fontId="52" fillId="0" borderId="26" xfId="88" applyNumberFormat="1" applyFont="1" applyBorder="1" applyProtection="1">
      <protection locked="0"/>
    </xf>
    <xf numFmtId="165" fontId="52" fillId="0" borderId="0" xfId="88" applyNumberFormat="1" applyFont="1" applyProtection="1">
      <protection locked="0"/>
    </xf>
    <xf numFmtId="0" fontId="139" fillId="0" borderId="0" xfId="0" applyFont="1"/>
    <xf numFmtId="165" fontId="52" fillId="0" borderId="0" xfId="88" applyNumberFormat="1" applyFont="1" applyAlignment="1" applyProtection="1">
      <alignment horizontal="center"/>
      <protection locked="0"/>
    </xf>
    <xf numFmtId="165" fontId="140" fillId="0" borderId="0" xfId="88" applyNumberFormat="1" applyFont="1" applyProtection="1">
      <protection locked="0"/>
    </xf>
    <xf numFmtId="0" fontId="52" fillId="0" borderId="0" xfId="88" applyFont="1" applyAlignment="1" applyProtection="1">
      <alignment horizontal="center"/>
      <protection locked="0"/>
    </xf>
    <xf numFmtId="165" fontId="52" fillId="0" borderId="4" xfId="88" applyNumberFormat="1" applyFont="1" applyBorder="1" applyAlignment="1" applyProtection="1">
      <alignment horizontal="center"/>
      <protection locked="0"/>
    </xf>
    <xf numFmtId="165" fontId="133" fillId="0" borderId="0" xfId="88" applyNumberFormat="1" applyFont="1" applyAlignment="1" applyProtection="1">
      <alignment horizontal="center"/>
      <protection locked="0"/>
    </xf>
    <xf numFmtId="165" fontId="14" fillId="0" borderId="0" xfId="88" applyNumberFormat="1" applyFont="1" applyProtection="1">
      <protection locked="0"/>
    </xf>
    <xf numFmtId="184" fontId="133" fillId="0" borderId="0" xfId="88" applyNumberFormat="1" applyFont="1" applyAlignment="1" applyProtection="1">
      <alignment horizontal="center"/>
      <protection locked="0"/>
    </xf>
    <xf numFmtId="0" fontId="141" fillId="4" borderId="0" xfId="88" applyFont="1" applyFill="1" applyAlignment="1" applyProtection="1">
      <alignment horizontal="center"/>
      <protection locked="0"/>
    </xf>
    <xf numFmtId="165" fontId="141" fillId="4" borderId="4" xfId="88" applyNumberFormat="1" applyFont="1" applyFill="1" applyBorder="1" applyAlignment="1" applyProtection="1">
      <alignment horizontal="center"/>
      <protection locked="0"/>
    </xf>
    <xf numFmtId="165" fontId="141" fillId="4" borderId="0" xfId="88" applyNumberFormat="1" applyFont="1" applyFill="1" applyAlignment="1" applyProtection="1">
      <alignment horizontal="center"/>
      <protection locked="0"/>
    </xf>
    <xf numFmtId="0" fontId="139" fillId="0" borderId="0" xfId="0" applyFont="1" applyAlignment="1">
      <alignment horizontal="center"/>
    </xf>
    <xf numFmtId="0" fontId="52" fillId="0" borderId="0" xfId="88" applyFont="1" applyProtection="1">
      <protection locked="0"/>
    </xf>
    <xf numFmtId="165" fontId="52" fillId="0" borderId="52" xfId="88" applyNumberFormat="1" applyFont="1" applyBorder="1" applyProtection="1">
      <protection locked="0"/>
    </xf>
    <xf numFmtId="165" fontId="142" fillId="5" borderId="76" xfId="88" applyNumberFormat="1" applyFont="1" applyFill="1" applyBorder="1" applyAlignment="1" applyProtection="1">
      <alignment horizontal="center"/>
      <protection locked="0"/>
    </xf>
    <xf numFmtId="165" fontId="142" fillId="5" borderId="76" xfId="88" quotePrefix="1" applyNumberFormat="1" applyFont="1" applyFill="1" applyBorder="1" applyAlignment="1" applyProtection="1">
      <alignment horizontal="center"/>
      <protection locked="0"/>
    </xf>
    <xf numFmtId="165" fontId="143" fillId="5" borderId="76" xfId="88" quotePrefix="1" applyNumberFormat="1" applyFont="1" applyFill="1" applyBorder="1" applyAlignment="1" applyProtection="1">
      <alignment horizontal="center"/>
      <protection locked="0"/>
    </xf>
    <xf numFmtId="165" fontId="142" fillId="5" borderId="76" xfId="88" quotePrefix="1" applyNumberFormat="1" applyFont="1" applyFill="1" applyBorder="1" applyAlignment="1" applyProtection="1">
      <alignment horizontal="left"/>
      <protection locked="0"/>
    </xf>
    <xf numFmtId="165" fontId="142" fillId="5" borderId="5" xfId="88" applyNumberFormat="1" applyFont="1" applyFill="1" applyBorder="1" applyAlignment="1" applyProtection="1">
      <alignment horizontal="center"/>
      <protection locked="0"/>
    </xf>
    <xf numFmtId="165" fontId="14" fillId="0" borderId="14" xfId="88" applyNumberFormat="1" applyFont="1" applyBorder="1" applyProtection="1">
      <protection locked="0"/>
    </xf>
    <xf numFmtId="165" fontId="52" fillId="0" borderId="14" xfId="88" applyNumberFormat="1" applyFont="1" applyBorder="1" applyProtection="1">
      <protection locked="0"/>
    </xf>
    <xf numFmtId="165" fontId="143" fillId="5" borderId="5" xfId="88" applyNumberFormat="1" applyFont="1" applyFill="1" applyBorder="1" applyAlignment="1" applyProtection="1">
      <alignment horizontal="center"/>
      <protection locked="0"/>
    </xf>
    <xf numFmtId="165" fontId="142" fillId="5" borderId="77" xfId="88" quotePrefix="1" applyNumberFormat="1" applyFont="1" applyFill="1" applyBorder="1" applyAlignment="1" applyProtection="1">
      <alignment horizontal="center"/>
      <protection locked="0"/>
    </xf>
    <xf numFmtId="187" fontId="52" fillId="0" borderId="0" xfId="37" applyNumberFormat="1" applyFont="1" applyBorder="1" applyProtection="1">
      <protection locked="0"/>
    </xf>
    <xf numFmtId="187" fontId="52" fillId="0" borderId="4" xfId="37" applyNumberFormat="1" applyFont="1" applyBorder="1" applyProtection="1">
      <protection locked="0"/>
    </xf>
    <xf numFmtId="187" fontId="52" fillId="0" borderId="0" xfId="37" applyNumberFormat="1" applyFont="1" applyProtection="1">
      <protection locked="0"/>
    </xf>
    <xf numFmtId="187" fontId="139" fillId="0" borderId="0" xfId="37" applyNumberFormat="1" applyFont="1"/>
    <xf numFmtId="164" fontId="144" fillId="0" borderId="0" xfId="84" applyNumberFormat="1" applyFont="1" applyBorder="1" applyProtection="1">
      <protection locked="0"/>
    </xf>
    <xf numFmtId="178" fontId="52" fillId="7" borderId="78" xfId="70" applyNumberFormat="1" applyFont="1" applyFill="1" applyBorder="1" applyProtection="1">
      <protection locked="0"/>
    </xf>
    <xf numFmtId="178" fontId="52" fillId="42" borderId="78" xfId="70" applyNumberFormat="1" applyFont="1" applyFill="1" applyBorder="1" applyProtection="1">
      <protection locked="0"/>
    </xf>
    <xf numFmtId="165" fontId="52" fillId="0" borderId="4" xfId="88" applyNumberFormat="1" applyFont="1" applyBorder="1" applyProtection="1">
      <protection locked="0"/>
    </xf>
    <xf numFmtId="164" fontId="144" fillId="0" borderId="0" xfId="37" applyNumberFormat="1" applyFont="1" applyBorder="1" applyProtection="1">
      <protection locked="0"/>
    </xf>
    <xf numFmtId="10" fontId="52" fillId="0" borderId="0" xfId="84" applyNumberFormat="1" applyFont="1" applyBorder="1" applyProtection="1">
      <protection locked="0"/>
    </xf>
    <xf numFmtId="178" fontId="133" fillId="0" borderId="0" xfId="70" applyNumberFormat="1" applyFont="1" applyBorder="1" applyProtection="1">
      <protection locked="0"/>
    </xf>
    <xf numFmtId="178" fontId="133" fillId="0" borderId="78" xfId="70" applyNumberFormat="1" applyFont="1" applyFill="1" applyBorder="1" applyProtection="1">
      <protection locked="0"/>
    </xf>
    <xf numFmtId="169" fontId="133" fillId="0" borderId="0" xfId="71" applyNumberFormat="1" applyFont="1" applyBorder="1" applyProtection="1">
      <protection locked="0"/>
    </xf>
    <xf numFmtId="165" fontId="143" fillId="0" borderId="0" xfId="88" quotePrefix="1" applyNumberFormat="1" applyFont="1" applyAlignment="1" applyProtection="1">
      <alignment horizontal="center"/>
      <protection locked="0"/>
    </xf>
    <xf numFmtId="164" fontId="143" fillId="0" borderId="0" xfId="84" applyNumberFormat="1" applyFont="1" applyFill="1" applyBorder="1" applyProtection="1">
      <protection locked="0"/>
    </xf>
    <xf numFmtId="184" fontId="141" fillId="4" borderId="0" xfId="88" applyNumberFormat="1" applyFont="1" applyFill="1" applyAlignment="1" applyProtection="1">
      <alignment horizontal="center"/>
      <protection locked="0"/>
    </xf>
    <xf numFmtId="184" fontId="141" fillId="4" borderId="79" xfId="88" applyNumberFormat="1" applyFont="1" applyFill="1" applyBorder="1" applyAlignment="1" applyProtection="1">
      <alignment horizontal="center"/>
      <protection locked="0"/>
    </xf>
    <xf numFmtId="0" fontId="133" fillId="0" borderId="0" xfId="88" applyFont="1" applyProtection="1">
      <protection locked="0"/>
    </xf>
    <xf numFmtId="165" fontId="146" fillId="0" borderId="0" xfId="88" applyNumberFormat="1" applyFont="1" applyAlignment="1" applyProtection="1">
      <alignment horizontal="center"/>
      <protection locked="0"/>
    </xf>
    <xf numFmtId="6" fontId="52" fillId="0" borderId="0" xfId="88" applyNumberFormat="1" applyFont="1" applyProtection="1">
      <protection locked="0"/>
    </xf>
    <xf numFmtId="37" fontId="147" fillId="0" borderId="0" xfId="88" applyNumberFormat="1" applyFont="1" applyProtection="1">
      <protection locked="0"/>
    </xf>
    <xf numFmtId="178" fontId="148" fillId="0" borderId="0" xfId="70" applyNumberFormat="1" applyFont="1" applyBorder="1" applyProtection="1">
      <protection locked="0"/>
    </xf>
    <xf numFmtId="178" fontId="52" fillId="0" borderId="78" xfId="70" applyNumberFormat="1" applyFont="1" applyBorder="1" applyProtection="1">
      <protection locked="0"/>
    </xf>
    <xf numFmtId="178" fontId="52" fillId="0" borderId="0" xfId="70" applyNumberFormat="1" applyFont="1" applyBorder="1" applyProtection="1">
      <protection locked="0"/>
    </xf>
    <xf numFmtId="9" fontId="52" fillId="0" borderId="0" xfId="70" applyNumberFormat="1" applyFont="1" applyBorder="1" applyProtection="1">
      <protection locked="0"/>
    </xf>
    <xf numFmtId="9" fontId="52" fillId="0" borderId="0" xfId="84" applyFont="1" applyBorder="1" applyProtection="1">
      <protection locked="0"/>
    </xf>
    <xf numFmtId="178" fontId="52" fillId="42" borderId="5" xfId="70" applyNumberFormat="1" applyFont="1" applyFill="1" applyBorder="1" applyProtection="1">
      <protection locked="0"/>
    </xf>
    <xf numFmtId="178" fontId="52" fillId="8" borderId="5" xfId="70" applyNumberFormat="1" applyFont="1" applyFill="1" applyBorder="1" applyProtection="1">
      <protection locked="0"/>
    </xf>
    <xf numFmtId="178" fontId="52" fillId="13" borderId="5" xfId="70" applyNumberFormat="1" applyFont="1" applyFill="1" applyBorder="1" applyProtection="1">
      <protection locked="0"/>
    </xf>
    <xf numFmtId="188" fontId="52" fillId="42" borderId="5" xfId="70" applyNumberFormat="1" applyFont="1" applyFill="1" applyBorder="1" applyProtection="1">
      <protection locked="0"/>
    </xf>
    <xf numFmtId="178" fontId="52" fillId="0" borderId="5" xfId="70" applyNumberFormat="1" applyFont="1" applyFill="1" applyBorder="1" applyProtection="1">
      <protection locked="0"/>
    </xf>
    <xf numFmtId="178" fontId="52" fillId="0" borderId="78" xfId="70" applyNumberFormat="1" applyFont="1" applyFill="1" applyBorder="1" applyProtection="1">
      <protection locked="0"/>
    </xf>
    <xf numFmtId="37" fontId="52" fillId="42" borderId="5" xfId="70" applyNumberFormat="1" applyFont="1" applyFill="1" applyBorder="1" applyProtection="1">
      <protection locked="0"/>
    </xf>
    <xf numFmtId="0" fontId="133" fillId="0" borderId="0" xfId="88" applyFont="1" applyAlignment="1" applyProtection="1">
      <alignment horizontal="right"/>
      <protection locked="0"/>
    </xf>
    <xf numFmtId="165" fontId="133" fillId="0" borderId="4" xfId="88" applyNumberFormat="1" applyFont="1" applyBorder="1" applyProtection="1">
      <protection locked="0"/>
    </xf>
    <xf numFmtId="165" fontId="133" fillId="0" borderId="0" xfId="88" applyNumberFormat="1" applyFont="1" applyProtection="1">
      <protection locked="0"/>
    </xf>
    <xf numFmtId="0" fontId="124" fillId="0" borderId="0" xfId="0" applyFont="1"/>
    <xf numFmtId="178" fontId="52" fillId="0" borderId="6" xfId="70" applyNumberFormat="1" applyFont="1" applyBorder="1" applyProtection="1">
      <protection locked="0"/>
    </xf>
    <xf numFmtId="178" fontId="52" fillId="0" borderId="83" xfId="70" applyNumberFormat="1" applyFont="1" applyBorder="1" applyProtection="1">
      <protection locked="0"/>
    </xf>
    <xf numFmtId="178" fontId="52" fillId="0" borderId="83" xfId="70" applyNumberFormat="1" applyFont="1" applyFill="1" applyBorder="1" applyProtection="1">
      <protection locked="0"/>
    </xf>
    <xf numFmtId="178" fontId="52" fillId="42" borderId="76" xfId="70" applyNumberFormat="1" applyFont="1" applyFill="1" applyBorder="1" applyProtection="1">
      <protection locked="0"/>
    </xf>
    <xf numFmtId="38" fontId="52" fillId="0" borderId="0" xfId="88" applyNumberFormat="1" applyFont="1" applyProtection="1">
      <protection locked="0"/>
    </xf>
    <xf numFmtId="178" fontId="52" fillId="0" borderId="64" xfId="70" applyNumberFormat="1" applyFont="1" applyBorder="1" applyProtection="1">
      <protection locked="0"/>
    </xf>
    <xf numFmtId="0" fontId="52" fillId="0" borderId="64" xfId="88" applyFont="1" applyBorder="1" applyProtection="1">
      <protection locked="0"/>
    </xf>
    <xf numFmtId="165" fontId="52" fillId="0" borderId="0" xfId="88" applyNumberFormat="1" applyFont="1" applyAlignment="1" applyProtection="1">
      <alignment horizontal="centerContinuous"/>
      <protection locked="0"/>
    </xf>
    <xf numFmtId="178" fontId="52" fillId="0" borderId="83" xfId="70" applyNumberFormat="1" applyFont="1" applyBorder="1" applyAlignment="1" applyProtection="1">
      <alignment horizontal="centerContinuous"/>
      <protection locked="0"/>
    </xf>
    <xf numFmtId="178" fontId="52" fillId="0" borderId="83" xfId="70" applyNumberFormat="1" applyFont="1" applyFill="1" applyBorder="1" applyAlignment="1" applyProtection="1">
      <alignment horizontal="centerContinuous"/>
      <protection locked="0"/>
    </xf>
    <xf numFmtId="165" fontId="52" fillId="0" borderId="4" xfId="88" applyNumberFormat="1" applyFont="1" applyBorder="1" applyAlignment="1" applyProtection="1">
      <alignment horizontal="centerContinuous"/>
      <protection locked="0"/>
    </xf>
    <xf numFmtId="178" fontId="133" fillId="42" borderId="78" xfId="70" applyNumberFormat="1" applyFont="1" applyFill="1" applyBorder="1" applyProtection="1">
      <protection locked="0"/>
    </xf>
    <xf numFmtId="178" fontId="52" fillId="0" borderId="78" xfId="70" quotePrefix="1" applyNumberFormat="1" applyFont="1" applyBorder="1" applyProtection="1">
      <protection locked="0"/>
    </xf>
    <xf numFmtId="178" fontId="133" fillId="0" borderId="0" xfId="71" applyNumberFormat="1" applyFont="1" applyBorder="1" applyProtection="1">
      <protection locked="0"/>
    </xf>
    <xf numFmtId="165" fontId="52" fillId="0" borderId="85" xfId="88" applyNumberFormat="1" applyFont="1" applyBorder="1" applyProtection="1">
      <protection locked="0"/>
    </xf>
    <xf numFmtId="39" fontId="152" fillId="0" borderId="0" xfId="71" applyNumberFormat="1" applyFont="1" applyBorder="1" applyProtection="1">
      <protection locked="0"/>
    </xf>
    <xf numFmtId="0" fontId="153" fillId="0" borderId="0" xfId="88" applyFont="1" applyProtection="1">
      <protection locked="0"/>
    </xf>
    <xf numFmtId="0" fontId="152" fillId="0" borderId="0" xfId="88" applyFont="1" applyProtection="1">
      <protection locked="0"/>
    </xf>
    <xf numFmtId="169" fontId="152" fillId="0" borderId="0" xfId="88" applyNumberFormat="1" applyFont="1" applyProtection="1">
      <protection locked="0"/>
    </xf>
    <xf numFmtId="0" fontId="52" fillId="0" borderId="85" xfId="88" applyFont="1" applyBorder="1" applyProtection="1">
      <protection locked="0"/>
    </xf>
    <xf numFmtId="0" fontId="52" fillId="0" borderId="0" xfId="88" applyFont="1"/>
    <xf numFmtId="178" fontId="52" fillId="0" borderId="0" xfId="88" applyNumberFormat="1" applyFont="1" applyProtection="1">
      <protection locked="0"/>
    </xf>
    <xf numFmtId="189" fontId="52" fillId="0" borderId="0" xfId="88" applyNumberFormat="1" applyFont="1" applyProtection="1">
      <protection locked="0"/>
    </xf>
    <xf numFmtId="5" fontId="52" fillId="0" borderId="0" xfId="88" applyNumberFormat="1" applyFont="1" applyProtection="1">
      <protection locked="0"/>
    </xf>
    <xf numFmtId="37" fontId="52" fillId="0" borderId="0" xfId="88" applyNumberFormat="1" applyFont="1" applyProtection="1">
      <protection locked="0"/>
    </xf>
    <xf numFmtId="165" fontId="52" fillId="0" borderId="0" xfId="88" applyNumberFormat="1" applyFont="1" applyAlignment="1" applyProtection="1">
      <alignment horizontal="right"/>
      <protection locked="0"/>
    </xf>
    <xf numFmtId="165" fontId="153" fillId="0" borderId="0" xfId="88" applyNumberFormat="1" applyFont="1" applyAlignment="1" applyProtection="1">
      <alignment horizontal="right"/>
      <protection locked="0"/>
    </xf>
    <xf numFmtId="0" fontId="139" fillId="0" borderId="85" xfId="0" applyFont="1" applyBorder="1"/>
    <xf numFmtId="165" fontId="154" fillId="3" borderId="85" xfId="88" applyNumberFormat="1" applyFont="1" applyFill="1" applyBorder="1" applyAlignment="1" applyProtection="1">
      <alignment horizontal="right" indent="1"/>
      <protection locked="0"/>
    </xf>
    <xf numFmtId="190" fontId="154" fillId="3" borderId="85" xfId="88" applyNumberFormat="1" applyFont="1" applyFill="1" applyBorder="1" applyAlignment="1" applyProtection="1">
      <alignment horizontal="right" indent="1"/>
      <protection locked="0"/>
    </xf>
    <xf numFmtId="0" fontId="52" fillId="0" borderId="8" xfId="88" applyFont="1" applyBorder="1" applyAlignment="1" applyProtection="1">
      <alignment horizontal="centerContinuous"/>
      <protection locked="0"/>
    </xf>
    <xf numFmtId="0" fontId="52" fillId="0" borderId="9" xfId="88" applyFont="1" applyBorder="1" applyAlignment="1" applyProtection="1">
      <alignment horizontal="centerContinuous"/>
      <protection locked="0"/>
    </xf>
    <xf numFmtId="165" fontId="52" fillId="0" borderId="3" xfId="88" applyNumberFormat="1" applyFont="1" applyBorder="1" applyProtection="1">
      <protection locked="0"/>
    </xf>
    <xf numFmtId="37" fontId="152" fillId="0" borderId="0" xfId="88" applyNumberFormat="1" applyFont="1" applyProtection="1">
      <protection locked="0"/>
    </xf>
    <xf numFmtId="0" fontId="133" fillId="0" borderId="0" xfId="88" applyFont="1" applyAlignment="1" applyProtection="1">
      <alignment horizontal="center"/>
      <protection locked="0"/>
    </xf>
    <xf numFmtId="165" fontId="155" fillId="0" borderId="25" xfId="88" applyNumberFormat="1" applyFont="1" applyBorder="1" applyProtection="1">
      <protection locked="0"/>
    </xf>
    <xf numFmtId="0" fontId="52" fillId="0" borderId="0" xfId="42" applyFont="1" applyProtection="1">
      <protection locked="0"/>
    </xf>
    <xf numFmtId="178" fontId="52" fillId="0" borderId="6" xfId="70" applyNumberFormat="1" applyFont="1" applyFill="1" applyBorder="1" applyProtection="1">
      <protection locked="0"/>
    </xf>
    <xf numFmtId="178" fontId="133" fillId="0" borderId="83" xfId="70" applyNumberFormat="1" applyFont="1" applyFill="1" applyBorder="1" applyProtection="1">
      <protection locked="0"/>
    </xf>
    <xf numFmtId="178" fontId="52" fillId="0" borderId="81" xfId="70" applyNumberFormat="1" applyFont="1" applyFill="1" applyBorder="1" applyProtection="1">
      <protection locked="0"/>
    </xf>
    <xf numFmtId="3" fontId="1" fillId="7" borderId="0" xfId="0" applyNumberFormat="1" applyFont="1" applyFill="1" applyAlignment="1">
      <alignment horizontal="center"/>
    </xf>
    <xf numFmtId="164" fontId="37" fillId="0" borderId="53" xfId="36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107" fillId="49" borderId="90" xfId="0" applyFont="1" applyFill="1" applyBorder="1" applyAlignment="1">
      <alignment horizontal="center" vertical="center" wrapText="1"/>
    </xf>
    <xf numFmtId="0" fontId="129" fillId="49" borderId="90" xfId="0" applyFont="1" applyFill="1" applyBorder="1" applyAlignment="1">
      <alignment horizontal="center" vertical="center" wrapText="1"/>
    </xf>
    <xf numFmtId="0" fontId="107" fillId="49" borderId="90" xfId="0" applyFont="1" applyFill="1" applyBorder="1" applyAlignment="1">
      <alignment horizontal="center" vertical="center"/>
    </xf>
    <xf numFmtId="0" fontId="157" fillId="50" borderId="92" xfId="0" applyFont="1" applyFill="1" applyBorder="1" applyAlignment="1">
      <alignment horizontal="center" vertical="center"/>
    </xf>
    <xf numFmtId="0" fontId="157" fillId="50" borderId="92" xfId="0" applyFont="1" applyFill="1" applyBorder="1" applyAlignment="1">
      <alignment horizontal="center" vertical="center" wrapText="1"/>
    </xf>
    <xf numFmtId="0" fontId="157" fillId="50" borderId="92" xfId="0" applyFont="1" applyFill="1" applyBorder="1" applyAlignment="1">
      <alignment vertical="center" wrapText="1"/>
    </xf>
    <xf numFmtId="0" fontId="157" fillId="49" borderId="92" xfId="0" applyFont="1" applyFill="1" applyBorder="1" applyAlignment="1">
      <alignment horizontal="center" vertical="center"/>
    </xf>
    <xf numFmtId="0" fontId="65" fillId="0" borderId="92" xfId="0" applyFont="1" applyBorder="1" applyAlignment="1">
      <alignment vertical="center"/>
    </xf>
    <xf numFmtId="0" fontId="65" fillId="49" borderId="92" xfId="0" applyFont="1" applyFill="1" applyBorder="1" applyAlignment="1">
      <alignment horizontal="center" vertical="center"/>
    </xf>
    <xf numFmtId="0" fontId="156" fillId="49" borderId="93" xfId="0" applyFont="1" applyFill="1" applyBorder="1" applyAlignment="1">
      <alignment horizontal="center" vertical="center"/>
    </xf>
    <xf numFmtId="0" fontId="156" fillId="49" borderId="90" xfId="0" applyFont="1" applyFill="1" applyBorder="1" applyAlignment="1">
      <alignment horizontal="center" vertical="center"/>
    </xf>
    <xf numFmtId="0" fontId="107" fillId="49" borderId="92" xfId="0" applyFont="1" applyFill="1" applyBorder="1" applyAlignment="1">
      <alignment horizontal="right" vertical="center"/>
    </xf>
    <xf numFmtId="0" fontId="107" fillId="49" borderId="94" xfId="0" applyFont="1" applyFill="1" applyBorder="1" applyAlignment="1">
      <alignment horizontal="left" vertical="center" indent="3"/>
    </xf>
    <xf numFmtId="7" fontId="157" fillId="50" borderId="92" xfId="0" applyNumberFormat="1" applyFont="1" applyFill="1" applyBorder="1" applyAlignment="1">
      <alignment horizontal="center" vertical="center" wrapText="1"/>
    </xf>
    <xf numFmtId="0" fontId="107" fillId="49" borderId="96" xfId="0" applyFont="1" applyFill="1" applyBorder="1" applyAlignment="1">
      <alignment horizontal="left" vertical="center" indent="3"/>
    </xf>
    <xf numFmtId="0" fontId="107" fillId="49" borderId="97" xfId="0" applyFont="1" applyFill="1" applyBorder="1" applyAlignment="1">
      <alignment horizontal="right" vertical="center"/>
    </xf>
    <xf numFmtId="0" fontId="0" fillId="0" borderId="45" xfId="0" applyBorder="1"/>
    <xf numFmtId="0" fontId="107" fillId="0" borderId="98" xfId="0" applyFont="1" applyBorder="1" applyAlignment="1">
      <alignment horizontal="right" vertical="center" indent="2"/>
    </xf>
    <xf numFmtId="0" fontId="107" fillId="47" borderId="99" xfId="0" applyFont="1" applyFill="1" applyBorder="1" applyAlignment="1">
      <alignment horizontal="center" vertical="center"/>
    </xf>
    <xf numFmtId="0" fontId="157" fillId="47" borderId="100" xfId="0" applyFont="1" applyFill="1" applyBorder="1" applyAlignment="1">
      <alignment horizontal="center" vertical="center" wrapText="1"/>
    </xf>
    <xf numFmtId="0" fontId="65" fillId="47" borderId="91" xfId="0" applyFont="1" applyFill="1" applyBorder="1" applyAlignment="1">
      <alignment horizontal="center" vertical="center"/>
    </xf>
    <xf numFmtId="0" fontId="157" fillId="50" borderId="92" xfId="0" applyFont="1" applyFill="1" applyBorder="1" applyAlignment="1">
      <alignment horizontal="left" vertical="center" wrapText="1" indent="1"/>
    </xf>
    <xf numFmtId="7" fontId="107" fillId="0" borderId="92" xfId="0" applyNumberFormat="1" applyFont="1" applyBorder="1" applyAlignment="1">
      <alignment horizontal="center" vertical="center"/>
    </xf>
    <xf numFmtId="0" fontId="1" fillId="42" borderId="35" xfId="0" applyFont="1" applyFill="1" applyBorder="1" applyAlignment="1">
      <alignment horizontal="center"/>
    </xf>
    <xf numFmtId="165" fontId="130" fillId="0" borderId="0" xfId="0" applyNumberFormat="1" applyFont="1"/>
    <xf numFmtId="3" fontId="10" fillId="0" borderId="0" xfId="42" applyNumberFormat="1" applyAlignment="1" applyProtection="1">
      <alignment horizontal="centerContinuous"/>
      <protection locked="0"/>
    </xf>
    <xf numFmtId="37" fontId="10" fillId="0" borderId="62" xfId="42" applyNumberFormat="1" applyBorder="1" applyProtection="1">
      <protection locked="0"/>
    </xf>
    <xf numFmtId="5" fontId="0" fillId="0" borderId="102" xfId="1" applyNumberFormat="1" applyFont="1" applyBorder="1" applyProtection="1">
      <protection locked="0"/>
    </xf>
    <xf numFmtId="0" fontId="0" fillId="43" borderId="2" xfId="0" applyFill="1" applyBorder="1"/>
    <xf numFmtId="5" fontId="6" fillId="43" borderId="2" xfId="1" applyNumberFormat="1" applyFont="1" applyFill="1" applyBorder="1" applyProtection="1">
      <protection locked="0"/>
    </xf>
    <xf numFmtId="167" fontId="0" fillId="43" borderId="2" xfId="0" applyNumberFormat="1" applyFill="1" applyBorder="1" applyAlignment="1">
      <alignment horizontal="right" indent="1"/>
    </xf>
    <xf numFmtId="167" fontId="0" fillId="43" borderId="103" xfId="0" applyNumberFormat="1" applyFill="1" applyBorder="1" applyAlignment="1">
      <alignment horizontal="right" indent="1"/>
    </xf>
    <xf numFmtId="167" fontId="6" fillId="43" borderId="2" xfId="0" applyNumberFormat="1" applyFont="1" applyFill="1" applyBorder="1" applyAlignment="1">
      <alignment horizontal="right" indent="1"/>
    </xf>
    <xf numFmtId="5" fontId="6" fillId="43" borderId="2" xfId="0" applyNumberFormat="1" applyFont="1" applyFill="1" applyBorder="1" applyAlignment="1">
      <alignment horizontal="right" indent="1"/>
    </xf>
    <xf numFmtId="0" fontId="158" fillId="0" borderId="101" xfId="36" applyFont="1" applyBorder="1"/>
    <xf numFmtId="0" fontId="158" fillId="0" borderId="104" xfId="36" applyFont="1" applyBorder="1"/>
    <xf numFmtId="0" fontId="159" fillId="0" borderId="0" xfId="42" applyFont="1" applyAlignment="1" applyProtection="1">
      <alignment horizontal="left" indent="1"/>
      <protection locked="0"/>
    </xf>
    <xf numFmtId="38" fontId="159" fillId="0" borderId="0" xfId="42" applyNumberFormat="1" applyFont="1" applyAlignment="1" applyProtection="1">
      <alignment horizontal="left" indent="1"/>
      <protection locked="0"/>
    </xf>
    <xf numFmtId="5" fontId="0" fillId="51" borderId="2" xfId="1" applyNumberFormat="1" applyFont="1" applyFill="1" applyBorder="1"/>
    <xf numFmtId="0" fontId="160" fillId="0" borderId="0" xfId="0" applyFont="1"/>
    <xf numFmtId="7" fontId="10" fillId="0" borderId="4" xfId="42" applyNumberFormat="1" applyBorder="1" applyAlignment="1" applyProtection="1">
      <alignment horizontal="right"/>
      <protection locked="0"/>
    </xf>
    <xf numFmtId="14" fontId="85" fillId="0" borderId="0" xfId="36" quotePrefix="1" applyNumberFormat="1" applyFont="1" applyAlignment="1">
      <alignment horizontal="right"/>
    </xf>
    <xf numFmtId="3" fontId="97" fillId="0" borderId="0" xfId="0" applyNumberFormat="1" applyFont="1" applyAlignment="1">
      <alignment horizontal="center"/>
    </xf>
    <xf numFmtId="4" fontId="97" fillId="0" borderId="0" xfId="0" applyNumberFormat="1" applyFont="1" applyAlignment="1">
      <alignment horizontal="center"/>
    </xf>
    <xf numFmtId="42" fontId="0" fillId="0" borderId="101" xfId="0" applyNumberFormat="1" applyBorder="1"/>
    <xf numFmtId="0" fontId="19" fillId="0" borderId="104" xfId="0" applyFont="1" applyBorder="1"/>
    <xf numFmtId="0" fontId="0" fillId="0" borderId="104" xfId="0" applyBorder="1"/>
    <xf numFmtId="0" fontId="27" fillId="0" borderId="65" xfId="0" applyFont="1" applyBorder="1" applyAlignment="1">
      <alignment horizontal="right" indent="1"/>
    </xf>
    <xf numFmtId="0" fontId="65" fillId="0" borderId="66" xfId="36" applyBorder="1" applyAlignment="1">
      <alignment horizontal="center"/>
    </xf>
    <xf numFmtId="0" fontId="65" fillId="0" borderId="19" xfId="36" applyBorder="1" applyAlignment="1">
      <alignment horizontal="center"/>
    </xf>
    <xf numFmtId="0" fontId="1" fillId="0" borderId="66" xfId="36" applyFont="1" applyBorder="1"/>
    <xf numFmtId="0" fontId="0" fillId="0" borderId="107" xfId="0" applyBorder="1"/>
    <xf numFmtId="0" fontId="0" fillId="0" borderId="103" xfId="0" applyBorder="1"/>
    <xf numFmtId="193" fontId="0" fillId="0" borderId="0" xfId="0" applyNumberFormat="1"/>
    <xf numFmtId="0" fontId="7" fillId="0" borderId="0" xfId="0" applyFont="1"/>
    <xf numFmtId="164" fontId="0" fillId="10" borderId="0" xfId="0" applyNumberFormat="1" applyFill="1" applyAlignment="1">
      <alignment horizontal="center"/>
    </xf>
    <xf numFmtId="169" fontId="14" fillId="0" borderId="4" xfId="42" applyNumberFormat="1" applyFont="1" applyBorder="1" applyProtection="1">
      <protection locked="0"/>
    </xf>
    <xf numFmtId="1" fontId="1" fillId="0" borderId="0" xfId="0" applyNumberFormat="1" applyFont="1" applyAlignment="1">
      <alignment horizontal="center"/>
    </xf>
    <xf numFmtId="0" fontId="0" fillId="0" borderId="106" xfId="0" applyBorder="1"/>
    <xf numFmtId="3" fontId="0" fillId="0" borderId="105" xfId="0" applyNumberFormat="1" applyBorder="1" applyAlignment="1">
      <alignment horizontal="right" indent="1"/>
    </xf>
    <xf numFmtId="3" fontId="0" fillId="0" borderId="66" xfId="0" applyNumberFormat="1" applyBorder="1" applyAlignment="1">
      <alignment horizontal="right" indent="1"/>
    </xf>
    <xf numFmtId="3" fontId="0" fillId="0" borderId="19" xfId="0" applyNumberFormat="1" applyBorder="1" applyAlignment="1">
      <alignment horizontal="right" indent="1"/>
    </xf>
    <xf numFmtId="5" fontId="0" fillId="0" borderId="108" xfId="0" applyNumberFormat="1" applyBorder="1"/>
    <xf numFmtId="181" fontId="17" fillId="0" borderId="0" xfId="36" applyNumberFormat="1" applyFont="1" applyAlignment="1">
      <alignment horizontal="left"/>
    </xf>
    <xf numFmtId="0" fontId="1" fillId="0" borderId="105" xfId="36" applyFont="1" applyBorder="1" applyAlignment="1">
      <alignment horizontal="center"/>
    </xf>
    <xf numFmtId="0" fontId="1" fillId="0" borderId="66" xfId="36" quotePrefix="1" applyFont="1" applyBorder="1" applyAlignment="1">
      <alignment horizontal="center"/>
    </xf>
    <xf numFmtId="0" fontId="1" fillId="0" borderId="19" xfId="36" applyFont="1" applyBorder="1" applyAlignment="1">
      <alignment horizontal="center"/>
    </xf>
    <xf numFmtId="164" fontId="37" fillId="42" borderId="2" xfId="36" applyNumberFormat="1" applyFont="1" applyFill="1" applyBorder="1" applyAlignment="1">
      <alignment horizontal="center"/>
    </xf>
    <xf numFmtId="0" fontId="0" fillId="0" borderId="105" xfId="0" applyBorder="1"/>
    <xf numFmtId="6" fontId="65" fillId="0" borderId="53" xfId="36" applyNumberFormat="1" applyBorder="1" applyAlignment="1">
      <alignment horizontal="center"/>
    </xf>
    <xf numFmtId="181" fontId="17" fillId="0" borderId="106" xfId="36" applyNumberFormat="1" applyFont="1" applyBorder="1" applyAlignment="1">
      <alignment horizontal="left"/>
    </xf>
    <xf numFmtId="181" fontId="17" fillId="0" borderId="53" xfId="36" applyNumberFormat="1" applyFont="1" applyBorder="1" applyAlignment="1">
      <alignment horizontal="left"/>
    </xf>
    <xf numFmtId="42" fontId="29" fillId="0" borderId="53" xfId="36" applyNumberFormat="1" applyFont="1" applyBorder="1" applyAlignment="1">
      <alignment horizontal="center"/>
    </xf>
    <xf numFmtId="10" fontId="37" fillId="45" borderId="35" xfId="0" applyNumberFormat="1" applyFont="1" applyFill="1" applyBorder="1" applyAlignment="1">
      <alignment horizontal="center"/>
    </xf>
    <xf numFmtId="44" fontId="10" fillId="0" borderId="0" xfId="1" applyFont="1" applyProtection="1">
      <protection locked="0"/>
    </xf>
    <xf numFmtId="5" fontId="15" fillId="0" borderId="60" xfId="42" applyNumberFormat="1" applyFont="1" applyBorder="1" applyProtection="1">
      <protection locked="0"/>
    </xf>
    <xf numFmtId="5" fontId="15" fillId="0" borderId="0" xfId="42" applyNumberFormat="1" applyFont="1" applyProtection="1">
      <protection locked="0"/>
    </xf>
    <xf numFmtId="6" fontId="167" fillId="42" borderId="66" xfId="36" applyNumberFormat="1" applyFont="1" applyFill="1" applyBorder="1" applyAlignment="1">
      <alignment horizontal="center"/>
    </xf>
    <xf numFmtId="0" fontId="0" fillId="0" borderId="101" xfId="0" applyBorder="1"/>
    <xf numFmtId="170" fontId="37" fillId="10" borderId="104" xfId="0" applyNumberFormat="1" applyFont="1" applyFill="1" applyBorder="1"/>
    <xf numFmtId="42" fontId="0" fillId="0" borderId="102" xfId="1" applyNumberFormat="1" applyFont="1" applyBorder="1"/>
    <xf numFmtId="0" fontId="0" fillId="42" borderId="53" xfId="0" applyFill="1" applyBorder="1"/>
    <xf numFmtId="0" fontId="128" fillId="42" borderId="66" xfId="36" applyFont="1" applyFill="1" applyBorder="1" applyAlignment="1">
      <alignment horizontal="left"/>
    </xf>
    <xf numFmtId="0" fontId="128" fillId="0" borderId="66" xfId="36" applyFont="1" applyBorder="1" applyAlignment="1">
      <alignment horizontal="left"/>
    </xf>
    <xf numFmtId="0" fontId="128" fillId="0" borderId="66" xfId="36" applyFont="1" applyBorder="1" applyAlignment="1">
      <alignment horizontal="center"/>
    </xf>
    <xf numFmtId="0" fontId="42" fillId="0" borderId="66" xfId="0" applyFont="1" applyBorder="1"/>
    <xf numFmtId="6" fontId="107" fillId="0" borderId="66" xfId="36" applyNumberFormat="1" applyFont="1" applyBorder="1" applyAlignment="1">
      <alignment horizontal="center"/>
    </xf>
    <xf numFmtId="178" fontId="133" fillId="0" borderId="111" xfId="70" applyNumberFormat="1" applyFont="1" applyFill="1" applyBorder="1" applyProtection="1">
      <protection locked="0"/>
    </xf>
    <xf numFmtId="178" fontId="52" fillId="42" borderId="111" xfId="70" applyNumberFormat="1" applyFont="1" applyFill="1" applyBorder="1" applyProtection="1">
      <protection locked="0"/>
    </xf>
    <xf numFmtId="42" fontId="91" fillId="0" borderId="0" xfId="0" applyNumberFormat="1" applyFont="1"/>
    <xf numFmtId="169" fontId="108" fillId="0" borderId="0" xfId="42" applyNumberFormat="1" applyFont="1" applyProtection="1">
      <protection locked="0"/>
    </xf>
    <xf numFmtId="0" fontId="27" fillId="0" borderId="0" xfId="0" applyFont="1" applyAlignment="1">
      <alignment horizontal="right" indent="1"/>
    </xf>
    <xf numFmtId="178" fontId="52" fillId="0" borderId="114" xfId="70" applyNumberFormat="1" applyFont="1" applyBorder="1" applyProtection="1">
      <protection locked="0"/>
    </xf>
    <xf numFmtId="178" fontId="52" fillId="0" borderId="114" xfId="70" applyNumberFormat="1" applyFont="1" applyFill="1" applyBorder="1" applyAlignment="1" applyProtection="1">
      <alignment horizontal="centerContinuous"/>
      <protection locked="0"/>
    </xf>
    <xf numFmtId="178" fontId="52" fillId="0" borderId="114" xfId="70" applyNumberFormat="1" applyFont="1" applyFill="1" applyBorder="1" applyProtection="1">
      <protection locked="0"/>
    </xf>
    <xf numFmtId="0" fontId="0" fillId="0" borderId="65" xfId="0" applyBorder="1"/>
    <xf numFmtId="44" fontId="46" fillId="0" borderId="4" xfId="42" applyNumberFormat="1" applyFont="1" applyBorder="1" applyProtection="1">
      <protection locked="0"/>
    </xf>
    <xf numFmtId="2" fontId="52" fillId="0" borderId="0" xfId="88" applyNumberFormat="1" applyFont="1" applyProtection="1">
      <protection locked="0"/>
    </xf>
    <xf numFmtId="3" fontId="52" fillId="0" borderId="0" xfId="88" applyNumberFormat="1" applyFont="1" applyAlignment="1" applyProtection="1">
      <alignment horizontal="center"/>
      <protection locked="0"/>
    </xf>
    <xf numFmtId="10" fontId="37" fillId="10" borderId="0" xfId="0" applyNumberFormat="1" applyFont="1" applyFill="1" applyAlignment="1">
      <alignment horizontal="center"/>
    </xf>
    <xf numFmtId="10" fontId="43" fillId="0" borderId="0" xfId="0" applyNumberFormat="1" applyFont="1"/>
    <xf numFmtId="164" fontId="35" fillId="6" borderId="0" xfId="0" applyNumberFormat="1" applyFont="1" applyFill="1" applyAlignment="1">
      <alignment horizontal="center"/>
    </xf>
    <xf numFmtId="0" fontId="0" fillId="11" borderId="0" xfId="0" applyFill="1"/>
    <xf numFmtId="0" fontId="29" fillId="0" borderId="0" xfId="0" applyFont="1" applyAlignment="1">
      <alignment horizontal="left" indent="2"/>
    </xf>
    <xf numFmtId="0" fontId="29" fillId="0" borderId="0" xfId="0" applyFont="1" applyAlignment="1">
      <alignment horizontal="left"/>
    </xf>
    <xf numFmtId="38" fontId="30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center"/>
    </xf>
    <xf numFmtId="5" fontId="19" fillId="0" borderId="0" xfId="0" applyNumberFormat="1" applyFont="1"/>
    <xf numFmtId="0" fontId="169" fillId="0" borderId="0" xfId="0" applyFont="1" applyAlignment="1">
      <alignment horizontal="left" vertical="top"/>
    </xf>
    <xf numFmtId="42" fontId="6" fillId="0" borderId="0" xfId="0" applyNumberFormat="1" applyFont="1"/>
    <xf numFmtId="5" fontId="170" fillId="0" borderId="0" xfId="0" applyNumberFormat="1" applyFont="1"/>
    <xf numFmtId="42" fontId="3" fillId="0" borderId="0" xfId="0" applyNumberFormat="1" applyFont="1"/>
    <xf numFmtId="5" fontId="5" fillId="0" borderId="0" xfId="0" applyNumberFormat="1" applyFont="1" applyAlignment="1">
      <alignment horizontal="left" indent="2"/>
    </xf>
    <xf numFmtId="0" fontId="124" fillId="0" borderId="0" xfId="0" applyFont="1" applyAlignment="1">
      <alignment horizontal="center"/>
    </xf>
    <xf numFmtId="0" fontId="124" fillId="0" borderId="0" xfId="0" applyFont="1" applyAlignment="1">
      <alignment horizontal="left" indent="1"/>
    </xf>
    <xf numFmtId="191" fontId="124" fillId="0" borderId="0" xfId="0" applyNumberFormat="1" applyFont="1" applyAlignment="1">
      <alignment horizontal="right" vertical="top"/>
    </xf>
    <xf numFmtId="0" fontId="124" fillId="0" borderId="0" xfId="0" applyFont="1" applyAlignment="1">
      <alignment horizontal="left" vertical="top"/>
    </xf>
    <xf numFmtId="0" fontId="139" fillId="0" borderId="0" xfId="0" applyFont="1" applyAlignment="1">
      <alignment horizontal="left" vertical="top"/>
    </xf>
    <xf numFmtId="0" fontId="162" fillId="0" borderId="0" xfId="0" applyFont="1" applyAlignment="1">
      <alignment horizontal="left"/>
    </xf>
    <xf numFmtId="191" fontId="166" fillId="0" borderId="0" xfId="0" applyNumberFormat="1" applyFont="1" applyAlignment="1">
      <alignment horizontal="right"/>
    </xf>
    <xf numFmtId="0" fontId="163" fillId="0" borderId="0" xfId="0" applyFont="1" applyAlignment="1">
      <alignment horizontal="center"/>
    </xf>
    <xf numFmtId="0" fontId="162" fillId="0" borderId="0" xfId="0" applyFont="1"/>
    <xf numFmtId="192" fontId="65" fillId="0" borderId="0" xfId="0" applyNumberFormat="1" applyFont="1" applyAlignment="1">
      <alignment horizontal="right" vertical="top"/>
    </xf>
    <xf numFmtId="167" fontId="162" fillId="0" borderId="0" xfId="0" applyNumberFormat="1" applyFont="1" applyAlignment="1">
      <alignment horizontal="center" vertical="top"/>
    </xf>
    <xf numFmtId="167" fontId="163" fillId="0" borderId="0" xfId="0" applyNumberFormat="1" applyFont="1" applyAlignment="1">
      <alignment horizontal="center" vertical="top"/>
    </xf>
    <xf numFmtId="192" fontId="162" fillId="0" borderId="0" xfId="0" applyNumberFormat="1" applyFont="1" applyAlignment="1">
      <alignment horizontal="left"/>
    </xf>
    <xf numFmtId="192" fontId="65" fillId="0" borderId="0" xfId="0" applyNumberFormat="1" applyFont="1" applyAlignment="1">
      <alignment horizontal="right"/>
    </xf>
    <xf numFmtId="192" fontId="165" fillId="0" borderId="0" xfId="0" applyNumberFormat="1" applyFont="1" applyAlignment="1">
      <alignment horizontal="right"/>
    </xf>
    <xf numFmtId="167" fontId="163" fillId="0" borderId="0" xfId="0" applyNumberFormat="1" applyFont="1" applyAlignment="1">
      <alignment horizontal="center"/>
    </xf>
    <xf numFmtId="192" fontId="65" fillId="0" borderId="0" xfId="0" applyNumberFormat="1" applyFont="1"/>
    <xf numFmtId="192" fontId="164" fillId="0" borderId="0" xfId="0" applyNumberFormat="1" applyFont="1" applyAlignment="1">
      <alignment horizontal="center"/>
    </xf>
    <xf numFmtId="5" fontId="19" fillId="0" borderId="0" xfId="0" applyNumberFormat="1" applyFont="1" applyAlignment="1">
      <alignment horizontal="center"/>
    </xf>
    <xf numFmtId="5" fontId="170" fillId="0" borderId="0" xfId="0" applyNumberFormat="1" applyFont="1" applyAlignment="1">
      <alignment horizontal="center"/>
    </xf>
    <xf numFmtId="5" fontId="0" fillId="0" borderId="0" xfId="0" applyNumberFormat="1" applyAlignment="1">
      <alignment horizontal="center"/>
    </xf>
    <xf numFmtId="5" fontId="3" fillId="0" borderId="0" xfId="0" applyNumberFormat="1" applyFont="1" applyAlignment="1">
      <alignment horizontal="center"/>
    </xf>
    <xf numFmtId="0" fontId="38" fillId="4" borderId="0" xfId="0" applyFont="1" applyFill="1" applyAlignment="1">
      <alignment horizontal="left"/>
    </xf>
    <xf numFmtId="0" fontId="41" fillId="4" borderId="0" xfId="0" applyFont="1" applyFill="1" applyAlignment="1">
      <alignment horizontal="left" vertical="top"/>
    </xf>
    <xf numFmtId="5" fontId="5" fillId="0" borderId="0" xfId="0" applyNumberFormat="1" applyFont="1" applyAlignment="1">
      <alignment horizontal="left" indent="1"/>
    </xf>
    <xf numFmtId="167" fontId="5" fillId="0" borderId="0" xfId="0" applyNumberFormat="1" applyFont="1" applyAlignment="1">
      <alignment horizontal="left" vertical="top" indent="1"/>
    </xf>
    <xf numFmtId="167" fontId="5" fillId="4" borderId="0" xfId="0" quotePrefix="1" applyNumberFormat="1" applyFont="1" applyFill="1" applyAlignment="1">
      <alignment horizontal="left" vertical="top" indent="1"/>
    </xf>
    <xf numFmtId="169" fontId="106" fillId="0" borderId="0" xfId="0" applyNumberFormat="1" applyFont="1" applyAlignment="1">
      <alignment horizontal="right" vertical="top"/>
    </xf>
    <xf numFmtId="169" fontId="171" fillId="0" borderId="0" xfId="0" applyNumberFormat="1" applyFont="1" applyAlignment="1">
      <alignment horizontal="right" vertical="top"/>
    </xf>
    <xf numFmtId="0" fontId="172" fillId="0" borderId="0" xfId="0" applyFont="1" applyAlignment="1">
      <alignment horizontal="left"/>
    </xf>
    <xf numFmtId="5" fontId="1" fillId="0" borderId="0" xfId="0" applyNumberFormat="1" applyFont="1" applyAlignment="1">
      <alignment horizontal="right"/>
    </xf>
    <xf numFmtId="38" fontId="5" fillId="0" borderId="0" xfId="0" applyNumberFormat="1" applyFont="1"/>
    <xf numFmtId="0" fontId="42" fillId="45" borderId="0" xfId="0" applyFont="1" applyFill="1" applyAlignment="1">
      <alignment horizontal="left" indent="1"/>
    </xf>
    <xf numFmtId="0" fontId="42" fillId="46" borderId="0" xfId="0" applyFont="1" applyFill="1" applyAlignment="1">
      <alignment horizontal="left" indent="1"/>
    </xf>
    <xf numFmtId="0" fontId="42" fillId="0" borderId="0" xfId="0" applyFont="1" applyAlignment="1">
      <alignment horizontal="left" indent="1"/>
    </xf>
    <xf numFmtId="0" fontId="42" fillId="10" borderId="0" xfId="0" applyFont="1" applyFill="1" applyAlignment="1">
      <alignment horizontal="left" indent="1"/>
    </xf>
    <xf numFmtId="6" fontId="91" fillId="42" borderId="0" xfId="0" applyNumberFormat="1" applyFont="1" applyFill="1" applyAlignment="1">
      <alignment horizontal="center"/>
    </xf>
    <xf numFmtId="181" fontId="17" fillId="0" borderId="110" xfId="36" applyNumberFormat="1" applyFont="1" applyBorder="1" applyAlignment="1">
      <alignment horizontal="left"/>
    </xf>
    <xf numFmtId="9" fontId="100" fillId="0" borderId="110" xfId="36" applyNumberFormat="1" applyFont="1" applyBorder="1" applyAlignment="1">
      <alignment horizontal="center"/>
    </xf>
    <xf numFmtId="6" fontId="107" fillId="0" borderId="68" xfId="36" applyNumberFormat="1" applyFont="1" applyBorder="1" applyAlignment="1">
      <alignment horizontal="center"/>
    </xf>
    <xf numFmtId="0" fontId="65" fillId="0" borderId="68" xfId="36" applyBorder="1" applyAlignment="1">
      <alignment horizontal="center"/>
    </xf>
    <xf numFmtId="0" fontId="65" fillId="0" borderId="1" xfId="36" applyBorder="1" applyAlignment="1">
      <alignment horizontal="center"/>
    </xf>
    <xf numFmtId="164" fontId="37" fillId="0" borderId="1" xfId="36" applyNumberFormat="1" applyFont="1" applyBorder="1" applyAlignment="1">
      <alignment horizontal="center"/>
    </xf>
    <xf numFmtId="0" fontId="0" fillId="0" borderId="109" xfId="0" applyBorder="1"/>
    <xf numFmtId="0" fontId="128" fillId="0" borderId="109" xfId="36" applyFont="1" applyBorder="1" applyAlignment="1">
      <alignment horizontal="left"/>
    </xf>
    <xf numFmtId="164" fontId="37" fillId="42" borderId="53" xfId="36" applyNumberFormat="1" applyFont="1" applyFill="1" applyBorder="1" applyAlignment="1">
      <alignment horizontal="center"/>
    </xf>
    <xf numFmtId="0" fontId="65" fillId="0" borderId="109" xfId="36" applyBorder="1" applyAlignment="1">
      <alignment horizontal="center"/>
    </xf>
    <xf numFmtId="9" fontId="100" fillId="0" borderId="0" xfId="36" applyNumberFormat="1" applyFont="1" applyAlignment="1">
      <alignment horizontal="center"/>
    </xf>
    <xf numFmtId="0" fontId="1" fillId="0" borderId="115" xfId="36" applyFont="1" applyBorder="1" applyAlignment="1">
      <alignment horizontal="center"/>
    </xf>
    <xf numFmtId="0" fontId="10" fillId="53" borderId="0" xfId="42" applyFill="1" applyProtection="1">
      <protection locked="0"/>
    </xf>
    <xf numFmtId="37" fontId="10" fillId="53" borderId="0" xfId="42" applyNumberFormat="1" applyFill="1" applyProtection="1">
      <protection locked="0"/>
    </xf>
    <xf numFmtId="37" fontId="10" fillId="53" borderId="63" xfId="42" applyNumberFormat="1" applyFill="1" applyBorder="1" applyProtection="1">
      <protection locked="0"/>
    </xf>
    <xf numFmtId="9" fontId="37" fillId="43" borderId="0" xfId="2" applyFont="1" applyFill="1"/>
    <xf numFmtId="5" fontId="1" fillId="51" borderId="1" xfId="1" applyNumberFormat="1" applyFont="1" applyFill="1" applyBorder="1" applyAlignment="1">
      <alignment horizontal="right" indent="1"/>
    </xf>
    <xf numFmtId="5" fontId="1" fillId="7" borderId="0" xfId="1" applyNumberFormat="1" applyFont="1" applyFill="1"/>
    <xf numFmtId="5" fontId="1" fillId="12" borderId="0" xfId="1" applyNumberFormat="1" applyFont="1" applyFill="1"/>
    <xf numFmtId="167" fontId="5" fillId="0" borderId="0" xfId="0" applyNumberFormat="1" applyFont="1" applyAlignment="1">
      <alignment horizontal="center"/>
    </xf>
    <xf numFmtId="5" fontId="94" fillId="8" borderId="0" xfId="0" applyNumberFormat="1" applyFont="1" applyFill="1"/>
    <xf numFmtId="9" fontId="28" fillId="0" borderId="0" xfId="2" applyFont="1"/>
    <xf numFmtId="9" fontId="65" fillId="0" borderId="0" xfId="36" applyNumberFormat="1" applyAlignment="1">
      <alignment horizontal="center"/>
    </xf>
    <xf numFmtId="6" fontId="29" fillId="0" borderId="66" xfId="36" applyNumberFormat="1" applyFont="1" applyBorder="1" applyAlignment="1">
      <alignment horizontal="center"/>
    </xf>
    <xf numFmtId="42" fontId="29" fillId="0" borderId="0" xfId="36" applyNumberFormat="1" applyFont="1" applyAlignment="1">
      <alignment horizontal="center"/>
    </xf>
    <xf numFmtId="10" fontId="138" fillId="53" borderId="0" xfId="88" applyNumberFormat="1" applyFont="1" applyFill="1" applyAlignment="1" applyProtection="1">
      <alignment horizontal="center"/>
      <protection locked="0"/>
    </xf>
    <xf numFmtId="178" fontId="52" fillId="53" borderId="78" xfId="70" applyNumberFormat="1" applyFont="1" applyFill="1" applyBorder="1" applyProtection="1">
      <protection locked="0"/>
    </xf>
    <xf numFmtId="14" fontId="161" fillId="0" borderId="0" xfId="0" applyNumberFormat="1" applyFont="1" applyAlignment="1" applyProtection="1">
      <alignment horizontal="left"/>
      <protection locked="0"/>
    </xf>
    <xf numFmtId="10" fontId="0" fillId="0" borderId="0" xfId="2" applyNumberFormat="1" applyFont="1"/>
    <xf numFmtId="0" fontId="0" fillId="0" borderId="23" xfId="0" applyBorder="1"/>
    <xf numFmtId="0" fontId="0" fillId="0" borderId="116" xfId="0" applyBorder="1"/>
    <xf numFmtId="0" fontId="0" fillId="0" borderId="110" xfId="0" applyBorder="1"/>
    <xf numFmtId="14" fontId="25" fillId="0" borderId="0" xfId="0" applyNumberFormat="1" applyFont="1" applyAlignment="1">
      <alignment horizontal="right"/>
    </xf>
    <xf numFmtId="14" fontId="92" fillId="0" borderId="0" xfId="0" applyNumberFormat="1" applyFont="1" applyAlignment="1">
      <alignment horizontal="right"/>
    </xf>
    <xf numFmtId="14" fontId="127" fillId="0" borderId="4" xfId="42" applyNumberFormat="1" applyFont="1" applyBorder="1" applyAlignment="1" applyProtection="1">
      <alignment horizontal="right"/>
      <protection locked="0"/>
    </xf>
    <xf numFmtId="14" fontId="65" fillId="0" borderId="0" xfId="36" applyNumberFormat="1"/>
    <xf numFmtId="181" fontId="17" fillId="4" borderId="53" xfId="36" applyNumberFormat="1" applyFont="1" applyFill="1" applyBorder="1" applyAlignment="1">
      <alignment horizontal="left"/>
    </xf>
    <xf numFmtId="0" fontId="0" fillId="4" borderId="66" xfId="0" applyFill="1" applyBorder="1"/>
    <xf numFmtId="0" fontId="128" fillId="4" borderId="66" xfId="36" applyFont="1" applyFill="1" applyBorder="1" applyAlignment="1">
      <alignment horizontal="left"/>
    </xf>
    <xf numFmtId="0" fontId="0" fillId="4" borderId="53" xfId="0" applyFill="1" applyBorder="1"/>
    <xf numFmtId="6" fontId="91" fillId="4" borderId="0" xfId="0" applyNumberFormat="1" applyFont="1" applyFill="1" applyAlignment="1">
      <alignment horizontal="center"/>
    </xf>
    <xf numFmtId="0" fontId="0" fillId="4" borderId="2" xfId="0" applyFill="1" applyBorder="1"/>
    <xf numFmtId="164" fontId="37" fillId="4" borderId="53" xfId="36" applyNumberFormat="1" applyFont="1" applyFill="1" applyBorder="1" applyAlignment="1">
      <alignment horizontal="center"/>
    </xf>
    <xf numFmtId="0" fontId="128" fillId="4" borderId="109" xfId="36" applyFont="1" applyFill="1" applyBorder="1" applyAlignment="1">
      <alignment horizontal="left"/>
    </xf>
    <xf numFmtId="0" fontId="0" fillId="4" borderId="68" xfId="0" applyFill="1" applyBorder="1"/>
    <xf numFmtId="6" fontId="167" fillId="4" borderId="19" xfId="36" applyNumberFormat="1" applyFont="1" applyFill="1" applyBorder="1" applyAlignment="1">
      <alignment horizontal="center"/>
    </xf>
    <xf numFmtId="0" fontId="0" fillId="4" borderId="20" xfId="0" applyFill="1" applyBorder="1"/>
    <xf numFmtId="164" fontId="37" fillId="4" borderId="1" xfId="36" applyNumberFormat="1" applyFont="1" applyFill="1" applyBorder="1" applyAlignment="1">
      <alignment horizontal="center"/>
    </xf>
    <xf numFmtId="181" fontId="17" fillId="4" borderId="107" xfId="36" applyNumberFormat="1" applyFont="1" applyFill="1" applyBorder="1" applyAlignment="1">
      <alignment horizontal="left"/>
    </xf>
    <xf numFmtId="0" fontId="0" fillId="4" borderId="103" xfId="0" applyFill="1" applyBorder="1"/>
    <xf numFmtId="6" fontId="167" fillId="4" borderId="66" xfId="36" applyNumberFormat="1" applyFont="1" applyFill="1" applyBorder="1" applyAlignment="1">
      <alignment horizontal="center"/>
    </xf>
    <xf numFmtId="164" fontId="37" fillId="4" borderId="2" xfId="36" applyNumberFormat="1" applyFont="1" applyFill="1" applyBorder="1" applyAlignment="1">
      <alignment horizontal="center"/>
    </xf>
    <xf numFmtId="9" fontId="100" fillId="4" borderId="0" xfId="36" applyNumberFormat="1" applyFont="1" applyFill="1" applyAlignment="1">
      <alignment horizontal="center"/>
    </xf>
    <xf numFmtId="6" fontId="167" fillId="4" borderId="105" xfId="36" applyNumberFormat="1" applyFont="1" applyFill="1" applyBorder="1" applyAlignment="1">
      <alignment horizontal="center"/>
    </xf>
    <xf numFmtId="0" fontId="0" fillId="4" borderId="106" xfId="0" applyFill="1" applyBorder="1"/>
    <xf numFmtId="164" fontId="37" fillId="4" borderId="103" xfId="36" applyNumberFormat="1" applyFont="1" applyFill="1" applyBorder="1" applyAlignment="1">
      <alignment horizontal="center"/>
    </xf>
    <xf numFmtId="0" fontId="128" fillId="42" borderId="23" xfId="36" applyFont="1" applyFill="1" applyBorder="1" applyAlignment="1">
      <alignment horizontal="left"/>
    </xf>
    <xf numFmtId="6" fontId="167" fillId="42" borderId="23" xfId="36" applyNumberFormat="1" applyFont="1" applyFill="1" applyBorder="1" applyAlignment="1">
      <alignment horizontal="center"/>
    </xf>
    <xf numFmtId="0" fontId="128" fillId="0" borderId="23" xfId="36" applyFont="1" applyBorder="1" applyAlignment="1">
      <alignment horizontal="left"/>
    </xf>
    <xf numFmtId="42" fontId="65" fillId="0" borderId="0" xfId="36" applyNumberFormat="1" applyAlignment="1">
      <alignment horizontal="right"/>
    </xf>
    <xf numFmtId="10" fontId="65" fillId="0" borderId="0" xfId="36" applyNumberFormat="1" applyAlignment="1">
      <alignment horizontal="right"/>
    </xf>
    <xf numFmtId="177" fontId="83" fillId="0" borderId="0" xfId="36" applyNumberFormat="1" applyFont="1" applyAlignment="1">
      <alignment horizontal="right"/>
    </xf>
    <xf numFmtId="0" fontId="65" fillId="0" borderId="0" xfId="36" applyAlignment="1">
      <alignment horizontal="right"/>
    </xf>
    <xf numFmtId="42" fontId="1" fillId="0" borderId="0" xfId="36" applyNumberFormat="1" applyFont="1" applyAlignment="1">
      <alignment horizontal="right"/>
    </xf>
    <xf numFmtId="38" fontId="37" fillId="10" borderId="2" xfId="36" applyNumberFormat="1" applyFont="1" applyFill="1" applyBorder="1" applyAlignment="1">
      <alignment horizontal="center"/>
    </xf>
    <xf numFmtId="38" fontId="37" fillId="10" borderId="48" xfId="36" applyNumberFormat="1" applyFont="1" applyFill="1" applyBorder="1" applyAlignment="1">
      <alignment horizontal="center"/>
    </xf>
    <xf numFmtId="6" fontId="167" fillId="4" borderId="23" xfId="36" applyNumberFormat="1" applyFont="1" applyFill="1" applyBorder="1" applyAlignment="1">
      <alignment horizontal="center"/>
    </xf>
    <xf numFmtId="164" fontId="37" fillId="4" borderId="116" xfId="36" applyNumberFormat="1" applyFont="1" applyFill="1" applyBorder="1" applyAlignment="1">
      <alignment horizontal="center"/>
    </xf>
    <xf numFmtId="0" fontId="1" fillId="0" borderId="23" xfId="36" applyFont="1" applyBorder="1"/>
    <xf numFmtId="0" fontId="0" fillId="4" borderId="116" xfId="0" applyFill="1" applyBorder="1"/>
    <xf numFmtId="0" fontId="42" fillId="4" borderId="23" xfId="0" applyFont="1" applyFill="1" applyBorder="1"/>
    <xf numFmtId="43" fontId="174" fillId="0" borderId="0" xfId="89" applyFont="1" applyBorder="1" applyProtection="1">
      <protection locked="0"/>
    </xf>
    <xf numFmtId="0" fontId="0" fillId="0" borderId="119" xfId="0" applyBorder="1"/>
    <xf numFmtId="0" fontId="0" fillId="0" borderId="120" xfId="0" applyBorder="1"/>
    <xf numFmtId="0" fontId="0" fillId="0" borderId="121" xfId="0" applyBorder="1"/>
    <xf numFmtId="165" fontId="52" fillId="0" borderId="119" xfId="88" applyNumberFormat="1" applyFont="1" applyBorder="1" applyProtection="1">
      <protection locked="0"/>
    </xf>
    <xf numFmtId="165" fontId="52" fillId="0" borderId="122" xfId="88" applyNumberFormat="1" applyFont="1" applyBorder="1" applyProtection="1">
      <protection locked="0"/>
    </xf>
    <xf numFmtId="165" fontId="52" fillId="0" borderId="122" xfId="88" applyNumberFormat="1" applyFont="1" applyBorder="1" applyAlignment="1" applyProtection="1">
      <alignment horizontal="right"/>
      <protection locked="0"/>
    </xf>
    <xf numFmtId="165" fontId="52" fillId="0" borderId="120" xfId="88" applyNumberFormat="1" applyFont="1" applyBorder="1" applyProtection="1">
      <protection locked="0"/>
    </xf>
    <xf numFmtId="165" fontId="52" fillId="0" borderId="23" xfId="88" applyNumberFormat="1" applyFont="1" applyBorder="1" applyProtection="1">
      <protection locked="0"/>
    </xf>
    <xf numFmtId="10" fontId="52" fillId="0" borderId="0" xfId="2" applyNumberFormat="1" applyFont="1" applyBorder="1" applyProtection="1">
      <protection locked="0"/>
    </xf>
    <xf numFmtId="165" fontId="52" fillId="0" borderId="53" xfId="88" applyNumberFormat="1" applyFont="1" applyBorder="1" applyProtection="1">
      <protection locked="0"/>
    </xf>
    <xf numFmtId="165" fontId="52" fillId="0" borderId="109" xfId="88" applyNumberFormat="1" applyFont="1" applyBorder="1" applyProtection="1">
      <protection locked="0"/>
    </xf>
    <xf numFmtId="165" fontId="52" fillId="0" borderId="68" xfId="88" applyNumberFormat="1" applyFont="1" applyBorder="1" applyProtection="1">
      <protection locked="0"/>
    </xf>
    <xf numFmtId="42" fontId="0" fillId="0" borderId="21" xfId="1" applyNumberFormat="1" applyFont="1" applyBorder="1" applyProtection="1">
      <protection locked="0"/>
    </xf>
    <xf numFmtId="2" fontId="0" fillId="2" borderId="0" xfId="0" applyNumberFormat="1" applyFill="1"/>
    <xf numFmtId="0" fontId="10" fillId="53" borderId="0" xfId="42" quotePrefix="1" applyFill="1" applyProtection="1">
      <protection locked="0"/>
    </xf>
    <xf numFmtId="194" fontId="0" fillId="0" borderId="0" xfId="0" applyNumberFormat="1"/>
    <xf numFmtId="14" fontId="24" fillId="0" borderId="0" xfId="0" quotePrefix="1" applyNumberFormat="1" applyFont="1" applyAlignment="1">
      <alignment horizontal="right"/>
    </xf>
    <xf numFmtId="5" fontId="33" fillId="10" borderId="53" xfId="0" applyNumberFormat="1" applyFont="1" applyFill="1" applyBorder="1" applyAlignment="1">
      <alignment horizontal="center" vertical="top"/>
    </xf>
    <xf numFmtId="0" fontId="168" fillId="0" borderId="0" xfId="90" applyFont="1" applyAlignment="1">
      <alignment vertical="center"/>
    </xf>
    <xf numFmtId="166" fontId="168" fillId="0" borderId="0" xfId="90" applyNumberFormat="1" applyFont="1" applyAlignment="1">
      <alignment horizontal="left" vertical="center"/>
    </xf>
    <xf numFmtId="0" fontId="176" fillId="0" borderId="0" xfId="90" applyFont="1" applyAlignment="1">
      <alignment horizontal="center" vertical="center"/>
    </xf>
    <xf numFmtId="0" fontId="176" fillId="0" borderId="0" xfId="90" applyFont="1" applyAlignment="1">
      <alignment horizontal="right" vertical="center"/>
    </xf>
    <xf numFmtId="195" fontId="176" fillId="48" borderId="123" xfId="90" applyNumberFormat="1" applyFont="1" applyFill="1" applyBorder="1" applyAlignment="1">
      <alignment horizontal="center" vertical="center"/>
    </xf>
    <xf numFmtId="0" fontId="168" fillId="0" borderId="0" xfId="90" applyFont="1" applyAlignment="1">
      <alignment vertical="top"/>
    </xf>
    <xf numFmtId="0" fontId="176" fillId="0" borderId="126" xfId="90" applyFont="1" applyBorder="1" applyAlignment="1">
      <alignment horizontal="center" vertical="center"/>
    </xf>
    <xf numFmtId="0" fontId="176" fillId="0" borderId="130" xfId="90" applyFont="1" applyBorder="1" applyAlignment="1">
      <alignment horizontal="center" vertical="center"/>
    </xf>
    <xf numFmtId="0" fontId="176" fillId="0" borderId="131" xfId="90" applyFont="1" applyBorder="1" applyAlignment="1">
      <alignment horizontal="center" vertical="center"/>
    </xf>
    <xf numFmtId="0" fontId="168" fillId="0" borderId="0" xfId="90" applyFont="1" applyAlignment="1">
      <alignment horizontal="right" vertical="center"/>
    </xf>
    <xf numFmtId="0" fontId="176" fillId="0" borderId="23" xfId="90" applyFont="1" applyBorder="1" applyAlignment="1">
      <alignment horizontal="center" vertical="center"/>
    </xf>
    <xf numFmtId="0" fontId="176" fillId="0" borderId="53" xfId="90" applyFont="1" applyBorder="1" applyAlignment="1">
      <alignment horizontal="center" vertical="center"/>
    </xf>
    <xf numFmtId="0" fontId="176" fillId="0" borderId="135" xfId="90" applyFont="1" applyBorder="1" applyAlignment="1">
      <alignment horizontal="center" vertical="center"/>
    </xf>
    <xf numFmtId="196" fontId="168" fillId="0" borderId="0" xfId="90" applyNumberFormat="1" applyFont="1" applyAlignment="1">
      <alignment vertical="center"/>
    </xf>
    <xf numFmtId="178" fontId="168" fillId="0" borderId="0" xfId="70" applyNumberFormat="1" applyFont="1" applyAlignment="1">
      <alignment vertical="center"/>
    </xf>
    <xf numFmtId="0" fontId="168" fillId="0" borderId="68" xfId="90" applyFont="1" applyBorder="1" applyAlignment="1">
      <alignment horizontal="right" vertical="center"/>
    </xf>
    <xf numFmtId="197" fontId="176" fillId="2" borderId="136" xfId="70" applyNumberFormat="1" applyFont="1" applyFill="1" applyBorder="1" applyAlignment="1">
      <alignment horizontal="center" vertical="center"/>
    </xf>
    <xf numFmtId="1" fontId="168" fillId="0" borderId="115" xfId="70" quotePrefix="1" applyNumberFormat="1" applyFont="1" applyBorder="1" applyAlignment="1">
      <alignment horizontal="center" vertical="center"/>
    </xf>
    <xf numFmtId="0" fontId="168" fillId="2" borderId="115" xfId="70" applyNumberFormat="1" applyFont="1" applyFill="1" applyBorder="1" applyAlignment="1">
      <alignment horizontal="center" vertical="center"/>
    </xf>
    <xf numFmtId="182" fontId="168" fillId="2" borderId="115" xfId="70" applyNumberFormat="1" applyFont="1" applyFill="1" applyBorder="1" applyAlignment="1">
      <alignment horizontal="center" vertical="center"/>
    </xf>
    <xf numFmtId="43" fontId="168" fillId="2" borderId="129" xfId="70" applyFont="1" applyFill="1" applyBorder="1" applyAlignment="1">
      <alignment horizontal="center" vertical="center"/>
    </xf>
    <xf numFmtId="178" fontId="168" fillId="0" borderId="137" xfId="70" applyNumberFormat="1" applyFont="1" applyBorder="1" applyAlignment="1">
      <alignment horizontal="center" vertical="center"/>
    </xf>
    <xf numFmtId="178" fontId="168" fillId="0" borderId="130" xfId="70" applyNumberFormat="1" applyFont="1" applyBorder="1" applyAlignment="1">
      <alignment vertical="center"/>
    </xf>
    <xf numFmtId="178" fontId="168" fillId="0" borderId="130" xfId="70" applyNumberFormat="1" applyFont="1" applyBorder="1" applyAlignment="1">
      <alignment horizontal="right" vertical="center"/>
    </xf>
    <xf numFmtId="43" fontId="168" fillId="2" borderId="115" xfId="70" applyFont="1" applyFill="1" applyBorder="1" applyAlignment="1">
      <alignment horizontal="center" vertical="center"/>
    </xf>
    <xf numFmtId="170" fontId="168" fillId="0" borderId="130" xfId="70" applyNumberFormat="1" applyFont="1" applyBorder="1" applyAlignment="1">
      <alignment horizontal="center" vertical="center"/>
    </xf>
    <xf numFmtId="167" fontId="168" fillId="0" borderId="130" xfId="70" applyNumberFormat="1" applyFont="1" applyBorder="1" applyAlignment="1">
      <alignment horizontal="center" vertical="center"/>
    </xf>
    <xf numFmtId="170" fontId="168" fillId="0" borderId="131" xfId="70" applyNumberFormat="1" applyFont="1" applyBorder="1" applyAlignment="1">
      <alignment horizontal="center" vertical="center"/>
    </xf>
    <xf numFmtId="170" fontId="178" fillId="0" borderId="0" xfId="70" applyNumberFormat="1" applyFont="1" applyBorder="1" applyAlignment="1">
      <alignment horizontal="center"/>
    </xf>
    <xf numFmtId="43" fontId="168" fillId="0" borderId="0" xfId="90" applyNumberFormat="1" applyFont="1" applyAlignment="1">
      <alignment vertical="center"/>
    </xf>
    <xf numFmtId="10" fontId="168" fillId="0" borderId="0" xfId="84" applyNumberFormat="1" applyFont="1" applyAlignment="1">
      <alignment vertical="center"/>
    </xf>
    <xf numFmtId="9" fontId="168" fillId="2" borderId="138" xfId="84" applyFont="1" applyFill="1" applyBorder="1" applyAlignment="1">
      <alignment horizontal="center" vertical="center"/>
    </xf>
    <xf numFmtId="1" fontId="168" fillId="0" borderId="65" xfId="70" quotePrefix="1" applyNumberFormat="1" applyFont="1" applyBorder="1" applyAlignment="1">
      <alignment horizontal="center" vertical="center"/>
    </xf>
    <xf numFmtId="0" fontId="168" fillId="2" borderId="65" xfId="70" applyNumberFormat="1" applyFont="1" applyFill="1" applyBorder="1" applyAlignment="1">
      <alignment horizontal="center" vertical="center"/>
    </xf>
    <xf numFmtId="182" fontId="168" fillId="2" borderId="65" xfId="70" quotePrefix="1" applyNumberFormat="1" applyFont="1" applyFill="1" applyBorder="1" applyAlignment="1">
      <alignment horizontal="center" vertical="center"/>
    </xf>
    <xf numFmtId="43" fontId="168" fillId="2" borderId="117" xfId="70" applyFont="1" applyFill="1" applyBorder="1" applyAlignment="1">
      <alignment horizontal="center" vertical="center"/>
    </xf>
    <xf numFmtId="178" fontId="168" fillId="0" borderId="116" xfId="70" applyNumberFormat="1" applyFont="1" applyBorder="1" applyAlignment="1">
      <alignment horizontal="center" vertical="center"/>
    </xf>
    <xf numFmtId="178" fontId="168" fillId="0" borderId="0" xfId="70" applyNumberFormat="1" applyFont="1" applyBorder="1" applyAlignment="1">
      <alignment vertical="center"/>
    </xf>
    <xf numFmtId="178" fontId="168" fillId="0" borderId="0" xfId="70" applyNumberFormat="1" applyFont="1" applyBorder="1" applyAlignment="1">
      <alignment horizontal="right" vertical="center"/>
    </xf>
    <xf numFmtId="43" fontId="168" fillId="2" borderId="65" xfId="70" applyFont="1" applyFill="1" applyBorder="1" applyAlignment="1">
      <alignment horizontal="center" vertical="center"/>
    </xf>
    <xf numFmtId="170" fontId="168" fillId="0" borderId="0" xfId="70" applyNumberFormat="1" applyFont="1" applyBorder="1" applyAlignment="1">
      <alignment horizontal="center" vertical="center"/>
    </xf>
    <xf numFmtId="167" fontId="168" fillId="0" borderId="0" xfId="70" applyNumberFormat="1" applyFont="1" applyBorder="1" applyAlignment="1">
      <alignment horizontal="center" vertical="center"/>
    </xf>
    <xf numFmtId="170" fontId="168" fillId="0" borderId="135" xfId="70" applyNumberFormat="1" applyFont="1" applyBorder="1" applyAlignment="1">
      <alignment horizontal="center" vertical="center"/>
    </xf>
    <xf numFmtId="9" fontId="178" fillId="0" borderId="134" xfId="84" applyFont="1" applyFill="1" applyBorder="1" applyAlignment="1">
      <alignment horizontal="center" vertical="center" wrapText="1"/>
    </xf>
    <xf numFmtId="178" fontId="168" fillId="0" borderId="122" xfId="70" applyNumberFormat="1" applyFont="1" applyBorder="1" applyAlignment="1">
      <alignment vertical="center"/>
    </xf>
    <xf numFmtId="1" fontId="168" fillId="0" borderId="65" xfId="70" applyNumberFormat="1" applyFont="1" applyBorder="1" applyAlignment="1">
      <alignment horizontal="center" vertical="center"/>
    </xf>
    <xf numFmtId="182" fontId="168" fillId="2" borderId="65" xfId="70" applyNumberFormat="1" applyFont="1" applyFill="1" applyBorder="1" applyAlignment="1">
      <alignment horizontal="center" vertical="center"/>
    </xf>
    <xf numFmtId="178" fontId="168" fillId="0" borderId="139" xfId="70" applyNumberFormat="1" applyFont="1" applyBorder="1" applyAlignment="1">
      <alignment vertical="center"/>
    </xf>
    <xf numFmtId="199" fontId="168" fillId="2" borderId="65" xfId="90" applyNumberFormat="1" applyFont="1" applyFill="1" applyBorder="1" applyAlignment="1">
      <alignment horizontal="left" vertical="center"/>
    </xf>
    <xf numFmtId="9" fontId="178" fillId="0" borderId="140" xfId="84" applyFont="1" applyFill="1" applyBorder="1" applyAlignment="1">
      <alignment horizontal="center" vertical="center" wrapText="1"/>
    </xf>
    <xf numFmtId="1" fontId="168" fillId="0" borderId="141" xfId="70" quotePrefix="1" applyNumberFormat="1" applyFont="1" applyBorder="1" applyAlignment="1">
      <alignment horizontal="center" vertical="center"/>
    </xf>
    <xf numFmtId="0" fontId="168" fillId="2" borderId="141" xfId="70" applyNumberFormat="1" applyFont="1" applyFill="1" applyBorder="1" applyAlignment="1">
      <alignment horizontal="center" vertical="center"/>
    </xf>
    <xf numFmtId="182" fontId="168" fillId="2" borderId="141" xfId="70" applyNumberFormat="1" applyFont="1" applyFill="1" applyBorder="1" applyAlignment="1">
      <alignment horizontal="center" vertical="center"/>
    </xf>
    <xf numFmtId="43" fontId="168" fillId="2" borderId="142" xfId="70" applyFont="1" applyFill="1" applyBorder="1" applyAlignment="1">
      <alignment horizontal="center" vertical="center"/>
    </xf>
    <xf numFmtId="178" fontId="168" fillId="0" borderId="48" xfId="70" applyNumberFormat="1" applyFont="1" applyBorder="1" applyAlignment="1">
      <alignment horizontal="center" vertical="center"/>
    </xf>
    <xf numFmtId="178" fontId="168" fillId="0" borderId="75" xfId="70" applyNumberFormat="1" applyFont="1" applyBorder="1" applyAlignment="1">
      <alignment vertical="center"/>
    </xf>
    <xf numFmtId="178" fontId="168" fillId="0" borderId="75" xfId="70" applyNumberFormat="1" applyFont="1" applyBorder="1" applyAlignment="1">
      <alignment horizontal="right" vertical="center"/>
    </xf>
    <xf numFmtId="43" fontId="168" fillId="2" borderId="141" xfId="70" applyFont="1" applyFill="1" applyBorder="1" applyAlignment="1">
      <alignment horizontal="center" vertical="center"/>
    </xf>
    <xf numFmtId="170" fontId="168" fillId="0" borderId="75" xfId="70" applyNumberFormat="1" applyFont="1" applyBorder="1" applyAlignment="1">
      <alignment horizontal="center" vertical="center"/>
    </xf>
    <xf numFmtId="167" fontId="168" fillId="0" borderId="75" xfId="70" applyNumberFormat="1" applyFont="1" applyBorder="1" applyAlignment="1">
      <alignment horizontal="center" vertical="center"/>
    </xf>
    <xf numFmtId="170" fontId="168" fillId="0" borderId="123" xfId="70" applyNumberFormat="1" applyFont="1" applyBorder="1" applyAlignment="1">
      <alignment horizontal="center" vertical="center"/>
    </xf>
    <xf numFmtId="197" fontId="176" fillId="2" borderId="143" xfId="70" applyNumberFormat="1" applyFont="1" applyFill="1" applyBorder="1" applyAlignment="1">
      <alignment horizontal="center" vertical="center"/>
    </xf>
    <xf numFmtId="0" fontId="168" fillId="0" borderId="146" xfId="70" applyNumberFormat="1" applyFont="1" applyFill="1" applyBorder="1" applyAlignment="1">
      <alignment horizontal="center" vertical="center"/>
    </xf>
    <xf numFmtId="182" fontId="168" fillId="0" borderId="146" xfId="70" applyNumberFormat="1" applyFont="1" applyBorder="1" applyAlignment="1">
      <alignment horizontal="center" vertical="center"/>
    </xf>
    <xf numFmtId="43" fontId="168" fillId="2" borderId="145" xfId="70" applyFont="1" applyFill="1" applyBorder="1" applyAlignment="1">
      <alignment horizontal="center" vertical="center"/>
    </xf>
    <xf numFmtId="178" fontId="168" fillId="0" borderId="144" xfId="70" applyNumberFormat="1" applyFont="1" applyFill="1" applyBorder="1" applyAlignment="1">
      <alignment horizontal="center" vertical="center"/>
    </xf>
    <xf numFmtId="178" fontId="168" fillId="0" borderId="147" xfId="70" applyNumberFormat="1" applyFont="1" applyFill="1" applyBorder="1" applyAlignment="1">
      <alignment vertical="center"/>
    </xf>
    <xf numFmtId="178" fontId="168" fillId="0" borderId="147" xfId="70" applyNumberFormat="1" applyFont="1" applyBorder="1" applyAlignment="1">
      <alignment horizontal="right" vertical="center"/>
    </xf>
    <xf numFmtId="43" fontId="168" fillId="2" borderId="146" xfId="70" applyFont="1" applyFill="1" applyBorder="1" applyAlignment="1">
      <alignment horizontal="center" vertical="center"/>
    </xf>
    <xf numFmtId="178" fontId="168" fillId="0" borderId="147" xfId="70" applyNumberFormat="1" applyFont="1" applyBorder="1" applyAlignment="1">
      <alignment vertical="center"/>
    </xf>
    <xf numFmtId="170" fontId="168" fillId="0" borderId="147" xfId="70" applyNumberFormat="1" applyFont="1" applyBorder="1" applyAlignment="1">
      <alignment horizontal="center" vertical="center"/>
    </xf>
    <xf numFmtId="167" fontId="168" fillId="0" borderId="147" xfId="70" applyNumberFormat="1" applyFont="1" applyFill="1" applyBorder="1" applyAlignment="1">
      <alignment horizontal="center" vertical="center"/>
    </xf>
    <xf numFmtId="170" fontId="168" fillId="0" borderId="148" xfId="70" applyNumberFormat="1" applyFont="1" applyFill="1" applyBorder="1" applyAlignment="1">
      <alignment horizontal="center" vertical="center"/>
    </xf>
    <xf numFmtId="9" fontId="168" fillId="2" borderId="149" xfId="84" applyFont="1" applyFill="1" applyBorder="1" applyAlignment="1">
      <alignment horizontal="center" vertical="center"/>
    </xf>
    <xf numFmtId="0" fontId="168" fillId="0" borderId="65" xfId="70" applyNumberFormat="1" applyFont="1" applyFill="1" applyBorder="1" applyAlignment="1">
      <alignment horizontal="center" vertical="center"/>
    </xf>
    <xf numFmtId="182" fontId="168" fillId="0" borderId="65" xfId="70" applyNumberFormat="1" applyFont="1" applyBorder="1" applyAlignment="1">
      <alignment horizontal="center" vertical="center"/>
    </xf>
    <xf numFmtId="178" fontId="168" fillId="0" borderId="116" xfId="70" applyNumberFormat="1" applyFont="1" applyFill="1" applyBorder="1" applyAlignment="1">
      <alignment horizontal="center" vertical="center"/>
    </xf>
    <xf numFmtId="178" fontId="168" fillId="0" borderId="0" xfId="70" applyNumberFormat="1" applyFont="1" applyFill="1" applyBorder="1" applyAlignment="1">
      <alignment vertical="center"/>
    </xf>
    <xf numFmtId="167" fontId="168" fillId="0" borderId="0" xfId="70" applyNumberFormat="1" applyFont="1" applyFill="1" applyBorder="1" applyAlignment="1">
      <alignment horizontal="center" vertical="center"/>
    </xf>
    <xf numFmtId="170" fontId="168" fillId="0" borderId="135" xfId="70" applyNumberFormat="1" applyFont="1" applyFill="1" applyBorder="1" applyAlignment="1">
      <alignment horizontal="center" vertical="center"/>
    </xf>
    <xf numFmtId="178" fontId="168" fillId="0" borderId="67" xfId="70" applyNumberFormat="1" applyFont="1" applyBorder="1" applyAlignment="1">
      <alignment vertical="center"/>
    </xf>
    <xf numFmtId="9" fontId="178" fillId="0" borderId="124" xfId="84" applyFont="1" applyFill="1" applyBorder="1" applyAlignment="1">
      <alignment horizontal="center" vertical="center" wrapText="1"/>
    </xf>
    <xf numFmtId="0" fontId="168" fillId="0" borderId="65" xfId="70" applyNumberFormat="1" applyFont="1" applyBorder="1" applyAlignment="1">
      <alignment horizontal="center" vertical="center"/>
    </xf>
    <xf numFmtId="0" fontId="168" fillId="0" borderId="138" xfId="90" applyFont="1" applyBorder="1" applyAlignment="1">
      <alignment horizontal="center" vertical="center"/>
    </xf>
    <xf numFmtId="167" fontId="168" fillId="2" borderId="152" xfId="70" applyNumberFormat="1" applyFont="1" applyFill="1" applyBorder="1" applyAlignment="1">
      <alignment horizontal="center" vertical="center"/>
    </xf>
    <xf numFmtId="0" fontId="168" fillId="0" borderId="141" xfId="70" applyNumberFormat="1" applyFont="1" applyFill="1" applyBorder="1" applyAlignment="1">
      <alignment horizontal="center" vertical="center"/>
    </xf>
    <xf numFmtId="182" fontId="168" fillId="0" borderId="141" xfId="70" applyNumberFormat="1" applyFont="1" applyBorder="1" applyAlignment="1">
      <alignment horizontal="center" vertical="center"/>
    </xf>
    <xf numFmtId="178" fontId="168" fillId="0" borderId="48" xfId="70" applyNumberFormat="1" applyFont="1" applyFill="1" applyBorder="1" applyAlignment="1">
      <alignment horizontal="center" vertical="center"/>
    </xf>
    <xf numFmtId="178" fontId="168" fillId="0" borderId="75" xfId="70" applyNumberFormat="1" applyFont="1" applyFill="1" applyBorder="1" applyAlignment="1">
      <alignment vertical="center"/>
    </xf>
    <xf numFmtId="167" fontId="168" fillId="0" borderId="75" xfId="70" applyNumberFormat="1" applyFont="1" applyFill="1" applyBorder="1" applyAlignment="1">
      <alignment horizontal="center" vertical="center"/>
    </xf>
    <xf numFmtId="0" fontId="168" fillId="0" borderId="115" xfId="70" applyNumberFormat="1" applyFont="1" applyFill="1" applyBorder="1" applyAlignment="1">
      <alignment horizontal="center" vertical="center"/>
    </xf>
    <xf numFmtId="182" fontId="168" fillId="0" borderId="115" xfId="70" applyNumberFormat="1" applyFont="1" applyBorder="1" applyAlignment="1">
      <alignment horizontal="center" vertical="center"/>
    </xf>
    <xf numFmtId="178" fontId="168" fillId="0" borderId="144" xfId="70" applyNumberFormat="1" applyFont="1" applyBorder="1" applyAlignment="1">
      <alignment horizontal="center" vertical="center"/>
    </xf>
    <xf numFmtId="178" fontId="168" fillId="54" borderId="147" xfId="70" applyNumberFormat="1" applyFont="1" applyFill="1" applyBorder="1" applyAlignment="1">
      <alignment horizontal="right" vertical="center"/>
    </xf>
    <xf numFmtId="167" fontId="168" fillId="0" borderId="147" xfId="70" applyNumberFormat="1" applyFont="1" applyBorder="1" applyAlignment="1">
      <alignment horizontal="center" vertical="center"/>
    </xf>
    <xf numFmtId="170" fontId="168" fillId="0" borderId="148" xfId="70" applyNumberFormat="1" applyFont="1" applyBorder="1" applyAlignment="1">
      <alignment horizontal="center" vertical="center"/>
    </xf>
    <xf numFmtId="9" fontId="178" fillId="0" borderId="155" xfId="84" applyFont="1" applyFill="1" applyBorder="1" applyAlignment="1">
      <alignment horizontal="center" vertical="center"/>
    </xf>
    <xf numFmtId="178" fontId="168" fillId="54" borderId="0" xfId="70" applyNumberFormat="1" applyFont="1" applyFill="1" applyBorder="1" applyAlignment="1">
      <alignment horizontal="right" vertical="center"/>
    </xf>
    <xf numFmtId="0" fontId="178" fillId="0" borderId="0" xfId="90" applyFont="1" applyAlignment="1">
      <alignment vertical="center"/>
    </xf>
    <xf numFmtId="201" fontId="168" fillId="0" borderId="101" xfId="90" applyNumberFormat="1" applyFont="1" applyBorder="1" applyAlignment="1">
      <alignment horizontal="center" vertical="center"/>
    </xf>
    <xf numFmtId="10" fontId="168" fillId="0" borderId="65" xfId="84" applyNumberFormat="1" applyFont="1" applyBorder="1" applyAlignment="1">
      <alignment horizontal="center" vertical="center"/>
    </xf>
    <xf numFmtId="178" fontId="168" fillId="54" borderId="75" xfId="70" applyNumberFormat="1" applyFont="1" applyFill="1" applyBorder="1" applyAlignment="1">
      <alignment horizontal="right" vertical="center"/>
    </xf>
    <xf numFmtId="164" fontId="168" fillId="0" borderId="0" xfId="90" applyNumberFormat="1" applyFont="1" applyAlignment="1">
      <alignment vertical="center"/>
    </xf>
    <xf numFmtId="178" fontId="176" fillId="0" borderId="0" xfId="70" applyNumberFormat="1" applyFont="1" applyAlignment="1">
      <alignment vertical="center"/>
    </xf>
    <xf numFmtId="178" fontId="176" fillId="0" borderId="123" xfId="70" applyNumberFormat="1" applyFont="1" applyBorder="1" applyAlignment="1">
      <alignment vertical="center"/>
    </xf>
    <xf numFmtId="178" fontId="168" fillId="0" borderId="0" xfId="70" applyNumberFormat="1" applyFont="1" applyBorder="1" applyAlignment="1">
      <alignment horizontal="center" vertical="center"/>
    </xf>
    <xf numFmtId="167" fontId="176" fillId="0" borderId="123" xfId="70" applyNumberFormat="1" applyFont="1" applyBorder="1" applyAlignment="1">
      <alignment horizontal="center" vertical="center"/>
    </xf>
    <xf numFmtId="0" fontId="176" fillId="0" borderId="0" xfId="90" applyFont="1" applyAlignment="1">
      <alignment vertical="center"/>
    </xf>
    <xf numFmtId="0" fontId="176" fillId="0" borderId="0" xfId="70" applyNumberFormat="1" applyFont="1" applyAlignment="1">
      <alignment horizontal="right" vertical="center"/>
    </xf>
    <xf numFmtId="178" fontId="176" fillId="0" borderId="0" xfId="70" applyNumberFormat="1" applyFont="1" applyBorder="1" applyAlignment="1">
      <alignment vertical="center"/>
    </xf>
    <xf numFmtId="167" fontId="168" fillId="0" borderId="0" xfId="70" applyNumberFormat="1" applyFont="1" applyAlignment="1">
      <alignment vertical="center"/>
    </xf>
    <xf numFmtId="167" fontId="176" fillId="0" borderId="0" xfId="90" applyNumberFormat="1" applyFont="1" applyAlignment="1">
      <alignment horizontal="right" vertical="center"/>
    </xf>
    <xf numFmtId="0" fontId="176" fillId="0" borderId="156" xfId="90" applyFont="1" applyBorder="1" applyAlignment="1">
      <alignment horizontal="center" vertical="center"/>
    </xf>
    <xf numFmtId="202" fontId="176" fillId="0" borderId="157" xfId="90" applyNumberFormat="1" applyFont="1" applyBorder="1" applyAlignment="1">
      <alignment horizontal="center"/>
    </xf>
    <xf numFmtId="202" fontId="176" fillId="0" borderId="147" xfId="90" applyNumberFormat="1" applyFont="1" applyBorder="1" applyAlignment="1">
      <alignment horizontal="center"/>
    </xf>
    <xf numFmtId="202" fontId="176" fillId="0" borderId="158" xfId="90" applyNumberFormat="1" applyFont="1" applyBorder="1" applyAlignment="1">
      <alignment horizontal="center"/>
    </xf>
    <xf numFmtId="178" fontId="176" fillId="0" borderId="159" xfId="90" quotePrefix="1" applyNumberFormat="1" applyFont="1" applyBorder="1" applyAlignment="1">
      <alignment horizontal="center" vertical="center"/>
    </xf>
    <xf numFmtId="203" fontId="176" fillId="0" borderId="160" xfId="90" applyNumberFormat="1" applyFont="1" applyBorder="1" applyAlignment="1">
      <alignment vertical="center"/>
    </xf>
    <xf numFmtId="203" fontId="176" fillId="0" borderId="160" xfId="90" applyNumberFormat="1" applyFont="1" applyBorder="1" applyAlignment="1">
      <alignment horizontal="right" vertical="center"/>
    </xf>
    <xf numFmtId="203" fontId="176" fillId="0" borderId="161" xfId="90" applyNumberFormat="1" applyFont="1" applyBorder="1" applyAlignment="1">
      <alignment horizontal="right" vertical="center"/>
    </xf>
    <xf numFmtId="197" fontId="168" fillId="0" borderId="162" xfId="70" applyNumberFormat="1" applyFont="1" applyFill="1" applyBorder="1" applyAlignment="1">
      <alignment horizontal="left" vertical="center"/>
    </xf>
    <xf numFmtId="37" fontId="168" fillId="0" borderId="163" xfId="70" applyNumberFormat="1" applyFont="1" applyFill="1" applyBorder="1" applyAlignment="1">
      <alignment horizontal="center"/>
    </xf>
    <xf numFmtId="37" fontId="168" fillId="0" borderId="65" xfId="70" applyNumberFormat="1" applyFont="1" applyFill="1" applyBorder="1" applyAlignment="1">
      <alignment horizontal="center"/>
    </xf>
    <xf numFmtId="37" fontId="168" fillId="0" borderId="152" xfId="70" applyNumberFormat="1" applyFont="1" applyFill="1" applyBorder="1" applyAlignment="1">
      <alignment horizontal="center"/>
    </xf>
    <xf numFmtId="202" fontId="176" fillId="0" borderId="0" xfId="90" applyNumberFormat="1" applyFont="1" applyAlignment="1">
      <alignment horizontal="center"/>
    </xf>
    <xf numFmtId="178" fontId="168" fillId="48" borderId="110" xfId="70" applyNumberFormat="1" applyFont="1" applyFill="1" applyBorder="1" applyAlignment="1">
      <alignment vertical="center"/>
    </xf>
    <xf numFmtId="178" fontId="168" fillId="48" borderId="164" xfId="70" applyNumberFormat="1" applyFont="1" applyFill="1" applyBorder="1" applyAlignment="1">
      <alignment vertical="center"/>
    </xf>
    <xf numFmtId="178" fontId="168" fillId="48" borderId="165" xfId="70" applyNumberFormat="1" applyFont="1" applyFill="1" applyBorder="1" applyAlignment="1">
      <alignment vertical="center"/>
    </xf>
    <xf numFmtId="197" fontId="168" fillId="0" borderId="155" xfId="90" quotePrefix="1" applyNumberFormat="1" applyFont="1" applyBorder="1" applyAlignment="1">
      <alignment horizontal="center" vertical="center"/>
    </xf>
    <xf numFmtId="178" fontId="168" fillId="0" borderId="110" xfId="70" applyNumberFormat="1" applyFont="1" applyFill="1" applyBorder="1"/>
    <xf numFmtId="178" fontId="168" fillId="0" borderId="164" xfId="70" applyNumberFormat="1" applyFont="1" applyFill="1" applyBorder="1"/>
    <xf numFmtId="178" fontId="168" fillId="0" borderId="165" xfId="70" applyNumberFormat="1" applyFont="1" applyFill="1" applyBorder="1"/>
    <xf numFmtId="37" fontId="168" fillId="2" borderId="163" xfId="70" applyNumberFormat="1" applyFont="1" applyFill="1" applyBorder="1" applyAlignment="1">
      <alignment horizontal="center"/>
    </xf>
    <xf numFmtId="37" fontId="168" fillId="2" borderId="65" xfId="70" applyNumberFormat="1" applyFont="1" applyFill="1" applyBorder="1" applyAlignment="1">
      <alignment horizontal="center"/>
    </xf>
    <xf numFmtId="37" fontId="168" fillId="2" borderId="152" xfId="70" applyNumberFormat="1" applyFont="1" applyFill="1" applyBorder="1" applyAlignment="1">
      <alignment horizontal="center"/>
    </xf>
    <xf numFmtId="0" fontId="176" fillId="0" borderId="166" xfId="90" applyFont="1" applyBorder="1" applyAlignment="1">
      <alignment horizontal="center" vertical="center"/>
    </xf>
    <xf numFmtId="178" fontId="176" fillId="0" borderId="75" xfId="70" applyNumberFormat="1" applyFont="1" applyFill="1" applyBorder="1"/>
    <xf numFmtId="178" fontId="176" fillId="0" borderId="133" xfId="70" applyNumberFormat="1" applyFont="1" applyFill="1" applyBorder="1"/>
    <xf numFmtId="197" fontId="168" fillId="0" borderId="167" xfId="70" applyNumberFormat="1" applyFont="1" applyFill="1" applyBorder="1" applyAlignment="1">
      <alignment horizontal="left" vertical="center"/>
    </xf>
    <xf numFmtId="197" fontId="168" fillId="0" borderId="132" xfId="70" applyNumberFormat="1" applyFont="1" applyFill="1" applyBorder="1" applyAlignment="1">
      <alignment horizontal="left" vertical="center"/>
    </xf>
    <xf numFmtId="37" fontId="168" fillId="0" borderId="168" xfId="70" applyNumberFormat="1" applyFont="1" applyFill="1" applyBorder="1" applyAlignment="1">
      <alignment horizontal="center"/>
    </xf>
    <xf numFmtId="37" fontId="168" fillId="0" borderId="48" xfId="70" applyNumberFormat="1" applyFont="1" applyFill="1" applyBorder="1" applyAlignment="1">
      <alignment horizontal="center"/>
    </xf>
    <xf numFmtId="37" fontId="168" fillId="0" borderId="169" xfId="70" applyNumberFormat="1" applyFont="1" applyFill="1" applyBorder="1" applyAlignment="1">
      <alignment horizontal="center"/>
    </xf>
    <xf numFmtId="0" fontId="168" fillId="0" borderId="156" xfId="90" applyFont="1" applyBorder="1" applyAlignment="1">
      <alignment vertical="center"/>
    </xf>
    <xf numFmtId="0" fontId="168" fillId="0" borderId="147" xfId="90" applyFont="1" applyBorder="1" applyAlignment="1">
      <alignment vertical="center"/>
    </xf>
    <xf numFmtId="178" fontId="176" fillId="0" borderId="147" xfId="70" applyNumberFormat="1" applyFont="1" applyBorder="1" applyAlignment="1">
      <alignment horizontal="right"/>
    </xf>
    <xf numFmtId="0" fontId="168" fillId="2" borderId="151" xfId="90" applyFont="1" applyFill="1" applyBorder="1" applyAlignment="1">
      <alignment horizontal="center" vertical="center"/>
    </xf>
    <xf numFmtId="0" fontId="179" fillId="0" borderId="124" xfId="90" quotePrefix="1" applyFont="1" applyBorder="1" applyAlignment="1">
      <alignment vertical="center"/>
    </xf>
    <xf numFmtId="178" fontId="168" fillId="0" borderId="68" xfId="70" applyNumberFormat="1" applyFont="1" applyBorder="1" applyAlignment="1">
      <alignment horizontal="left"/>
    </xf>
    <xf numFmtId="178" fontId="176" fillId="0" borderId="68" xfId="70" applyNumberFormat="1" applyFont="1" applyBorder="1" applyAlignment="1">
      <alignment horizontal="right"/>
    </xf>
    <xf numFmtId="171" fontId="168" fillId="2" borderId="152" xfId="70" applyNumberFormat="1" applyFont="1" applyFill="1" applyBorder="1" applyAlignment="1">
      <alignment horizontal="center"/>
    </xf>
    <xf numFmtId="178" fontId="168" fillId="0" borderId="138" xfId="70" applyNumberFormat="1" applyFont="1" applyBorder="1" applyAlignment="1">
      <alignment horizontal="left"/>
    </xf>
    <xf numFmtId="0" fontId="168" fillId="0" borderId="65" xfId="70" applyNumberFormat="1" applyFont="1" applyBorder="1" applyAlignment="1">
      <alignment horizontal="center"/>
    </xf>
    <xf numFmtId="178" fontId="168" fillId="0" borderId="65" xfId="70" applyNumberFormat="1" applyFont="1" applyBorder="1" applyAlignment="1">
      <alignment horizontal="center"/>
    </xf>
    <xf numFmtId="203" fontId="168" fillId="0" borderId="65" xfId="70" applyNumberFormat="1" applyFont="1" applyFill="1" applyBorder="1" applyAlignment="1">
      <alignment horizontal="right"/>
    </xf>
    <xf numFmtId="203" fontId="168" fillId="0" borderId="152" xfId="70" applyNumberFormat="1" applyFont="1" applyFill="1" applyBorder="1" applyAlignment="1">
      <alignment horizontal="right"/>
    </xf>
    <xf numFmtId="178" fontId="168" fillId="0" borderId="138" xfId="70" applyNumberFormat="1" applyFont="1" applyBorder="1" applyAlignment="1">
      <alignment vertical="center"/>
    </xf>
    <xf numFmtId="178" fontId="168" fillId="0" borderId="117" xfId="70" applyNumberFormat="1" applyFont="1" applyBorder="1" applyAlignment="1"/>
    <xf numFmtId="178" fontId="176" fillId="2" borderId="65" xfId="70" applyNumberFormat="1" applyFont="1" applyFill="1" applyBorder="1" applyAlignment="1">
      <alignment horizontal="center"/>
    </xf>
    <xf numFmtId="43" fontId="168" fillId="2" borderId="65" xfId="70" applyFont="1" applyFill="1" applyBorder="1"/>
    <xf numFmtId="43" fontId="168" fillId="2" borderId="152" xfId="70" applyFont="1" applyFill="1" applyBorder="1"/>
    <xf numFmtId="178" fontId="168" fillId="0" borderId="149" xfId="70" applyNumberFormat="1" applyFont="1" applyBorder="1" applyAlignment="1"/>
    <xf numFmtId="178" fontId="168" fillId="2" borderId="65" xfId="70" applyNumberFormat="1" applyFont="1" applyFill="1" applyBorder="1" applyAlignment="1"/>
    <xf numFmtId="0" fontId="168" fillId="0" borderId="155" xfId="90" applyFont="1" applyBorder="1" applyAlignment="1">
      <alignment horizontal="center" vertical="center"/>
    </xf>
    <xf numFmtId="178" fontId="168" fillId="2" borderId="110" xfId="70" applyNumberFormat="1" applyFont="1" applyFill="1" applyBorder="1"/>
    <xf numFmtId="178" fontId="168" fillId="2" borderId="164" xfId="70" applyNumberFormat="1" applyFont="1" applyFill="1" applyBorder="1"/>
    <xf numFmtId="178" fontId="168" fillId="2" borderId="165" xfId="70" applyNumberFormat="1" applyFont="1" applyFill="1" applyBorder="1"/>
    <xf numFmtId="0" fontId="168" fillId="2" borderId="65" xfId="90" applyFont="1" applyFill="1" applyBorder="1" applyAlignment="1">
      <alignment vertical="center"/>
    </xf>
    <xf numFmtId="43" fontId="168" fillId="2" borderId="65" xfId="70" applyFont="1" applyFill="1" applyBorder="1" applyAlignment="1"/>
    <xf numFmtId="178" fontId="168" fillId="0" borderId="132" xfId="70" applyNumberFormat="1" applyFont="1" applyBorder="1" applyAlignment="1">
      <alignment horizontal="left"/>
    </xf>
    <xf numFmtId="0" fontId="168" fillId="0" borderId="75" xfId="70" applyNumberFormat="1" applyFont="1" applyBorder="1" applyAlignment="1">
      <alignment horizontal="center"/>
    </xf>
    <xf numFmtId="178" fontId="176" fillId="0" borderId="75" xfId="70" applyNumberFormat="1" applyFont="1" applyBorder="1" applyAlignment="1">
      <alignment horizontal="right"/>
    </xf>
    <xf numFmtId="43" fontId="176" fillId="0" borderId="141" xfId="70" applyFont="1" applyBorder="1" applyAlignment="1">
      <alignment horizontal="left"/>
    </xf>
    <xf numFmtId="43" fontId="176" fillId="0" borderId="154" xfId="70" applyFont="1" applyBorder="1" applyAlignment="1">
      <alignment horizontal="left"/>
    </xf>
    <xf numFmtId="0" fontId="176" fillId="0" borderId="140" xfId="90" applyFont="1" applyBorder="1" applyAlignment="1">
      <alignment horizontal="center" vertical="center"/>
    </xf>
    <xf numFmtId="0" fontId="168" fillId="0" borderId="75" xfId="90" applyFont="1" applyBorder="1" applyAlignment="1">
      <alignment vertical="center"/>
    </xf>
    <xf numFmtId="178" fontId="176" fillId="0" borderId="75" xfId="70" applyNumberFormat="1" applyFont="1" applyFill="1" applyBorder="1" applyAlignment="1">
      <alignment vertical="center"/>
    </xf>
    <xf numFmtId="178" fontId="176" fillId="0" borderId="133" xfId="70" applyNumberFormat="1" applyFont="1" applyFill="1" applyBorder="1" applyAlignment="1">
      <alignment vertical="center"/>
    </xf>
    <xf numFmtId="6" fontId="0" fillId="4" borderId="0" xfId="0" applyNumberFormat="1" applyFill="1"/>
    <xf numFmtId="0" fontId="65" fillId="0" borderId="23" xfId="36" applyBorder="1"/>
    <xf numFmtId="38" fontId="37" fillId="10" borderId="116" xfId="36" applyNumberFormat="1" applyFont="1" applyFill="1" applyBorder="1" applyAlignment="1">
      <alignment horizontal="center"/>
    </xf>
    <xf numFmtId="44" fontId="44" fillId="0" borderId="116" xfId="36" applyNumberFormat="1" applyFont="1" applyBorder="1"/>
    <xf numFmtId="42" fontId="65" fillId="0" borderId="53" xfId="36" applyNumberFormat="1" applyBorder="1"/>
    <xf numFmtId="0" fontId="1" fillId="0" borderId="119" xfId="36" applyFont="1" applyBorder="1" applyAlignment="1">
      <alignment horizontal="center"/>
    </xf>
    <xf numFmtId="181" fontId="17" fillId="0" borderId="120" xfId="36" applyNumberFormat="1" applyFont="1" applyBorder="1" applyAlignment="1">
      <alignment horizontal="left"/>
    </xf>
    <xf numFmtId="0" fontId="0" fillId="0" borderId="122" xfId="0" applyBorder="1"/>
    <xf numFmtId="0" fontId="1" fillId="0" borderId="109" xfId="36" applyFont="1" applyBorder="1"/>
    <xf numFmtId="181" fontId="17" fillId="4" borderId="110" xfId="36" applyNumberFormat="1" applyFont="1" applyFill="1" applyBorder="1" applyAlignment="1">
      <alignment horizontal="left"/>
    </xf>
    <xf numFmtId="0" fontId="0" fillId="4" borderId="164" xfId="0" applyFill="1" applyBorder="1"/>
    <xf numFmtId="10" fontId="17" fillId="0" borderId="0" xfId="2" applyNumberFormat="1" applyFont="1"/>
    <xf numFmtId="0" fontId="176" fillId="0" borderId="147" xfId="90" applyFont="1" applyBorder="1" applyAlignment="1">
      <alignment horizontal="center" vertical="center"/>
    </xf>
    <xf numFmtId="0" fontId="176" fillId="0" borderId="148" xfId="90" applyFont="1" applyBorder="1" applyAlignment="1">
      <alignment horizontal="center" vertical="center"/>
    </xf>
    <xf numFmtId="1" fontId="168" fillId="0" borderId="146" xfId="70" quotePrefix="1" applyNumberFormat="1" applyFont="1" applyBorder="1" applyAlignment="1">
      <alignment horizontal="center" vertical="center"/>
    </xf>
    <xf numFmtId="0" fontId="168" fillId="2" borderId="146" xfId="70" applyNumberFormat="1" applyFont="1" applyFill="1" applyBorder="1" applyAlignment="1">
      <alignment horizontal="center" vertical="center"/>
    </xf>
    <xf numFmtId="182" fontId="168" fillId="2" borderId="146" xfId="70" applyNumberFormat="1" applyFont="1" applyFill="1" applyBorder="1" applyAlignment="1">
      <alignment horizontal="center" vertical="center"/>
    </xf>
    <xf numFmtId="1" fontId="168" fillId="0" borderId="118" xfId="70" quotePrefix="1" applyNumberFormat="1" applyFont="1" applyBorder="1" applyAlignment="1">
      <alignment horizontal="center" vertical="center"/>
    </xf>
    <xf numFmtId="0" fontId="168" fillId="2" borderId="118" xfId="70" applyNumberFormat="1" applyFont="1" applyFill="1" applyBorder="1" applyAlignment="1">
      <alignment horizontal="center" vertical="center"/>
    </xf>
    <xf numFmtId="182" fontId="168" fillId="2" borderId="118" xfId="70" quotePrefix="1" applyNumberFormat="1" applyFont="1" applyFill="1" applyBorder="1" applyAlignment="1">
      <alignment horizontal="center" vertical="center"/>
    </xf>
    <xf numFmtId="43" fontId="168" fillId="2" borderId="118" xfId="70" applyFont="1" applyFill="1" applyBorder="1" applyAlignment="1">
      <alignment horizontal="center" vertical="center"/>
    </xf>
    <xf numFmtId="1" fontId="168" fillId="0" borderId="118" xfId="70" applyNumberFormat="1" applyFont="1" applyBorder="1" applyAlignment="1">
      <alignment horizontal="center" vertical="center"/>
    </xf>
    <xf numFmtId="182" fontId="168" fillId="2" borderId="118" xfId="70" applyNumberFormat="1" applyFont="1" applyFill="1" applyBorder="1" applyAlignment="1">
      <alignment horizontal="center" vertical="center"/>
    </xf>
    <xf numFmtId="199" fontId="168" fillId="2" borderId="118" xfId="90" applyNumberFormat="1" applyFont="1" applyFill="1" applyBorder="1" applyAlignment="1">
      <alignment horizontal="left" vertical="center"/>
    </xf>
    <xf numFmtId="1" fontId="168" fillId="0" borderId="145" xfId="70" quotePrefix="1" applyNumberFormat="1" applyFont="1" applyBorder="1" applyAlignment="1">
      <alignment horizontal="center" vertical="center"/>
    </xf>
    <xf numFmtId="1" fontId="168" fillId="0" borderId="117" xfId="70" quotePrefix="1" applyNumberFormat="1" applyFont="1" applyBorder="1" applyAlignment="1">
      <alignment horizontal="center" vertical="center"/>
    </xf>
    <xf numFmtId="0" fontId="168" fillId="0" borderId="118" xfId="70" applyNumberFormat="1" applyFont="1" applyFill="1" applyBorder="1" applyAlignment="1">
      <alignment horizontal="center" vertical="center"/>
    </xf>
    <xf numFmtId="182" fontId="168" fillId="0" borderId="118" xfId="70" applyNumberFormat="1" applyFont="1" applyBorder="1" applyAlignment="1">
      <alignment horizontal="center" vertical="center"/>
    </xf>
    <xf numFmtId="1" fontId="168" fillId="0" borderId="117" xfId="70" applyNumberFormat="1" applyFont="1" applyBorder="1" applyAlignment="1">
      <alignment horizontal="center" vertical="center"/>
    </xf>
    <xf numFmtId="0" fontId="168" fillId="0" borderId="118" xfId="70" applyNumberFormat="1" applyFont="1" applyBorder="1" applyAlignment="1">
      <alignment horizontal="center" vertical="center"/>
    </xf>
    <xf numFmtId="201" fontId="168" fillId="0" borderId="170" xfId="90" applyNumberFormat="1" applyFont="1" applyBorder="1" applyAlignment="1">
      <alignment horizontal="center" vertical="center"/>
    </xf>
    <xf numFmtId="10" fontId="168" fillId="0" borderId="118" xfId="84" applyNumberFormat="1" applyFont="1" applyBorder="1" applyAlignment="1">
      <alignment horizontal="center" vertical="center"/>
    </xf>
    <xf numFmtId="37" fontId="168" fillId="0" borderId="118" xfId="70" applyNumberFormat="1" applyFont="1" applyFill="1" applyBorder="1" applyAlignment="1">
      <alignment horizontal="center"/>
    </xf>
    <xf numFmtId="37" fontId="168" fillId="2" borderId="118" xfId="70" applyNumberFormat="1" applyFont="1" applyFill="1" applyBorder="1" applyAlignment="1">
      <alignment horizontal="center"/>
    </xf>
    <xf numFmtId="0" fontId="168" fillId="0" borderId="118" xfId="70" applyNumberFormat="1" applyFont="1" applyBorder="1" applyAlignment="1">
      <alignment horizontal="center"/>
    </xf>
    <xf numFmtId="178" fontId="168" fillId="0" borderId="118" xfId="70" applyNumberFormat="1" applyFont="1" applyBorder="1" applyAlignment="1">
      <alignment horizontal="center"/>
    </xf>
    <xf numFmtId="203" fontId="168" fillId="0" borderId="118" xfId="70" applyNumberFormat="1" applyFont="1" applyFill="1" applyBorder="1" applyAlignment="1">
      <alignment horizontal="right"/>
    </xf>
    <xf numFmtId="178" fontId="176" fillId="2" borderId="118" xfId="70" applyNumberFormat="1" applyFont="1" applyFill="1" applyBorder="1" applyAlignment="1">
      <alignment horizontal="center"/>
    </xf>
    <xf numFmtId="43" fontId="168" fillId="2" borderId="118" xfId="70" applyFont="1" applyFill="1" applyBorder="1"/>
    <xf numFmtId="178" fontId="168" fillId="2" borderId="118" xfId="70" applyNumberFormat="1" applyFont="1" applyFill="1" applyBorder="1" applyAlignment="1"/>
    <xf numFmtId="0" fontId="168" fillId="2" borderId="118" xfId="90" applyFont="1" applyFill="1" applyBorder="1" applyAlignment="1">
      <alignment vertical="center"/>
    </xf>
    <xf numFmtId="169" fontId="1" fillId="10" borderId="10" xfId="0" applyNumberFormat="1" applyFont="1" applyFill="1" applyBorder="1" applyAlignment="1">
      <alignment horizontal="right"/>
    </xf>
    <xf numFmtId="9" fontId="108" fillId="45" borderId="65" xfId="0" applyNumberFormat="1" applyFont="1" applyFill="1" applyBorder="1" applyAlignment="1">
      <alignment horizontal="center"/>
    </xf>
    <xf numFmtId="10" fontId="108" fillId="45" borderId="65" xfId="0" applyNumberFormat="1" applyFont="1" applyFill="1" applyBorder="1" applyAlignment="1">
      <alignment horizontal="center"/>
    </xf>
    <xf numFmtId="0" fontId="0" fillId="0" borderId="0" xfId="0" applyAlignment="1">
      <alignment horizontal="left" indent="4"/>
    </xf>
    <xf numFmtId="167" fontId="0" fillId="0" borderId="0" xfId="0" applyNumberFormat="1" applyAlignment="1">
      <alignment horizontal="right" indent="1"/>
    </xf>
    <xf numFmtId="0" fontId="182" fillId="0" borderId="0" xfId="0" applyFont="1"/>
    <xf numFmtId="0" fontId="183" fillId="0" borderId="0" xfId="0" applyFont="1"/>
    <xf numFmtId="9" fontId="182" fillId="8" borderId="0" xfId="0" applyNumberFormat="1" applyFont="1" applyFill="1" applyAlignment="1">
      <alignment horizontal="center"/>
    </xf>
    <xf numFmtId="0" fontId="0" fillId="0" borderId="0" xfId="0" applyAlignment="1">
      <alignment horizontal="left" indent="2"/>
    </xf>
    <xf numFmtId="9" fontId="182" fillId="4" borderId="0" xfId="0" applyNumberFormat="1" applyFont="1" applyFill="1" applyAlignment="1">
      <alignment horizontal="center"/>
    </xf>
    <xf numFmtId="7" fontId="17" fillId="0" borderId="0" xfId="0" applyNumberFormat="1" applyFont="1"/>
    <xf numFmtId="0" fontId="17" fillId="0" borderId="68" xfId="0" applyFont="1" applyBorder="1"/>
    <xf numFmtId="5" fontId="94" fillId="0" borderId="68" xfId="0" applyNumberFormat="1" applyFont="1" applyBorder="1"/>
    <xf numFmtId="5" fontId="17" fillId="0" borderId="68" xfId="0" applyNumberFormat="1" applyFont="1" applyBorder="1"/>
    <xf numFmtId="5" fontId="0" fillId="0" borderId="68" xfId="1" applyNumberFormat="1" applyFont="1" applyFill="1" applyBorder="1" applyProtection="1">
      <protection locked="0"/>
    </xf>
    <xf numFmtId="5" fontId="0" fillId="8" borderId="68" xfId="1" applyNumberFormat="1" applyFont="1" applyFill="1" applyBorder="1" applyProtection="1">
      <protection locked="0"/>
    </xf>
    <xf numFmtId="6" fontId="167" fillId="0" borderId="66" xfId="36" applyNumberFormat="1" applyFont="1" applyBorder="1" applyAlignment="1">
      <alignment horizontal="center"/>
    </xf>
    <xf numFmtId="6" fontId="167" fillId="0" borderId="23" xfId="36" applyNumberFormat="1" applyFont="1" applyBorder="1" applyAlignment="1">
      <alignment horizontal="center"/>
    </xf>
    <xf numFmtId="164" fontId="37" fillId="0" borderId="116" xfId="36" applyNumberFormat="1" applyFont="1" applyBorder="1" applyAlignment="1">
      <alignment horizontal="center"/>
    </xf>
    <xf numFmtId="10" fontId="37" fillId="42" borderId="116" xfId="36" applyNumberFormat="1" applyFont="1" applyFill="1" applyBorder="1" applyAlignment="1">
      <alignment horizontal="center"/>
    </xf>
    <xf numFmtId="6" fontId="0" fillId="0" borderId="0" xfId="89" applyNumberFormat="1" applyFont="1"/>
    <xf numFmtId="0" fontId="42" fillId="0" borderId="109" xfId="0" applyFont="1" applyBorder="1"/>
    <xf numFmtId="6" fontId="167" fillId="0" borderId="109" xfId="36" applyNumberFormat="1" applyFont="1" applyBorder="1" applyAlignment="1">
      <alignment horizontal="center"/>
    </xf>
    <xf numFmtId="164" fontId="37" fillId="0" borderId="164" xfId="36" applyNumberFormat="1" applyFont="1" applyBorder="1" applyAlignment="1">
      <alignment horizontal="center"/>
    </xf>
    <xf numFmtId="0" fontId="42" fillId="42" borderId="171" xfId="0" applyFont="1" applyFill="1" applyBorder="1"/>
    <xf numFmtId="6" fontId="167" fillId="42" borderId="171" xfId="36" applyNumberFormat="1" applyFont="1" applyFill="1" applyBorder="1" applyAlignment="1">
      <alignment horizontal="center"/>
    </xf>
    <xf numFmtId="42" fontId="185" fillId="0" borderId="0" xfId="36" applyNumberFormat="1" applyFont="1"/>
    <xf numFmtId="0" fontId="185" fillId="0" borderId="0" xfId="36" applyFont="1"/>
    <xf numFmtId="14" fontId="185" fillId="0" borderId="0" xfId="36" applyNumberFormat="1" applyFont="1"/>
    <xf numFmtId="14" fontId="186" fillId="0" borderId="0" xfId="36" applyNumberFormat="1" applyFont="1"/>
    <xf numFmtId="0" fontId="187" fillId="0" borderId="0" xfId="0" applyFont="1"/>
    <xf numFmtId="0" fontId="186" fillId="0" borderId="0" xfId="36" applyFont="1"/>
    <xf numFmtId="0" fontId="185" fillId="0" borderId="0" xfId="36" applyFont="1" applyAlignment="1">
      <alignment horizontal="center"/>
    </xf>
    <xf numFmtId="0" fontId="65" fillId="0" borderId="171" xfId="36" applyBorder="1"/>
    <xf numFmtId="0" fontId="65" fillId="0" borderId="173" xfId="36" applyBorder="1"/>
    <xf numFmtId="38" fontId="37" fillId="10" borderId="172" xfId="36" applyNumberFormat="1" applyFont="1" applyFill="1" applyBorder="1" applyAlignment="1">
      <alignment horizontal="center"/>
    </xf>
    <xf numFmtId="0" fontId="65" fillId="0" borderId="174" xfId="36" applyBorder="1" applyAlignment="1">
      <alignment horizontal="center"/>
    </xf>
    <xf numFmtId="44" fontId="44" fillId="0" borderId="172" xfId="36" applyNumberFormat="1" applyFont="1" applyBorder="1"/>
    <xf numFmtId="42" fontId="65" fillId="0" borderId="175" xfId="36" applyNumberFormat="1" applyBorder="1"/>
    <xf numFmtId="0" fontId="42" fillId="4" borderId="171" xfId="0" applyFont="1" applyFill="1" applyBorder="1"/>
    <xf numFmtId="6" fontId="167" fillId="4" borderId="171" xfId="36" applyNumberFormat="1" applyFont="1" applyFill="1" applyBorder="1" applyAlignment="1">
      <alignment horizontal="center"/>
    </xf>
    <xf numFmtId="164" fontId="184" fillId="4" borderId="116" xfId="36" applyNumberFormat="1" applyFont="1" applyFill="1" applyBorder="1" applyAlignment="1">
      <alignment horizontal="center"/>
    </xf>
    <xf numFmtId="178" fontId="52" fillId="0" borderId="178" xfId="70" applyNumberFormat="1" applyFont="1" applyBorder="1" applyProtection="1">
      <protection locked="0"/>
    </xf>
    <xf numFmtId="178" fontId="52" fillId="0" borderId="178" xfId="70" applyNumberFormat="1" applyFont="1" applyFill="1" applyBorder="1" applyAlignment="1" applyProtection="1">
      <alignment horizontal="centerContinuous"/>
      <protection locked="0"/>
    </xf>
    <xf numFmtId="178" fontId="52" fillId="0" borderId="178" xfId="70" applyNumberFormat="1" applyFont="1" applyFill="1" applyBorder="1" applyProtection="1">
      <protection locked="0"/>
    </xf>
    <xf numFmtId="178" fontId="52" fillId="42" borderId="78" xfId="89" applyNumberFormat="1" applyFont="1" applyFill="1" applyBorder="1" applyProtection="1">
      <protection locked="0"/>
    </xf>
    <xf numFmtId="14" fontId="0" fillId="0" borderId="0" xfId="0" applyNumberFormat="1"/>
    <xf numFmtId="5" fontId="148" fillId="0" borderId="4" xfId="42" applyNumberFormat="1" applyFont="1" applyBorder="1" applyAlignment="1" applyProtection="1">
      <alignment horizontal="left" indent="1"/>
      <protection locked="0"/>
    </xf>
    <xf numFmtId="37" fontId="148" fillId="0" borderId="4" xfId="42" applyNumberFormat="1" applyFont="1" applyBorder="1" applyProtection="1">
      <protection locked="0"/>
    </xf>
    <xf numFmtId="37" fontId="148" fillId="0" borderId="4" xfId="42" quotePrefix="1" applyNumberFormat="1" applyFont="1" applyBorder="1" applyAlignment="1" applyProtection="1">
      <alignment horizontal="left" indent="1"/>
      <protection locked="0"/>
    </xf>
    <xf numFmtId="5" fontId="148" fillId="0" borderId="4" xfId="42" quotePrefix="1" applyNumberFormat="1" applyFont="1" applyBorder="1" applyAlignment="1" applyProtection="1">
      <alignment horizontal="left" indent="1"/>
      <protection locked="0"/>
    </xf>
    <xf numFmtId="5" fontId="53" fillId="0" borderId="4" xfId="42" applyNumberFormat="1" applyFont="1" applyBorder="1" applyProtection="1">
      <protection locked="0"/>
    </xf>
    <xf numFmtId="6" fontId="188" fillId="0" borderId="0" xfId="42" applyNumberFormat="1" applyFont="1" applyProtection="1">
      <protection locked="0"/>
    </xf>
    <xf numFmtId="0" fontId="188" fillId="0" borderId="0" xfId="42" applyFont="1" applyProtection="1">
      <protection locked="0"/>
    </xf>
    <xf numFmtId="9" fontId="188" fillId="0" borderId="0" xfId="42" applyNumberFormat="1" applyFont="1" applyProtection="1">
      <protection locked="0"/>
    </xf>
    <xf numFmtId="0" fontId="52" fillId="53" borderId="0" xfId="42" applyFont="1" applyFill="1" applyProtection="1">
      <protection locked="0"/>
    </xf>
    <xf numFmtId="169" fontId="90" fillId="0" borderId="60" xfId="42" applyNumberFormat="1" applyFont="1" applyBorder="1" applyProtection="1">
      <protection locked="0"/>
    </xf>
    <xf numFmtId="0" fontId="10" fillId="48" borderId="64" xfId="42" applyFill="1" applyBorder="1" applyProtection="1">
      <protection locked="0"/>
    </xf>
    <xf numFmtId="167" fontId="10" fillId="55" borderId="27" xfId="42" applyNumberFormat="1" applyFill="1" applyBorder="1" applyProtection="1">
      <protection locked="0"/>
    </xf>
    <xf numFmtId="5" fontId="189" fillId="48" borderId="62" xfId="42" applyNumberFormat="1" applyFont="1" applyFill="1" applyBorder="1" applyProtection="1">
      <protection locked="0"/>
    </xf>
    <xf numFmtId="37" fontId="10" fillId="55" borderId="27" xfId="42" applyNumberFormat="1" applyFill="1" applyBorder="1" applyProtection="1">
      <protection locked="0"/>
    </xf>
    <xf numFmtId="37" fontId="15" fillId="55" borderId="27" xfId="42" applyNumberFormat="1" applyFont="1" applyFill="1" applyBorder="1" applyProtection="1">
      <protection locked="0"/>
    </xf>
    <xf numFmtId="0" fontId="10" fillId="55" borderId="64" xfId="42" applyFill="1" applyBorder="1" applyProtection="1">
      <protection locked="0"/>
    </xf>
    <xf numFmtId="167" fontId="14" fillId="48" borderId="179" xfId="42" applyNumberFormat="1" applyFont="1" applyFill="1" applyBorder="1" applyProtection="1">
      <protection locked="0"/>
    </xf>
    <xf numFmtId="178" fontId="10" fillId="52" borderId="63" xfId="89" applyNumberFormat="1" applyFont="1" applyFill="1" applyBorder="1" applyProtection="1">
      <protection locked="0"/>
    </xf>
    <xf numFmtId="37" fontId="190" fillId="0" borderId="63" xfId="42" applyNumberFormat="1" applyFont="1" applyBorder="1" applyProtection="1">
      <protection locked="0"/>
    </xf>
    <xf numFmtId="178" fontId="10" fillId="14" borderId="63" xfId="89" applyNumberFormat="1" applyFont="1" applyFill="1" applyBorder="1" applyProtection="1">
      <protection locked="0"/>
    </xf>
    <xf numFmtId="178" fontId="10" fillId="0" borderId="62" xfId="89" applyNumberFormat="1" applyFont="1" applyBorder="1" applyProtection="1">
      <protection locked="0"/>
    </xf>
    <xf numFmtId="178" fontId="10" fillId="0" borderId="63" xfId="89" applyNumberFormat="1" applyFont="1" applyFill="1" applyBorder="1" applyProtection="1">
      <protection locked="0"/>
    </xf>
    <xf numFmtId="1" fontId="10" fillId="56" borderId="63" xfId="42" applyNumberFormat="1" applyFill="1" applyBorder="1" applyProtection="1">
      <protection locked="0"/>
    </xf>
    <xf numFmtId="178" fontId="190" fillId="42" borderId="63" xfId="89" applyNumberFormat="1" applyFont="1" applyFill="1" applyBorder="1" applyProtection="1">
      <protection locked="0"/>
    </xf>
    <xf numFmtId="178" fontId="190" fillId="45" borderId="63" xfId="89" quotePrefix="1" applyNumberFormat="1" applyFont="1" applyFill="1" applyBorder="1" applyProtection="1">
      <protection locked="0"/>
    </xf>
    <xf numFmtId="178" fontId="10" fillId="57" borderId="63" xfId="89" applyNumberFormat="1" applyFont="1" applyFill="1" applyBorder="1" applyProtection="1">
      <protection locked="0"/>
    </xf>
    <xf numFmtId="178" fontId="10" fillId="56" borderId="63" xfId="89" applyNumberFormat="1" applyFont="1" applyFill="1" applyBorder="1" applyProtection="1">
      <protection locked="0"/>
    </xf>
    <xf numFmtId="178" fontId="10" fillId="0" borderId="62" xfId="89" applyNumberFormat="1" applyFont="1" applyFill="1" applyBorder="1" applyProtection="1">
      <protection locked="0"/>
    </xf>
    <xf numFmtId="178" fontId="190" fillId="0" borderId="63" xfId="89" applyNumberFormat="1" applyFont="1" applyFill="1" applyBorder="1" applyProtection="1">
      <protection locked="0"/>
    </xf>
    <xf numFmtId="42" fontId="10" fillId="0" borderId="27" xfId="42" applyNumberFormat="1" applyBorder="1" applyProtection="1">
      <protection locked="0"/>
    </xf>
    <xf numFmtId="178" fontId="190" fillId="56" borderId="63" xfId="89" applyNumberFormat="1" applyFont="1" applyFill="1" applyBorder="1" applyProtection="1">
      <protection locked="0"/>
    </xf>
    <xf numFmtId="205" fontId="52" fillId="0" borderId="0" xfId="37" applyNumberFormat="1" applyFont="1" applyBorder="1" applyAlignment="1" applyProtection="1">
      <protection locked="0"/>
    </xf>
    <xf numFmtId="165" fontId="52" fillId="0" borderId="0" xfId="88" applyNumberFormat="1" applyFont="1" applyAlignment="1" applyProtection="1">
      <alignment horizontal="left"/>
      <protection locked="0"/>
    </xf>
    <xf numFmtId="5" fontId="148" fillId="42" borderId="4" xfId="42" applyNumberFormat="1" applyFont="1" applyFill="1" applyBorder="1" applyAlignment="1" applyProtection="1">
      <alignment horizontal="left" indent="1"/>
      <protection locked="0"/>
    </xf>
    <xf numFmtId="0" fontId="106" fillId="4" borderId="0" xfId="0" applyFont="1" applyFill="1" applyAlignment="1">
      <alignment horizontal="left" vertical="top"/>
    </xf>
    <xf numFmtId="0" fontId="95" fillId="4" borderId="0" xfId="0" applyFont="1" applyFill="1" applyAlignment="1">
      <alignment horizontal="left"/>
    </xf>
    <xf numFmtId="0" fontId="172" fillId="4" borderId="0" xfId="0" applyFont="1" applyFill="1" applyAlignment="1">
      <alignment vertical="top"/>
    </xf>
    <xf numFmtId="0" fontId="172" fillId="4" borderId="0" xfId="0" applyFont="1" applyFill="1" applyAlignment="1">
      <alignment horizontal="left" vertical="top"/>
    </xf>
    <xf numFmtId="0" fontId="172" fillId="4" borderId="0" xfId="0" applyFont="1" applyFill="1" applyAlignment="1">
      <alignment horizontal="left" vertical="top" indent="1"/>
    </xf>
    <xf numFmtId="4" fontId="0" fillId="4" borderId="0" xfId="0" applyNumberFormat="1" applyFill="1"/>
    <xf numFmtId="4" fontId="0" fillId="4" borderId="180" xfId="0" applyNumberFormat="1" applyFill="1" applyBorder="1" applyAlignment="1">
      <alignment horizontal="right" vertical="top"/>
    </xf>
    <xf numFmtId="4" fontId="172" fillId="4" borderId="0" xfId="0" applyNumberFormat="1" applyFont="1" applyFill="1" applyAlignment="1">
      <alignment horizontal="right" vertical="top"/>
    </xf>
    <xf numFmtId="4" fontId="1" fillId="4" borderId="180" xfId="0" applyNumberFormat="1" applyFont="1" applyFill="1" applyBorder="1" applyAlignment="1">
      <alignment horizontal="right" vertical="top"/>
    </xf>
    <xf numFmtId="8" fontId="0" fillId="4" borderId="0" xfId="0" applyNumberFormat="1" applyFill="1"/>
    <xf numFmtId="2" fontId="172" fillId="4" borderId="0" xfId="0" applyNumberFormat="1" applyFont="1" applyFill="1" applyAlignment="1">
      <alignment horizontal="right" vertical="top"/>
    </xf>
    <xf numFmtId="4" fontId="0" fillId="4" borderId="0" xfId="1" applyNumberFormat="1" applyFont="1" applyFill="1" applyBorder="1" applyAlignment="1">
      <alignment horizontal="right" vertical="top"/>
    </xf>
    <xf numFmtId="5" fontId="48" fillId="0" borderId="4" xfId="42" applyNumberFormat="1" applyFont="1" applyBorder="1" applyProtection="1">
      <protection locked="0"/>
    </xf>
    <xf numFmtId="37" fontId="48" fillId="0" borderId="4" xfId="42" applyNumberFormat="1" applyFont="1" applyBorder="1" applyProtection="1">
      <protection locked="0"/>
    </xf>
    <xf numFmtId="5" fontId="48" fillId="0" borderId="4" xfId="42" quotePrefix="1" applyNumberFormat="1" applyFont="1" applyBorder="1" applyProtection="1">
      <protection locked="0"/>
    </xf>
    <xf numFmtId="5" fontId="191" fillId="53" borderId="4" xfId="42" quotePrefix="1" applyNumberFormat="1" applyFont="1" applyFill="1" applyBorder="1" applyAlignment="1" applyProtection="1">
      <alignment horizontal="left" indent="1"/>
      <protection locked="0"/>
    </xf>
    <xf numFmtId="187" fontId="52" fillId="0" borderId="78" xfId="37" applyNumberFormat="1" applyFont="1" applyFill="1" applyBorder="1" applyProtection="1">
      <protection locked="0"/>
    </xf>
    <xf numFmtId="178" fontId="52" fillId="0" borderId="111" xfId="70" applyNumberFormat="1" applyFont="1" applyFill="1" applyBorder="1" applyProtection="1">
      <protection locked="0"/>
    </xf>
    <xf numFmtId="178" fontId="52" fillId="0" borderId="78" xfId="70" quotePrefix="1" applyNumberFormat="1" applyFont="1" applyFill="1" applyBorder="1" applyAlignment="1" applyProtection="1">
      <alignment horizontal="right"/>
      <protection locked="0"/>
    </xf>
    <xf numFmtId="187" fontId="52" fillId="10" borderId="78" xfId="37" applyNumberFormat="1" applyFont="1" applyFill="1" applyBorder="1" applyProtection="1">
      <protection locked="0"/>
    </xf>
    <xf numFmtId="165" fontId="142" fillId="5" borderId="5" xfId="88" quotePrefix="1" applyNumberFormat="1" applyFont="1" applyFill="1" applyBorder="1" applyAlignment="1" applyProtection="1">
      <alignment horizontal="center"/>
      <protection locked="0"/>
    </xf>
    <xf numFmtId="178" fontId="52" fillId="0" borderId="84" xfId="70" applyNumberFormat="1" applyFont="1" applyFill="1" applyBorder="1" applyProtection="1">
      <protection locked="0"/>
    </xf>
    <xf numFmtId="178" fontId="52" fillId="0" borderId="80" xfId="70" applyNumberFormat="1" applyFont="1" applyFill="1" applyBorder="1" applyProtection="1">
      <protection locked="0"/>
    </xf>
    <xf numFmtId="178" fontId="52" fillId="0" borderId="76" xfId="70" applyNumberFormat="1" applyFont="1" applyFill="1" applyBorder="1" applyProtection="1">
      <protection locked="0"/>
    </xf>
    <xf numFmtId="165" fontId="192" fillId="42" borderId="76" xfId="88" applyNumberFormat="1" applyFont="1" applyFill="1" applyBorder="1" applyAlignment="1" applyProtection="1">
      <alignment horizontal="center"/>
      <protection locked="0"/>
    </xf>
    <xf numFmtId="165" fontId="141" fillId="42" borderId="181" xfId="88" applyNumberFormat="1" applyFont="1" applyFill="1" applyBorder="1" applyAlignment="1" applyProtection="1">
      <alignment horizontal="center"/>
      <protection locked="0"/>
    </xf>
    <xf numFmtId="178" fontId="149" fillId="43" borderId="6" xfId="70" applyNumberFormat="1" applyFont="1" applyFill="1" applyBorder="1" applyProtection="1">
      <protection locked="0"/>
    </xf>
    <xf numFmtId="178" fontId="52" fillId="43" borderId="6" xfId="70" applyNumberFormat="1" applyFont="1" applyFill="1" applyBorder="1" applyProtection="1">
      <protection locked="0"/>
    </xf>
    <xf numFmtId="178" fontId="133" fillId="43" borderId="6" xfId="70" applyNumberFormat="1" applyFont="1" applyFill="1" applyBorder="1" applyProtection="1">
      <protection locked="0"/>
    </xf>
    <xf numFmtId="9" fontId="150" fillId="43" borderId="27" xfId="84" applyFont="1" applyFill="1" applyBorder="1" applyAlignment="1" applyProtection="1">
      <alignment horizontal="center"/>
      <protection locked="0"/>
    </xf>
    <xf numFmtId="178" fontId="133" fillId="42" borderId="65" xfId="70" applyNumberFormat="1" applyFont="1" applyFill="1" applyBorder="1" applyProtection="1">
      <protection locked="0"/>
    </xf>
    <xf numFmtId="178" fontId="52" fillId="42" borderId="182" xfId="70" applyNumberFormat="1" applyFont="1" applyFill="1" applyBorder="1" applyProtection="1">
      <protection locked="0"/>
    </xf>
    <xf numFmtId="178" fontId="52" fillId="42" borderId="74" xfId="70" applyNumberFormat="1" applyFont="1" applyFill="1" applyBorder="1" applyProtection="1">
      <protection locked="0"/>
    </xf>
    <xf numFmtId="178" fontId="52" fillId="42" borderId="87" xfId="70" applyNumberFormat="1" applyFont="1" applyFill="1" applyBorder="1" applyProtection="1">
      <protection locked="0"/>
    </xf>
    <xf numFmtId="178" fontId="52" fillId="42" borderId="88" xfId="70" applyNumberFormat="1" applyFont="1" applyFill="1" applyBorder="1" applyProtection="1">
      <protection locked="0"/>
    </xf>
    <xf numFmtId="178" fontId="52" fillId="42" borderId="65" xfId="70" applyNumberFormat="1" applyFont="1" applyFill="1" applyBorder="1" applyProtection="1">
      <protection locked="0"/>
    </xf>
    <xf numFmtId="37" fontId="52" fillId="42" borderId="78" xfId="70" applyNumberFormat="1" applyFont="1" applyFill="1" applyBorder="1" applyProtection="1">
      <protection locked="0"/>
    </xf>
    <xf numFmtId="41" fontId="52" fillId="42" borderId="78" xfId="70" applyNumberFormat="1" applyFont="1" applyFill="1" applyBorder="1" applyProtection="1">
      <protection locked="0"/>
    </xf>
    <xf numFmtId="178" fontId="52" fillId="42" borderId="183" xfId="70" applyNumberFormat="1" applyFont="1" applyFill="1" applyBorder="1" applyProtection="1">
      <protection locked="0"/>
    </xf>
    <xf numFmtId="178" fontId="52" fillId="45" borderId="78" xfId="70" applyNumberFormat="1" applyFont="1" applyFill="1" applyBorder="1" applyProtection="1">
      <protection locked="0"/>
    </xf>
    <xf numFmtId="178" fontId="133" fillId="45" borderId="78" xfId="70" applyNumberFormat="1" applyFont="1" applyFill="1" applyBorder="1" applyProtection="1">
      <protection locked="0"/>
    </xf>
    <xf numFmtId="178" fontId="52" fillId="45" borderId="111" xfId="70" applyNumberFormat="1" applyFont="1" applyFill="1" applyBorder="1" applyProtection="1">
      <protection locked="0"/>
    </xf>
    <xf numFmtId="178" fontId="52" fillId="45" borderId="78" xfId="89" applyNumberFormat="1" applyFont="1" applyFill="1" applyBorder="1" applyProtection="1">
      <protection locked="0"/>
    </xf>
    <xf numFmtId="43" fontId="52" fillId="45" borderId="78" xfId="89" applyFont="1" applyFill="1" applyBorder="1" applyProtection="1">
      <protection locked="0"/>
    </xf>
    <xf numFmtId="43" fontId="52" fillId="45" borderId="113" xfId="89" applyFont="1" applyFill="1" applyBorder="1" applyProtection="1">
      <protection locked="0"/>
    </xf>
    <xf numFmtId="178" fontId="52" fillId="45" borderId="113" xfId="89" applyNumberFormat="1" applyFont="1" applyFill="1" applyBorder="1" applyProtection="1">
      <protection locked="0"/>
    </xf>
    <xf numFmtId="178" fontId="133" fillId="45" borderId="113" xfId="89" applyNumberFormat="1" applyFont="1" applyFill="1" applyBorder="1" applyProtection="1">
      <protection locked="0"/>
    </xf>
    <xf numFmtId="178" fontId="133" fillId="45" borderId="112" xfId="70" applyNumberFormat="1" applyFont="1" applyFill="1" applyBorder="1" applyProtection="1">
      <protection locked="0"/>
    </xf>
    <xf numFmtId="178" fontId="133" fillId="45" borderId="65" xfId="70" applyNumberFormat="1" applyFont="1" applyFill="1" applyBorder="1" applyProtection="1">
      <protection locked="0"/>
    </xf>
    <xf numFmtId="42" fontId="145" fillId="45" borderId="65" xfId="0" applyNumberFormat="1" applyFont="1" applyFill="1" applyBorder="1"/>
    <xf numFmtId="178" fontId="133" fillId="45" borderId="111" xfId="70" applyNumberFormat="1" applyFont="1" applyFill="1" applyBorder="1" applyProtection="1">
      <protection locked="0"/>
    </xf>
    <xf numFmtId="178" fontId="52" fillId="45" borderId="5" xfId="70" applyNumberFormat="1" applyFont="1" applyFill="1" applyBorder="1" applyProtection="1">
      <protection locked="0"/>
    </xf>
    <xf numFmtId="165" fontId="133" fillId="58" borderId="0" xfId="88" applyNumberFormat="1" applyFont="1" applyFill="1" applyAlignment="1" applyProtection="1">
      <alignment horizontal="center"/>
      <protection locked="0"/>
    </xf>
    <xf numFmtId="0" fontId="52" fillId="58" borderId="0" xfId="88" applyFont="1" applyFill="1" applyProtection="1">
      <protection locked="0"/>
    </xf>
    <xf numFmtId="169" fontId="133" fillId="58" borderId="0" xfId="71" applyNumberFormat="1" applyFont="1" applyFill="1" applyBorder="1" applyProtection="1">
      <protection locked="0"/>
    </xf>
    <xf numFmtId="169" fontId="52" fillId="58" borderId="0" xfId="71" applyNumberFormat="1" applyFont="1" applyFill="1" applyBorder="1" applyProtection="1">
      <protection locked="0"/>
    </xf>
    <xf numFmtId="164" fontId="193" fillId="0" borderId="0" xfId="84" applyNumberFormat="1" applyFont="1" applyFill="1" applyBorder="1" applyProtection="1">
      <protection locked="0"/>
    </xf>
    <xf numFmtId="165" fontId="192" fillId="5" borderId="5" xfId="88" applyNumberFormat="1" applyFont="1" applyFill="1" applyBorder="1" applyAlignment="1" applyProtection="1">
      <alignment horizontal="center"/>
      <protection locked="0"/>
    </xf>
    <xf numFmtId="165" fontId="194" fillId="5" borderId="76" xfId="88" quotePrefix="1" applyNumberFormat="1" applyFont="1" applyFill="1" applyBorder="1" applyAlignment="1" applyProtection="1">
      <alignment horizontal="center"/>
      <protection locked="0"/>
    </xf>
    <xf numFmtId="165" fontId="192" fillId="42" borderId="76" xfId="88" quotePrefix="1" applyNumberFormat="1" applyFont="1" applyFill="1" applyBorder="1" applyAlignment="1" applyProtection="1">
      <alignment horizontal="center"/>
      <protection locked="0"/>
    </xf>
    <xf numFmtId="165" fontId="192" fillId="42" borderId="5" xfId="88" applyNumberFormat="1" applyFont="1" applyFill="1" applyBorder="1" applyAlignment="1" applyProtection="1">
      <alignment horizontal="center"/>
      <protection locked="0"/>
    </xf>
    <xf numFmtId="178" fontId="52" fillId="42" borderId="113" xfId="89" applyNumberFormat="1" applyFont="1" applyFill="1" applyBorder="1" applyProtection="1">
      <protection locked="0"/>
    </xf>
    <xf numFmtId="178" fontId="52" fillId="42" borderId="177" xfId="89" applyNumberFormat="1" applyFont="1" applyFill="1" applyBorder="1" applyProtection="1">
      <protection locked="0"/>
    </xf>
    <xf numFmtId="178" fontId="52" fillId="42" borderId="176" xfId="89" applyNumberFormat="1" applyFont="1" applyFill="1" applyBorder="1" applyProtection="1">
      <protection locked="0"/>
    </xf>
    <xf numFmtId="178" fontId="52" fillId="42" borderId="177" xfId="70" applyNumberFormat="1" applyFont="1" applyFill="1" applyBorder="1" applyProtection="1">
      <protection locked="0"/>
    </xf>
    <xf numFmtId="9" fontId="150" fillId="43" borderId="184" xfId="84" applyFont="1" applyFill="1" applyBorder="1" applyAlignment="1" applyProtection="1">
      <alignment horizontal="center"/>
      <protection locked="0"/>
    </xf>
    <xf numFmtId="9" fontId="150" fillId="43" borderId="182" xfId="84" applyFont="1" applyFill="1" applyBorder="1" applyAlignment="1" applyProtection="1">
      <alignment horizontal="center"/>
      <protection locked="0"/>
    </xf>
    <xf numFmtId="9" fontId="150" fillId="43" borderId="64" xfId="84" applyFont="1" applyFill="1" applyBorder="1" applyAlignment="1" applyProtection="1">
      <alignment horizontal="center"/>
      <protection locked="0"/>
    </xf>
    <xf numFmtId="164" fontId="151" fillId="0" borderId="182" xfId="70" applyNumberFormat="1" applyFont="1" applyBorder="1" applyProtection="1">
      <protection locked="0"/>
    </xf>
    <xf numFmtId="41" fontId="145" fillId="45" borderId="65" xfId="0" applyNumberFormat="1" applyFont="1" applyFill="1" applyBorder="1"/>
    <xf numFmtId="41" fontId="52" fillId="45" borderId="78" xfId="70" applyNumberFormat="1" applyFont="1" applyFill="1" applyBorder="1" applyProtection="1">
      <protection locked="0"/>
    </xf>
    <xf numFmtId="9" fontId="195" fillId="0" borderId="0" xfId="88" applyNumberFormat="1" applyFont="1" applyProtection="1">
      <protection locked="0"/>
    </xf>
    <xf numFmtId="41" fontId="52" fillId="45" borderId="5" xfId="70" applyNumberFormat="1" applyFont="1" applyFill="1" applyBorder="1" applyProtection="1">
      <protection locked="0"/>
    </xf>
    <xf numFmtId="178" fontId="52" fillId="45" borderId="89" xfId="70" applyNumberFormat="1" applyFont="1" applyFill="1" applyBorder="1" applyProtection="1">
      <protection locked="0"/>
    </xf>
    <xf numFmtId="1" fontId="52" fillId="45" borderId="89" xfId="70" applyNumberFormat="1" applyFont="1" applyFill="1" applyBorder="1" applyProtection="1">
      <protection locked="0"/>
    </xf>
    <xf numFmtId="1" fontId="52" fillId="45" borderId="78" xfId="70" applyNumberFormat="1" applyFont="1" applyFill="1" applyBorder="1" applyProtection="1">
      <protection locked="0"/>
    </xf>
    <xf numFmtId="1" fontId="52" fillId="45" borderId="111" xfId="70" applyNumberFormat="1" applyFont="1" applyFill="1" applyBorder="1" applyProtection="1">
      <protection locked="0"/>
    </xf>
    <xf numFmtId="178" fontId="52" fillId="53" borderId="89" xfId="70" applyNumberFormat="1" applyFont="1" applyFill="1" applyBorder="1" applyProtection="1">
      <protection locked="0"/>
    </xf>
    <xf numFmtId="43" fontId="52" fillId="45" borderId="78" xfId="70" applyFont="1" applyFill="1" applyBorder="1" applyProtection="1">
      <protection locked="0"/>
    </xf>
    <xf numFmtId="3" fontId="52" fillId="45" borderId="78" xfId="70" applyNumberFormat="1" applyFont="1" applyFill="1" applyBorder="1" applyProtection="1">
      <protection locked="0"/>
    </xf>
    <xf numFmtId="3" fontId="52" fillId="45" borderId="111" xfId="70" applyNumberFormat="1" applyFont="1" applyFill="1" applyBorder="1" applyProtection="1">
      <protection locked="0"/>
    </xf>
    <xf numFmtId="43" fontId="52" fillId="45" borderId="82" xfId="70" applyFont="1" applyFill="1" applyBorder="1" applyProtection="1">
      <protection locked="0"/>
    </xf>
    <xf numFmtId="178" fontId="52" fillId="45" borderId="76" xfId="70" applyNumberFormat="1" applyFont="1" applyFill="1" applyBorder="1" applyProtection="1">
      <protection locked="0"/>
    </xf>
    <xf numFmtId="178" fontId="52" fillId="45" borderId="113" xfId="70" applyNumberFormat="1" applyFont="1" applyFill="1" applyBorder="1" applyProtection="1">
      <protection locked="0"/>
    </xf>
    <xf numFmtId="43" fontId="52" fillId="45" borderId="111" xfId="70" applyFont="1" applyFill="1" applyBorder="1" applyProtection="1">
      <protection locked="0"/>
    </xf>
    <xf numFmtId="0" fontId="139" fillId="45" borderId="0" xfId="0" applyFont="1" applyFill="1"/>
    <xf numFmtId="3" fontId="133" fillId="45" borderId="0" xfId="88" applyNumberFormat="1" applyFont="1" applyFill="1" applyProtection="1">
      <protection locked="0"/>
    </xf>
    <xf numFmtId="41" fontId="52" fillId="42" borderId="5" xfId="70" applyNumberFormat="1" applyFont="1" applyFill="1" applyBorder="1" applyProtection="1">
      <protection locked="0"/>
    </xf>
    <xf numFmtId="1" fontId="52" fillId="42" borderId="78" xfId="70" applyNumberFormat="1" applyFont="1" applyFill="1" applyBorder="1" applyProtection="1">
      <protection locked="0"/>
    </xf>
    <xf numFmtId="3" fontId="52" fillId="42" borderId="78" xfId="70" applyNumberFormat="1" applyFont="1" applyFill="1" applyBorder="1" applyProtection="1">
      <protection locked="0"/>
    </xf>
    <xf numFmtId="43" fontId="52" fillId="42" borderId="78" xfId="70" applyFont="1" applyFill="1" applyBorder="1" applyProtection="1">
      <protection locked="0"/>
    </xf>
    <xf numFmtId="164" fontId="151" fillId="0" borderId="0" xfId="70" applyNumberFormat="1" applyFont="1" applyBorder="1" applyProtection="1">
      <protection locked="0"/>
    </xf>
    <xf numFmtId="0" fontId="143" fillId="5" borderId="185" xfId="88" applyFont="1" applyFill="1" applyBorder="1" applyAlignment="1" applyProtection="1">
      <alignment horizontal="center" vertical="center"/>
      <protection locked="0"/>
    </xf>
    <xf numFmtId="165" fontId="142" fillId="5" borderId="186" xfId="88" applyNumberFormat="1" applyFont="1" applyFill="1" applyBorder="1" applyAlignment="1" applyProtection="1">
      <alignment horizontal="center"/>
      <protection locked="0"/>
    </xf>
    <xf numFmtId="169" fontId="52" fillId="0" borderId="187" xfId="70" applyNumberFormat="1" applyFont="1" applyBorder="1" applyProtection="1">
      <protection locked="0"/>
    </xf>
    <xf numFmtId="165" fontId="142" fillId="0" borderId="182" xfId="88" applyNumberFormat="1" applyFont="1" applyBorder="1" applyAlignment="1" applyProtection="1">
      <alignment horizontal="center"/>
      <protection locked="0"/>
    </xf>
    <xf numFmtId="0" fontId="192" fillId="0" borderId="182" xfId="88" applyFont="1" applyBorder="1" applyAlignment="1" applyProtection="1">
      <alignment horizontal="center" vertical="center"/>
      <protection locked="0"/>
    </xf>
    <xf numFmtId="44" fontId="52" fillId="0" borderId="182" xfId="70" applyNumberFormat="1" applyFont="1" applyBorder="1" applyProtection="1">
      <protection locked="0"/>
    </xf>
    <xf numFmtId="183" fontId="17" fillId="0" borderId="0" xfId="0" quotePrefix="1" applyNumberFormat="1" applyFont="1"/>
    <xf numFmtId="178" fontId="52" fillId="0" borderId="187" xfId="70" applyNumberFormat="1" applyFont="1" applyBorder="1" applyProtection="1">
      <protection locked="0"/>
    </xf>
    <xf numFmtId="178" fontId="52" fillId="0" borderId="182" xfId="70" applyNumberFormat="1" applyFont="1" applyBorder="1" applyProtection="1">
      <protection locked="0"/>
    </xf>
    <xf numFmtId="178" fontId="52" fillId="0" borderId="186" xfId="70" applyNumberFormat="1" applyFont="1" applyBorder="1" applyProtection="1">
      <protection locked="0"/>
    </xf>
    <xf numFmtId="169" fontId="52" fillId="0" borderId="182" xfId="70" applyNumberFormat="1" applyFont="1" applyBorder="1" applyProtection="1">
      <protection locked="0"/>
    </xf>
    <xf numFmtId="169" fontId="52" fillId="0" borderId="188" xfId="70" applyNumberFormat="1" applyFont="1" applyBorder="1" applyProtection="1">
      <protection locked="0"/>
    </xf>
    <xf numFmtId="169" fontId="52" fillId="0" borderId="1" xfId="70" applyNumberFormat="1" applyFont="1" applyBorder="1" applyProtection="1">
      <protection locked="0"/>
    </xf>
    <xf numFmtId="165" fontId="196" fillId="0" borderId="0" xfId="88" applyNumberFormat="1" applyFont="1" applyProtection="1">
      <protection locked="0"/>
    </xf>
    <xf numFmtId="165" fontId="52" fillId="0" borderId="110" xfId="88" applyNumberFormat="1" applyFont="1" applyBorder="1" applyAlignment="1" applyProtection="1">
      <alignment horizontal="right"/>
      <protection locked="0"/>
    </xf>
    <xf numFmtId="169" fontId="52" fillId="2" borderId="182" xfId="88" applyNumberFormat="1" applyFont="1" applyFill="1" applyBorder="1" applyProtection="1">
      <protection locked="0"/>
    </xf>
    <xf numFmtId="165" fontId="52" fillId="0" borderId="171" xfId="88" applyNumberFormat="1" applyFont="1" applyBorder="1" applyProtection="1">
      <protection locked="0"/>
    </xf>
    <xf numFmtId="165" fontId="52" fillId="0" borderId="189" xfId="88" applyNumberFormat="1" applyFont="1" applyBorder="1" applyProtection="1">
      <protection locked="0"/>
    </xf>
    <xf numFmtId="165" fontId="52" fillId="0" borderId="190" xfId="88" applyNumberFormat="1" applyFont="1" applyBorder="1" applyProtection="1">
      <protection locked="0"/>
    </xf>
    <xf numFmtId="165" fontId="52" fillId="0" borderId="190" xfId="88" applyNumberFormat="1" applyFont="1" applyBorder="1" applyAlignment="1" applyProtection="1">
      <alignment horizontal="right"/>
      <protection locked="0"/>
    </xf>
    <xf numFmtId="169" fontId="52" fillId="0" borderId="0" xfId="88" applyNumberFormat="1" applyFont="1" applyProtection="1">
      <protection locked="0"/>
    </xf>
    <xf numFmtId="169" fontId="52" fillId="0" borderId="0" xfId="89" applyNumberFormat="1" applyFont="1" applyProtection="1">
      <protection locked="0"/>
    </xf>
    <xf numFmtId="169" fontId="52" fillId="42" borderId="117" xfId="89" applyNumberFormat="1" applyFont="1" applyFill="1" applyBorder="1" applyProtection="1">
      <protection locked="0"/>
    </xf>
    <xf numFmtId="10" fontId="52" fillId="0" borderId="0" xfId="88" applyNumberFormat="1" applyFont="1" applyProtection="1">
      <protection locked="0"/>
    </xf>
    <xf numFmtId="165" fontId="52" fillId="0" borderId="191" xfId="88" applyNumberFormat="1" applyFont="1" applyBorder="1" applyProtection="1">
      <protection locked="0"/>
    </xf>
    <xf numFmtId="165" fontId="52" fillId="0" borderId="192" xfId="88" applyNumberFormat="1" applyFont="1" applyBorder="1" applyProtection="1">
      <protection locked="0"/>
    </xf>
    <xf numFmtId="165" fontId="52" fillId="0" borderId="192" xfId="88" applyNumberFormat="1" applyFont="1" applyBorder="1" applyAlignment="1" applyProtection="1">
      <alignment horizontal="right"/>
      <protection locked="0"/>
    </xf>
    <xf numFmtId="0" fontId="124" fillId="0" borderId="0" xfId="0" applyFont="1" applyAlignment="1">
      <alignment horizontal="right"/>
    </xf>
    <xf numFmtId="178" fontId="52" fillId="10" borderId="187" xfId="70" applyNumberFormat="1" applyFont="1" applyFill="1" applyBorder="1" applyProtection="1">
      <protection locked="0"/>
    </xf>
    <xf numFmtId="169" fontId="52" fillId="10" borderId="182" xfId="70" applyNumberFormat="1" applyFont="1" applyFill="1" applyBorder="1" applyProtection="1">
      <protection locked="0"/>
    </xf>
    <xf numFmtId="178" fontId="52" fillId="53" borderId="187" xfId="70" applyNumberFormat="1" applyFont="1" applyFill="1" applyBorder="1" applyProtection="1">
      <protection locked="0"/>
    </xf>
    <xf numFmtId="169" fontId="52" fillId="53" borderId="182" xfId="70" applyNumberFormat="1" applyFont="1" applyFill="1" applyBorder="1" applyProtection="1">
      <protection locked="0"/>
    </xf>
    <xf numFmtId="178" fontId="52" fillId="10" borderId="65" xfId="70" applyNumberFormat="1" applyFont="1" applyFill="1" applyBorder="1" applyProtection="1">
      <protection locked="0"/>
    </xf>
    <xf numFmtId="178" fontId="52" fillId="53" borderId="2" xfId="70" applyNumberFormat="1" applyFont="1" applyFill="1" applyBorder="1" applyProtection="1">
      <protection locked="0"/>
    </xf>
    <xf numFmtId="169" fontId="124" fillId="2" borderId="182" xfId="0" applyNumberFormat="1" applyFont="1" applyFill="1" applyBorder="1"/>
    <xf numFmtId="169" fontId="124" fillId="42" borderId="182" xfId="0" applyNumberFormat="1" applyFont="1" applyFill="1" applyBorder="1"/>
    <xf numFmtId="0" fontId="139" fillId="45" borderId="193" xfId="0" applyFont="1" applyFill="1" applyBorder="1"/>
    <xf numFmtId="165" fontId="52" fillId="43" borderId="190" xfId="88" applyNumberFormat="1" applyFont="1" applyFill="1" applyBorder="1" applyProtection="1">
      <protection locked="0"/>
    </xf>
    <xf numFmtId="165" fontId="52" fillId="43" borderId="197" xfId="88" applyNumberFormat="1" applyFont="1" applyFill="1" applyBorder="1" applyProtection="1">
      <protection locked="0"/>
    </xf>
    <xf numFmtId="165" fontId="142" fillId="43" borderId="181" xfId="88" applyNumberFormat="1" applyFont="1" applyFill="1" applyBorder="1" applyAlignment="1" applyProtection="1">
      <alignment horizontal="center"/>
      <protection locked="0"/>
    </xf>
    <xf numFmtId="204" fontId="52" fillId="10" borderId="195" xfId="37" applyNumberFormat="1" applyFont="1" applyFill="1" applyBorder="1" applyAlignment="1" applyProtection="1">
      <alignment horizontal="left" vertical="center"/>
      <protection locked="0"/>
    </xf>
    <xf numFmtId="187" fontId="52" fillId="10" borderId="195" xfId="37" applyNumberFormat="1" applyFont="1" applyFill="1" applyBorder="1" applyProtection="1">
      <protection locked="0"/>
    </xf>
    <xf numFmtId="187" fontId="52" fillId="10" borderId="194" xfId="37" applyNumberFormat="1" applyFont="1" applyFill="1" applyBorder="1" applyProtection="1">
      <protection locked="0"/>
    </xf>
    <xf numFmtId="165" fontId="192" fillId="43" borderId="181" xfId="88" applyNumberFormat="1" applyFont="1" applyFill="1" applyBorder="1" applyAlignment="1" applyProtection="1">
      <alignment horizontal="center"/>
      <protection locked="0"/>
    </xf>
    <xf numFmtId="165" fontId="143" fillId="43" borderId="181" xfId="88" applyNumberFormat="1" applyFont="1" applyFill="1" applyBorder="1" applyAlignment="1" applyProtection="1">
      <alignment horizontal="center"/>
      <protection locked="0"/>
    </xf>
    <xf numFmtId="165" fontId="142" fillId="43" borderId="77" xfId="88" quotePrefix="1" applyNumberFormat="1" applyFont="1" applyFill="1" applyBorder="1" applyAlignment="1" applyProtection="1">
      <alignment horizontal="center"/>
      <protection locked="0"/>
    </xf>
    <xf numFmtId="41" fontId="52" fillId="10" borderId="78" xfId="37" applyNumberFormat="1" applyFont="1" applyFill="1" applyBorder="1" applyProtection="1">
      <protection locked="0"/>
    </xf>
    <xf numFmtId="3" fontId="192" fillId="43" borderId="196" xfId="88" quotePrefix="1" applyNumberFormat="1" applyFont="1" applyFill="1" applyBorder="1" applyAlignment="1" applyProtection="1">
      <alignment horizontal="right" vertical="center"/>
      <protection locked="0"/>
    </xf>
    <xf numFmtId="187" fontId="52" fillId="10" borderId="78" xfId="37" applyNumberFormat="1" applyFont="1" applyFill="1" applyBorder="1" applyAlignment="1" applyProtection="1">
      <alignment horizontal="right" vertical="center"/>
      <protection locked="0"/>
    </xf>
    <xf numFmtId="169" fontId="144" fillId="0" borderId="0" xfId="88" applyNumberFormat="1" applyFont="1" applyProtection="1">
      <protection locked="0"/>
    </xf>
    <xf numFmtId="169" fontId="139" fillId="0" borderId="0" xfId="0" applyNumberFormat="1" applyFont="1"/>
    <xf numFmtId="0" fontId="139" fillId="0" borderId="0" xfId="0" applyFont="1" applyAlignment="1">
      <alignment horizontal="right"/>
    </xf>
    <xf numFmtId="206" fontId="0" fillId="0" borderId="0" xfId="0" applyNumberFormat="1"/>
    <xf numFmtId="9" fontId="0" fillId="0" borderId="192" xfId="2" applyFont="1" applyBorder="1"/>
    <xf numFmtId="206" fontId="0" fillId="0" borderId="192" xfId="0" applyNumberFormat="1" applyBorder="1"/>
    <xf numFmtId="178" fontId="52" fillId="42" borderId="78" xfId="1" applyNumberFormat="1" applyFont="1" applyFill="1" applyBorder="1" applyProtection="1">
      <protection locked="0"/>
    </xf>
    <xf numFmtId="169" fontId="52" fillId="59" borderId="86" xfId="71" applyNumberFormat="1" applyFont="1" applyFill="1" applyBorder="1" applyProtection="1">
      <protection locked="0"/>
    </xf>
    <xf numFmtId="164" fontId="52" fillId="59" borderId="0" xfId="84" applyNumberFormat="1" applyFont="1" applyFill="1" applyBorder="1" applyAlignment="1" applyProtection="1">
      <alignment horizontal="center"/>
      <protection locked="0"/>
    </xf>
    <xf numFmtId="165" fontId="52" fillId="59" borderId="8" xfId="88" applyNumberFormat="1" applyFont="1" applyFill="1" applyBorder="1" applyAlignment="1" applyProtection="1">
      <alignment horizontal="centerContinuous"/>
      <protection locked="0"/>
    </xf>
    <xf numFmtId="165" fontId="52" fillId="59" borderId="75" xfId="88" applyNumberFormat="1" applyFont="1" applyFill="1" applyBorder="1" applyProtection="1">
      <protection locked="0"/>
    </xf>
    <xf numFmtId="165" fontId="52" fillId="59" borderId="75" xfId="88" applyNumberFormat="1" applyFont="1" applyFill="1" applyBorder="1" applyAlignment="1" applyProtection="1">
      <alignment horizontal="centerContinuous"/>
      <protection locked="0"/>
    </xf>
    <xf numFmtId="0" fontId="52" fillId="59" borderId="8" xfId="88" applyFont="1" applyFill="1" applyBorder="1" applyAlignment="1" applyProtection="1">
      <alignment horizontal="centerContinuous"/>
      <protection locked="0"/>
    </xf>
    <xf numFmtId="165" fontId="52" fillId="59" borderId="190" xfId="88" applyNumberFormat="1" applyFont="1" applyFill="1" applyBorder="1" applyProtection="1">
      <protection locked="0"/>
    </xf>
    <xf numFmtId="0" fontId="52" fillId="59" borderId="190" xfId="88" quotePrefix="1" applyFont="1" applyFill="1" applyBorder="1" applyProtection="1">
      <protection locked="0"/>
    </xf>
    <xf numFmtId="165" fontId="132" fillId="59" borderId="198" xfId="88" applyNumberFormat="1" applyFont="1" applyFill="1" applyBorder="1" applyAlignment="1" applyProtection="1">
      <alignment horizontal="center"/>
      <protection locked="0"/>
    </xf>
    <xf numFmtId="37" fontId="52" fillId="59" borderId="190" xfId="88" applyNumberFormat="1" applyFont="1" applyFill="1" applyBorder="1" applyProtection="1">
      <protection locked="0"/>
    </xf>
    <xf numFmtId="178" fontId="52" fillId="59" borderId="190" xfId="88" applyNumberFormat="1" applyFont="1" applyFill="1" applyBorder="1" applyProtection="1">
      <protection locked="0"/>
    </xf>
    <xf numFmtId="165" fontId="52" fillId="59" borderId="190" xfId="88" applyNumberFormat="1" applyFont="1" applyFill="1" applyBorder="1" applyAlignment="1" applyProtection="1">
      <alignment horizontal="right"/>
      <protection locked="0"/>
    </xf>
    <xf numFmtId="165" fontId="52" fillId="59" borderId="0" xfId="88" applyNumberFormat="1" applyFont="1" applyFill="1" applyProtection="1">
      <protection locked="0"/>
    </xf>
    <xf numFmtId="0" fontId="52" fillId="59" borderId="0" xfId="88" applyFont="1" applyFill="1" applyProtection="1">
      <protection locked="0"/>
    </xf>
    <xf numFmtId="165" fontId="153" fillId="59" borderId="0" xfId="88" applyNumberFormat="1" applyFont="1" applyFill="1" applyAlignment="1" applyProtection="1">
      <alignment horizontal="right"/>
      <protection locked="0"/>
    </xf>
    <xf numFmtId="165" fontId="133" fillId="59" borderId="0" xfId="88" applyNumberFormat="1" applyFont="1" applyFill="1" applyProtection="1">
      <protection locked="0"/>
    </xf>
    <xf numFmtId="0" fontId="52" fillId="59" borderId="0" xfId="88" quotePrefix="1" applyFont="1" applyFill="1" applyProtection="1">
      <protection locked="0"/>
    </xf>
    <xf numFmtId="165" fontId="52" fillId="59" borderId="0" xfId="88" applyNumberFormat="1" applyFont="1" applyFill="1" applyAlignment="1" applyProtection="1">
      <alignment horizontal="left" indent="2"/>
      <protection locked="0"/>
    </xf>
    <xf numFmtId="37" fontId="52" fillId="59" borderId="0" xfId="88" applyNumberFormat="1" applyFont="1" applyFill="1" applyProtection="1">
      <protection locked="0"/>
    </xf>
    <xf numFmtId="165" fontId="52" fillId="59" borderId="0" xfId="88" applyNumberFormat="1" applyFont="1" applyFill="1" applyAlignment="1" applyProtection="1">
      <alignment horizontal="right"/>
      <protection locked="0"/>
    </xf>
    <xf numFmtId="42" fontId="52" fillId="59" borderId="0" xfId="88" applyNumberFormat="1" applyFont="1" applyFill="1" applyProtection="1">
      <protection locked="0"/>
    </xf>
    <xf numFmtId="37" fontId="52" fillId="59" borderId="0" xfId="88" quotePrefix="1" applyNumberFormat="1" applyFont="1" applyFill="1" applyProtection="1">
      <protection locked="0"/>
    </xf>
    <xf numFmtId="164" fontId="195" fillId="59" borderId="0" xfId="84" applyNumberFormat="1" applyFont="1" applyFill="1" applyBorder="1" applyAlignment="1" applyProtection="1">
      <alignment horizontal="center"/>
      <protection locked="0"/>
    </xf>
    <xf numFmtId="164" fontId="197" fillId="59" borderId="75" xfId="84" applyNumberFormat="1" applyFont="1" applyFill="1" applyBorder="1" applyProtection="1">
      <protection locked="0"/>
    </xf>
    <xf numFmtId="7" fontId="10" fillId="0" borderId="0" xfId="42" applyNumberFormat="1" applyAlignment="1" applyProtection="1">
      <alignment horizontal="left"/>
      <protection locked="0"/>
    </xf>
    <xf numFmtId="38" fontId="10" fillId="0" borderId="0" xfId="42" applyNumberFormat="1" applyAlignment="1" applyProtection="1">
      <alignment horizontal="left"/>
      <protection locked="0"/>
    </xf>
    <xf numFmtId="169" fontId="14" fillId="0" borderId="0" xfId="42" applyNumberFormat="1" applyFont="1" applyAlignment="1" applyProtection="1">
      <alignment horizontal="right"/>
      <protection locked="0"/>
    </xf>
    <xf numFmtId="169" fontId="46" fillId="0" borderId="0" xfId="42" applyNumberFormat="1" applyFont="1" applyAlignment="1" applyProtection="1">
      <alignment horizontal="right"/>
      <protection locked="0"/>
    </xf>
    <xf numFmtId="180" fontId="10" fillId="0" borderId="0" xfId="42" applyNumberFormat="1" applyProtection="1">
      <protection locked="0"/>
    </xf>
    <xf numFmtId="0" fontId="49" fillId="0" borderId="0" xfId="42" applyFont="1" applyAlignment="1" applyProtection="1">
      <alignment horizontal="center"/>
      <protection locked="0"/>
    </xf>
    <xf numFmtId="0" fontId="15" fillId="0" borderId="0" xfId="42" applyFont="1" applyProtection="1">
      <protection locked="0"/>
    </xf>
    <xf numFmtId="5" fontId="94" fillId="4" borderId="0" xfId="0" applyNumberFormat="1" applyFont="1" applyFill="1"/>
    <xf numFmtId="7" fontId="0" fillId="0" borderId="0" xfId="0" applyNumberFormat="1" applyAlignment="1">
      <alignment horizontal="right"/>
    </xf>
    <xf numFmtId="170" fontId="1" fillId="0" borderId="0" xfId="0" applyNumberFormat="1" applyFont="1"/>
    <xf numFmtId="6" fontId="91" fillId="0" borderId="0" xfId="0" applyNumberFormat="1" applyFont="1" applyAlignment="1">
      <alignment horizontal="center"/>
    </xf>
    <xf numFmtId="10" fontId="37" fillId="0" borderId="116" xfId="36" applyNumberFormat="1" applyFont="1" applyBorder="1" applyAlignment="1">
      <alignment horizontal="center"/>
    </xf>
    <xf numFmtId="0" fontId="42" fillId="0" borderId="171" xfId="0" applyFont="1" applyBorder="1"/>
    <xf numFmtId="6" fontId="167" fillId="0" borderId="171" xfId="36" applyNumberFormat="1" applyFont="1" applyBorder="1" applyAlignment="1">
      <alignment horizontal="center"/>
    </xf>
    <xf numFmtId="178" fontId="52" fillId="0" borderId="60" xfId="70" applyNumberFormat="1" applyFont="1" applyFill="1" applyBorder="1" applyProtection="1">
      <protection locked="0"/>
    </xf>
    <xf numFmtId="178" fontId="52" fillId="0" borderId="64" xfId="70" applyNumberFormat="1" applyFont="1" applyFill="1" applyBorder="1" applyProtection="1">
      <protection locked="0"/>
    </xf>
    <xf numFmtId="4" fontId="51" fillId="42" borderId="0" xfId="0" applyNumberFormat="1" applyFont="1" applyFill="1" applyAlignment="1">
      <alignment horizontal="right" vertical="top"/>
    </xf>
    <xf numFmtId="4" fontId="51" fillId="4" borderId="180" xfId="0" applyNumberFormat="1" applyFont="1" applyFill="1" applyBorder="1" applyAlignment="1">
      <alignment horizontal="right" vertical="top"/>
    </xf>
    <xf numFmtId="4" fontId="51" fillId="4" borderId="180" xfId="1" applyNumberFormat="1" applyFont="1" applyFill="1" applyBorder="1" applyAlignment="1">
      <alignment horizontal="right" vertical="top"/>
    </xf>
    <xf numFmtId="4" fontId="51" fillId="4" borderId="0" xfId="0" applyNumberFormat="1" applyFont="1" applyFill="1" applyAlignment="1">
      <alignment horizontal="right" vertical="top"/>
    </xf>
    <xf numFmtId="4" fontId="51" fillId="4" borderId="0" xfId="1" applyNumberFormat="1" applyFont="1" applyFill="1" applyBorder="1" applyAlignment="1">
      <alignment horizontal="right" vertical="top"/>
    </xf>
    <xf numFmtId="7" fontId="48" fillId="0" borderId="4" xfId="42" quotePrefix="1" applyNumberFormat="1" applyFont="1" applyBorder="1" applyAlignment="1" applyProtection="1">
      <alignment horizontal="left" indent="1"/>
      <protection locked="0"/>
    </xf>
    <xf numFmtId="10" fontId="17" fillId="0" borderId="0" xfId="2" applyNumberFormat="1" applyFont="1" applyFill="1"/>
    <xf numFmtId="7" fontId="48" fillId="0" borderId="4" xfId="42" quotePrefix="1" applyNumberFormat="1" applyFont="1" applyBorder="1" applyAlignment="1" applyProtection="1">
      <alignment horizontal="left" indent="2"/>
      <protection locked="0"/>
    </xf>
    <xf numFmtId="0" fontId="10" fillId="10" borderId="0" xfId="42" applyFill="1" applyProtection="1">
      <protection locked="0"/>
    </xf>
    <xf numFmtId="178" fontId="10" fillId="60" borderId="63" xfId="89" applyNumberFormat="1" applyFont="1" applyFill="1" applyBorder="1" applyProtection="1">
      <protection locked="0"/>
    </xf>
    <xf numFmtId="37" fontId="10" fillId="10" borderId="0" xfId="42" applyNumberFormat="1" applyFill="1" applyProtection="1">
      <protection locked="0"/>
    </xf>
    <xf numFmtId="37" fontId="10" fillId="10" borderId="63" xfId="42" applyNumberFormat="1" applyFill="1" applyBorder="1" applyProtection="1">
      <protection locked="0"/>
    </xf>
    <xf numFmtId="0" fontId="107" fillId="0" borderId="182" xfId="36" applyFont="1" applyBorder="1" applyAlignment="1">
      <alignment horizontal="center"/>
    </xf>
    <xf numFmtId="0" fontId="65" fillId="0" borderId="182" xfId="36" applyBorder="1"/>
    <xf numFmtId="187" fontId="0" fillId="0" borderId="182" xfId="37" applyNumberFormat="1" applyFont="1" applyBorder="1"/>
    <xf numFmtId="187" fontId="107" fillId="0" borderId="182" xfId="36" applyNumberFormat="1" applyFont="1" applyBorder="1"/>
    <xf numFmtId="0" fontId="107" fillId="0" borderId="0" xfId="36" applyFont="1"/>
    <xf numFmtId="207" fontId="0" fillId="0" borderId="0" xfId="38" applyNumberFormat="1" applyFont="1"/>
    <xf numFmtId="207" fontId="107" fillId="0" borderId="182" xfId="36" applyNumberFormat="1" applyFont="1" applyBorder="1"/>
    <xf numFmtId="10" fontId="0" fillId="8" borderId="0" xfId="39" applyNumberFormat="1" applyFont="1" applyFill="1"/>
    <xf numFmtId="0" fontId="198" fillId="0" borderId="0" xfId="36" applyFont="1"/>
    <xf numFmtId="0" fontId="199" fillId="0" borderId="0" xfId="36" applyFont="1"/>
    <xf numFmtId="0" fontId="199" fillId="0" borderId="0" xfId="36" applyFont="1" applyAlignment="1">
      <alignment horizontal="center"/>
    </xf>
    <xf numFmtId="0" fontId="200" fillId="0" borderId="0" xfId="36" applyFont="1"/>
    <xf numFmtId="0" fontId="65" fillId="0" borderId="0" xfId="36" applyAlignment="1">
      <alignment horizontal="left" indent="2"/>
    </xf>
    <xf numFmtId="165" fontId="65" fillId="0" borderId="0" xfId="36" applyNumberFormat="1" applyAlignment="1">
      <alignment horizontal="left" indent="2"/>
    </xf>
    <xf numFmtId="167" fontId="107" fillId="0" borderId="0" xfId="38" applyNumberFormat="1" applyFont="1"/>
    <xf numFmtId="2" fontId="1" fillId="53" borderId="0" xfId="0" applyNumberFormat="1" applyFont="1" applyFill="1" applyAlignment="1">
      <alignment horizontal="center"/>
    </xf>
    <xf numFmtId="178" fontId="52" fillId="45" borderId="177" xfId="70" applyNumberFormat="1" applyFont="1" applyFill="1" applyBorder="1" applyProtection="1">
      <protection locked="0"/>
    </xf>
    <xf numFmtId="1" fontId="52" fillId="45" borderId="177" xfId="70" applyNumberFormat="1" applyFont="1" applyFill="1" applyBorder="1" applyProtection="1">
      <protection locked="0"/>
    </xf>
    <xf numFmtId="3" fontId="52" fillId="45" borderId="177" xfId="70" applyNumberFormat="1" applyFont="1" applyFill="1" applyBorder="1" applyProtection="1">
      <protection locked="0"/>
    </xf>
    <xf numFmtId="178" fontId="52" fillId="45" borderId="176" xfId="70" applyNumberFormat="1" applyFont="1" applyFill="1" applyBorder="1" applyProtection="1">
      <protection locked="0"/>
    </xf>
    <xf numFmtId="43" fontId="52" fillId="45" borderId="177" xfId="70" applyFont="1" applyFill="1" applyBorder="1" applyProtection="1">
      <protection locked="0"/>
    </xf>
    <xf numFmtId="178" fontId="133" fillId="45" borderId="177" xfId="70" applyNumberFormat="1" applyFont="1" applyFill="1" applyBorder="1" applyProtection="1">
      <protection locked="0"/>
    </xf>
    <xf numFmtId="178" fontId="52" fillId="45" borderId="82" xfId="70" applyNumberFormat="1" applyFont="1" applyFill="1" applyBorder="1" applyProtection="1">
      <protection locked="0"/>
    </xf>
    <xf numFmtId="41" fontId="52" fillId="10" borderId="181" xfId="37" applyNumberFormat="1" applyFont="1" applyFill="1" applyBorder="1" applyProtection="1">
      <protection locked="0"/>
    </xf>
    <xf numFmtId="178" fontId="52" fillId="10" borderId="78" xfId="70" applyNumberFormat="1" applyFont="1" applyFill="1" applyBorder="1" applyProtection="1">
      <protection locked="0"/>
    </xf>
    <xf numFmtId="0" fontId="52" fillId="10" borderId="0" xfId="42" applyFont="1" applyFill="1" applyProtection="1">
      <protection locked="0"/>
    </xf>
    <xf numFmtId="165" fontId="52" fillId="10" borderId="0" xfId="88" applyNumberFormat="1" applyFont="1" applyFill="1" applyProtection="1">
      <protection locked="0"/>
    </xf>
    <xf numFmtId="10" fontId="138" fillId="10" borderId="0" xfId="88" applyNumberFormat="1" applyFont="1" applyFill="1" applyAlignment="1" applyProtection="1">
      <alignment horizontal="center"/>
      <protection locked="0"/>
    </xf>
    <xf numFmtId="41" fontId="52" fillId="42" borderId="78" xfId="37" applyNumberFormat="1" applyFont="1" applyFill="1" applyBorder="1" applyProtection="1">
      <protection locked="0"/>
    </xf>
    <xf numFmtId="169" fontId="192" fillId="42" borderId="181" xfId="88" applyNumberFormat="1" applyFont="1" applyFill="1" applyBorder="1" applyAlignment="1" applyProtection="1">
      <alignment horizontal="center"/>
      <protection locked="0"/>
    </xf>
    <xf numFmtId="41" fontId="201" fillId="45" borderId="65" xfId="0" applyNumberFormat="1" applyFont="1" applyFill="1" applyBorder="1"/>
    <xf numFmtId="167" fontId="99" fillId="10" borderId="199" xfId="38" applyNumberFormat="1" applyFont="1" applyFill="1" applyBorder="1"/>
    <xf numFmtId="167" fontId="99" fillId="10" borderId="200" xfId="38" applyNumberFormat="1" applyFont="1" applyFill="1" applyBorder="1"/>
    <xf numFmtId="167" fontId="99" fillId="10" borderId="201" xfId="38" applyNumberFormat="1" applyFont="1" applyFill="1" applyBorder="1"/>
    <xf numFmtId="167" fontId="99" fillId="0" borderId="0" xfId="38" applyNumberFormat="1" applyFont="1" applyFill="1" applyBorder="1"/>
    <xf numFmtId="37" fontId="148" fillId="10" borderId="4" xfId="42" applyNumberFormat="1" applyFont="1" applyFill="1" applyBorder="1" applyAlignment="1" applyProtection="1">
      <alignment horizontal="left" indent="1"/>
      <protection locked="0"/>
    </xf>
    <xf numFmtId="0" fontId="65" fillId="42" borderId="0" xfId="36" applyFill="1" applyAlignment="1">
      <alignment horizontal="center"/>
    </xf>
    <xf numFmtId="6" fontId="65" fillId="42" borderId="53" xfId="36" applyNumberFormat="1" applyFill="1" applyBorder="1" applyAlignment="1">
      <alignment horizontal="center"/>
    </xf>
    <xf numFmtId="6" fontId="0" fillId="42" borderId="0" xfId="0" applyNumberFormat="1" applyFill="1" applyAlignment="1">
      <alignment horizontal="center"/>
    </xf>
    <xf numFmtId="181" fontId="42" fillId="42" borderId="53" xfId="36" applyNumberFormat="1" applyFont="1" applyFill="1" applyBorder="1" applyAlignment="1">
      <alignment horizontal="left"/>
    </xf>
    <xf numFmtId="0" fontId="1" fillId="42" borderId="2" xfId="0" applyFont="1" applyFill="1" applyBorder="1"/>
    <xf numFmtId="181" fontId="42" fillId="42" borderId="0" xfId="36" applyNumberFormat="1" applyFont="1" applyFill="1" applyAlignment="1">
      <alignment horizontal="left"/>
    </xf>
    <xf numFmtId="0" fontId="1" fillId="42" borderId="66" xfId="0" applyFont="1" applyFill="1" applyBorder="1"/>
    <xf numFmtId="165" fontId="52" fillId="0" borderId="202" xfId="88" applyNumberFormat="1" applyFont="1" applyBorder="1" applyProtection="1">
      <protection locked="0"/>
    </xf>
    <xf numFmtId="165" fontId="143" fillId="5" borderId="176" xfId="88" quotePrefix="1" applyNumberFormat="1" applyFont="1" applyFill="1" applyBorder="1" applyAlignment="1" applyProtection="1">
      <alignment horizontal="center"/>
      <protection locked="0"/>
    </xf>
    <xf numFmtId="41" fontId="52" fillId="10" borderId="177" xfId="37" applyNumberFormat="1" applyFont="1" applyFill="1" applyBorder="1" applyProtection="1">
      <protection locked="0"/>
    </xf>
    <xf numFmtId="178" fontId="52" fillId="45" borderId="177" xfId="89" applyNumberFormat="1" applyFont="1" applyFill="1" applyBorder="1" applyProtection="1">
      <protection locked="0"/>
    </xf>
    <xf numFmtId="178" fontId="133" fillId="45" borderId="176" xfId="89" applyNumberFormat="1" applyFont="1" applyFill="1" applyBorder="1" applyProtection="1">
      <protection locked="0"/>
    </xf>
    <xf numFmtId="41" fontId="145" fillId="45" borderId="182" xfId="0" applyNumberFormat="1" applyFont="1" applyFill="1" applyBorder="1"/>
    <xf numFmtId="42" fontId="145" fillId="45" borderId="182" xfId="0" applyNumberFormat="1" applyFont="1" applyFill="1" applyBorder="1"/>
    <xf numFmtId="41" fontId="52" fillId="45" borderId="181" xfId="70" applyNumberFormat="1" applyFont="1" applyFill="1" applyBorder="1" applyProtection="1">
      <protection locked="0"/>
    </xf>
    <xf numFmtId="178" fontId="52" fillId="45" borderId="181" xfId="70" applyNumberFormat="1" applyFont="1" applyFill="1" applyBorder="1" applyProtection="1">
      <protection locked="0"/>
    </xf>
    <xf numFmtId="178" fontId="52" fillId="8" borderId="181" xfId="70" applyNumberFormat="1" applyFont="1" applyFill="1" applyBorder="1" applyProtection="1">
      <protection locked="0"/>
    </xf>
    <xf numFmtId="178" fontId="52" fillId="0" borderId="203" xfId="70" applyNumberFormat="1" applyFont="1" applyBorder="1" applyProtection="1">
      <protection locked="0"/>
    </xf>
    <xf numFmtId="178" fontId="52" fillId="10" borderId="182" xfId="70" applyNumberFormat="1" applyFont="1" applyFill="1" applyBorder="1" applyProtection="1">
      <protection locked="0"/>
    </xf>
    <xf numFmtId="178" fontId="52" fillId="53" borderId="204" xfId="70" applyNumberFormat="1" applyFont="1" applyFill="1" applyBorder="1" applyProtection="1">
      <protection locked="0"/>
    </xf>
    <xf numFmtId="165" fontId="143" fillId="5" borderId="181" xfId="88" applyNumberFormat="1" applyFont="1" applyFill="1" applyBorder="1" applyAlignment="1" applyProtection="1">
      <alignment horizontal="center"/>
      <protection locked="0"/>
    </xf>
    <xf numFmtId="165" fontId="192" fillId="61" borderId="76" xfId="88" quotePrefix="1" applyNumberFormat="1" applyFont="1" applyFill="1" applyBorder="1" applyAlignment="1" applyProtection="1">
      <alignment horizontal="center"/>
      <protection locked="0"/>
    </xf>
    <xf numFmtId="165" fontId="192" fillId="61" borderId="5" xfId="88" applyNumberFormat="1" applyFont="1" applyFill="1" applyBorder="1" applyAlignment="1" applyProtection="1">
      <alignment horizontal="center"/>
      <protection locked="0"/>
    </xf>
    <xf numFmtId="178" fontId="52" fillId="45" borderId="65" xfId="70" applyNumberFormat="1" applyFont="1" applyFill="1" applyBorder="1" applyProtection="1">
      <protection locked="0"/>
    </xf>
    <xf numFmtId="165" fontId="143" fillId="42" borderId="181" xfId="88" applyNumberFormat="1" applyFont="1" applyFill="1" applyBorder="1" applyAlignment="1" applyProtection="1">
      <alignment horizontal="center"/>
      <protection locked="0"/>
    </xf>
    <xf numFmtId="37" fontId="192" fillId="43" borderId="181" xfId="88" applyNumberFormat="1" applyFont="1" applyFill="1" applyBorder="1" applyAlignment="1" applyProtection="1">
      <alignment horizontal="right"/>
      <protection locked="0"/>
    </xf>
    <xf numFmtId="10" fontId="193" fillId="0" borderId="0" xfId="84" applyNumberFormat="1" applyFont="1" applyFill="1" applyBorder="1" applyProtection="1">
      <protection locked="0"/>
    </xf>
    <xf numFmtId="0" fontId="1" fillId="42" borderId="66" xfId="36" applyFont="1" applyFill="1" applyBorder="1" applyAlignment="1">
      <alignment horizontal="center"/>
    </xf>
    <xf numFmtId="9" fontId="128" fillId="42" borderId="53" xfId="36" applyNumberFormat="1" applyFont="1" applyFill="1" applyBorder="1" applyAlignment="1">
      <alignment horizontal="center"/>
    </xf>
    <xf numFmtId="0" fontId="107" fillId="42" borderId="0" xfId="36" applyFont="1" applyFill="1" applyAlignment="1">
      <alignment horizontal="center"/>
    </xf>
    <xf numFmtId="0" fontId="107" fillId="42" borderId="2" xfId="36" applyFont="1" applyFill="1" applyBorder="1" applyAlignment="1">
      <alignment horizontal="center"/>
    </xf>
    <xf numFmtId="0" fontId="65" fillId="42" borderId="66" xfId="36" applyFill="1" applyBorder="1" applyAlignment="1">
      <alignment horizontal="center"/>
    </xf>
    <xf numFmtId="181" fontId="17" fillId="42" borderId="0" xfId="36" applyNumberFormat="1" applyFont="1" applyFill="1" applyAlignment="1">
      <alignment horizontal="left"/>
    </xf>
    <xf numFmtId="0" fontId="1" fillId="42" borderId="23" xfId="36" applyFont="1" applyFill="1" applyBorder="1"/>
    <xf numFmtId="0" fontId="65" fillId="0" borderId="205" xfId="36" applyBorder="1"/>
    <xf numFmtId="38" fontId="37" fillId="10" borderId="206" xfId="36" applyNumberFormat="1" applyFont="1" applyFill="1" applyBorder="1" applyAlignment="1">
      <alignment horizontal="center"/>
    </xf>
    <xf numFmtId="0" fontId="65" fillId="0" borderId="207" xfId="36" applyBorder="1" applyAlignment="1">
      <alignment horizontal="center"/>
    </xf>
    <xf numFmtId="44" fontId="44" fillId="0" borderId="206" xfId="36" applyNumberFormat="1" applyFont="1" applyBorder="1"/>
    <xf numFmtId="42" fontId="65" fillId="0" borderId="208" xfId="36" applyNumberFormat="1" applyBorder="1"/>
    <xf numFmtId="0" fontId="9" fillId="0" borderId="23" xfId="36" applyFont="1" applyBorder="1"/>
    <xf numFmtId="0" fontId="17" fillId="0" borderId="171" xfId="0" applyFont="1" applyBorder="1"/>
    <xf numFmtId="6" fontId="202" fillId="0" borderId="171" xfId="36" applyNumberFormat="1" applyFont="1" applyBorder="1" applyAlignment="1">
      <alignment horizontal="center"/>
    </xf>
    <xf numFmtId="10" fontId="28" fillId="0" borderId="116" xfId="36" applyNumberFormat="1" applyFont="1" applyBorder="1" applyAlignment="1">
      <alignment horizontal="center"/>
    </xf>
    <xf numFmtId="181" fontId="17" fillId="42" borderId="53" xfId="36" applyNumberFormat="1" applyFont="1" applyFill="1" applyBorder="1" applyAlignment="1">
      <alignment horizontal="left"/>
    </xf>
    <xf numFmtId="0" fontId="0" fillId="42" borderId="116" xfId="0" applyFill="1" applyBorder="1"/>
    <xf numFmtId="165" fontId="133" fillId="42" borderId="76" xfId="88" quotePrefix="1" applyNumberFormat="1" applyFont="1" applyFill="1" applyBorder="1" applyAlignment="1" applyProtection="1">
      <alignment horizontal="center"/>
      <protection locked="0"/>
    </xf>
    <xf numFmtId="165" fontId="133" fillId="42" borderId="5" xfId="88" applyNumberFormat="1" applyFont="1" applyFill="1" applyBorder="1" applyAlignment="1" applyProtection="1">
      <alignment horizontal="center"/>
      <protection locked="0"/>
    </xf>
    <xf numFmtId="42" fontId="0" fillId="10" borderId="215" xfId="0" applyNumberFormat="1" applyFill="1" applyBorder="1"/>
    <xf numFmtId="169" fontId="0" fillId="10" borderId="0" xfId="0" applyNumberFormat="1" applyFill="1"/>
    <xf numFmtId="0" fontId="0" fillId="10" borderId="0" xfId="0" quotePrefix="1" applyFill="1"/>
    <xf numFmtId="0" fontId="0" fillId="10" borderId="216" xfId="0" applyFill="1" applyBorder="1"/>
    <xf numFmtId="0" fontId="0" fillId="10" borderId="215" xfId="0" applyFill="1" applyBorder="1"/>
    <xf numFmtId="10" fontId="0" fillId="10" borderId="0" xfId="2" applyNumberFormat="1" applyFont="1" applyFill="1" applyBorder="1"/>
    <xf numFmtId="169" fontId="0" fillId="10" borderId="192" xfId="0" applyNumberFormat="1" applyFill="1" applyBorder="1"/>
    <xf numFmtId="42" fontId="51" fillId="10" borderId="0" xfId="0" quotePrefix="1" applyNumberFormat="1" applyFont="1" applyFill="1"/>
    <xf numFmtId="42" fontId="0" fillId="10" borderId="0" xfId="0" applyNumberFormat="1" applyFill="1"/>
    <xf numFmtId="42" fontId="0" fillId="10" borderId="216" xfId="0" applyNumberFormat="1" applyFill="1" applyBorder="1"/>
    <xf numFmtId="42" fontId="0" fillId="10" borderId="0" xfId="0" quotePrefix="1" applyNumberFormat="1" applyFill="1"/>
    <xf numFmtId="42" fontId="0" fillId="10" borderId="192" xfId="0" applyNumberFormat="1" applyFill="1" applyBorder="1"/>
    <xf numFmtId="0" fontId="4" fillId="10" borderId="215" xfId="0" applyFont="1" applyFill="1" applyBorder="1"/>
    <xf numFmtId="9" fontId="4" fillId="10" borderId="0" xfId="0" applyNumberFormat="1" applyFont="1" applyFill="1"/>
    <xf numFmtId="0" fontId="4" fillId="10" borderId="0" xfId="0" applyFont="1" applyFill="1"/>
    <xf numFmtId="6" fontId="4" fillId="10" borderId="0" xfId="0" applyNumberFormat="1" applyFont="1" applyFill="1"/>
    <xf numFmtId="5" fontId="0" fillId="10" borderId="0" xfId="0" applyNumberFormat="1" applyFill="1"/>
    <xf numFmtId="0" fontId="1" fillId="10" borderId="215" xfId="0" applyFont="1" applyFill="1" applyBorder="1"/>
    <xf numFmtId="10" fontId="203" fillId="10" borderId="211" xfId="2" applyNumberFormat="1" applyFont="1" applyFill="1" applyBorder="1"/>
    <xf numFmtId="0" fontId="32" fillId="10" borderId="0" xfId="0" applyFont="1" applyFill="1"/>
    <xf numFmtId="10" fontId="203" fillId="10" borderId="0" xfId="2" applyNumberFormat="1" applyFont="1" applyFill="1" applyBorder="1"/>
    <xf numFmtId="0" fontId="0" fillId="10" borderId="217" xfId="0" applyFill="1" applyBorder="1"/>
    <xf numFmtId="0" fontId="0" fillId="10" borderId="108" xfId="0" applyFill="1" applyBorder="1"/>
    <xf numFmtId="169" fontId="0" fillId="10" borderId="108" xfId="0" applyNumberFormat="1" applyFill="1" applyBorder="1"/>
    <xf numFmtId="0" fontId="0" fillId="10" borderId="218" xfId="0" applyFill="1" applyBorder="1"/>
    <xf numFmtId="43" fontId="0" fillId="0" borderId="0" xfId="89" applyFont="1"/>
    <xf numFmtId="5" fontId="9" fillId="0" borderId="0" xfId="1" applyNumberFormat="1" applyFont="1" applyBorder="1" applyProtection="1">
      <protection locked="0"/>
    </xf>
    <xf numFmtId="5" fontId="9" fillId="8" borderId="0" xfId="1" applyNumberFormat="1" applyFont="1" applyFill="1" applyBorder="1" applyProtection="1">
      <protection locked="0"/>
    </xf>
    <xf numFmtId="0" fontId="95" fillId="4" borderId="0" xfId="0" quotePrefix="1" applyFont="1" applyFill="1" applyAlignment="1">
      <alignment horizontal="left"/>
    </xf>
    <xf numFmtId="169" fontId="1" fillId="0" borderId="0" xfId="0" applyNumberFormat="1" applyFont="1"/>
    <xf numFmtId="43" fontId="0" fillId="2" borderId="0" xfId="89" applyFont="1" applyFill="1"/>
    <xf numFmtId="42" fontId="4" fillId="0" borderId="0" xfId="0" quotePrefix="1" applyNumberFormat="1" applyFont="1" applyAlignment="1">
      <alignment horizontal="center" vertical="center"/>
    </xf>
    <xf numFmtId="0" fontId="45" fillId="0" borderId="24" xfId="42" applyFont="1" applyBorder="1" applyAlignment="1" applyProtection="1">
      <alignment horizontal="left"/>
      <protection locked="0"/>
    </xf>
    <xf numFmtId="0" fontId="45" fillId="0" borderId="25" xfId="42" applyFont="1" applyBorder="1" applyAlignment="1" applyProtection="1">
      <alignment horizontal="left"/>
      <protection locked="0"/>
    </xf>
    <xf numFmtId="0" fontId="12" fillId="3" borderId="7" xfId="42" applyFont="1" applyFill="1" applyBorder="1" applyAlignment="1" applyProtection="1">
      <alignment horizontal="center"/>
      <protection locked="0"/>
    </xf>
    <xf numFmtId="0" fontId="10" fillId="0" borderId="8" xfId="42" applyBorder="1" applyAlignment="1">
      <alignment horizontal="center"/>
    </xf>
    <xf numFmtId="0" fontId="10" fillId="0" borderId="9" xfId="42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10" borderId="209" xfId="0" applyFill="1" applyBorder="1" applyAlignment="1">
      <alignment horizontal="center"/>
    </xf>
    <xf numFmtId="0" fontId="0" fillId="10" borderId="210" xfId="0" applyFill="1" applyBorder="1" applyAlignment="1">
      <alignment horizontal="center"/>
    </xf>
    <xf numFmtId="0" fontId="204" fillId="10" borderId="212" xfId="0" applyFont="1" applyFill="1" applyBorder="1" applyAlignment="1">
      <alignment horizontal="center" vertical="center"/>
    </xf>
    <xf numFmtId="0" fontId="204" fillId="10" borderId="213" xfId="0" applyFont="1" applyFill="1" applyBorder="1" applyAlignment="1">
      <alignment horizontal="center" vertical="center"/>
    </xf>
    <xf numFmtId="0" fontId="204" fillId="10" borderId="214" xfId="0" applyFont="1" applyFill="1" applyBorder="1" applyAlignment="1">
      <alignment horizontal="center" vertical="center"/>
    </xf>
    <xf numFmtId="0" fontId="204" fillId="10" borderId="217" xfId="0" applyFont="1" applyFill="1" applyBorder="1" applyAlignment="1">
      <alignment horizontal="center" vertical="center"/>
    </xf>
    <xf numFmtId="0" fontId="204" fillId="10" borderId="108" xfId="0" applyFont="1" applyFill="1" applyBorder="1" applyAlignment="1">
      <alignment horizontal="center" vertical="center"/>
    </xf>
    <xf numFmtId="0" fontId="204" fillId="10" borderId="218" xfId="0" applyFont="1" applyFill="1" applyBorder="1" applyAlignment="1">
      <alignment horizontal="center" vertical="center"/>
    </xf>
    <xf numFmtId="0" fontId="65" fillId="49" borderId="95" xfId="0" applyFont="1" applyFill="1" applyBorder="1" applyAlignment="1">
      <alignment horizontal="center" vertical="center"/>
    </xf>
    <xf numFmtId="0" fontId="65" fillId="49" borderId="90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42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27" fillId="0" borderId="14" xfId="0" applyFont="1" applyBorder="1" applyAlignment="1" applyProtection="1">
      <alignment horizontal="left"/>
      <protection locked="0"/>
    </xf>
    <xf numFmtId="0" fontId="0" fillId="0" borderId="0" xfId="0" applyAlignment="1">
      <alignment horizontal="right"/>
    </xf>
    <xf numFmtId="0" fontId="1" fillId="0" borderId="0" xfId="0" applyFont="1" applyAlignment="1" applyProtection="1">
      <alignment horizontal="left"/>
      <protection locked="0"/>
    </xf>
    <xf numFmtId="179" fontId="86" fillId="0" borderId="0" xfId="0" applyNumberFormat="1" applyFont="1" applyAlignment="1">
      <alignment horizontal="left"/>
    </xf>
    <xf numFmtId="165" fontId="192" fillId="0" borderId="0" xfId="88" quotePrefix="1" applyNumberFormat="1" applyFont="1" applyAlignment="1" applyProtection="1">
      <alignment horizontal="center"/>
      <protection locked="0"/>
    </xf>
    <xf numFmtId="37" fontId="52" fillId="59" borderId="0" xfId="88" quotePrefix="1" applyNumberFormat="1" applyFont="1" applyFill="1" applyAlignment="1" applyProtection="1">
      <alignment horizontal="center"/>
      <protection locked="0"/>
    </xf>
    <xf numFmtId="37" fontId="52" fillId="59" borderId="0" xfId="88" applyNumberFormat="1" applyFont="1" applyFill="1" applyAlignment="1" applyProtection="1">
      <alignment horizontal="center"/>
      <protection locked="0"/>
    </xf>
    <xf numFmtId="0" fontId="107" fillId="0" borderId="182" xfId="36" applyFont="1" applyBorder="1" applyAlignment="1">
      <alignment horizontal="center"/>
    </xf>
    <xf numFmtId="167" fontId="176" fillId="0" borderId="170" xfId="90" applyNumberFormat="1" applyFont="1" applyBorder="1" applyAlignment="1">
      <alignment horizontal="center" vertical="center"/>
    </xf>
    <xf numFmtId="167" fontId="176" fillId="0" borderId="117" xfId="90" applyNumberFormat="1" applyFont="1" applyBorder="1" applyAlignment="1">
      <alignment horizontal="center" vertical="center"/>
    </xf>
    <xf numFmtId="178" fontId="122" fillId="2" borderId="170" xfId="70" applyNumberFormat="1" applyFont="1" applyFill="1" applyBorder="1" applyAlignment="1">
      <alignment horizontal="center"/>
    </xf>
    <xf numFmtId="178" fontId="122" fillId="2" borderId="117" xfId="70" applyNumberFormat="1" applyFont="1" applyFill="1" applyBorder="1" applyAlignment="1">
      <alignment horizontal="center"/>
    </xf>
    <xf numFmtId="198" fontId="177" fillId="0" borderId="144" xfId="84" applyNumberFormat="1" applyFont="1" applyBorder="1" applyAlignment="1">
      <alignment horizontal="center" vertical="center" wrapText="1"/>
    </xf>
    <xf numFmtId="198" fontId="177" fillId="0" borderId="116" xfId="84" applyNumberFormat="1" applyFont="1" applyBorder="1" applyAlignment="1">
      <alignment horizontal="center" vertical="center" wrapText="1"/>
    </xf>
    <xf numFmtId="198" fontId="177" fillId="0" borderId="48" xfId="84" applyNumberFormat="1" applyFont="1" applyBorder="1" applyAlignment="1">
      <alignment horizontal="center" vertical="center" wrapText="1"/>
    </xf>
    <xf numFmtId="0" fontId="168" fillId="0" borderId="148" xfId="90" applyFont="1" applyBorder="1" applyAlignment="1">
      <alignment horizontal="center" vertical="center" textRotation="90" wrapText="1"/>
    </xf>
    <xf numFmtId="0" fontId="168" fillId="0" borderId="135" xfId="90" applyFont="1" applyBorder="1" applyAlignment="1">
      <alignment horizontal="center" vertical="center" textRotation="90" wrapText="1"/>
    </xf>
    <xf numFmtId="0" fontId="168" fillId="0" borderId="123" xfId="90" applyFont="1" applyBorder="1" applyAlignment="1">
      <alignment horizontal="center" vertical="center" textRotation="90" wrapText="1"/>
    </xf>
    <xf numFmtId="200" fontId="176" fillId="48" borderId="150" xfId="90" applyNumberFormat="1" applyFont="1" applyFill="1" applyBorder="1" applyAlignment="1">
      <alignment horizontal="center" vertical="center" wrapText="1"/>
    </xf>
    <xf numFmtId="200" fontId="176" fillId="48" borderId="151" xfId="90" applyNumberFormat="1" applyFont="1" applyFill="1" applyBorder="1" applyAlignment="1">
      <alignment horizontal="center" vertical="center" wrapText="1"/>
    </xf>
    <xf numFmtId="200" fontId="176" fillId="48" borderId="138" xfId="90" applyNumberFormat="1" applyFont="1" applyFill="1" applyBorder="1" applyAlignment="1">
      <alignment horizontal="center" vertical="center" wrapText="1"/>
    </xf>
    <xf numFmtId="200" fontId="176" fillId="48" borderId="152" xfId="90" applyNumberFormat="1" applyFont="1" applyFill="1" applyBorder="1" applyAlignment="1">
      <alignment horizontal="center" vertical="center" wrapText="1"/>
    </xf>
    <xf numFmtId="200" fontId="176" fillId="48" borderId="138" xfId="90" applyNumberFormat="1" applyFont="1" applyFill="1" applyBorder="1" applyAlignment="1">
      <alignment horizontal="center" vertical="center"/>
    </xf>
    <xf numFmtId="200" fontId="176" fillId="48" borderId="152" xfId="90" applyNumberFormat="1" applyFont="1" applyFill="1" applyBorder="1" applyAlignment="1">
      <alignment horizontal="center" vertical="center"/>
    </xf>
    <xf numFmtId="167" fontId="176" fillId="2" borderId="153" xfId="70" applyNumberFormat="1" applyFont="1" applyFill="1" applyBorder="1" applyAlignment="1">
      <alignment horizontal="center" vertical="center"/>
    </xf>
    <xf numFmtId="167" fontId="176" fillId="2" borderId="154" xfId="70" applyNumberFormat="1" applyFont="1" applyFill="1" applyBorder="1" applyAlignment="1">
      <alignment horizontal="center" vertical="center"/>
    </xf>
    <xf numFmtId="0" fontId="176" fillId="0" borderId="0" xfId="90" applyFont="1" applyAlignment="1">
      <alignment vertical="top"/>
    </xf>
    <xf numFmtId="0" fontId="168" fillId="0" borderId="68" xfId="90" applyFont="1" applyBorder="1" applyAlignment="1">
      <alignment vertical="top"/>
    </xf>
    <xf numFmtId="0" fontId="168" fillId="0" borderId="124" xfId="90" applyFont="1" applyBorder="1" applyAlignment="1">
      <alignment horizontal="center" vertical="center" wrapText="1"/>
    </xf>
    <xf numFmtId="0" fontId="168" fillId="0" borderId="85" xfId="90" applyFont="1" applyBorder="1" applyAlignment="1">
      <alignment horizontal="center" vertical="center"/>
    </xf>
    <xf numFmtId="0" fontId="168" fillId="0" borderId="132" xfId="90" applyFont="1" applyBorder="1" applyAlignment="1">
      <alignment horizontal="center" vertical="center"/>
    </xf>
    <xf numFmtId="0" fontId="168" fillId="0" borderId="133" xfId="90" applyFont="1" applyBorder="1" applyAlignment="1">
      <alignment horizontal="center" vertical="center"/>
    </xf>
    <xf numFmtId="0" fontId="176" fillId="0" borderId="159" xfId="90" applyFont="1" applyBorder="1" applyAlignment="1">
      <alignment horizontal="center" vertical="center" wrapText="1"/>
    </xf>
    <xf numFmtId="0" fontId="176" fillId="0" borderId="134" xfId="90" applyFont="1" applyBorder="1" applyAlignment="1">
      <alignment horizontal="center" vertical="center" wrapText="1"/>
    </xf>
    <xf numFmtId="0" fontId="176" fillId="0" borderId="127" xfId="90" applyFont="1" applyBorder="1" applyAlignment="1">
      <alignment horizontal="center" vertical="center"/>
    </xf>
    <xf numFmtId="0" fontId="176" fillId="0" borderId="128" xfId="90" applyFont="1" applyBorder="1" applyAlignment="1">
      <alignment horizontal="center" vertical="center"/>
    </xf>
    <xf numFmtId="0" fontId="176" fillId="0" borderId="145" xfId="90" applyFont="1" applyBorder="1" applyAlignment="1">
      <alignment horizontal="center" vertical="center"/>
    </xf>
    <xf numFmtId="198" fontId="177" fillId="0" borderId="137" xfId="84" applyNumberFormat="1" applyFont="1" applyBorder="1" applyAlignment="1">
      <alignment horizontal="center" vertical="center" wrapText="1"/>
    </xf>
    <xf numFmtId="0" fontId="168" fillId="0" borderId="131" xfId="90" applyFont="1" applyBorder="1" applyAlignment="1">
      <alignment horizontal="center" vertical="center" textRotation="90" wrapText="1"/>
    </xf>
    <xf numFmtId="0" fontId="176" fillId="0" borderId="125" xfId="90" applyFont="1" applyBorder="1" applyAlignment="1">
      <alignment horizontal="center" vertical="center" wrapText="1"/>
    </xf>
    <xf numFmtId="0" fontId="176" fillId="0" borderId="129" xfId="90" applyFont="1" applyBorder="1" applyAlignment="1">
      <alignment horizontal="center" vertical="center"/>
    </xf>
    <xf numFmtId="167" fontId="176" fillId="0" borderId="101" xfId="90" applyNumberFormat="1" applyFont="1" applyBorder="1" applyAlignment="1">
      <alignment horizontal="center" vertical="center"/>
    </xf>
    <xf numFmtId="178" fontId="122" fillId="2" borderId="101" xfId="70" applyNumberFormat="1" applyFont="1" applyFill="1" applyBorder="1" applyAlignment="1">
      <alignment horizontal="center"/>
    </xf>
  </cellXfs>
  <cellStyles count="91">
    <cellStyle name="20% - Accent1 2" xfId="43" xr:uid="{00000000-0005-0000-0000-000000000000}"/>
    <cellStyle name="20% - Accent2 2" xfId="44" xr:uid="{00000000-0005-0000-0000-000001000000}"/>
    <cellStyle name="20% - Accent3 2" xfId="45" xr:uid="{00000000-0005-0000-0000-000002000000}"/>
    <cellStyle name="20% - Accent4 2" xfId="46" xr:uid="{00000000-0005-0000-0000-000003000000}"/>
    <cellStyle name="20% - Accent5 2" xfId="47" xr:uid="{00000000-0005-0000-0000-000004000000}"/>
    <cellStyle name="20% - Accent6 2" xfId="48" xr:uid="{00000000-0005-0000-0000-000005000000}"/>
    <cellStyle name="40% - Accent1 2" xfId="49" xr:uid="{00000000-0005-0000-0000-000006000000}"/>
    <cellStyle name="40% - Accent2 2" xfId="50" xr:uid="{00000000-0005-0000-0000-000007000000}"/>
    <cellStyle name="40% - Accent3 2" xfId="51" xr:uid="{00000000-0005-0000-0000-000008000000}"/>
    <cellStyle name="40% - Accent4 2" xfId="52" xr:uid="{00000000-0005-0000-0000-000009000000}"/>
    <cellStyle name="40% - Accent5 2" xfId="53" xr:uid="{00000000-0005-0000-0000-00000A000000}"/>
    <cellStyle name="40% - Accent6 2" xfId="54" xr:uid="{00000000-0005-0000-0000-00000B000000}"/>
    <cellStyle name="60% - Accent1 2" xfId="55" xr:uid="{00000000-0005-0000-0000-00000C000000}"/>
    <cellStyle name="60% - Accent2 2" xfId="56" xr:uid="{00000000-0005-0000-0000-00000D000000}"/>
    <cellStyle name="60% - Accent3 2" xfId="57" xr:uid="{00000000-0005-0000-0000-00000E000000}"/>
    <cellStyle name="60% - Accent4 2" xfId="58" xr:uid="{00000000-0005-0000-0000-00000F000000}"/>
    <cellStyle name="60% - Accent5 2" xfId="59" xr:uid="{00000000-0005-0000-0000-000010000000}"/>
    <cellStyle name="60% - Accent6 2" xfId="60" xr:uid="{00000000-0005-0000-0000-000011000000}"/>
    <cellStyle name="Accent1 2" xfId="61" xr:uid="{00000000-0005-0000-0000-000012000000}"/>
    <cellStyle name="Accent2 2" xfId="62" xr:uid="{00000000-0005-0000-0000-000013000000}"/>
    <cellStyle name="Accent3 2" xfId="63" xr:uid="{00000000-0005-0000-0000-000014000000}"/>
    <cellStyle name="Accent4 2" xfId="64" xr:uid="{00000000-0005-0000-0000-000015000000}"/>
    <cellStyle name="Accent5 2" xfId="65" xr:uid="{00000000-0005-0000-0000-000016000000}"/>
    <cellStyle name="Accent6 2" xfId="66" xr:uid="{00000000-0005-0000-0000-000017000000}"/>
    <cellStyle name="Bad 2" xfId="67" xr:uid="{00000000-0005-0000-0000-000018000000}"/>
    <cellStyle name="Body" xfId="18" xr:uid="{00000000-0005-0000-0000-000019000000}"/>
    <cellStyle name="Calculation 2" xfId="68" xr:uid="{00000000-0005-0000-0000-00001A000000}"/>
    <cellStyle name="cf1" xfId="40" xr:uid="{00000000-0005-0000-0000-00001B000000}"/>
    <cellStyle name="Check Cell 2" xfId="69" xr:uid="{00000000-0005-0000-0000-00001C000000}"/>
    <cellStyle name="Comma" xfId="89" builtinId="3"/>
    <cellStyle name="Comma 2" xfId="19" xr:uid="{00000000-0005-0000-0000-00001E000000}"/>
    <cellStyle name="Comma 2 2" xfId="70" xr:uid="{00000000-0005-0000-0000-00001F000000}"/>
    <cellStyle name="Comma 3" xfId="6" xr:uid="{00000000-0005-0000-0000-000020000000}"/>
    <cellStyle name="Comma 4" xfId="37" xr:uid="{00000000-0005-0000-0000-000021000000}"/>
    <cellStyle name="Currency" xfId="1" builtinId="4"/>
    <cellStyle name="Currency 2" xfId="20" xr:uid="{00000000-0005-0000-0000-000023000000}"/>
    <cellStyle name="Currency 2 2" xfId="71" xr:uid="{00000000-0005-0000-0000-000024000000}"/>
    <cellStyle name="Currency 3" xfId="7" xr:uid="{00000000-0005-0000-0000-000025000000}"/>
    <cellStyle name="Currency 4" xfId="38" xr:uid="{00000000-0005-0000-0000-000026000000}"/>
    <cellStyle name="DATE" xfId="21" xr:uid="{00000000-0005-0000-0000-000027000000}"/>
    <cellStyle name="Euro" xfId="22" xr:uid="{00000000-0005-0000-0000-000028000000}"/>
    <cellStyle name="Explanatory Text 2" xfId="72" xr:uid="{00000000-0005-0000-0000-000029000000}"/>
    <cellStyle name="FORMULA" xfId="23" xr:uid="{00000000-0005-0000-0000-00002A000000}"/>
    <cellStyle name="Good 2" xfId="73" xr:uid="{00000000-0005-0000-0000-00002B000000}"/>
    <cellStyle name="Grey" xfId="8" xr:uid="{00000000-0005-0000-0000-00002C000000}"/>
    <cellStyle name="Header1" xfId="9" xr:uid="{00000000-0005-0000-0000-00002D000000}"/>
    <cellStyle name="Header2" xfId="10" xr:uid="{00000000-0005-0000-0000-00002E000000}"/>
    <cellStyle name="Header2 2" xfId="32" xr:uid="{00000000-0005-0000-0000-00002F000000}"/>
    <cellStyle name="Header2 3" xfId="34" xr:uid="{00000000-0005-0000-0000-000030000000}"/>
    <cellStyle name="Heading 1 2" xfId="74" xr:uid="{00000000-0005-0000-0000-000031000000}"/>
    <cellStyle name="Heading 2 2" xfId="75" xr:uid="{00000000-0005-0000-0000-000032000000}"/>
    <cellStyle name="Heading 3 2" xfId="76" xr:uid="{00000000-0005-0000-0000-000033000000}"/>
    <cellStyle name="Heading 4 2" xfId="77" xr:uid="{00000000-0005-0000-0000-000034000000}"/>
    <cellStyle name="HIDE" xfId="24" xr:uid="{00000000-0005-0000-0000-000035000000}"/>
    <cellStyle name="Hyperlink" xfId="3" builtinId="8"/>
    <cellStyle name="Hyperlink 2" xfId="11" xr:uid="{00000000-0005-0000-0000-000037000000}"/>
    <cellStyle name="Hyperlink 2 2" xfId="78" xr:uid="{00000000-0005-0000-0000-000038000000}"/>
    <cellStyle name="Hyperlink 3" xfId="41" xr:uid="{00000000-0005-0000-0000-000039000000}"/>
    <cellStyle name="Input [yellow]" xfId="12" xr:uid="{00000000-0005-0000-0000-00003A000000}"/>
    <cellStyle name="Input [yellow] 2" xfId="33" xr:uid="{00000000-0005-0000-0000-00003B000000}"/>
    <cellStyle name="Input [yellow] 3" xfId="35" xr:uid="{00000000-0005-0000-0000-00003C000000}"/>
    <cellStyle name="Input 2" xfId="79" xr:uid="{00000000-0005-0000-0000-00003D000000}"/>
    <cellStyle name="LINK" xfId="25" xr:uid="{00000000-0005-0000-0000-00003E000000}"/>
    <cellStyle name="Linked Cell 2" xfId="80" xr:uid="{00000000-0005-0000-0000-00003F000000}"/>
    <cellStyle name="Neutral 2" xfId="81" xr:uid="{00000000-0005-0000-0000-000040000000}"/>
    <cellStyle name="no dec" xfId="26" xr:uid="{00000000-0005-0000-0000-000041000000}"/>
    <cellStyle name="Nor@„l_IRRSENS" xfId="27" xr:uid="{00000000-0005-0000-0000-000042000000}"/>
    <cellStyle name="Normal" xfId="0" builtinId="0"/>
    <cellStyle name="Normal - Style1" xfId="13" xr:uid="{00000000-0005-0000-0000-000044000000}"/>
    <cellStyle name="Normal 2" xfId="16" xr:uid="{00000000-0005-0000-0000-000045000000}"/>
    <cellStyle name="Normal 2 2" xfId="42" xr:uid="{00000000-0005-0000-0000-000046000000}"/>
    <cellStyle name="Normal 3" xfId="17" xr:uid="{00000000-0005-0000-0000-000047000000}"/>
    <cellStyle name="Normal 3 2" xfId="88" xr:uid="{00000000-0005-0000-0000-000048000000}"/>
    <cellStyle name="Normal 4" xfId="28" xr:uid="{00000000-0005-0000-0000-000049000000}"/>
    <cellStyle name="Normal 5" xfId="5" xr:uid="{00000000-0005-0000-0000-00004A000000}"/>
    <cellStyle name="Normal 6" xfId="36" xr:uid="{00000000-0005-0000-0000-00004B000000}"/>
    <cellStyle name="Normal 7" xfId="90" xr:uid="{ECDBC0E2-F538-492E-80A4-36093C48A41A}"/>
    <cellStyle name="Normal_Op Xpns Worksheet - Conventional" xfId="4" xr:uid="{00000000-0005-0000-0000-00004C000000}"/>
    <cellStyle name="Note 2" xfId="82" xr:uid="{00000000-0005-0000-0000-00004D000000}"/>
    <cellStyle name="Notes" xfId="29" xr:uid="{00000000-0005-0000-0000-00004E000000}"/>
    <cellStyle name="Output 2" xfId="83" xr:uid="{00000000-0005-0000-0000-00004F000000}"/>
    <cellStyle name="OVERWRITE" xfId="30" xr:uid="{00000000-0005-0000-0000-000050000000}"/>
    <cellStyle name="Percent" xfId="2" builtinId="5"/>
    <cellStyle name="Percent [2]" xfId="15" xr:uid="{00000000-0005-0000-0000-000052000000}"/>
    <cellStyle name="Percent 2" xfId="31" xr:uid="{00000000-0005-0000-0000-000053000000}"/>
    <cellStyle name="Percent 2 2" xfId="84" xr:uid="{00000000-0005-0000-0000-000054000000}"/>
    <cellStyle name="Percent 3" xfId="14" xr:uid="{00000000-0005-0000-0000-000055000000}"/>
    <cellStyle name="Percent 4" xfId="39" xr:uid="{00000000-0005-0000-0000-000056000000}"/>
    <cellStyle name="Title 2" xfId="85" xr:uid="{00000000-0005-0000-0000-000057000000}"/>
    <cellStyle name="Total 2" xfId="86" xr:uid="{00000000-0005-0000-0000-000058000000}"/>
    <cellStyle name="Warning Text 2" xfId="87" xr:uid="{00000000-0005-0000-0000-000059000000}"/>
  </cellStyles>
  <dxfs count="5"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333399"/>
      <color rgb="FFCCCCFF"/>
      <color rgb="FFDDEBF7"/>
      <color rgb="FF0033CC"/>
      <color rgb="FF99FF99"/>
      <color rgb="FF66FF66"/>
      <color rgb="FF99FF66"/>
      <color rgb="FFFFFF99"/>
      <color rgb="FFFFCCCC"/>
      <color rgb="FF8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94</xdr:row>
      <xdr:rowOff>149679</xdr:rowOff>
    </xdr:from>
    <xdr:to>
      <xdr:col>2</xdr:col>
      <xdr:colOff>343882</xdr:colOff>
      <xdr:row>98</xdr:row>
      <xdr:rowOff>112818</xdr:rowOff>
    </xdr:to>
    <xdr:pic>
      <xdr:nvPicPr>
        <xdr:cNvPr id="2" name="Picture 1" descr="ColumbiaResidential_#86C2A9">
          <a:extLst>
            <a:ext uri="{FF2B5EF4-FFF2-40B4-BE49-F238E27FC236}">
              <a16:creationId xmlns:a16="http://schemas.microsoft.com/office/drawing/2014/main" id="{2C6327CE-3CE6-4F98-BBEC-00D170B81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6932729"/>
          <a:ext cx="753457" cy="7145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411480</xdr:colOff>
      <xdr:row>9</xdr:row>
      <xdr:rowOff>121920</xdr:rowOff>
    </xdr:from>
    <xdr:to>
      <xdr:col>0</xdr:col>
      <xdr:colOff>502920</xdr:colOff>
      <xdr:row>10</xdr:row>
      <xdr:rowOff>114300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55F9D33E-0425-4B25-9D86-0AA1CEF8D58C}"/>
            </a:ext>
          </a:extLst>
        </xdr:cNvPr>
        <xdr:cNvSpPr/>
      </xdr:nvSpPr>
      <xdr:spPr>
        <a:xfrm>
          <a:off x="411480" y="1922145"/>
          <a:ext cx="91440" cy="18288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419100</xdr:colOff>
      <xdr:row>18</xdr:row>
      <xdr:rowOff>15240</xdr:rowOff>
    </xdr:from>
    <xdr:to>
      <xdr:col>0</xdr:col>
      <xdr:colOff>510540</xdr:colOff>
      <xdr:row>19</xdr:row>
      <xdr:rowOff>0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1145039B-EBB9-41C2-B0ED-7114CA8193BB}"/>
            </a:ext>
          </a:extLst>
        </xdr:cNvPr>
        <xdr:cNvSpPr/>
      </xdr:nvSpPr>
      <xdr:spPr>
        <a:xfrm>
          <a:off x="419100" y="3529965"/>
          <a:ext cx="91440" cy="17526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1289050</xdr:colOff>
      <xdr:row>97</xdr:row>
      <xdr:rowOff>158750</xdr:rowOff>
    </xdr:from>
    <xdr:to>
      <xdr:col>6</xdr:col>
      <xdr:colOff>1073150</xdr:colOff>
      <xdr:row>101</xdr:row>
      <xdr:rowOff>50800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37F51055-602F-44D3-B2F1-B910F7923380}"/>
            </a:ext>
          </a:extLst>
        </xdr:cNvPr>
        <xdr:cNvCxnSpPr/>
      </xdr:nvCxnSpPr>
      <xdr:spPr>
        <a:xfrm>
          <a:off x="5918200" y="16627475"/>
          <a:ext cx="2489200" cy="673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lumbiaresidentialcom-my.sharepoint.com/personal/rfink_columbiares_com/Documents/drag%20&amp;%20drop/Lakeview/Flats%20at%20Lake%20View,%20Warner%20Robins,%20GA_Clos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Independence%20Heights/Budget/Model-%20Independence%20Heights%20II-%20(2.18.2025)%20-%20TE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2017%20Tax%20Credit%20Applications/Georgia/East%20Lake%20-%20Goodwill%20Site/Budget-Models/Columbia%20Fayetteville%20Full%20Model%20v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cguillebeau/AppData/Local/Microsoft/Windows/INetCache/Content.Outlook/BPPRVD25/Columbia%20at%20Independence%20Heights%20-%20221units%20-Structured%20Parking%202024%20FMR%20rents%20for%20PBV%20units%2011-25-24-FINAL%20(00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jgrauley/AppData/Local/Microsoft/Windows/INetCache/Content.Outlook/B5UM72JL/Independence%20Heights%20-%20v5.1-212%20units%20all%20affordable%20-%20updated%20costs%20rents%20and%20rates_05-24-2022%20(00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lumbiaresidentialcom-my.sharepoint.com/2100%20Memorial-Houston-Tx/Budget/FINAL%20Closing%20Financial%20Model/2100%20Memorial%20v%205.5-Closing%20Proforma%20Model_07-26-2021%20(002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lumbiaresidentialcom-my.sharepoint.com/2018%20Tax%20Credit%20Applications/2018%20Villages%20of%20East%20Lake%20Redevelopment/Draws/Construction/Copy%20of%20VOEL%20Draw%20Request%20Forms%20-%20Draw%20#1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Financing"/>
      <sheetName val="Bonds"/>
      <sheetName val="Budget"/>
      <sheetName val="UW Draw"/>
      <sheetName val="Constr Schedule"/>
      <sheetName val="Bond Draws"/>
      <sheetName val="Unit Mix"/>
      <sheetName val="Income"/>
      <sheetName val="MTSP2021"/>
      <sheetName val="OpEx"/>
      <sheetName val="OpEx_Utilities"/>
      <sheetName val="ProForma"/>
      <sheetName val="1st Mort"/>
      <sheetName val="2nd Mort"/>
      <sheetName val="3rd Mort"/>
      <sheetName val="GP Benefits"/>
      <sheetName val="Use Matrix"/>
      <sheetName val="Credits"/>
      <sheetName val="G703"/>
      <sheetName val="Tax Depr"/>
      <sheetName val="Tax Amort"/>
    </sheetNames>
    <sheetDataSet>
      <sheetData sheetId="0">
        <row r="1">
          <cell r="B1" t="str">
            <v>Flats at Lake View</v>
          </cell>
          <cell r="K1" t="str">
            <v>Family</v>
          </cell>
          <cell r="R1" t="str">
            <v>GA</v>
          </cell>
        </row>
        <row r="2">
          <cell r="E2" t="str">
            <v>Warner Robins</v>
          </cell>
          <cell r="H2" t="str">
            <v>Houston County</v>
          </cell>
          <cell r="M2" t="str">
            <v>New</v>
          </cell>
        </row>
        <row r="6">
          <cell r="B6">
            <v>18</v>
          </cell>
        </row>
        <row r="12">
          <cell r="W12">
            <v>75000</v>
          </cell>
        </row>
        <row r="13">
          <cell r="M13">
            <v>1002500</v>
          </cell>
        </row>
        <row r="14">
          <cell r="M14">
            <v>5.8</v>
          </cell>
        </row>
        <row r="15">
          <cell r="M15">
            <v>0</v>
          </cell>
        </row>
        <row r="16">
          <cell r="M16">
            <v>0</v>
          </cell>
        </row>
        <row r="18">
          <cell r="M18">
            <v>1980000</v>
          </cell>
        </row>
        <row r="24">
          <cell r="M24">
            <v>777120</v>
          </cell>
        </row>
        <row r="26">
          <cell r="M26">
            <v>259040</v>
          </cell>
        </row>
        <row r="28">
          <cell r="M28">
            <v>777120.00000000012</v>
          </cell>
        </row>
        <row r="31">
          <cell r="M31">
            <v>164500</v>
          </cell>
          <cell r="S31">
            <v>0.93</v>
          </cell>
        </row>
        <row r="32">
          <cell r="G32">
            <v>597.25</v>
          </cell>
          <cell r="S32">
            <v>0.57999999999999996</v>
          </cell>
        </row>
        <row r="33">
          <cell r="H33">
            <v>8000</v>
          </cell>
          <cell r="I33">
            <v>8.3333333333333339</v>
          </cell>
        </row>
        <row r="34">
          <cell r="Q34">
            <v>5</v>
          </cell>
        </row>
        <row r="35">
          <cell r="H35">
            <v>0.02</v>
          </cell>
          <cell r="Q35">
            <v>9</v>
          </cell>
        </row>
        <row r="36">
          <cell r="H36">
            <v>0.03</v>
          </cell>
          <cell r="Q36">
            <v>13</v>
          </cell>
        </row>
        <row r="37">
          <cell r="H37">
            <v>7.0000000000000007E-2</v>
          </cell>
          <cell r="Q37">
            <v>19</v>
          </cell>
        </row>
        <row r="38">
          <cell r="H38">
            <v>0</v>
          </cell>
          <cell r="Q38">
            <v>20</v>
          </cell>
        </row>
        <row r="39">
          <cell r="H39">
            <v>0</v>
          </cell>
          <cell r="Q39">
            <v>22</v>
          </cell>
        </row>
        <row r="40">
          <cell r="H40">
            <v>19</v>
          </cell>
          <cell r="Q40">
            <v>25</v>
          </cell>
        </row>
        <row r="41">
          <cell r="Q41">
            <v>26</v>
          </cell>
          <cell r="R41">
            <v>46113</v>
          </cell>
        </row>
      </sheetData>
      <sheetData sheetId="1">
        <row r="15">
          <cell r="C15">
            <v>12050000</v>
          </cell>
        </row>
        <row r="16">
          <cell r="B16">
            <v>0.9</v>
          </cell>
        </row>
        <row r="17">
          <cell r="B17">
            <v>0.8</v>
          </cell>
        </row>
        <row r="19">
          <cell r="C19">
            <v>8350000</v>
          </cell>
        </row>
        <row r="20">
          <cell r="G20">
            <v>4655000</v>
          </cell>
          <cell r="K20">
            <v>0</v>
          </cell>
          <cell r="O20">
            <v>0</v>
          </cell>
        </row>
        <row r="22">
          <cell r="F22">
            <v>1.1499999999999999</v>
          </cell>
          <cell r="J22">
            <v>0</v>
          </cell>
          <cell r="N22">
            <v>0</v>
          </cell>
        </row>
        <row r="23">
          <cell r="F23">
            <v>0.9</v>
          </cell>
        </row>
        <row r="24">
          <cell r="G24">
            <v>353640</v>
          </cell>
          <cell r="K24">
            <v>0</v>
          </cell>
          <cell r="O24">
            <v>0</v>
          </cell>
        </row>
        <row r="28">
          <cell r="C28">
            <v>0.1137</v>
          </cell>
        </row>
        <row r="31">
          <cell r="C31">
            <v>30</v>
          </cell>
        </row>
        <row r="32">
          <cell r="G32">
            <v>7.1599999999999997E-2</v>
          </cell>
          <cell r="K32">
            <v>2.2499999999999999E-2</v>
          </cell>
          <cell r="O32">
            <v>0</v>
          </cell>
        </row>
        <row r="36">
          <cell r="C36">
            <v>144516</v>
          </cell>
          <cell r="G36">
            <v>40</v>
          </cell>
          <cell r="K36">
            <v>35</v>
          </cell>
        </row>
        <row r="38">
          <cell r="G38">
            <v>204</v>
          </cell>
        </row>
        <row r="44">
          <cell r="G44">
            <v>56000</v>
          </cell>
          <cell r="K44">
            <v>0</v>
          </cell>
          <cell r="O44">
            <v>0</v>
          </cell>
        </row>
      </sheetData>
      <sheetData sheetId="2">
        <row r="5">
          <cell r="C5">
            <v>4655000</v>
          </cell>
          <cell r="E5">
            <v>26</v>
          </cell>
          <cell r="F5">
            <v>2.75E-2</v>
          </cell>
        </row>
        <row r="6">
          <cell r="F6">
            <v>6.4999999999999997E-3</v>
          </cell>
        </row>
        <row r="7">
          <cell r="C7">
            <v>5552000</v>
          </cell>
          <cell r="E7">
            <v>18</v>
          </cell>
          <cell r="F7">
            <v>1.6250000000000001E-2</v>
          </cell>
        </row>
        <row r="8">
          <cell r="F8">
            <v>4.875E-3</v>
          </cell>
        </row>
        <row r="17">
          <cell r="C17">
            <v>18900669.660681646</v>
          </cell>
        </row>
        <row r="28">
          <cell r="L28">
            <v>397615.8125</v>
          </cell>
        </row>
      </sheetData>
      <sheetData sheetId="3">
        <row r="5">
          <cell r="F5">
            <v>10228977</v>
          </cell>
        </row>
        <row r="6">
          <cell r="F6">
            <v>6380000</v>
          </cell>
        </row>
        <row r="14">
          <cell r="O14">
            <v>0.09</v>
          </cell>
        </row>
        <row r="18">
          <cell r="O18">
            <v>11000000</v>
          </cell>
        </row>
        <row r="22">
          <cell r="O22">
            <v>10998900</v>
          </cell>
        </row>
        <row r="65">
          <cell r="F65">
            <v>21729620.080000002</v>
          </cell>
          <cell r="G65">
            <v>18900669.660681646</v>
          </cell>
          <cell r="H65">
            <v>0</v>
          </cell>
        </row>
      </sheetData>
      <sheetData sheetId="4">
        <row r="6">
          <cell r="E6">
            <v>45351</v>
          </cell>
        </row>
        <row r="19">
          <cell r="C19">
            <v>465533.08000000194</v>
          </cell>
        </row>
        <row r="97">
          <cell r="C97">
            <v>1385000</v>
          </cell>
        </row>
        <row r="120">
          <cell r="J120">
            <v>421652</v>
          </cell>
        </row>
        <row r="124">
          <cell r="J124">
            <v>124000</v>
          </cell>
        </row>
        <row r="127">
          <cell r="C127">
            <v>396000</v>
          </cell>
        </row>
        <row r="128">
          <cell r="C128">
            <v>396000</v>
          </cell>
        </row>
        <row r="130">
          <cell r="C130">
            <v>0</v>
          </cell>
        </row>
        <row r="131">
          <cell r="C131">
            <v>237000</v>
          </cell>
        </row>
      </sheetData>
      <sheetData sheetId="5" refreshError="1"/>
      <sheetData sheetId="6" refreshError="1"/>
      <sheetData sheetId="7">
        <row r="3">
          <cell r="S3">
            <v>80</v>
          </cell>
        </row>
        <row r="4">
          <cell r="B4">
            <v>3</v>
          </cell>
          <cell r="S4">
            <v>3</v>
          </cell>
        </row>
        <row r="5">
          <cell r="C5" t="str">
            <v>A</v>
          </cell>
          <cell r="E5" t="str">
            <v>B</v>
          </cell>
          <cell r="G5" t="str">
            <v>C</v>
          </cell>
          <cell r="I5" t="str">
            <v>D</v>
          </cell>
          <cell r="K5" t="str">
            <v>E</v>
          </cell>
          <cell r="M5" t="str">
            <v>F</v>
          </cell>
          <cell r="O5" t="str">
            <v>G</v>
          </cell>
          <cell r="Q5" t="str">
            <v>H</v>
          </cell>
        </row>
        <row r="7">
          <cell r="C7">
            <v>23</v>
          </cell>
          <cell r="E7">
            <v>31</v>
          </cell>
          <cell r="G7">
            <v>15</v>
          </cell>
          <cell r="I7">
            <v>7</v>
          </cell>
          <cell r="K7">
            <v>1</v>
          </cell>
          <cell r="M7">
            <v>1</v>
          </cell>
          <cell r="O7">
            <v>1</v>
          </cell>
          <cell r="Q7">
            <v>1</v>
          </cell>
          <cell r="V7" t="str">
            <v>A</v>
          </cell>
          <cell r="W7">
            <v>1</v>
          </cell>
          <cell r="X7">
            <v>721</v>
          </cell>
          <cell r="Z7">
            <v>1000</v>
          </cell>
          <cell r="AA7">
            <v>5</v>
          </cell>
        </row>
        <row r="8">
          <cell r="V8" t="str">
            <v>B</v>
          </cell>
          <cell r="W8">
            <v>2</v>
          </cell>
          <cell r="X8">
            <v>969</v>
          </cell>
          <cell r="Z8">
            <v>1100</v>
          </cell>
          <cell r="AA8">
            <v>7</v>
          </cell>
        </row>
        <row r="9">
          <cell r="V9" t="str">
            <v>C</v>
          </cell>
          <cell r="W9">
            <v>3</v>
          </cell>
          <cell r="X9">
            <v>1200</v>
          </cell>
          <cell r="Z9">
            <v>1200</v>
          </cell>
          <cell r="AA9">
            <v>4</v>
          </cell>
        </row>
        <row r="10">
          <cell r="V10" t="str">
            <v>D</v>
          </cell>
          <cell r="W10">
            <v>4</v>
          </cell>
          <cell r="X10">
            <v>1421</v>
          </cell>
          <cell r="Z10">
            <v>1300</v>
          </cell>
          <cell r="AA10">
            <v>1</v>
          </cell>
        </row>
        <row r="11">
          <cell r="V11" t="str">
            <v>E</v>
          </cell>
          <cell r="W11">
            <v>4</v>
          </cell>
          <cell r="X11">
            <v>1421</v>
          </cell>
        </row>
        <row r="12">
          <cell r="V12" t="str">
            <v>F</v>
          </cell>
          <cell r="W12">
            <v>3</v>
          </cell>
          <cell r="X12">
            <v>1200</v>
          </cell>
        </row>
        <row r="13">
          <cell r="V13" t="str">
            <v>G</v>
          </cell>
          <cell r="W13">
            <v>2</v>
          </cell>
          <cell r="X13">
            <v>969</v>
          </cell>
        </row>
        <row r="14">
          <cell r="V14" t="str">
            <v>H</v>
          </cell>
          <cell r="W14">
            <v>1</v>
          </cell>
          <cell r="X14">
            <v>721</v>
          </cell>
        </row>
        <row r="23">
          <cell r="E23">
            <v>78880</v>
          </cell>
        </row>
        <row r="28">
          <cell r="E28">
            <v>103207.25</v>
          </cell>
        </row>
      </sheetData>
      <sheetData sheetId="8"/>
      <sheetData sheetId="9">
        <row r="1">
          <cell r="E1" t="str">
            <v>county_name</v>
          </cell>
        </row>
      </sheetData>
      <sheetData sheetId="10">
        <row r="4">
          <cell r="K4">
            <v>36857.760000000002</v>
          </cell>
        </row>
        <row r="9">
          <cell r="K9">
            <v>20000</v>
          </cell>
        </row>
        <row r="11">
          <cell r="G11">
            <v>12550</v>
          </cell>
        </row>
        <row r="13">
          <cell r="C13">
            <v>117000</v>
          </cell>
        </row>
        <row r="14">
          <cell r="K14">
            <v>509661.272</v>
          </cell>
        </row>
        <row r="20">
          <cell r="G20">
            <v>39928</v>
          </cell>
        </row>
        <row r="22">
          <cell r="C22">
            <v>33500</v>
          </cell>
        </row>
        <row r="23">
          <cell r="G23">
            <v>87345.622000000003</v>
          </cell>
        </row>
        <row r="24">
          <cell r="G24">
            <v>0</v>
          </cell>
        </row>
        <row r="25">
          <cell r="G25">
            <v>89399.89</v>
          </cell>
        </row>
        <row r="26">
          <cell r="G26">
            <v>176745.51199999999</v>
          </cell>
        </row>
        <row r="34">
          <cell r="C34">
            <v>65080</v>
          </cell>
          <cell r="G34">
            <v>0.08</v>
          </cell>
        </row>
        <row r="39">
          <cell r="C39">
            <v>8000</v>
          </cell>
        </row>
      </sheetData>
      <sheetData sheetId="11" refreshError="1"/>
      <sheetData sheetId="12">
        <row r="56">
          <cell r="C56">
            <v>0</v>
          </cell>
        </row>
        <row r="79">
          <cell r="B79">
            <v>3.5807193739130438E-2</v>
          </cell>
          <cell r="C79">
            <v>11500000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4">
          <cell r="I4">
            <v>45898</v>
          </cell>
        </row>
        <row r="5">
          <cell r="I5">
            <v>45898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Summary Sources-Uses"/>
      <sheetName val="Development Budget"/>
      <sheetName val="Rent Schedule"/>
      <sheetName val="Operating Expense"/>
      <sheetName val="20yr Proforma"/>
      <sheetName val="Credit Delivery &amp; Pay-Ins"/>
      <sheetName val="Flow of Funds"/>
      <sheetName val="Developer Fee Schedule"/>
      <sheetName val="Income (2)"/>
      <sheetName val="Income"/>
      <sheetName val="Construction Sources-Uses"/>
    </sheetNames>
    <sheetDataSet>
      <sheetData sheetId="0" refreshError="1">
        <row r="1">
          <cell r="C1" t="str">
            <v>Columbia at Independence Heights</v>
          </cell>
          <cell r="E1" t="str">
            <v>Updated September 2023 - Structured Parking transaction</v>
          </cell>
        </row>
        <row r="2">
          <cell r="C2">
            <v>221</v>
          </cell>
        </row>
        <row r="15">
          <cell r="C15" t="str">
            <v>30% LIHTC</v>
          </cell>
          <cell r="D15" t="str">
            <v>50% LIHTC</v>
          </cell>
          <cell r="E15" t="str">
            <v>60% LIHTC</v>
          </cell>
          <cell r="F15" t="str">
            <v>30% PBV</v>
          </cell>
          <cell r="G15" t="str">
            <v>50% PBV</v>
          </cell>
          <cell r="H15" t="str">
            <v>80% LIHTC</v>
          </cell>
          <cell r="I15" t="str">
            <v>811</v>
          </cell>
          <cell r="J15" t="str">
            <v>Market</v>
          </cell>
          <cell r="K15" t="str">
            <v>    FMR</v>
          </cell>
          <cell r="L15" t="str">
            <v>UA</v>
          </cell>
        </row>
        <row r="16">
          <cell r="B16" t="str">
            <v>1 BR</v>
          </cell>
          <cell r="C16">
            <v>499</v>
          </cell>
          <cell r="D16">
            <v>831</v>
          </cell>
          <cell r="E16">
            <v>1049</v>
          </cell>
          <cell r="F16">
            <v>1204</v>
          </cell>
          <cell r="G16">
            <v>1204</v>
          </cell>
          <cell r="H16">
            <v>1398.666666666667</v>
          </cell>
          <cell r="I16"/>
          <cell r="J16">
            <v>1250</v>
          </cell>
          <cell r="K16">
            <v>1014</v>
          </cell>
          <cell r="L16">
            <v>130</v>
          </cell>
          <cell r="N16">
            <v>665</v>
          </cell>
          <cell r="O16">
            <v>0.47</v>
          </cell>
        </row>
        <row r="17">
          <cell r="B17" t="str">
            <v>2 BR</v>
          </cell>
          <cell r="C17">
            <v>599</v>
          </cell>
          <cell r="D17">
            <v>997</v>
          </cell>
          <cell r="E17">
            <v>1258</v>
          </cell>
          <cell r="F17">
            <v>1437</v>
          </cell>
          <cell r="G17">
            <v>1437</v>
          </cell>
          <cell r="H17">
            <v>1677.3333333333337</v>
          </cell>
          <cell r="I17"/>
          <cell r="J17">
            <v>1600</v>
          </cell>
          <cell r="K17">
            <v>1208</v>
          </cell>
          <cell r="L17">
            <v>173</v>
          </cell>
          <cell r="N17">
            <v>850</v>
          </cell>
          <cell r="O17">
            <v>0.41</v>
          </cell>
        </row>
        <row r="18">
          <cell r="B18" t="str">
            <v>3 BR</v>
          </cell>
          <cell r="C18">
            <v>691</v>
          </cell>
          <cell r="D18">
            <v>1151</v>
          </cell>
          <cell r="E18">
            <v>1454</v>
          </cell>
          <cell r="F18">
            <v>1894</v>
          </cell>
          <cell r="G18">
            <v>1894</v>
          </cell>
          <cell r="H18">
            <v>1938.666666666667</v>
          </cell>
          <cell r="I18"/>
          <cell r="J18">
            <v>1875</v>
          </cell>
          <cell r="K18">
            <v>1603</v>
          </cell>
          <cell r="L18">
            <v>214</v>
          </cell>
          <cell r="N18">
            <v>1200</v>
          </cell>
          <cell r="O18">
            <v>0.12</v>
          </cell>
        </row>
        <row r="19">
          <cell r="B19" t="str">
            <v>4 BR</v>
          </cell>
          <cell r="C19"/>
          <cell r="D19"/>
          <cell r="E19"/>
          <cell r="F19"/>
          <cell r="G19"/>
          <cell r="H19"/>
          <cell r="I19"/>
          <cell r="J19"/>
          <cell r="K19"/>
          <cell r="L19"/>
          <cell r="N19"/>
          <cell r="O19">
            <v>0</v>
          </cell>
        </row>
        <row r="20">
          <cell r="B20" t="str">
            <v>UA's</v>
          </cell>
          <cell r="C20" t="str">
            <v>Y</v>
          </cell>
          <cell r="D20" t="str">
            <v>Y</v>
          </cell>
          <cell r="E20" t="str">
            <v>Y</v>
          </cell>
          <cell r="F20" t="str">
            <v>Y</v>
          </cell>
          <cell r="G20" t="str">
            <v>Y</v>
          </cell>
          <cell r="H20" t="str">
            <v>y</v>
          </cell>
          <cell r="I20" t="str">
            <v>Y</v>
          </cell>
          <cell r="J20" t="str">
            <v>N</v>
          </cell>
          <cell r="K20"/>
          <cell r="L20"/>
        </row>
        <row r="23">
          <cell r="B23" t="str">
            <v>30% PBV</v>
          </cell>
          <cell r="C23">
            <v>0.3</v>
          </cell>
        </row>
        <row r="24">
          <cell r="B24" t="str">
            <v>50% PBV</v>
          </cell>
          <cell r="C24">
            <v>0.5</v>
          </cell>
        </row>
        <row r="25">
          <cell r="B25" t="str">
            <v>60% LIHTC</v>
          </cell>
          <cell r="C25">
            <v>0.6</v>
          </cell>
        </row>
        <row r="26">
          <cell r="B26" t="str">
            <v>80% LIHTC</v>
          </cell>
          <cell r="C26">
            <v>0.8</v>
          </cell>
        </row>
        <row r="27">
          <cell r="B27"/>
          <cell r="C27"/>
        </row>
        <row r="28">
          <cell r="B28" t="str">
            <v/>
          </cell>
          <cell r="C28"/>
        </row>
        <row r="29">
          <cell r="B29" t="str">
            <v/>
          </cell>
          <cell r="C29"/>
        </row>
        <row r="30">
          <cell r="B30" t="str">
            <v/>
          </cell>
          <cell r="C30"/>
        </row>
        <row r="31">
          <cell r="B31" t="str">
            <v/>
          </cell>
          <cell r="C31"/>
        </row>
        <row r="32">
          <cell r="B32" t="str">
            <v>Market</v>
          </cell>
          <cell r="C32" t="str">
            <v>None</v>
          </cell>
          <cell r="D32">
            <v>0</v>
          </cell>
        </row>
        <row r="35">
          <cell r="C35">
            <v>0.02</v>
          </cell>
        </row>
        <row r="37">
          <cell r="C37">
            <v>300</v>
          </cell>
        </row>
        <row r="42">
          <cell r="B42" t="str">
            <v>Start</v>
          </cell>
        </row>
        <row r="43">
          <cell r="B43" t="str">
            <v>Application</v>
          </cell>
        </row>
        <row r="44">
          <cell r="A44">
            <v>1</v>
          </cell>
          <cell r="B44" t="str">
            <v>Closing</v>
          </cell>
        </row>
        <row r="45">
          <cell r="A45">
            <v>18.575342465753426</v>
          </cell>
          <cell r="B45" t="str">
            <v>Completion</v>
          </cell>
        </row>
        <row r="46">
          <cell r="A46">
            <v>33.575342465753423</v>
          </cell>
          <cell r="B46" t="str">
            <v>Stabilization</v>
          </cell>
          <cell r="J46">
            <v>15</v>
          </cell>
        </row>
        <row r="47">
          <cell r="A47">
            <v>36.575342465753423</v>
          </cell>
          <cell r="B47" t="str">
            <v>8609's</v>
          </cell>
        </row>
        <row r="52">
          <cell r="C52">
            <v>0.05</v>
          </cell>
        </row>
      </sheetData>
      <sheetData sheetId="1" refreshError="1">
        <row r="2">
          <cell r="L2" t="str">
            <v xml:space="preserve"> Structured Parking Transaction</v>
          </cell>
        </row>
        <row r="39">
          <cell r="R39">
            <v>212</v>
          </cell>
        </row>
      </sheetData>
      <sheetData sheetId="2" refreshError="1"/>
      <sheetData sheetId="3" refreshError="1">
        <row r="26">
          <cell r="E26">
            <v>839.9321266968326</v>
          </cell>
          <cell r="K26">
            <v>3410895.6</v>
          </cell>
        </row>
        <row r="34">
          <cell r="K34">
            <v>31824</v>
          </cell>
        </row>
        <row r="40">
          <cell r="X40">
            <v>0.95927601809954754</v>
          </cell>
        </row>
        <row r="42">
          <cell r="K42">
            <v>3215679.2280000001</v>
          </cell>
        </row>
      </sheetData>
      <sheetData sheetId="4" refreshError="1">
        <row r="20">
          <cell r="E20">
            <v>1800000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5">
          <cell r="R15">
            <v>1349379.2280000001</v>
          </cell>
        </row>
      </sheetData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al Summary"/>
      <sheetName val="Sources and Uses"/>
      <sheetName val="Development Budget"/>
      <sheetName val="Credit Calculation"/>
      <sheetName val="Operating Exp."/>
      <sheetName val="Construction Interest"/>
      <sheetName val="Utility Allowances"/>
      <sheetName val="Rent Schedule"/>
      <sheetName val="Flow of Funds"/>
      <sheetName val="Lease Up"/>
      <sheetName val="Proj Credit Delivery"/>
      <sheetName val="Pro Forma"/>
      <sheetName val="Cost Estimate 3-3-17"/>
      <sheetName val="Timeline"/>
      <sheetName val="Cash Flows (FmHA Post-Subsidy)"/>
      <sheetName val="Mortgage 1"/>
      <sheetName val="Mortgage 2"/>
      <sheetName val="Mortgage 3"/>
      <sheetName val="Mortgage 4"/>
      <sheetName val="Mortgage 5"/>
      <sheetName val="Rep Res"/>
      <sheetName val="Const Loan Int"/>
      <sheetName val="Depreciation "/>
      <sheetName val="Structured Finance Tax to Book"/>
      <sheetName val="Cap Accounts"/>
      <sheetName val="MinGain"/>
      <sheetName val="IncomeLoss"/>
      <sheetName val="Residual Analysis"/>
      <sheetName val="Freddie Mac Info"/>
      <sheetName val="UT Info"/>
      <sheetName val="Timing Adjuster Calculation"/>
      <sheetName val="Columbia Portfolio - Op. Exp."/>
      <sheetName val="Module1"/>
    </sheetNames>
    <sheetDataSet>
      <sheetData sheetId="0">
        <row r="9">
          <cell r="C9" t="str">
            <v>Columbia Fayetteville LP</v>
          </cell>
        </row>
      </sheetData>
      <sheetData sheetId="1"/>
      <sheetData sheetId="2"/>
      <sheetData sheetId="3">
        <row r="45">
          <cell r="H45">
            <v>13298755.5</v>
          </cell>
        </row>
      </sheetData>
      <sheetData sheetId="4"/>
      <sheetData sheetId="5">
        <row r="54">
          <cell r="G54">
            <v>515920.43597310106</v>
          </cell>
        </row>
      </sheetData>
      <sheetData sheetId="6"/>
      <sheetData sheetId="7">
        <row r="29">
          <cell r="O29">
            <v>1073400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Summary Sources-Uses"/>
      <sheetName val="Development Budget"/>
      <sheetName val="Rent Schedule"/>
      <sheetName val="Operating Expense"/>
      <sheetName val="20yr Proforma"/>
      <sheetName val="Credit Delivery &amp; Pay-Ins"/>
      <sheetName val="Flow of Funds"/>
      <sheetName val="Developer Fee Schedule"/>
      <sheetName val="Construction Sources-Uses"/>
    </sheetNames>
    <sheetDataSet>
      <sheetData sheetId="0">
        <row r="1">
          <cell r="C1" t="str">
            <v>Columbia at Independence Heights</v>
          </cell>
          <cell r="E1" t="str">
            <v>Updated September 2023 - Structured Parking transaction</v>
          </cell>
        </row>
        <row r="2">
          <cell r="C2">
            <v>221</v>
          </cell>
        </row>
        <row r="15">
          <cell r="C15" t="str">
            <v>30% LIHTC</v>
          </cell>
          <cell r="D15" t="str">
            <v>50% LIHTC</v>
          </cell>
          <cell r="E15" t="str">
            <v>60% LIHTC</v>
          </cell>
          <cell r="F15" t="str">
            <v>30% PBV</v>
          </cell>
          <cell r="G15" t="str">
            <v>50% PBV</v>
          </cell>
          <cell r="H15" t="str">
            <v>80% LIHTC</v>
          </cell>
          <cell r="I15" t="str">
            <v>811</v>
          </cell>
          <cell r="J15" t="str">
            <v>Market</v>
          </cell>
          <cell r="K15" t="str">
            <v>    FMR</v>
          </cell>
          <cell r="L15" t="str">
            <v>UA</v>
          </cell>
        </row>
        <row r="16">
          <cell r="B16" t="str">
            <v>1 BR</v>
          </cell>
          <cell r="C16">
            <v>499</v>
          </cell>
          <cell r="D16">
            <v>831</v>
          </cell>
          <cell r="E16">
            <v>1049</v>
          </cell>
          <cell r="F16">
            <v>1204</v>
          </cell>
          <cell r="G16">
            <v>1204</v>
          </cell>
          <cell r="H16">
            <v>1398.666666666667</v>
          </cell>
          <cell r="J16">
            <v>1250</v>
          </cell>
          <cell r="K16">
            <v>1014</v>
          </cell>
          <cell r="L16">
            <v>130</v>
          </cell>
          <cell r="N16">
            <v>665</v>
          </cell>
          <cell r="O16">
            <v>0.47</v>
          </cell>
        </row>
        <row r="17">
          <cell r="B17" t="str">
            <v>2 BR</v>
          </cell>
          <cell r="C17">
            <v>599</v>
          </cell>
          <cell r="D17">
            <v>997</v>
          </cell>
          <cell r="E17">
            <v>1258</v>
          </cell>
          <cell r="F17">
            <v>1437</v>
          </cell>
          <cell r="G17">
            <v>1437</v>
          </cell>
          <cell r="H17">
            <v>1677.3333333333337</v>
          </cell>
          <cell r="J17">
            <v>1600</v>
          </cell>
          <cell r="K17">
            <v>1208</v>
          </cell>
          <cell r="L17">
            <v>173</v>
          </cell>
          <cell r="N17">
            <v>850</v>
          </cell>
          <cell r="O17">
            <v>0.41</v>
          </cell>
        </row>
        <row r="18">
          <cell r="B18" t="str">
            <v>3 BR</v>
          </cell>
          <cell r="C18">
            <v>691</v>
          </cell>
          <cell r="D18">
            <v>1151</v>
          </cell>
          <cell r="E18">
            <v>1454</v>
          </cell>
          <cell r="F18">
            <v>1894</v>
          </cell>
          <cell r="G18">
            <v>1894</v>
          </cell>
          <cell r="H18">
            <v>1938.666666666667</v>
          </cell>
          <cell r="J18">
            <v>1875</v>
          </cell>
          <cell r="K18">
            <v>1603</v>
          </cell>
          <cell r="L18">
            <v>214</v>
          </cell>
          <cell r="N18">
            <v>1200</v>
          </cell>
          <cell r="O18">
            <v>0.12</v>
          </cell>
        </row>
        <row r="19">
          <cell r="B19" t="str">
            <v>4 BR</v>
          </cell>
          <cell r="O19">
            <v>0</v>
          </cell>
        </row>
        <row r="20">
          <cell r="B20" t="str">
            <v>UA's</v>
          </cell>
          <cell r="C20" t="str">
            <v>Y</v>
          </cell>
          <cell r="D20" t="str">
            <v>Y</v>
          </cell>
          <cell r="E20" t="str">
            <v>Y</v>
          </cell>
          <cell r="F20" t="str">
            <v>Y</v>
          </cell>
          <cell r="G20" t="str">
            <v>Y</v>
          </cell>
          <cell r="H20" t="str">
            <v>y</v>
          </cell>
          <cell r="I20" t="str">
            <v>Y</v>
          </cell>
          <cell r="J20" t="str">
            <v>N</v>
          </cell>
        </row>
        <row r="23">
          <cell r="B23" t="str">
            <v>30% PBV</v>
          </cell>
          <cell r="C23">
            <v>0.3</v>
          </cell>
        </row>
        <row r="24">
          <cell r="B24" t="str">
            <v>50% PBV</v>
          </cell>
          <cell r="C24">
            <v>0.5</v>
          </cell>
        </row>
        <row r="25">
          <cell r="B25" t="str">
            <v>60% LIHTC</v>
          </cell>
          <cell r="C25">
            <v>0.6</v>
          </cell>
        </row>
        <row r="26">
          <cell r="B26" t="str">
            <v>80% LIHTC</v>
          </cell>
          <cell r="C26">
            <v>0.8</v>
          </cell>
        </row>
        <row r="28">
          <cell r="B28" t="str">
            <v/>
          </cell>
        </row>
        <row r="29">
          <cell r="B29" t="str">
            <v/>
          </cell>
        </row>
        <row r="30">
          <cell r="B30" t="str">
            <v/>
          </cell>
        </row>
        <row r="31">
          <cell r="B31" t="str">
            <v/>
          </cell>
        </row>
        <row r="32">
          <cell r="B32" t="str">
            <v>Market</v>
          </cell>
          <cell r="C32" t="str">
            <v>None</v>
          </cell>
          <cell r="D32">
            <v>0</v>
          </cell>
        </row>
        <row r="35">
          <cell r="C35">
            <v>0.02</v>
          </cell>
        </row>
        <row r="37">
          <cell r="C37">
            <v>300</v>
          </cell>
        </row>
        <row r="42">
          <cell r="B42" t="str">
            <v>Start</v>
          </cell>
        </row>
        <row r="43">
          <cell r="B43" t="str">
            <v>Application</v>
          </cell>
        </row>
        <row r="44">
          <cell r="A44">
            <v>1</v>
          </cell>
          <cell r="B44" t="str">
            <v>Closing</v>
          </cell>
        </row>
        <row r="45">
          <cell r="A45">
            <v>18.575342465753426</v>
          </cell>
          <cell r="B45" t="str">
            <v>Completion</v>
          </cell>
        </row>
        <row r="46">
          <cell r="A46">
            <v>33.575342465753423</v>
          </cell>
          <cell r="B46" t="str">
            <v>Stabilization</v>
          </cell>
          <cell r="J46">
            <v>15</v>
          </cell>
        </row>
        <row r="47">
          <cell r="A47">
            <v>36.575342465753423</v>
          </cell>
          <cell r="B47" t="str">
            <v>8609's</v>
          </cell>
        </row>
        <row r="52">
          <cell r="C52">
            <v>0.05</v>
          </cell>
        </row>
      </sheetData>
      <sheetData sheetId="1">
        <row r="39">
          <cell r="R39">
            <v>212</v>
          </cell>
        </row>
      </sheetData>
      <sheetData sheetId="2"/>
      <sheetData sheetId="3"/>
      <sheetData sheetId="4">
        <row r="19">
          <cell r="E19">
            <v>1839000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Kalb RAD and OtherRents"/>
      <sheetName val="Inputs"/>
      <sheetName val="Summary Sources-Uses"/>
      <sheetName val="Family Unit Mix-Income"/>
      <sheetName val="Operating Expense"/>
      <sheetName val="Development Budget"/>
      <sheetName val="Cash Flow"/>
      <sheetName val="15yr Proforma"/>
      <sheetName val="Credit Delivery &amp; Pay-Ins"/>
      <sheetName val="Valuation Matrix"/>
    </sheetNames>
    <sheetDataSet>
      <sheetData sheetId="0" refreshError="1"/>
      <sheetData sheetId="1" refreshError="1"/>
      <sheetData sheetId="2">
        <row r="8">
          <cell r="D8" t="str">
            <v>1st Mortgage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_Sources-Uses"/>
      <sheetName val="Development_Budget_(detail)"/>
      <sheetName val="Cost of Issuance"/>
      <sheetName val="Construction Sources &amp; Uses"/>
      <sheetName val="Flow of Funds"/>
      <sheetName val="Credit Delivery &amp; Pay-Ins"/>
      <sheetName val="Rent_Schedule"/>
      <sheetName val="Operating_Expense"/>
      <sheetName val="20yr_Proforma"/>
      <sheetName val="Developer Fee Schedule"/>
    </sheetNames>
    <sheetDataSet>
      <sheetData sheetId="0">
        <row r="1">
          <cell r="L1">
            <v>44403</v>
          </cell>
        </row>
        <row r="2">
          <cell r="A2" t="str">
            <v>2100 Memorial Redevelopment - Houston</v>
          </cell>
          <cell r="L2" t="str">
            <v>Financial Proforma Model 5.5</v>
          </cell>
        </row>
      </sheetData>
      <sheetData sheetId="1">
        <row r="9">
          <cell r="G9">
            <v>4656689.82</v>
          </cell>
        </row>
        <row r="10">
          <cell r="G10">
            <v>3016378</v>
          </cell>
        </row>
        <row r="11">
          <cell r="G11">
            <v>326932.18</v>
          </cell>
        </row>
        <row r="14">
          <cell r="G14">
            <v>29663009</v>
          </cell>
        </row>
        <row r="15">
          <cell r="G15">
            <v>1833281</v>
          </cell>
        </row>
        <row r="16">
          <cell r="G16">
            <v>1875171</v>
          </cell>
        </row>
        <row r="17">
          <cell r="G17">
            <v>1875171</v>
          </cell>
        </row>
        <row r="18">
          <cell r="G18">
            <v>662560</v>
          </cell>
        </row>
        <row r="19">
          <cell r="G19">
            <v>400000</v>
          </cell>
        </row>
        <row r="20">
          <cell r="G20">
            <v>255000</v>
          </cell>
        </row>
        <row r="21">
          <cell r="G21">
            <v>1795459.6</v>
          </cell>
        </row>
        <row r="24">
          <cell r="C24" t="str">
            <v>Property Appraisal</v>
          </cell>
          <cell r="G24">
            <v>20000</v>
          </cell>
        </row>
        <row r="25">
          <cell r="C25" t="str">
            <v>Market Study</v>
          </cell>
          <cell r="G25">
            <v>20000</v>
          </cell>
        </row>
        <row r="26">
          <cell r="C26" t="str">
            <v>Environmental Report(s)</v>
          </cell>
          <cell r="G26">
            <v>25000</v>
          </cell>
        </row>
        <row r="27">
          <cell r="C27" t="str">
            <v>Soil Borings</v>
          </cell>
          <cell r="G27">
            <v>80000</v>
          </cell>
        </row>
        <row r="28">
          <cell r="C28" t="str">
            <v>Boundary and Topographical Survey</v>
          </cell>
          <cell r="G28">
            <v>16000</v>
          </cell>
        </row>
        <row r="29">
          <cell r="C29" t="str">
            <v>Zoning/Site Plan Fees</v>
          </cell>
          <cell r="G29">
            <v>0</v>
          </cell>
        </row>
        <row r="32">
          <cell r="C32" t="str">
            <v>Bond Issuer Closing Fee</v>
          </cell>
          <cell r="G32">
            <v>320000</v>
          </cell>
        </row>
        <row r="33">
          <cell r="C33" t="str">
            <v>Construction Loan fee</v>
          </cell>
          <cell r="G33">
            <v>256000</v>
          </cell>
        </row>
        <row r="34">
          <cell r="C34" t="str">
            <v xml:space="preserve">Construction Loan Interest </v>
          </cell>
          <cell r="G34">
            <v>2925000</v>
          </cell>
        </row>
        <row r="35">
          <cell r="C35" t="str">
            <v>Construction Legal Fees (Lender)</v>
          </cell>
          <cell r="G35">
            <v>47500</v>
          </cell>
        </row>
        <row r="36">
          <cell r="C36" t="str">
            <v>Construction loan costs</v>
          </cell>
          <cell r="G36">
            <v>9855</v>
          </cell>
        </row>
        <row r="37">
          <cell r="C37" t="str">
            <v>Construction Insurance</v>
          </cell>
          <cell r="G37">
            <v>50000</v>
          </cell>
        </row>
        <row r="38">
          <cell r="C38" t="str">
            <v>Bond Issuer Legal</v>
          </cell>
          <cell r="G38">
            <v>175000</v>
          </cell>
        </row>
        <row r="44">
          <cell r="C44" t="str">
            <v>Architectural Fee-all services and reimbursables</v>
          </cell>
          <cell r="G44">
            <v>737600</v>
          </cell>
        </row>
        <row r="45">
          <cell r="C45" t="str">
            <v>Landscape Architect</v>
          </cell>
          <cell r="G45">
            <v>20000</v>
          </cell>
        </row>
        <row r="46">
          <cell r="C46" t="str">
            <v xml:space="preserve">Engineering </v>
          </cell>
          <cell r="G46">
            <v>275000</v>
          </cell>
        </row>
        <row r="47">
          <cell r="C47" t="str">
            <v>City of Houston Legal</v>
          </cell>
          <cell r="G47">
            <v>40000</v>
          </cell>
        </row>
        <row r="48">
          <cell r="C48" t="str">
            <v>HHA Legal</v>
          </cell>
          <cell r="G48">
            <v>150000</v>
          </cell>
        </row>
        <row r="49">
          <cell r="C49" t="str">
            <v>Partnership Legal</v>
          </cell>
          <cell r="G49">
            <v>150000</v>
          </cell>
        </row>
        <row r="50">
          <cell r="C50" t="str">
            <v>Accounting</v>
          </cell>
          <cell r="G50">
            <v>200000</v>
          </cell>
        </row>
        <row r="51">
          <cell r="C51" t="str">
            <v>Green Building Certification/Registration</v>
          </cell>
          <cell r="G51">
            <v>50000</v>
          </cell>
        </row>
        <row r="52">
          <cell r="C52" t="str">
            <v>Construction Inspection Fees</v>
          </cell>
          <cell r="G52">
            <v>47600</v>
          </cell>
        </row>
        <row r="53">
          <cell r="C53" t="str">
            <v>Accessibility Consulting</v>
          </cell>
          <cell r="G53">
            <v>50000</v>
          </cell>
        </row>
        <row r="54">
          <cell r="C54" t="str">
            <v xml:space="preserve">Construction Materials Testing </v>
          </cell>
          <cell r="G54">
            <v>0</v>
          </cell>
        </row>
        <row r="57">
          <cell r="C57" t="str">
            <v>Building Permits</v>
          </cell>
          <cell r="G57">
            <v>57400</v>
          </cell>
        </row>
        <row r="58">
          <cell r="C58" t="str">
            <v xml:space="preserve">Impact Fees </v>
          </cell>
          <cell r="G58">
            <v>152000</v>
          </cell>
        </row>
        <row r="59">
          <cell r="C59" t="str">
            <v>Plan Review</v>
          </cell>
          <cell r="G59">
            <v>15250</v>
          </cell>
        </row>
        <row r="60">
          <cell r="C60" t="str">
            <v>Other Local fees</v>
          </cell>
          <cell r="G60">
            <v>50000</v>
          </cell>
        </row>
        <row r="63">
          <cell r="C63" t="str">
            <v>Permanent Loan Fees</v>
          </cell>
          <cell r="G63">
            <v>128700</v>
          </cell>
        </row>
        <row r="64">
          <cell r="C64" t="str">
            <v>Permanent Loan Legal Fees</v>
          </cell>
          <cell r="G64">
            <v>50000</v>
          </cell>
        </row>
        <row r="65">
          <cell r="C65" t="str">
            <v>Title and Recording Fees</v>
          </cell>
          <cell r="G65">
            <v>212056</v>
          </cell>
        </row>
        <row r="66">
          <cell r="C66" t="str">
            <v>As-Built Survey</v>
          </cell>
          <cell r="G66">
            <v>5000</v>
          </cell>
        </row>
        <row r="67">
          <cell r="C67" t="str">
            <v>Conversion Fee</v>
          </cell>
          <cell r="G67">
            <v>10000</v>
          </cell>
        </row>
        <row r="71">
          <cell r="C71" t="str">
            <v>TDHCA Application Fees</v>
          </cell>
          <cell r="G71">
            <v>5910</v>
          </cell>
        </row>
        <row r="72">
          <cell r="C72" t="str">
            <v>TDHCA Commitment Fee</v>
          </cell>
          <cell r="G72">
            <v>77750</v>
          </cell>
        </row>
        <row r="73">
          <cell r="C73" t="str">
            <v>Bond Development Determination Fee</v>
          </cell>
          <cell r="G73">
            <v>82974</v>
          </cell>
        </row>
        <row r="74">
          <cell r="C74" t="str">
            <v>LIHTC Allocation Processing Fee</v>
          </cell>
          <cell r="G74">
            <v>50000</v>
          </cell>
        </row>
        <row r="75">
          <cell r="C75" t="str">
            <v>LIHTC Complaince Monitoring Fee</v>
          </cell>
          <cell r="G75">
            <v>6360</v>
          </cell>
        </row>
        <row r="78">
          <cell r="C78" t="str">
            <v>Partnership Organization Fees</v>
          </cell>
          <cell r="G78"/>
        </row>
        <row r="79">
          <cell r="C79" t="str">
            <v>Tax Credit Legal Opinion</v>
          </cell>
          <cell r="G79"/>
        </row>
        <row r="80">
          <cell r="C80" t="str">
            <v>Syndicator Legal Fees</v>
          </cell>
          <cell r="G80">
            <v>0</v>
          </cell>
        </row>
        <row r="81">
          <cell r="C81" t="str">
            <v>Syndicator Due Diligence Fee</v>
          </cell>
          <cell r="G81">
            <v>55000</v>
          </cell>
        </row>
        <row r="84">
          <cell r="C84" t="str">
            <v>Marketing</v>
          </cell>
          <cell r="G84">
            <v>75000</v>
          </cell>
        </row>
        <row r="85">
          <cell r="C85" t="str">
            <v>Rent -Up Reserves (3mos exp)</v>
          </cell>
          <cell r="G85">
            <v>565804</v>
          </cell>
        </row>
        <row r="86">
          <cell r="C86" t="str">
            <v>Operating Deficit Reserve</v>
          </cell>
          <cell r="G86">
            <v>921000</v>
          </cell>
        </row>
        <row r="87">
          <cell r="C87" t="str">
            <v>Replacement Reserve</v>
          </cell>
          <cell r="G87">
            <v>59100</v>
          </cell>
        </row>
        <row r="88">
          <cell r="C88" t="str">
            <v>Furniture, Fixtures and Equipment</v>
          </cell>
          <cell r="G88">
            <v>500000</v>
          </cell>
        </row>
        <row r="91">
          <cell r="C91" t="str">
            <v>Relocation</v>
          </cell>
          <cell r="G91"/>
        </row>
        <row r="92">
          <cell r="C92" t="str">
            <v>Soft cost contingecy</v>
          </cell>
          <cell r="G92">
            <v>97146</v>
          </cell>
        </row>
        <row r="96">
          <cell r="G96">
            <v>62044739.93</v>
          </cell>
        </row>
        <row r="99">
          <cell r="G99">
            <v>6800000</v>
          </cell>
        </row>
      </sheetData>
      <sheetData sheetId="2"/>
      <sheetData sheetId="3">
        <row r="95">
          <cell r="B95">
            <v>1360000</v>
          </cell>
        </row>
      </sheetData>
      <sheetData sheetId="4">
        <row r="8">
          <cell r="H8">
            <v>8000000</v>
          </cell>
        </row>
        <row r="11">
          <cell r="J11">
            <v>2846768</v>
          </cell>
          <cell r="N11">
            <v>729723</v>
          </cell>
        </row>
        <row r="54"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>
            <v>12500</v>
          </cell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>
            <v>12500</v>
          </cell>
          <cell r="AI54"/>
          <cell r="AJ54"/>
          <cell r="AK54"/>
          <cell r="AL54"/>
          <cell r="AM54"/>
        </row>
        <row r="57">
          <cell r="J57">
            <v>539043.44999999995</v>
          </cell>
          <cell r="K57">
            <v>0</v>
          </cell>
          <cell r="L57"/>
          <cell r="M57"/>
          <cell r="N57"/>
          <cell r="O57"/>
          <cell r="P57">
            <v>66185.516666666677</v>
          </cell>
          <cell r="Q57"/>
          <cell r="R57">
            <v>0</v>
          </cell>
          <cell r="S57"/>
          <cell r="T57">
            <v>0</v>
          </cell>
          <cell r="U57">
            <v>66185.516666666677</v>
          </cell>
          <cell r="V57"/>
          <cell r="W57"/>
          <cell r="X57"/>
          <cell r="Y57"/>
          <cell r="Z57"/>
          <cell r="AA57"/>
          <cell r="AB57"/>
          <cell r="AC57"/>
          <cell r="AD57"/>
          <cell r="AE57"/>
          <cell r="AF57"/>
          <cell r="AG57"/>
          <cell r="AH57"/>
          <cell r="AI57">
            <v>66185.516666666677</v>
          </cell>
          <cell r="AJ57"/>
          <cell r="AK57"/>
          <cell r="AL57"/>
          <cell r="AM57"/>
        </row>
        <row r="58">
          <cell r="J58">
            <v>18100</v>
          </cell>
          <cell r="K58"/>
          <cell r="L58"/>
          <cell r="M58"/>
          <cell r="N58"/>
          <cell r="O58"/>
          <cell r="P58">
            <v>79.166666666666671</v>
          </cell>
          <cell r="Q58">
            <v>79.166666666666671</v>
          </cell>
          <cell r="R58">
            <v>79.166666666666671</v>
          </cell>
          <cell r="S58">
            <v>79.166666666666671</v>
          </cell>
          <cell r="T58">
            <v>79.166666666666671</v>
          </cell>
          <cell r="U58">
            <v>79.166666666666671</v>
          </cell>
          <cell r="V58">
            <v>79.166666666666671</v>
          </cell>
          <cell r="W58">
            <v>79.166666666666671</v>
          </cell>
          <cell r="X58">
            <v>79.166666666666671</v>
          </cell>
          <cell r="Y58">
            <v>79.166666666666671</v>
          </cell>
          <cell r="Z58">
            <v>79.166666666666671</v>
          </cell>
          <cell r="AA58">
            <v>79.166666666666671</v>
          </cell>
          <cell r="AB58">
            <v>79.166666666666671</v>
          </cell>
          <cell r="AC58">
            <v>79.166666666666671</v>
          </cell>
          <cell r="AD58">
            <v>79.166666666666671</v>
          </cell>
          <cell r="AE58">
            <v>79.166666666666671</v>
          </cell>
          <cell r="AF58">
            <v>79.166666666666671</v>
          </cell>
          <cell r="AG58">
            <v>79.166666666666671</v>
          </cell>
          <cell r="AH58">
            <v>79.166666666666671</v>
          </cell>
          <cell r="AI58">
            <v>79.166666666666671</v>
          </cell>
          <cell r="AJ58">
            <v>79.166666666666671</v>
          </cell>
          <cell r="AK58">
            <v>79.166666666666671</v>
          </cell>
          <cell r="AL58">
            <v>79.166666666666671</v>
          </cell>
          <cell r="AM58">
            <v>79.166666666666671</v>
          </cell>
        </row>
        <row r="63">
          <cell r="J63">
            <v>132500</v>
          </cell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>
            <v>10000</v>
          </cell>
        </row>
        <row r="84">
          <cell r="J84"/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</row>
        <row r="86"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</row>
        <row r="88">
          <cell r="J88">
            <v>0</v>
          </cell>
          <cell r="K88"/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</row>
        <row r="89">
          <cell r="J89">
            <v>55000</v>
          </cell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</row>
        <row r="95">
          <cell r="J95">
            <v>8000</v>
          </cell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>
            <v>45000</v>
          </cell>
          <cell r="W95"/>
          <cell r="X95">
            <v>80000</v>
          </cell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>
            <v>100000</v>
          </cell>
          <cell r="AJ95">
            <v>100000</v>
          </cell>
          <cell r="AK95"/>
          <cell r="AL95">
            <v>42000</v>
          </cell>
          <cell r="AM95">
            <v>125000</v>
          </cell>
        </row>
        <row r="99">
          <cell r="J99">
            <v>1360000</v>
          </cell>
          <cell r="AM99">
            <v>0</v>
          </cell>
        </row>
        <row r="100">
          <cell r="J100">
            <v>21473</v>
          </cell>
          <cell r="AM100">
            <v>1381472</v>
          </cell>
          <cell r="BB100">
            <v>2486650</v>
          </cell>
          <cell r="BE100">
            <v>276294</v>
          </cell>
        </row>
        <row r="102">
          <cell r="H102">
            <v>8000000</v>
          </cell>
          <cell r="I102">
            <v>0</v>
          </cell>
          <cell r="J102">
            <v>4249655.6199999992</v>
          </cell>
          <cell r="K102">
            <v>80000</v>
          </cell>
          <cell r="L102">
            <v>80000</v>
          </cell>
          <cell r="M102">
            <v>80000</v>
          </cell>
          <cell r="N102">
            <v>753506.6</v>
          </cell>
          <cell r="O102">
            <v>1775974.9840000004</v>
          </cell>
          <cell r="P102">
            <v>1675205.3948333338</v>
          </cell>
          <cell r="Q102">
            <v>1599979.8306666671</v>
          </cell>
          <cell r="R102">
            <v>1599979.8306666671</v>
          </cell>
          <cell r="S102">
            <v>1607479.8306666671</v>
          </cell>
          <cell r="T102">
            <v>1609979.8306666671</v>
          </cell>
          <cell r="U102">
            <v>2052651.9108333339</v>
          </cell>
          <cell r="V102">
            <v>2022026.3466666671</v>
          </cell>
          <cell r="W102">
            <v>1612479.8306666671</v>
          </cell>
          <cell r="X102">
            <v>1675265.230666667</v>
          </cell>
          <cell r="Y102">
            <v>1590265.230666667</v>
          </cell>
          <cell r="Z102">
            <v>1590265.230666667</v>
          </cell>
          <cell r="AA102">
            <v>1590265.230666667</v>
          </cell>
          <cell r="AB102">
            <v>1597765.230666667</v>
          </cell>
          <cell r="AC102">
            <v>1590265.230666667</v>
          </cell>
          <cell r="AD102">
            <v>1590265.230666667</v>
          </cell>
          <cell r="AE102">
            <v>1590265.230666667</v>
          </cell>
          <cell r="AF102">
            <v>1590265.230666667</v>
          </cell>
          <cell r="AG102">
            <v>1618555.4306666669</v>
          </cell>
          <cell r="AH102">
            <v>1631055.4306666669</v>
          </cell>
          <cell r="AI102">
            <v>1804180.9948333337</v>
          </cell>
          <cell r="AJ102">
            <v>2099193.9466666672</v>
          </cell>
          <cell r="AK102">
            <v>1623555.4306666669</v>
          </cell>
          <cell r="AL102">
            <v>2047601.946666667</v>
          </cell>
          <cell r="AM102">
            <v>1670545.2801416668</v>
          </cell>
        </row>
        <row r="109">
          <cell r="C109">
            <v>1274111</v>
          </cell>
        </row>
      </sheetData>
      <sheetData sheetId="5">
        <row r="15">
          <cell r="M15">
            <v>2846768</v>
          </cell>
        </row>
        <row r="44">
          <cell r="M44">
            <v>9738021</v>
          </cell>
        </row>
        <row r="59">
          <cell r="M59">
            <v>5711793</v>
          </cell>
        </row>
        <row r="62">
          <cell r="M62">
            <v>276294</v>
          </cell>
        </row>
      </sheetData>
      <sheetData sheetId="6">
        <row r="25">
          <cell r="E25">
            <v>197</v>
          </cell>
        </row>
      </sheetData>
      <sheetData sheetId="7"/>
      <sheetData sheetId="8"/>
      <sheetData sheetId="9">
        <row r="13">
          <cell r="F13">
            <v>0</v>
          </cell>
          <cell r="G13">
            <v>0</v>
          </cell>
          <cell r="H13"/>
        </row>
        <row r="14">
          <cell r="F14"/>
          <cell r="G14"/>
          <cell r="H14"/>
        </row>
        <row r="15">
          <cell r="F15">
            <v>0</v>
          </cell>
          <cell r="G15"/>
          <cell r="H15"/>
        </row>
        <row r="16">
          <cell r="F16"/>
          <cell r="G16"/>
          <cell r="H16"/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Cert of Incumbency"/>
      <sheetName val="REQ FOR ADVANCE"/>
      <sheetName val="DISB AFFIDAVIT"/>
      <sheetName val="BUDGET REALLOCATION"/>
      <sheetName val="DRAW SCHEDULE"/>
      <sheetName val="Invoice List"/>
      <sheetName val="Constr Progress Schedule"/>
      <sheetName val="AFF OF NTO &amp; LIEN"/>
      <sheetName val="NON VIOLATION AFF"/>
      <sheetName val="ARCH WRITTEN APPROVAL"/>
      <sheetName val="SCHEDULE OF SUBS &amp; SUPPLIERS"/>
      <sheetName val="AIA G702"/>
      <sheetName val="AIA G703"/>
      <sheetName val="AIA G701"/>
      <sheetName val="PART COND LW"/>
      <sheetName val="PART UNCOND LW"/>
      <sheetName val="FIN UNCOND L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E4">
            <v>20947907</v>
          </cell>
        </row>
        <row r="9">
          <cell r="E9">
            <v>1172173</v>
          </cell>
        </row>
        <row r="11">
          <cell r="E11">
            <v>1548407</v>
          </cell>
        </row>
        <row r="12">
          <cell r="E12">
            <v>442402</v>
          </cell>
        </row>
        <row r="13">
          <cell r="E13">
            <v>1216605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Y70"/>
  <sheetViews>
    <sheetView zoomScale="80" zoomScaleNormal="80" workbookViewId="0">
      <selection activeCell="C2" sqref="C2"/>
    </sheetView>
  </sheetViews>
  <sheetFormatPr baseColWidth="10" defaultColWidth="8.83203125" defaultRowHeight="15"/>
  <cols>
    <col min="2" max="2" width="21.5" customWidth="1"/>
    <col min="3" max="3" width="11.5" bestFit="1" customWidth="1"/>
    <col min="4" max="4" width="13.5" bestFit="1" customWidth="1"/>
    <col min="5" max="5" width="11.5" bestFit="1" customWidth="1"/>
    <col min="6" max="6" width="22.5" customWidth="1"/>
    <col min="7" max="7" width="18.5" customWidth="1"/>
    <col min="8" max="8" width="11.5" customWidth="1"/>
    <col min="9" max="9" width="9.5" bestFit="1" customWidth="1"/>
    <col min="11" max="11" width="11.5" bestFit="1" customWidth="1"/>
    <col min="12" max="14" width="13.5" bestFit="1" customWidth="1"/>
    <col min="15" max="15" width="20.5" bestFit="1" customWidth="1"/>
    <col min="19" max="19" width="10.5" bestFit="1" customWidth="1"/>
  </cols>
  <sheetData>
    <row r="1" spans="2:21">
      <c r="B1" t="s">
        <v>233</v>
      </c>
      <c r="C1" s="471" t="s">
        <v>826</v>
      </c>
      <c r="D1" t="s">
        <v>315</v>
      </c>
      <c r="E1" s="471" t="s">
        <v>550</v>
      </c>
      <c r="K1" s="302">
        <f>78/3.4</f>
        <v>22.941176470588236</v>
      </c>
      <c r="L1" t="s">
        <v>342</v>
      </c>
    </row>
    <row r="2" spans="2:21">
      <c r="B2" t="s">
        <v>267</v>
      </c>
      <c r="C2" s="855">
        <f>'Rent Schedule'!D26</f>
        <v>221</v>
      </c>
      <c r="D2" t="s">
        <v>316</v>
      </c>
      <c r="E2" s="527">
        <v>45320</v>
      </c>
      <c r="R2" s="302"/>
      <c r="S2" s="302"/>
    </row>
    <row r="3" spans="2:21">
      <c r="C3" s="4"/>
      <c r="K3" s="212">
        <f>250*925</f>
        <v>231250</v>
      </c>
      <c r="L3" t="s">
        <v>362</v>
      </c>
    </row>
    <row r="4" spans="2:21">
      <c r="B4" t="s">
        <v>310</v>
      </c>
      <c r="C4" s="328">
        <v>5.26</v>
      </c>
      <c r="I4" s="327"/>
      <c r="K4" s="212">
        <f>'Rent Schedule'!E26</f>
        <v>839.9321266968326</v>
      </c>
      <c r="L4" t="s">
        <v>363</v>
      </c>
    </row>
    <row r="5" spans="2:21">
      <c r="B5" t="s">
        <v>311</v>
      </c>
      <c r="C5" s="856">
        <f>TotalUnitCount/C4</f>
        <v>42.015209125475288</v>
      </c>
      <c r="I5" s="351"/>
      <c r="K5" s="433">
        <f>K3/K4</f>
        <v>275.3198653198653</v>
      </c>
    </row>
    <row r="6" spans="2:21">
      <c r="B6" t="s">
        <v>312</v>
      </c>
      <c r="C6" s="213">
        <f>D6*TotalUnitCount</f>
        <v>0</v>
      </c>
      <c r="D6" s="370"/>
      <c r="E6" t="s">
        <v>5</v>
      </c>
      <c r="I6" s="327"/>
    </row>
    <row r="7" spans="2:21">
      <c r="C7" s="297"/>
    </row>
    <row r="8" spans="2:21">
      <c r="B8" t="s">
        <v>317</v>
      </c>
      <c r="C8" s="297"/>
      <c r="D8" s="351">
        <v>0.04</v>
      </c>
      <c r="E8" t="s">
        <v>318</v>
      </c>
      <c r="F8" s="378">
        <v>3.2399999999999998E-2</v>
      </c>
    </row>
    <row r="9" spans="2:21">
      <c r="C9" s="297"/>
    </row>
    <row r="10" spans="2:21">
      <c r="B10" t="s">
        <v>307</v>
      </c>
      <c r="D10" s="377"/>
      <c r="F10" t="s">
        <v>309</v>
      </c>
    </row>
    <row r="11" spans="2:21">
      <c r="B11" t="s">
        <v>306</v>
      </c>
      <c r="D11" s="377"/>
      <c r="F11" t="s">
        <v>308</v>
      </c>
    </row>
    <row r="13" spans="2:21">
      <c r="B13" t="s">
        <v>202</v>
      </c>
      <c r="R13" s="302"/>
    </row>
    <row r="14" spans="2:21">
      <c r="C14" s="1673" t="s">
        <v>546</v>
      </c>
      <c r="D14" s="1674"/>
      <c r="E14" s="1675"/>
      <c r="F14" s="6">
        <v>0.03</v>
      </c>
      <c r="G14" t="s">
        <v>547</v>
      </c>
      <c r="J14" s="363"/>
      <c r="K14" s="436">
        <v>2023</v>
      </c>
      <c r="T14" s="50"/>
    </row>
    <row r="15" spans="2:21">
      <c r="B15" s="307"/>
      <c r="C15" s="337" t="s">
        <v>227</v>
      </c>
      <c r="D15" s="330" t="s">
        <v>228</v>
      </c>
      <c r="E15" s="338" t="s">
        <v>229</v>
      </c>
      <c r="F15" s="408" t="s">
        <v>320</v>
      </c>
      <c r="G15" s="409" t="s">
        <v>321</v>
      </c>
      <c r="H15" s="409" t="s">
        <v>358</v>
      </c>
      <c r="I15" s="410" t="s">
        <v>236</v>
      </c>
      <c r="J15" s="51" t="s">
        <v>235</v>
      </c>
      <c r="K15" s="331" t="s">
        <v>264</v>
      </c>
      <c r="L15" s="332" t="s">
        <v>22</v>
      </c>
      <c r="N15" t="s">
        <v>295</v>
      </c>
      <c r="O15" t="s">
        <v>296</v>
      </c>
      <c r="P15" t="s">
        <v>303</v>
      </c>
    </row>
    <row r="16" spans="2:21">
      <c r="B16" s="309" t="s">
        <v>12</v>
      </c>
      <c r="C16" s="334">
        <v>499</v>
      </c>
      <c r="D16" s="335">
        <v>831</v>
      </c>
      <c r="E16" s="502">
        <v>1049</v>
      </c>
      <c r="F16" s="440">
        <v>1204</v>
      </c>
      <c r="G16" s="440">
        <f>F16</f>
        <v>1204</v>
      </c>
      <c r="H16" s="329">
        <f>E16/0.6*0.8</f>
        <v>1398.666666666667</v>
      </c>
      <c r="I16" s="335"/>
      <c r="J16" s="400">
        <v>1250</v>
      </c>
      <c r="K16" s="434">
        <v>1014</v>
      </c>
      <c r="L16" s="339">
        <f>10+6+22+20+13+23+36</f>
        <v>130</v>
      </c>
      <c r="N16" s="383">
        <v>665</v>
      </c>
      <c r="O16" s="351">
        <v>0.47</v>
      </c>
      <c r="P16" s="297">
        <f>J16/N16</f>
        <v>1.8796992481203008</v>
      </c>
      <c r="S16" s="334">
        <v>443</v>
      </c>
      <c r="T16" s="335">
        <v>739</v>
      </c>
      <c r="U16" s="339">
        <v>887</v>
      </c>
    </row>
    <row r="17" spans="2:25">
      <c r="B17" s="309" t="s">
        <v>13</v>
      </c>
      <c r="C17" s="336">
        <v>599</v>
      </c>
      <c r="D17" s="329">
        <v>997</v>
      </c>
      <c r="E17" s="503">
        <v>1258</v>
      </c>
      <c r="F17" s="441">
        <v>1437</v>
      </c>
      <c r="G17" s="441">
        <f>F17</f>
        <v>1437</v>
      </c>
      <c r="H17" s="329">
        <f>E17/0.6*0.8</f>
        <v>1677.3333333333337</v>
      </c>
      <c r="I17" s="329"/>
      <c r="J17" s="401">
        <v>1600</v>
      </c>
      <c r="K17" s="435">
        <v>1208</v>
      </c>
      <c r="L17" s="340">
        <f>12+9+31+28+17+30+46</f>
        <v>173</v>
      </c>
      <c r="N17" s="383">
        <v>850</v>
      </c>
      <c r="O17" s="351">
        <v>0.41</v>
      </c>
      <c r="P17" s="297">
        <f>J17/N17</f>
        <v>1.8823529411764706</v>
      </c>
      <c r="S17" s="336">
        <v>532</v>
      </c>
      <c r="T17" s="329">
        <v>887</v>
      </c>
      <c r="U17" s="340">
        <v>1065</v>
      </c>
    </row>
    <row r="18" spans="2:25">
      <c r="B18" s="309" t="s">
        <v>14</v>
      </c>
      <c r="C18" s="336">
        <v>691</v>
      </c>
      <c r="D18" s="329">
        <v>1151</v>
      </c>
      <c r="E18" s="503">
        <v>1454</v>
      </c>
      <c r="F18" s="441">
        <v>1894</v>
      </c>
      <c r="G18" s="441">
        <f>F18</f>
        <v>1894</v>
      </c>
      <c r="H18" s="329">
        <f>E18/0.6*0.8</f>
        <v>1938.666666666667</v>
      </c>
      <c r="I18" s="329"/>
      <c r="J18" s="401">
        <v>1875</v>
      </c>
      <c r="K18" s="435">
        <v>1603</v>
      </c>
      <c r="L18" s="340">
        <f>13+11+40+36+21+37+56</f>
        <v>214</v>
      </c>
      <c r="N18" s="383">
        <v>1200</v>
      </c>
      <c r="O18" s="351">
        <v>0.12</v>
      </c>
      <c r="P18" s="297">
        <f>J18/N18</f>
        <v>1.5625</v>
      </c>
      <c r="S18" s="336">
        <v>615</v>
      </c>
      <c r="T18" s="329">
        <v>1025</v>
      </c>
      <c r="U18" s="340">
        <v>1230</v>
      </c>
      <c r="V18" s="212"/>
      <c r="Y18" s="212"/>
    </row>
    <row r="19" spans="2:25">
      <c r="B19" s="309" t="s">
        <v>15</v>
      </c>
      <c r="C19" s="336"/>
      <c r="D19" s="329"/>
      <c r="E19" s="340"/>
      <c r="F19" s="329"/>
      <c r="G19" s="329"/>
      <c r="H19" s="329"/>
      <c r="I19" s="328"/>
      <c r="J19" s="364"/>
      <c r="K19" s="329"/>
      <c r="L19" s="340"/>
      <c r="N19" s="9"/>
      <c r="O19" s="312">
        <f>1-SUM(O16:O18)</f>
        <v>0</v>
      </c>
      <c r="P19" s="9"/>
      <c r="V19" s="212"/>
      <c r="X19" s="212"/>
      <c r="Y19" s="212"/>
    </row>
    <row r="20" spans="2:25">
      <c r="B20" s="310" t="s">
        <v>286</v>
      </c>
      <c r="C20" s="341" t="s">
        <v>275</v>
      </c>
      <c r="D20" s="342" t="s">
        <v>275</v>
      </c>
      <c r="E20" s="343" t="s">
        <v>275</v>
      </c>
      <c r="F20" s="371" t="s">
        <v>275</v>
      </c>
      <c r="G20" s="333" t="s">
        <v>275</v>
      </c>
      <c r="H20" s="333" t="s">
        <v>359</v>
      </c>
      <c r="I20" s="333" t="s">
        <v>275</v>
      </c>
      <c r="J20" s="365" t="s">
        <v>276</v>
      </c>
      <c r="K20" s="47"/>
      <c r="L20" s="344"/>
      <c r="N20" s="212">
        <f>SUMPRODUCT(SF,unitmix)</f>
        <v>805.05</v>
      </c>
      <c r="P20" s="297">
        <f>SUMPRODUCT(P16:P19,unitmix)</f>
        <v>1.8427233524988942</v>
      </c>
      <c r="V20" s="212"/>
      <c r="X20" s="212"/>
    </row>
    <row r="21" spans="2:25">
      <c r="L21" t="s">
        <v>361</v>
      </c>
    </row>
    <row r="22" spans="2:25">
      <c r="B22" t="s">
        <v>273</v>
      </c>
      <c r="C22" t="s">
        <v>287</v>
      </c>
      <c r="D22" t="s">
        <v>288</v>
      </c>
      <c r="F22" t="s">
        <v>322</v>
      </c>
      <c r="G22" t="s">
        <v>323</v>
      </c>
    </row>
    <row r="23" spans="2:25">
      <c r="B23" s="373" t="s">
        <v>320</v>
      </c>
      <c r="C23" s="346">
        <v>0.3</v>
      </c>
      <c r="D23" s="273">
        <v>0.1</v>
      </c>
      <c r="E23" s="438">
        <v>0</v>
      </c>
      <c r="F23" t="s">
        <v>248</v>
      </c>
      <c r="G23" s="150" t="s">
        <v>324</v>
      </c>
      <c r="H23" s="80">
        <f>IFERROR(INDEX($D$23:$D$31,MATCH(G23,$B$23:$B$31,0)),0)</f>
        <v>0</v>
      </c>
    </row>
    <row r="24" spans="2:25">
      <c r="B24" s="347" t="s">
        <v>321</v>
      </c>
      <c r="C24" s="348">
        <v>0.5</v>
      </c>
      <c r="D24" s="273">
        <v>0.1</v>
      </c>
      <c r="E24" s="439">
        <v>0</v>
      </c>
      <c r="F24" t="s">
        <v>248</v>
      </c>
      <c r="G24" s="382" t="s">
        <v>324</v>
      </c>
      <c r="H24" s="80">
        <f>IFERROR(INDEX($D$23:$D$31,MATCH(G24,$B$23:$B$31,0)),0)</f>
        <v>0</v>
      </c>
      <c r="L24" s="381" t="s">
        <v>325</v>
      </c>
      <c r="M24" s="381"/>
    </row>
    <row r="25" spans="2:25">
      <c r="B25" s="347" t="s">
        <v>229</v>
      </c>
      <c r="C25" s="348">
        <v>0.6</v>
      </c>
      <c r="D25" s="273">
        <f>1-D23-D24-D26-D32</f>
        <v>0.8</v>
      </c>
      <c r="E25" s="439">
        <v>0</v>
      </c>
      <c r="F25" t="s">
        <v>237</v>
      </c>
      <c r="G25" s="382" t="s">
        <v>324</v>
      </c>
      <c r="H25" s="80">
        <f>INDEX($D$23:$D$31,MATCH(G25,$B$23:$B$31,0))</f>
        <v>0</v>
      </c>
      <c r="L25" s="5">
        <v>1</v>
      </c>
      <c r="M25" s="380">
        <v>1</v>
      </c>
      <c r="O25" s="273"/>
      <c r="T25">
        <f>995/625</f>
        <v>1.5920000000000001</v>
      </c>
    </row>
    <row r="26" spans="2:25">
      <c r="B26" s="347" t="s">
        <v>358</v>
      </c>
      <c r="C26" s="348">
        <v>0.8</v>
      </c>
      <c r="D26" s="273">
        <v>0</v>
      </c>
      <c r="E26" s="439"/>
      <c r="F26" t="s">
        <v>248</v>
      </c>
      <c r="G26" s="382" t="s">
        <v>324</v>
      </c>
      <c r="H26" s="80">
        <f t="shared" ref="H26:H31" si="0">IFERROR(INDEX($D$23:$D$31,MATCH(G26,$B$23:$B$31,0)),0)</f>
        <v>0</v>
      </c>
      <c r="L26" s="5">
        <f>L25+1</f>
        <v>2</v>
      </c>
      <c r="M26" s="380">
        <v>1</v>
      </c>
      <c r="U26" s="50"/>
      <c r="V26" s="50"/>
      <c r="W26" s="50"/>
    </row>
    <row r="27" spans="2:25">
      <c r="B27" s="347"/>
      <c r="C27" s="348"/>
      <c r="D27" s="273">
        <f>IF(F27="of LIHTC",ofLIHTC,IF(F27="of total",ofTotal,Plug))-H27</f>
        <v>0</v>
      </c>
      <c r="E27" s="439">
        <v>0</v>
      </c>
      <c r="F27" t="s">
        <v>248</v>
      </c>
      <c r="G27" s="50"/>
      <c r="H27" s="80">
        <f t="shared" si="0"/>
        <v>0</v>
      </c>
      <c r="L27" s="5">
        <f t="shared" ref="L27:L43" si="1">L26+1</f>
        <v>3</v>
      </c>
      <c r="M27" s="380">
        <v>1</v>
      </c>
      <c r="N27" s="1"/>
    </row>
    <row r="28" spans="2:25">
      <c r="B28" s="349" t="s">
        <v>324</v>
      </c>
      <c r="C28" s="348"/>
      <c r="D28" s="273">
        <f>IF(F28="of LIHTC",ofLIHTC,IF(F28="of total",ofTotal,Plug))-H28</f>
        <v>0</v>
      </c>
      <c r="E28" s="439">
        <v>0</v>
      </c>
      <c r="F28" t="s">
        <v>248</v>
      </c>
      <c r="G28" s="50">
        <f>B27</f>
        <v>0</v>
      </c>
      <c r="H28" s="80">
        <f t="shared" si="0"/>
        <v>0</v>
      </c>
      <c r="L28" s="5">
        <f t="shared" si="1"/>
        <v>4</v>
      </c>
      <c r="M28" s="380">
        <v>1</v>
      </c>
      <c r="N28" s="1"/>
    </row>
    <row r="29" spans="2:25">
      <c r="B29" s="349" t="s">
        <v>324</v>
      </c>
      <c r="C29" s="348"/>
      <c r="D29" s="273">
        <f>IF(F29="of LIHTC",ofLIHTC,IF(F29="of total",ofTotal,Plug))-H29</f>
        <v>0</v>
      </c>
      <c r="E29" s="439">
        <v>0</v>
      </c>
      <c r="F29" t="s">
        <v>248</v>
      </c>
      <c r="G29" s="50" t="str">
        <f>B28</f>
        <v/>
      </c>
      <c r="H29" s="80">
        <f t="shared" si="0"/>
        <v>0</v>
      </c>
      <c r="L29" s="5">
        <f t="shared" si="1"/>
        <v>5</v>
      </c>
      <c r="M29" s="380">
        <v>1</v>
      </c>
      <c r="N29" s="1"/>
      <c r="W29" s="212"/>
      <c r="X29" s="212"/>
    </row>
    <row r="30" spans="2:25">
      <c r="B30" s="379" t="s">
        <v>324</v>
      </c>
      <c r="C30" s="350"/>
      <c r="D30" s="273">
        <f>IF(F30="of LIHTC",ofLIHTC,IF(F30="of total",ofTotal,Plug))-H30</f>
        <v>0</v>
      </c>
      <c r="E30" s="439">
        <v>0</v>
      </c>
      <c r="F30" t="s">
        <v>248</v>
      </c>
      <c r="G30" s="50" t="str">
        <f>B29</f>
        <v/>
      </c>
      <c r="H30" s="80">
        <f t="shared" si="0"/>
        <v>0</v>
      </c>
      <c r="L30" s="5">
        <f t="shared" si="1"/>
        <v>6</v>
      </c>
      <c r="M30" s="380">
        <v>1</v>
      </c>
      <c r="N30" s="1"/>
      <c r="W30" s="212"/>
      <c r="X30" s="212"/>
    </row>
    <row r="31" spans="2:25">
      <c r="B31" s="379" t="s">
        <v>324</v>
      </c>
      <c r="C31" s="350"/>
      <c r="D31" s="273">
        <f>IF(F31="of LIHTC",ofLIHTC,IF(F31="of total",ofTotal,Plug))-H31</f>
        <v>0</v>
      </c>
      <c r="E31" s="439">
        <v>0</v>
      </c>
      <c r="F31" t="s">
        <v>248</v>
      </c>
      <c r="G31" s="50" t="str">
        <f>B30</f>
        <v/>
      </c>
      <c r="H31" s="80">
        <f t="shared" si="0"/>
        <v>0</v>
      </c>
      <c r="L31" s="5">
        <f t="shared" si="1"/>
        <v>7</v>
      </c>
      <c r="M31" s="380">
        <v>1</v>
      </c>
      <c r="N31" s="1"/>
      <c r="V31" s="212"/>
      <c r="W31" s="212"/>
      <c r="X31" s="212"/>
    </row>
    <row r="32" spans="2:25">
      <c r="B32" s="345" t="s">
        <v>235</v>
      </c>
      <c r="C32" s="311" t="s">
        <v>289</v>
      </c>
      <c r="D32" s="437">
        <v>0</v>
      </c>
      <c r="E32" s="47"/>
      <c r="L32" s="5">
        <f t="shared" si="1"/>
        <v>8</v>
      </c>
      <c r="M32" s="380">
        <v>1</v>
      </c>
      <c r="N32" s="1"/>
      <c r="R32" s="212"/>
      <c r="U32" s="212"/>
      <c r="V32" s="212"/>
      <c r="W32" s="212"/>
    </row>
    <row r="33" spans="1:24">
      <c r="D33" s="273">
        <f>SUM(D23:D32)</f>
        <v>1</v>
      </c>
      <c r="E33" s="6">
        <f>SUMPRODUCT(C23:C26,D23:D26)/SUM(D23:D26)</f>
        <v>0.55999999999999994</v>
      </c>
      <c r="F33" t="s">
        <v>360</v>
      </c>
      <c r="L33" s="5">
        <f t="shared" si="1"/>
        <v>9</v>
      </c>
      <c r="M33" s="380">
        <v>1</v>
      </c>
      <c r="N33" s="1"/>
      <c r="R33" s="212"/>
      <c r="T33" s="212"/>
      <c r="U33" s="212"/>
    </row>
    <row r="34" spans="1:24">
      <c r="B34" t="s">
        <v>290</v>
      </c>
      <c r="C34" s="352">
        <v>7.0000000000000007E-2</v>
      </c>
      <c r="L34" s="5">
        <f t="shared" si="1"/>
        <v>10</v>
      </c>
      <c r="M34" s="380">
        <v>1</v>
      </c>
      <c r="N34" s="1"/>
    </row>
    <row r="35" spans="1:24">
      <c r="B35" t="s">
        <v>291</v>
      </c>
      <c r="C35" s="352">
        <v>0.02</v>
      </c>
      <c r="L35" s="5">
        <f t="shared" si="1"/>
        <v>11</v>
      </c>
      <c r="M35" s="380">
        <v>1</v>
      </c>
      <c r="N35" s="1"/>
      <c r="O35">
        <f>1014*1.1</f>
        <v>1115.4000000000001</v>
      </c>
    </row>
    <row r="36" spans="1:24">
      <c r="B36" t="s">
        <v>292</v>
      </c>
      <c r="C36" s="352">
        <v>0.03</v>
      </c>
      <c r="L36" s="5">
        <f t="shared" si="1"/>
        <v>12</v>
      </c>
      <c r="M36" s="380">
        <v>1</v>
      </c>
      <c r="O36">
        <f>1208*1.1</f>
        <v>1328.8000000000002</v>
      </c>
      <c r="U36" s="50"/>
      <c r="V36" s="50"/>
      <c r="W36" s="50"/>
    </row>
    <row r="37" spans="1:24">
      <c r="B37" t="s">
        <v>163</v>
      </c>
      <c r="C37" s="360">
        <v>300</v>
      </c>
      <c r="D37" t="s">
        <v>301</v>
      </c>
      <c r="L37" s="5">
        <f t="shared" si="1"/>
        <v>13</v>
      </c>
      <c r="M37" s="380">
        <v>1</v>
      </c>
      <c r="O37">
        <f>1603*1.1</f>
        <v>1763.3000000000002</v>
      </c>
    </row>
    <row r="38" spans="1:24">
      <c r="L38" s="5">
        <f t="shared" si="1"/>
        <v>14</v>
      </c>
      <c r="M38" s="380">
        <v>1</v>
      </c>
    </row>
    <row r="39" spans="1:24">
      <c r="L39" s="5">
        <f>L38+1</f>
        <v>15</v>
      </c>
      <c r="M39" s="380">
        <v>1</v>
      </c>
      <c r="W39" s="212"/>
      <c r="X39" s="212"/>
    </row>
    <row r="40" spans="1:24">
      <c r="B40" t="s">
        <v>293</v>
      </c>
      <c r="C40" s="327">
        <v>2023</v>
      </c>
      <c r="L40" s="5">
        <f t="shared" si="1"/>
        <v>16</v>
      </c>
      <c r="M40" s="380">
        <v>1</v>
      </c>
      <c r="W40" s="212"/>
      <c r="X40" s="212"/>
    </row>
    <row r="41" spans="1:24">
      <c r="A41" t="s">
        <v>328</v>
      </c>
      <c r="D41" s="2" t="s">
        <v>294</v>
      </c>
      <c r="E41" t="s">
        <v>258</v>
      </c>
      <c r="L41" s="5">
        <f t="shared" si="1"/>
        <v>17</v>
      </c>
      <c r="M41" s="380">
        <v>1</v>
      </c>
      <c r="V41" s="212"/>
      <c r="W41" s="212"/>
      <c r="X41" s="212"/>
    </row>
    <row r="42" spans="1:24">
      <c r="B42" s="307" t="s">
        <v>253</v>
      </c>
      <c r="C42" s="353"/>
      <c r="D42" s="308"/>
      <c r="E42" s="308"/>
      <c r="F42" s="354"/>
      <c r="L42" s="5">
        <f t="shared" si="1"/>
        <v>18</v>
      </c>
      <c r="M42" s="380">
        <v>1</v>
      </c>
      <c r="V42" s="212"/>
      <c r="W42" s="212"/>
    </row>
    <row r="43" spans="1:24">
      <c r="B43" s="309" t="s">
        <v>256</v>
      </c>
      <c r="C43" s="355">
        <v>44743</v>
      </c>
      <c r="F43" s="356">
        <f>EOMONTH(C43,0)</f>
        <v>44773</v>
      </c>
      <c r="L43" s="5">
        <f t="shared" si="1"/>
        <v>19</v>
      </c>
      <c r="M43" s="380">
        <v>1</v>
      </c>
    </row>
    <row r="44" spans="1:24">
      <c r="A44" s="4">
        <v>1</v>
      </c>
      <c r="B44" s="309" t="s">
        <v>199</v>
      </c>
      <c r="C44" s="355">
        <v>45000</v>
      </c>
      <c r="D44" s="306">
        <v>0.15</v>
      </c>
      <c r="E44" s="306">
        <v>0.2</v>
      </c>
      <c r="F44" s="356">
        <f>EOMONTH(C44,0)</f>
        <v>45016</v>
      </c>
      <c r="G44" s="327">
        <v>12</v>
      </c>
      <c r="H44" t="s">
        <v>304</v>
      </c>
      <c r="L44" s="5">
        <f>L43+1</f>
        <v>20</v>
      </c>
      <c r="M44" s="380">
        <v>1</v>
      </c>
    </row>
    <row r="45" spans="1:24">
      <c r="A45" s="445">
        <f>12*(C45-C44)/365</f>
        <v>18.575342465753426</v>
      </c>
      <c r="B45" s="309" t="s">
        <v>255</v>
      </c>
      <c r="C45" s="355">
        <v>45565</v>
      </c>
      <c r="D45" s="306">
        <v>0.67</v>
      </c>
      <c r="E45" s="306">
        <v>0.2</v>
      </c>
      <c r="F45" s="356">
        <f>EOMONTH(C45,0)</f>
        <v>45565</v>
      </c>
      <c r="L45" s="1"/>
      <c r="M45" s="297"/>
    </row>
    <row r="46" spans="1:24">
      <c r="A46" s="445">
        <f>A45+LeaseUpTime</f>
        <v>33.575342465753423</v>
      </c>
      <c r="B46" s="309" t="s">
        <v>257</v>
      </c>
      <c r="C46" s="355">
        <f>EDATE(C45,J46+3)</f>
        <v>46111</v>
      </c>
      <c r="D46" s="306">
        <v>0.15</v>
      </c>
      <c r="E46" s="306">
        <v>0.15</v>
      </c>
      <c r="F46" s="356">
        <f>EOMONTH(C46,0)</f>
        <v>46112</v>
      </c>
      <c r="G46" s="327">
        <v>15</v>
      </c>
      <c r="H46" t="s">
        <v>327</v>
      </c>
      <c r="J46">
        <f>ROUNDUP(TotalUnitCount/G46,0)</f>
        <v>15</v>
      </c>
      <c r="K46" t="s">
        <v>254</v>
      </c>
      <c r="L46" s="1"/>
      <c r="M46" s="297"/>
    </row>
    <row r="47" spans="1:24">
      <c r="A47" s="445">
        <f>A46+3</f>
        <v>36.575342465753423</v>
      </c>
      <c r="B47" s="310" t="s">
        <v>259</v>
      </c>
      <c r="C47" s="357">
        <f>EDATE(C46,3)</f>
        <v>46203</v>
      </c>
      <c r="D47" s="444">
        <v>0.03</v>
      </c>
      <c r="E47" s="306">
        <f>1-E44-E45-E46-'Summary Sources-Uses'!Q20</f>
        <v>0.45000000000000007</v>
      </c>
      <c r="F47" s="358">
        <f>EOMONTH(C47,0)</f>
        <v>46203</v>
      </c>
      <c r="L47" s="1"/>
      <c r="M47" s="297"/>
    </row>
    <row r="48" spans="1:24">
      <c r="C48" s="298"/>
      <c r="D48" s="306">
        <f>SUM(D44:D47)</f>
        <v>1</v>
      </c>
      <c r="E48" s="306">
        <f>SUM(E44:E47)</f>
        <v>1</v>
      </c>
    </row>
    <row r="50" spans="2:15">
      <c r="K50" s="366"/>
      <c r="L50" s="42"/>
      <c r="M50" s="42"/>
      <c r="N50" s="42"/>
      <c r="O50" s="42"/>
    </row>
    <row r="51" spans="2:15">
      <c r="B51" t="s">
        <v>297</v>
      </c>
      <c r="C51" s="377">
        <v>115000</v>
      </c>
      <c r="D51" t="s">
        <v>314</v>
      </c>
      <c r="F51" s="42" t="e">
        <f>#REF!</f>
        <v>#REF!</v>
      </c>
      <c r="G51" t="s">
        <v>365</v>
      </c>
      <c r="I51" s="297" t="e">
        <f>F51/'Rent Schedule'!E26</f>
        <v>#REF!</v>
      </c>
      <c r="J51" t="s">
        <v>356</v>
      </c>
      <c r="L51" s="42"/>
      <c r="M51" s="42"/>
      <c r="N51" s="42"/>
      <c r="O51" s="42"/>
    </row>
    <row r="52" spans="2:15">
      <c r="B52" t="s">
        <v>298</v>
      </c>
      <c r="C52" s="351">
        <v>0.05</v>
      </c>
      <c r="F52" s="212" t="e">
        <f>F51*TotalUnitCount</f>
        <v>#REF!</v>
      </c>
      <c r="G52" t="s">
        <v>367</v>
      </c>
      <c r="L52" s="42"/>
      <c r="M52" s="42"/>
      <c r="N52" s="42"/>
      <c r="O52" s="42"/>
    </row>
    <row r="53" spans="2:15">
      <c r="F53" s="212">
        <v>2000000</v>
      </c>
      <c r="G53" t="s">
        <v>368</v>
      </c>
      <c r="L53" s="42"/>
      <c r="M53" s="42"/>
      <c r="N53" s="42"/>
      <c r="O53" s="42"/>
    </row>
    <row r="54" spans="2:15">
      <c r="B54" t="s">
        <v>302</v>
      </c>
      <c r="C54" s="80">
        <v>0.08</v>
      </c>
      <c r="F54" s="212" t="e">
        <f ca="1">F52-'Summary Sources-Uses'!E17+F53</f>
        <v>#REF!</v>
      </c>
      <c r="G54" t="s">
        <v>369</v>
      </c>
      <c r="I54" s="302" t="e">
        <f ca="1">F54/TotalUnitCount</f>
        <v>#REF!</v>
      </c>
      <c r="J54" t="s">
        <v>372</v>
      </c>
      <c r="L54" s="42"/>
      <c r="M54" s="42"/>
      <c r="N54" s="42"/>
      <c r="O54" s="42"/>
    </row>
    <row r="55" spans="2:15">
      <c r="F55" s="212" t="e">
        <f ca="1">F52-F54</f>
        <v>#REF!</v>
      </c>
      <c r="G55" t="s">
        <v>370</v>
      </c>
      <c r="L55" s="42"/>
      <c r="M55" s="42"/>
      <c r="N55" s="42"/>
      <c r="O55" s="42"/>
    </row>
    <row r="56" spans="2:15">
      <c r="B56" t="s">
        <v>260</v>
      </c>
      <c r="C56" s="327">
        <v>15</v>
      </c>
      <c r="F56" s="212" t="e">
        <f ca="1">F55/TotalUnitCount</f>
        <v>#REF!</v>
      </c>
      <c r="G56" t="s">
        <v>371</v>
      </c>
      <c r="L56" s="42"/>
      <c r="M56" s="42"/>
      <c r="N56" s="42"/>
      <c r="O56" s="42"/>
    </row>
    <row r="57" spans="2:15">
      <c r="C57" s="327"/>
      <c r="E57" t="s">
        <v>343</v>
      </c>
      <c r="H57" s="2"/>
      <c r="I57" s="2"/>
      <c r="J57" s="2"/>
      <c r="K57" s="2"/>
      <c r="L57" s="42"/>
      <c r="M57" s="42"/>
      <c r="N57" s="42"/>
      <c r="O57" s="42"/>
    </row>
    <row r="58" spans="2:15">
      <c r="B58" t="s">
        <v>333</v>
      </c>
      <c r="C58" s="367">
        <v>3000</v>
      </c>
      <c r="E58" s="297">
        <v>5</v>
      </c>
      <c r="F58" t="s">
        <v>344</v>
      </c>
      <c r="G58" s="42">
        <f>C58*E58</f>
        <v>15000</v>
      </c>
      <c r="H58" s="42"/>
      <c r="K58" s="302"/>
      <c r="L58" s="42"/>
      <c r="M58" s="42"/>
      <c r="N58" s="42"/>
      <c r="O58" s="42"/>
    </row>
    <row r="59" spans="2:15">
      <c r="B59" t="s">
        <v>334</v>
      </c>
      <c r="C59" s="302">
        <v>5</v>
      </c>
      <c r="D59" t="s">
        <v>335</v>
      </c>
      <c r="J59" s="80"/>
      <c r="K59" s="212"/>
      <c r="L59" s="42"/>
      <c r="M59" s="42"/>
      <c r="N59" s="42"/>
      <c r="O59" s="42"/>
    </row>
    <row r="60" spans="2:15">
      <c r="B60" t="s">
        <v>336</v>
      </c>
      <c r="C60" s="302">
        <f>C58/1000*C59</f>
        <v>15</v>
      </c>
      <c r="K60" s="212"/>
      <c r="L60" s="42"/>
      <c r="M60" s="42"/>
      <c r="N60" s="42"/>
      <c r="O60" s="42"/>
    </row>
    <row r="61" spans="2:15">
      <c r="B61" t="s">
        <v>295</v>
      </c>
      <c r="C61" s="212">
        <v>275</v>
      </c>
      <c r="D61" t="s">
        <v>337</v>
      </c>
    </row>
    <row r="62" spans="2:15">
      <c r="B62" t="s">
        <v>338</v>
      </c>
      <c r="C62" s="302">
        <f>C60*C61</f>
        <v>4125</v>
      </c>
      <c r="K62" s="302"/>
    </row>
    <row r="63" spans="2:15">
      <c r="B63" t="s">
        <v>339</v>
      </c>
      <c r="C63" s="302">
        <f>C62/43560</f>
        <v>9.4696969696969696E-2</v>
      </c>
    </row>
    <row r="64" spans="2:15">
      <c r="B64" t="s">
        <v>340</v>
      </c>
      <c r="C64" s="297">
        <v>85</v>
      </c>
    </row>
    <row r="65" spans="2:3">
      <c r="B65" t="s">
        <v>341</v>
      </c>
      <c r="C65" s="212">
        <f>C64*C58</f>
        <v>255000</v>
      </c>
    </row>
    <row r="69" spans="2:3">
      <c r="C69" s="212"/>
    </row>
    <row r="70" spans="2:3">
      <c r="C70" s="212"/>
    </row>
  </sheetData>
  <scenarios current="1" show="1">
    <scenario name="Base" locked="1" count="2" user="Ben King" comment="Created by Ben King on 2/15/2018">
      <inputCells r="I4" val="No"/>
      <inputCells r="D32" val="0" numFmtId="164"/>
    </scenario>
    <scenario name="Invest Atlanta" locked="1" count="2" user="Ben King" comment="Created by Ben King on 2/15/2018">
      <inputCells r="I4" val="Yes"/>
      <inputCells r="D32" val="0.15" numFmtId="164"/>
    </scenario>
  </scenarios>
  <mergeCells count="1">
    <mergeCell ref="C14:E14"/>
  </mergeCells>
  <dataValidations count="2">
    <dataValidation type="list" allowBlank="1" showInputMessage="1" showErrorMessage="1" sqref="D8" xr:uid="{00000000-0002-0000-0100-000000000000}">
      <formula1>"4%,9%"</formula1>
    </dataValidation>
    <dataValidation type="list" allowBlank="1" showInputMessage="1" showErrorMessage="1" sqref="F23:F31" xr:uid="{00000000-0002-0000-0100-000001000000}">
      <formula1>"of LIHTC,of Total,Plug"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Y77"/>
  <sheetViews>
    <sheetView showGridLines="0" tabSelected="1" topLeftCell="A43" zoomScale="90" zoomScaleNormal="90" workbookViewId="0">
      <selection activeCell="K68" sqref="K68"/>
    </sheetView>
  </sheetViews>
  <sheetFormatPr baseColWidth="10" defaultColWidth="8.83203125" defaultRowHeight="15"/>
  <cols>
    <col min="1" max="1" width="4.5" customWidth="1"/>
    <col min="3" max="3" width="14.5" customWidth="1"/>
    <col min="4" max="4" width="17" customWidth="1"/>
    <col min="5" max="5" width="17.5" style="1" customWidth="1"/>
    <col min="6" max="6" width="8.5" style="1" customWidth="1"/>
    <col min="7" max="7" width="14" style="2" customWidth="1"/>
    <col min="8" max="8" width="11.5" bestFit="1" customWidth="1"/>
    <col min="10" max="10" width="11.5" bestFit="1" customWidth="1"/>
    <col min="11" max="11" width="19.1640625" style="1" customWidth="1"/>
    <col min="12" max="12" width="13.5" customWidth="1"/>
    <col min="13" max="13" width="11.5" customWidth="1"/>
    <col min="14" max="14" width="12.5" bestFit="1" customWidth="1"/>
    <col min="15" max="15" width="11.1640625" bestFit="1" customWidth="1"/>
    <col min="16" max="16" width="2.1640625" customWidth="1"/>
    <col min="17" max="17" width="8.1640625" bestFit="1" customWidth="1"/>
    <col min="18" max="18" width="15.5" customWidth="1"/>
    <col min="19" max="19" width="12.5" customWidth="1"/>
    <col min="20" max="20" width="2.1640625" customWidth="1"/>
    <col min="25" max="25" width="14.33203125" bestFit="1" customWidth="1"/>
  </cols>
  <sheetData>
    <row r="1" spans="1:20" ht="16">
      <c r="A1" s="84" t="s">
        <v>48</v>
      </c>
      <c r="L1" s="1051">
        <v>45960</v>
      </c>
    </row>
    <row r="2" spans="1:20" ht="19">
      <c r="A2" s="85" t="s">
        <v>843</v>
      </c>
      <c r="L2" s="79"/>
    </row>
    <row r="3" spans="1:20">
      <c r="A3" s="2" t="s">
        <v>844</v>
      </c>
      <c r="L3" s="210" t="str">
        <f>G5&amp;" Family Units"</f>
        <v>0 Family Units</v>
      </c>
    </row>
    <row r="4" spans="1:20">
      <c r="L4" s="210" t="s">
        <v>795</v>
      </c>
    </row>
    <row r="5" spans="1:20">
      <c r="A5" s="3" t="s">
        <v>21</v>
      </c>
      <c r="E5" s="7"/>
      <c r="G5" s="459">
        <v>0</v>
      </c>
      <c r="H5" t="s">
        <v>72</v>
      </c>
      <c r="L5" s="428"/>
    </row>
    <row r="6" spans="1:20">
      <c r="A6" s="3"/>
      <c r="E6" s="7"/>
      <c r="N6" s="122"/>
    </row>
    <row r="7" spans="1:20">
      <c r="B7" s="9" t="s">
        <v>0</v>
      </c>
      <c r="C7" s="9"/>
      <c r="D7" s="9"/>
      <c r="E7" s="78"/>
      <c r="F7" s="47" t="s">
        <v>8</v>
      </c>
      <c r="H7" s="9" t="s">
        <v>2</v>
      </c>
      <c r="I7" s="9"/>
      <c r="J7" s="9"/>
      <c r="K7" s="46" t="s">
        <v>4</v>
      </c>
      <c r="L7" s="47" t="s">
        <v>8</v>
      </c>
    </row>
    <row r="8" spans="1:20" ht="16" thickBot="1">
      <c r="B8" t="s">
        <v>19</v>
      </c>
      <c r="D8" s="86" t="str">
        <f>E49</f>
        <v xml:space="preserve">1st Mortgage  </v>
      </c>
      <c r="E8" s="1665">
        <f>K49</f>
        <v>0</v>
      </c>
      <c r="F8" s="58" t="e">
        <f t="shared" ref="F8:F17" si="0">E8/G$5</f>
        <v>#DIV/0!</v>
      </c>
      <c r="G8" s="287">
        <f ca="1">E8/$E$23</f>
        <v>0.46441928024867252</v>
      </c>
      <c r="H8" t="s">
        <v>121</v>
      </c>
      <c r="K8" s="269">
        <f>'Development Budget'!H10</f>
        <v>0</v>
      </c>
      <c r="L8" s="56" t="e">
        <f>K8/G$5</f>
        <v>#DIV/0!</v>
      </c>
      <c r="M8" s="287">
        <f ca="1">K8/$K$23</f>
        <v>3.0453723294994915E-6</v>
      </c>
      <c r="Q8" s="214"/>
      <c r="R8" s="64"/>
    </row>
    <row r="9" spans="1:20">
      <c r="B9" t="s">
        <v>52</v>
      </c>
      <c r="D9" s="86" t="str">
        <f>E51</f>
        <v>2nd Mortgage</v>
      </c>
      <c r="E9" s="7">
        <f>K51</f>
        <v>0</v>
      </c>
      <c r="F9" s="58" t="e">
        <f t="shared" si="0"/>
        <v>#DIV/0!</v>
      </c>
      <c r="G9" s="368">
        <f t="shared" ref="G9:G18" ca="1" si="1">E9/$E$23</f>
        <v>9.1361169884984758E-2</v>
      </c>
      <c r="H9" t="s">
        <v>123</v>
      </c>
      <c r="K9" s="269">
        <f>'Development Budget'!H21</f>
        <v>0</v>
      </c>
      <c r="L9" s="56" t="e">
        <f>K9/G$5</f>
        <v>#DIV/0!</v>
      </c>
      <c r="M9" s="287">
        <f ca="1">K9/$K$23</f>
        <v>0.58503619981780164</v>
      </c>
      <c r="N9" s="413"/>
      <c r="P9" s="1678" t="s">
        <v>831</v>
      </c>
      <c r="Q9" s="1679"/>
      <c r="R9" s="1679"/>
      <c r="S9" s="1679"/>
      <c r="T9" s="1680"/>
    </row>
    <row r="10" spans="1:20" ht="16" thickBot="1">
      <c r="B10" t="s">
        <v>63</v>
      </c>
      <c r="D10" s="86" t="str">
        <f>E53</f>
        <v>GAP Funding (TBD)</v>
      </c>
      <c r="E10" s="7">
        <f>K53</f>
        <v>0</v>
      </c>
      <c r="F10" s="58" t="e">
        <f t="shared" si="0"/>
        <v>#DIV/0!</v>
      </c>
      <c r="G10" s="368">
        <f t="shared" ca="1" si="1"/>
        <v>0.73088935907987806</v>
      </c>
      <c r="H10" t="s">
        <v>130</v>
      </c>
      <c r="K10" s="269">
        <f>'Development Budget'!H29</f>
        <v>0</v>
      </c>
      <c r="L10" s="56" t="e">
        <f t="shared" ref="L10:L20" si="2">K10/G$5</f>
        <v>#DIV/0!</v>
      </c>
      <c r="M10" s="287">
        <f t="shared" ref="M10:M18" ca="1" si="3">K10/$K$23</f>
        <v>2.7347443518905431E-3</v>
      </c>
      <c r="N10" s="1"/>
      <c r="P10" s="1681"/>
      <c r="Q10" s="1682"/>
      <c r="R10" s="1682"/>
      <c r="S10" s="1682"/>
      <c r="T10" s="1683"/>
    </row>
    <row r="11" spans="1:20">
      <c r="B11" t="s">
        <v>75</v>
      </c>
      <c r="D11" s="86">
        <f>E56</f>
        <v>0</v>
      </c>
      <c r="E11" s="7">
        <v>0</v>
      </c>
      <c r="F11" s="58" t="e">
        <f t="shared" si="0"/>
        <v>#DIV/0!</v>
      </c>
      <c r="G11" s="287">
        <f t="shared" ca="1" si="1"/>
        <v>0</v>
      </c>
      <c r="H11" t="s">
        <v>234</v>
      </c>
      <c r="K11" s="269">
        <f ca="1">'Development Budget'!H40</f>
        <v>2045006.529010199</v>
      </c>
      <c r="L11" s="56">
        <f t="shared" ca="1" si="2"/>
        <v>33524.697196888512</v>
      </c>
      <c r="M11" s="287">
        <f t="shared" ca="1" si="3"/>
        <v>6.2278062970934592E-2</v>
      </c>
      <c r="N11" s="413"/>
      <c r="O11" s="1" t="s">
        <v>420</v>
      </c>
      <c r="P11" s="1636">
        <v>1</v>
      </c>
      <c r="Q11" s="497"/>
      <c r="R11" s="1637">
        <v>28792744.658315077</v>
      </c>
      <c r="S11" s="1638" t="s">
        <v>818</v>
      </c>
      <c r="T11" s="1639"/>
    </row>
    <row r="12" spans="1:20">
      <c r="B12" s="299"/>
      <c r="D12" s="86" t="str">
        <f>E59</f>
        <v>n.a.</v>
      </c>
      <c r="E12" s="902"/>
      <c r="F12" s="58" t="e">
        <f t="shared" si="0"/>
        <v>#DIV/0!</v>
      </c>
      <c r="G12" s="287">
        <f t="shared" ca="1" si="1"/>
        <v>0</v>
      </c>
      <c r="H12" t="s">
        <v>105</v>
      </c>
      <c r="K12" s="269">
        <f>'Development Budget'!H54</f>
        <v>752400</v>
      </c>
      <c r="L12" s="56" t="e">
        <f t="shared" si="2"/>
        <v>#DIV/0!</v>
      </c>
      <c r="M12" s="287">
        <f t="shared" ca="1" si="3"/>
        <v>2.2913381407154175E-2</v>
      </c>
      <c r="P12" s="1640"/>
      <c r="Q12" s="1641"/>
      <c r="R12" s="1642">
        <f ca="1">E37*10</f>
        <v>9461781.2291159146</v>
      </c>
      <c r="S12" s="1643" t="s">
        <v>816</v>
      </c>
      <c r="T12" s="1639"/>
    </row>
    <row r="13" spans="1:20">
      <c r="B13" t="s">
        <v>552</v>
      </c>
      <c r="D13" s="1667" t="s">
        <v>841</v>
      </c>
      <c r="E13" s="7">
        <f>E45</f>
        <v>0</v>
      </c>
      <c r="F13" s="58" t="e">
        <f t="shared" si="0"/>
        <v>#DIV/0!</v>
      </c>
      <c r="G13" s="287">
        <f t="shared" ca="1" si="1"/>
        <v>0</v>
      </c>
      <c r="H13" t="s">
        <v>146</v>
      </c>
      <c r="K13" s="269">
        <f>'Development Budget'!H60</f>
        <v>371885.27</v>
      </c>
      <c r="L13" s="56" t="e">
        <f t="shared" si="2"/>
        <v>#DIV/0!</v>
      </c>
      <c r="M13" s="287">
        <f t="shared" ca="1" si="3"/>
        <v>1.1325291110064474E-2</v>
      </c>
      <c r="N13" s="413"/>
      <c r="P13" s="1640"/>
      <c r="Q13" s="497"/>
      <c r="R13" s="1637">
        <f ca="1">R12-R11</f>
        <v>-19330963.429199163</v>
      </c>
      <c r="S13" s="1638" t="s">
        <v>819</v>
      </c>
      <c r="T13" s="1639"/>
    </row>
    <row r="14" spans="1:20">
      <c r="B14" t="s">
        <v>74</v>
      </c>
      <c r="D14" s="63" t="s">
        <v>64</v>
      </c>
      <c r="E14" s="7">
        <v>0</v>
      </c>
      <c r="F14" s="58" t="e">
        <f t="shared" si="0"/>
        <v>#DIV/0!</v>
      </c>
      <c r="G14" s="287">
        <f t="shared" ca="1" si="1"/>
        <v>0</v>
      </c>
      <c r="H14" t="s">
        <v>149</v>
      </c>
      <c r="K14" s="269">
        <f>'Development Budget'!H67</f>
        <v>583875</v>
      </c>
      <c r="L14" s="56" t="e">
        <f t="shared" si="2"/>
        <v>#DIV/0!</v>
      </c>
      <c r="M14" s="287">
        <f t="shared" ca="1" si="3"/>
        <v>1.7781167688865156E-2</v>
      </c>
      <c r="P14" s="1640"/>
      <c r="Q14" s="497"/>
      <c r="R14" s="1644"/>
      <c r="S14" s="1644"/>
      <c r="T14" s="1645"/>
    </row>
    <row r="15" spans="1:20">
      <c r="B15" t="s">
        <v>230</v>
      </c>
      <c r="D15" s="63" t="s">
        <v>65</v>
      </c>
      <c r="E15" s="7">
        <f ca="1">E39</f>
        <v>8230926.4943639124</v>
      </c>
      <c r="F15" s="58">
        <f t="shared" ca="1" si="0"/>
        <v>134933.22121908053</v>
      </c>
      <c r="G15" s="287">
        <f t="shared" ca="1" si="1"/>
        <v>0.2506623579208011</v>
      </c>
      <c r="H15" t="s">
        <v>153</v>
      </c>
      <c r="K15" s="269">
        <f ca="1">'Development Budget'!H75</f>
        <v>156675.24983292731</v>
      </c>
      <c r="L15" s="56">
        <f t="shared" ca="1" si="2"/>
        <v>2568.4467185725789</v>
      </c>
      <c r="M15" s="287">
        <f t="shared" ca="1" si="3"/>
        <v>4.7713447055861662E-3</v>
      </c>
      <c r="P15" s="1640"/>
      <c r="Q15" s="497"/>
      <c r="R15" s="1644">
        <v>25047182.883948844</v>
      </c>
      <c r="S15" s="1646" t="s">
        <v>817</v>
      </c>
      <c r="T15" s="1645"/>
    </row>
    <row r="16" spans="1:20">
      <c r="B16" t="s">
        <v>285</v>
      </c>
      <c r="D16" s="63" t="s">
        <v>65</v>
      </c>
      <c r="E16" s="7">
        <f ca="1">E41</f>
        <v>0</v>
      </c>
      <c r="F16" s="58">
        <f t="shared" ca="1" si="0"/>
        <v>0</v>
      </c>
      <c r="G16" s="287">
        <f t="shared" ca="1" si="1"/>
        <v>0</v>
      </c>
      <c r="H16" t="s">
        <v>156</v>
      </c>
      <c r="K16" s="269">
        <f>'Development Budget'!H81</f>
        <v>115000</v>
      </c>
      <c r="L16" s="56" t="e">
        <f t="shared" si="2"/>
        <v>#DIV/0!</v>
      </c>
      <c r="M16" s="287">
        <f t="shared" ca="1" si="3"/>
        <v>3.5021781789244151E-3</v>
      </c>
      <c r="P16" s="1640"/>
      <c r="Q16" s="497"/>
      <c r="R16" s="1647">
        <f ca="1">E15</f>
        <v>8230926.4943639124</v>
      </c>
      <c r="S16" s="1643" t="s">
        <v>816</v>
      </c>
      <c r="T16" s="1645"/>
    </row>
    <row r="17" spans="1:21">
      <c r="B17" t="s">
        <v>20</v>
      </c>
      <c r="D17" s="63" t="s">
        <v>71</v>
      </c>
      <c r="E17" s="7">
        <f ca="1">K23-SUM(E8:E16,E18)</f>
        <v>-18830916.735726323</v>
      </c>
      <c r="F17" s="58">
        <f t="shared" ca="1" si="0"/>
        <v>-308703.55304469384</v>
      </c>
      <c r="G17" s="287">
        <f t="shared" ca="1" si="1"/>
        <v>-0.57347152766089837</v>
      </c>
      <c r="H17" t="s">
        <v>161</v>
      </c>
      <c r="K17" s="269">
        <f ca="1">'Development Budget'!H88</f>
        <v>2436302.8246386619</v>
      </c>
      <c r="L17" s="56">
        <f t="shared" ca="1" si="2"/>
        <v>39939.390567846916</v>
      </c>
      <c r="M17" s="287">
        <f t="shared" ca="1" si="3"/>
        <v>7.4194492084360325E-2</v>
      </c>
      <c r="P17" s="1640"/>
      <c r="Q17" s="497"/>
      <c r="R17" s="1637">
        <f ca="1">R16-R15</f>
        <v>-16816256.389584932</v>
      </c>
      <c r="S17" s="1646" t="s">
        <v>820</v>
      </c>
      <c r="T17" s="1645"/>
    </row>
    <row r="18" spans="1:21">
      <c r="B18" t="s">
        <v>668</v>
      </c>
      <c r="E18" s="7">
        <f ca="1">'Development Budget'!G33</f>
        <v>1186697.6059541965</v>
      </c>
      <c r="G18" s="287">
        <f t="shared" ca="1" si="1"/>
        <v>3.6139360526562012E-2</v>
      </c>
      <c r="H18" t="s">
        <v>165</v>
      </c>
      <c r="K18" s="269">
        <f>'Development Budget'!H91</f>
        <v>75000</v>
      </c>
      <c r="L18" s="56" t="e">
        <f t="shared" si="2"/>
        <v>#DIV/0!</v>
      </c>
      <c r="M18" s="287">
        <f t="shared" ca="1" si="3"/>
        <v>2.2840292471246184E-3</v>
      </c>
      <c r="N18" s="80"/>
      <c r="P18" s="1640"/>
      <c r="Q18" s="497"/>
      <c r="R18" s="497"/>
      <c r="S18" s="497"/>
      <c r="T18" s="1639"/>
    </row>
    <row r="19" spans="1:21">
      <c r="G19" s="287"/>
      <c r="K19" s="269"/>
      <c r="L19" s="56"/>
      <c r="M19" s="287"/>
      <c r="N19" s="80"/>
      <c r="P19" s="1640"/>
      <c r="Q19" s="497"/>
      <c r="R19" s="497"/>
      <c r="S19" s="497"/>
      <c r="T19" s="1639"/>
    </row>
    <row r="20" spans="1:21">
      <c r="B20" s="162"/>
      <c r="C20" s="517" t="s">
        <v>376</v>
      </c>
      <c r="D20" s="368">
        <f ca="1">E17/K20</f>
        <v>-2.6901309622466174</v>
      </c>
      <c r="G20" s="287"/>
      <c r="H20" t="s">
        <v>114</v>
      </c>
      <c r="K20" s="291">
        <v>7000000</v>
      </c>
      <c r="L20" s="56" t="e">
        <f t="shared" si="2"/>
        <v>#DIV/0!</v>
      </c>
      <c r="M20" s="287">
        <f ca="1">K20/$K$23</f>
        <v>0.21317606306496439</v>
      </c>
      <c r="N20" s="286"/>
      <c r="O20" s="64"/>
      <c r="P20" s="1648"/>
      <c r="Q20" s="1649"/>
      <c r="R20" s="1650"/>
      <c r="S20" s="497"/>
      <c r="T20" s="1639"/>
    </row>
    <row r="21" spans="1:21">
      <c r="B21" s="9"/>
      <c r="C21" s="9" t="s">
        <v>821</v>
      </c>
      <c r="D21" s="65">
        <f ca="1">'20yr Proforma'!C54</f>
        <v>0</v>
      </c>
      <c r="E21" s="41"/>
      <c r="F21" s="61"/>
      <c r="G21" s="60"/>
      <c r="H21" s="9"/>
      <c r="I21" s="9"/>
      <c r="J21" s="9"/>
      <c r="K21" s="41"/>
      <c r="L21" s="9"/>
      <c r="P21" s="1640"/>
      <c r="Q21" s="1651"/>
      <c r="R21" s="1650"/>
      <c r="S21" s="497"/>
      <c r="T21" s="1639"/>
    </row>
    <row r="22" spans="1:21">
      <c r="F22" s="59"/>
      <c r="G22" s="60"/>
      <c r="L22" s="1"/>
      <c r="P22" s="1640"/>
      <c r="Q22" s="1652"/>
      <c r="R22" s="1676" t="s">
        <v>829</v>
      </c>
      <c r="S22" s="1677"/>
      <c r="T22" s="1639"/>
    </row>
    <row r="23" spans="1:21" s="2" customFormat="1">
      <c r="B23" s="2" t="s">
        <v>1</v>
      </c>
      <c r="E23" s="7">
        <f ca="1">SUM(E8:E18)</f>
        <v>32836707.364591785</v>
      </c>
      <c r="F23" s="58">
        <f ca="1">E23/G$5</f>
        <v>538306.67810806201</v>
      </c>
      <c r="G23" s="60"/>
      <c r="H23" s="2" t="s">
        <v>3</v>
      </c>
      <c r="K23" s="7">
        <f ca="1">SUM(K8:K21)</f>
        <v>32836707.364591789</v>
      </c>
      <c r="L23" s="56">
        <f ca="1">K23/G$5</f>
        <v>538306.67810806213</v>
      </c>
      <c r="N23" s="215"/>
      <c r="P23" s="1653"/>
      <c r="Q23" s="500"/>
      <c r="R23" s="1644">
        <v>17700000</v>
      </c>
      <c r="S23" s="1638" t="s">
        <v>822</v>
      </c>
      <c r="T23" s="1639"/>
      <c r="U23"/>
    </row>
    <row r="24" spans="1:21" s="2" customFormat="1">
      <c r="E24" s="7"/>
      <c r="F24" s="58"/>
      <c r="G24" s="60"/>
      <c r="K24" s="7"/>
      <c r="L24" s="56"/>
      <c r="N24" s="215"/>
      <c r="P24" s="1653"/>
      <c r="Q24" s="500"/>
      <c r="R24" s="1647">
        <f>E8+K51</f>
        <v>0</v>
      </c>
      <c r="S24" s="1643" t="s">
        <v>816</v>
      </c>
      <c r="T24" s="1639"/>
      <c r="U24"/>
    </row>
    <row r="25" spans="1:21" s="2" customFormat="1">
      <c r="E25" s="7"/>
      <c r="F25" s="58"/>
      <c r="G25" s="60"/>
      <c r="K25" s="7"/>
      <c r="L25" s="56"/>
      <c r="N25" s="215"/>
      <c r="P25" s="1653"/>
      <c r="Q25" s="1654">
        <f>R25/R23</f>
        <v>-1</v>
      </c>
      <c r="R25" s="1637">
        <f>R24-R23</f>
        <v>-17700000</v>
      </c>
      <c r="S25" s="1655" t="s">
        <v>823</v>
      </c>
      <c r="T25" s="1639"/>
      <c r="U25"/>
    </row>
    <row r="26" spans="1:21" s="2" customFormat="1" ht="15" customHeight="1">
      <c r="E26" s="7"/>
      <c r="F26" s="60"/>
      <c r="G26" s="60"/>
      <c r="K26" s="913"/>
      <c r="L26" s="270"/>
      <c r="P26" s="1653"/>
      <c r="Q26" s="1656"/>
      <c r="R26" s="1637"/>
      <c r="S26" s="1655"/>
      <c r="T26" s="1639"/>
      <c r="U26"/>
    </row>
    <row r="27" spans="1:21">
      <c r="L27" s="34"/>
      <c r="P27" s="1653"/>
      <c r="Q27" s="497"/>
      <c r="R27" s="1676" t="s">
        <v>483</v>
      </c>
      <c r="S27" s="1677"/>
      <c r="T27" s="1639"/>
    </row>
    <row r="28" spans="1:21">
      <c r="A28" s="9"/>
      <c r="B28" s="37" t="s">
        <v>61</v>
      </c>
      <c r="C28" s="9"/>
      <c r="D28" s="9"/>
      <c r="E28" s="41"/>
      <c r="I28" s="43"/>
      <c r="J28" s="43"/>
      <c r="K28" s="57"/>
      <c r="L28" s="43"/>
      <c r="P28" s="1640"/>
      <c r="Q28" s="497"/>
      <c r="R28" s="1644">
        <v>372056</v>
      </c>
      <c r="S28" s="1638" t="s">
        <v>824</v>
      </c>
      <c r="T28" s="1639"/>
    </row>
    <row r="29" spans="1:21">
      <c r="B29" s="2" t="s">
        <v>300</v>
      </c>
      <c r="E29" s="34">
        <f ca="1">'Development Budget'!J94</f>
        <v>24658651.552295014</v>
      </c>
      <c r="I29" s="43"/>
      <c r="J29" s="43"/>
      <c r="K29" s="57"/>
      <c r="L29" s="43"/>
      <c r="P29" s="1640"/>
      <c r="Q29" s="497"/>
      <c r="R29" s="1647">
        <f ca="1">E17</f>
        <v>-18830916.735726323</v>
      </c>
      <c r="S29" s="1643" t="s">
        <v>816</v>
      </c>
      <c r="T29" s="1639"/>
    </row>
    <row r="30" spans="1:21">
      <c r="B30" t="s">
        <v>77</v>
      </c>
      <c r="D30" s="273">
        <v>1</v>
      </c>
      <c r="E30" s="87"/>
      <c r="P30" s="1640"/>
      <c r="Q30" s="1654">
        <f ca="1">R30/R28</f>
        <v>-51.613124733175447</v>
      </c>
      <c r="R30" s="1637">
        <f ca="1">R29-R28</f>
        <v>-19202972.735726323</v>
      </c>
      <c r="S30" s="1655" t="s">
        <v>827</v>
      </c>
      <c r="T30" s="1639"/>
    </row>
    <row r="31" spans="1:21">
      <c r="B31" s="299" t="s">
        <v>78</v>
      </c>
      <c r="C31" s="299"/>
      <c r="D31" s="361">
        <v>1</v>
      </c>
      <c r="E31" s="362">
        <v>0</v>
      </c>
      <c r="P31" s="1640"/>
      <c r="Q31" s="1656"/>
      <c r="R31" s="1637"/>
      <c r="S31" s="1655"/>
      <c r="T31" s="1639"/>
    </row>
    <row r="32" spans="1:21" ht="18">
      <c r="B32" t="s">
        <v>79</v>
      </c>
      <c r="D32" s="88">
        <f>'Rent Schedule'!D27</f>
        <v>0.95927601809954754</v>
      </c>
      <c r="E32" s="154">
        <f ca="1">E29*D32</f>
        <v>23654453.072789788</v>
      </c>
      <c r="P32" s="1640"/>
      <c r="Q32" s="497"/>
      <c r="R32" s="1676" t="s">
        <v>830</v>
      </c>
      <c r="S32" s="1677"/>
      <c r="T32" s="1639"/>
    </row>
    <row r="33" spans="1:25">
      <c r="B33" t="s">
        <v>80</v>
      </c>
      <c r="D33" s="89"/>
      <c r="E33" s="1">
        <f ca="1">E31+E32</f>
        <v>23654453.072789788</v>
      </c>
      <c r="L33" s="1"/>
      <c r="P33" s="1640"/>
      <c r="Q33" s="497"/>
      <c r="R33" s="1644">
        <f>20000000</f>
        <v>20000000</v>
      </c>
      <c r="S33" s="1638" t="s">
        <v>825</v>
      </c>
      <c r="T33" s="1639"/>
    </row>
    <row r="34" spans="1:25">
      <c r="B34" t="s">
        <v>81</v>
      </c>
      <c r="D34" s="978">
        <v>1</v>
      </c>
      <c r="P34" s="1640"/>
      <c r="Q34" s="497"/>
      <c r="R34" s="1647">
        <f>E10</f>
        <v>0</v>
      </c>
      <c r="S34" s="1643" t="s">
        <v>816</v>
      </c>
      <c r="T34" s="1639"/>
    </row>
    <row r="35" spans="1:25">
      <c r="B35" t="s">
        <v>82</v>
      </c>
      <c r="D35" s="91"/>
      <c r="E35" s="1">
        <f ca="1">E33*D34</f>
        <v>23654453.072789788</v>
      </c>
      <c r="P35" s="1640"/>
      <c r="Q35" s="1654">
        <f>R35/R33</f>
        <v>-1</v>
      </c>
      <c r="R35" s="1637">
        <f>R34-R33</f>
        <v>-20000000</v>
      </c>
      <c r="S35" s="1655" t="s">
        <v>828</v>
      </c>
      <c r="T35" s="1639"/>
    </row>
    <row r="36" spans="1:25" ht="16" thickBot="1">
      <c r="B36" t="s">
        <v>83</v>
      </c>
      <c r="D36" s="92">
        <v>0.04</v>
      </c>
      <c r="E36" s="1">
        <f ca="1">E35*D36</f>
        <v>946178.12291159155</v>
      </c>
      <c r="P36" s="1657"/>
      <c r="Q36" s="1658"/>
      <c r="R36" s="1659"/>
      <c r="S36" s="1658"/>
      <c r="T36" s="1660"/>
      <c r="V36" s="50"/>
    </row>
    <row r="37" spans="1:25">
      <c r="B37" t="s">
        <v>84</v>
      </c>
      <c r="D37" s="91"/>
      <c r="E37" s="108">
        <f ca="1">E36</f>
        <v>946178.12291159155</v>
      </c>
      <c r="H37" s="64"/>
    </row>
    <row r="38" spans="1:25">
      <c r="B38" t="s">
        <v>85</v>
      </c>
      <c r="D38" s="208">
        <v>0.87</v>
      </c>
      <c r="E38" s="1">
        <f ca="1">E37*10*D38</f>
        <v>8231749.6693308456</v>
      </c>
      <c r="G38" s="7"/>
      <c r="H38" s="64"/>
    </row>
    <row r="39" spans="1:25">
      <c r="B39" t="s">
        <v>86</v>
      </c>
      <c r="D39" s="209"/>
      <c r="E39" s="474">
        <f ca="1">E38*0.9999</f>
        <v>8230926.4943639124</v>
      </c>
      <c r="F39" s="1451" t="s">
        <v>766</v>
      </c>
      <c r="H39" s="21"/>
    </row>
    <row r="40" spans="1:25">
      <c r="B40" t="s">
        <v>87</v>
      </c>
      <c r="D40" s="209"/>
      <c r="E40" s="1">
        <f ca="1">E37*10*D40</f>
        <v>0</v>
      </c>
      <c r="H40" s="64"/>
    </row>
    <row r="41" spans="1:25">
      <c r="B41" t="s">
        <v>88</v>
      </c>
      <c r="D41" s="109"/>
      <c r="E41" s="93">
        <f ca="1">E40*0.9999</f>
        <v>0</v>
      </c>
      <c r="K41" s="68"/>
      <c r="L41" s="1"/>
    </row>
    <row r="42" spans="1:25">
      <c r="I42" s="69"/>
    </row>
    <row r="43" spans="1:25">
      <c r="B43" s="53" t="s">
        <v>62</v>
      </c>
      <c r="C43" s="54"/>
      <c r="D43" s="54"/>
      <c r="E43" s="55">
        <f ca="1">E39+E41</f>
        <v>8230926.4943639124</v>
      </c>
      <c r="F43" s="55"/>
      <c r="G43" s="45"/>
      <c r="H43" s="54"/>
      <c r="I43" s="54"/>
      <c r="J43" s="54"/>
      <c r="K43" s="55"/>
      <c r="L43" s="94"/>
      <c r="N43" s="34"/>
    </row>
    <row r="44" spans="1:25">
      <c r="N44" s="42"/>
      <c r="Q44" s="211"/>
      <c r="R44" s="211"/>
    </row>
    <row r="45" spans="1:25">
      <c r="B45" s="891" t="s">
        <v>551</v>
      </c>
      <c r="C45" s="859"/>
      <c r="D45" s="892">
        <f>D38</f>
        <v>0.87</v>
      </c>
      <c r="E45" s="893">
        <v>0</v>
      </c>
    </row>
    <row r="46" spans="1:25">
      <c r="W46" t="s">
        <v>424</v>
      </c>
      <c r="Y46" s="1666">
        <v>18250000</v>
      </c>
    </row>
    <row r="47" spans="1:25">
      <c r="A47" s="9"/>
      <c r="B47" s="37" t="s">
        <v>50</v>
      </c>
      <c r="C47" s="9"/>
      <c r="D47" s="9"/>
      <c r="E47" s="41"/>
      <c r="H47" s="38" t="s">
        <v>53</v>
      </c>
      <c r="I47" s="38" t="s">
        <v>55</v>
      </c>
      <c r="J47" s="38" t="s">
        <v>54</v>
      </c>
      <c r="K47" s="44" t="s">
        <v>7</v>
      </c>
      <c r="L47" s="38" t="s">
        <v>56</v>
      </c>
      <c r="N47" s="38" t="s">
        <v>111</v>
      </c>
      <c r="Q47" t="s">
        <v>203</v>
      </c>
      <c r="R47" t="s">
        <v>204</v>
      </c>
      <c r="S47" t="s">
        <v>206</v>
      </c>
    </row>
    <row r="49" spans="2:25">
      <c r="B49" t="s">
        <v>51</v>
      </c>
      <c r="E49" s="1" t="s">
        <v>529</v>
      </c>
      <c r="F49" s="95"/>
      <c r="H49" s="912">
        <f>0.0405+0.0184+0.0025</f>
        <v>6.1400000000000003E-2</v>
      </c>
      <c r="I49" s="4">
        <f>480/12</f>
        <v>40</v>
      </c>
      <c r="J49" s="4">
        <f>216/12</f>
        <v>18</v>
      </c>
      <c r="K49" s="413">
        <v>0</v>
      </c>
      <c r="L49" s="42">
        <f>PMT(H49/12,I49*12,K49)*-12</f>
        <v>0</v>
      </c>
      <c r="M49" s="66"/>
      <c r="N49" s="166" t="e">
        <f>L49/G5</f>
        <v>#DIV/0!</v>
      </c>
      <c r="Q49" s="1048">
        <f ca="1">'20yr Proforma'!F51</f>
        <v>1.2332213571957553</v>
      </c>
      <c r="R49" s="290">
        <f ca="1">'20yr Proforma'!T51</f>
        <v>1.3152017055606806</v>
      </c>
      <c r="S49" s="290">
        <f ca="1">'20yr Proforma'!Y51</f>
        <v>1.3172033378998045</v>
      </c>
      <c r="W49" t="s">
        <v>832</v>
      </c>
      <c r="Y49" s="1661">
        <v>3000000</v>
      </c>
    </row>
    <row r="50" spans="2:25">
      <c r="F50" s="867" t="s">
        <v>842</v>
      </c>
      <c r="H50" s="271"/>
      <c r="I50" s="4"/>
      <c r="J50" s="4"/>
      <c r="M50" s="66"/>
      <c r="N50" s="59"/>
      <c r="W50" t="s">
        <v>833</v>
      </c>
      <c r="Y50" s="1661">
        <f>Y46-Y49</f>
        <v>15250000</v>
      </c>
    </row>
    <row r="51" spans="2:25">
      <c r="B51" t="s">
        <v>52</v>
      </c>
      <c r="E51" s="1" t="s">
        <v>52</v>
      </c>
      <c r="F51" s="867"/>
      <c r="H51" s="912">
        <f>H49</f>
        <v>6.1400000000000003E-2</v>
      </c>
      <c r="I51" s="4">
        <f>I49</f>
        <v>40</v>
      </c>
      <c r="J51" s="4">
        <f>J49</f>
        <v>18</v>
      </c>
      <c r="K51" s="1">
        <v>0</v>
      </c>
      <c r="L51" s="42">
        <f>PMT(H51/12,I51*12,K51)*-12</f>
        <v>0</v>
      </c>
      <c r="M51" s="66"/>
      <c r="N51" s="166" t="e">
        <f>L51/G5</f>
        <v>#DIV/0!</v>
      </c>
    </row>
    <row r="52" spans="2:25">
      <c r="F52" s="867"/>
      <c r="H52" s="271"/>
      <c r="I52" s="4"/>
      <c r="J52" s="4"/>
      <c r="M52" s="66"/>
      <c r="N52" s="59"/>
    </row>
    <row r="53" spans="2:25">
      <c r="B53" t="s">
        <v>840</v>
      </c>
      <c r="E53" s="1" t="s">
        <v>845</v>
      </c>
      <c r="H53" s="868">
        <v>0.01</v>
      </c>
      <c r="I53" s="4">
        <v>40</v>
      </c>
      <c r="J53" s="4">
        <v>40</v>
      </c>
      <c r="K53" s="1">
        <v>0</v>
      </c>
      <c r="L53" s="42">
        <f>K53*H53</f>
        <v>0</v>
      </c>
      <c r="M53" s="66" t="s">
        <v>534</v>
      </c>
      <c r="N53" s="166" t="e">
        <f>L53/G5</f>
        <v>#DIV/0!</v>
      </c>
      <c r="R53" s="34"/>
    </row>
    <row r="54" spans="2:25">
      <c r="M54" s="66"/>
      <c r="N54" s="123"/>
      <c r="Q54" s="302"/>
      <c r="R54" s="42"/>
    </row>
    <row r="55" spans="2:25">
      <c r="B55" t="s">
        <v>834</v>
      </c>
      <c r="H55" s="868"/>
      <c r="I55" s="4"/>
      <c r="J55" s="4"/>
      <c r="L55" s="42">
        <f>K55*H55</f>
        <v>0</v>
      </c>
      <c r="M55" s="66"/>
      <c r="N55" s="166" t="e">
        <f>L55/G5</f>
        <v>#DIV/0!</v>
      </c>
    </row>
    <row r="56" spans="2:25">
      <c r="M56" s="472"/>
    </row>
    <row r="57" spans="2:25">
      <c r="B57" t="s">
        <v>75</v>
      </c>
      <c r="E57" s="1" t="s">
        <v>66</v>
      </c>
      <c r="H57" s="6"/>
      <c r="J57" s="4"/>
      <c r="L57" s="42"/>
      <c r="M57" s="66"/>
    </row>
    <row r="58" spans="2:25">
      <c r="M58" s="66"/>
    </row>
    <row r="59" spans="2:25">
      <c r="B59" t="s">
        <v>102</v>
      </c>
      <c r="E59" s="1" t="s">
        <v>66</v>
      </c>
      <c r="H59" s="6"/>
      <c r="I59" s="4"/>
      <c r="J59" s="4"/>
      <c r="L59" s="139"/>
      <c r="M59" s="66"/>
    </row>
    <row r="60" spans="2:25">
      <c r="M60" s="66"/>
    </row>
    <row r="61" spans="2:25">
      <c r="B61" t="s">
        <v>103</v>
      </c>
      <c r="E61" s="1" t="s">
        <v>169</v>
      </c>
      <c r="H61" s="6"/>
      <c r="I61" s="4"/>
      <c r="J61" s="4"/>
      <c r="L61" s="83"/>
      <c r="M61" s="66"/>
    </row>
    <row r="62" spans="2:25">
      <c r="H62" s="6"/>
      <c r="I62" s="4"/>
      <c r="J62" s="4"/>
      <c r="L62" s="42"/>
    </row>
    <row r="63" spans="2:25">
      <c r="D63" t="s">
        <v>73</v>
      </c>
      <c r="H63" s="6"/>
      <c r="I63" s="4"/>
      <c r="J63" s="4"/>
      <c r="L63" s="42">
        <f>SUM(L49:L61)</f>
        <v>0</v>
      </c>
    </row>
    <row r="64" spans="2:25">
      <c r="H64" s="6"/>
      <c r="I64" s="4"/>
      <c r="J64" s="4"/>
      <c r="L64" s="42"/>
    </row>
    <row r="65" spans="1:17">
      <c r="H65" s="6"/>
      <c r="I65" s="4"/>
      <c r="J65" s="4"/>
      <c r="L65" s="42"/>
    </row>
    <row r="66" spans="1:17">
      <c r="A66" s="9"/>
      <c r="B66" s="37" t="s">
        <v>50</v>
      </c>
      <c r="C66" s="9"/>
      <c r="D66" s="9"/>
      <c r="E66" s="41"/>
      <c r="J66" s="1"/>
    </row>
    <row r="67" spans="1:17">
      <c r="E67" s="446" t="s">
        <v>377</v>
      </c>
      <c r="F67" s="447"/>
      <c r="G67" s="836" t="s">
        <v>846</v>
      </c>
      <c r="H67" s="448"/>
      <c r="I67" s="448"/>
      <c r="J67" s="447"/>
      <c r="K67" s="473">
        <f ca="1">'50% Test'!F5</f>
        <v>13562258.35376226</v>
      </c>
      <c r="Q67" s="297"/>
    </row>
    <row r="68" spans="1:17">
      <c r="E68" s="453" t="s">
        <v>809</v>
      </c>
      <c r="F68" s="454"/>
      <c r="G68" s="455"/>
      <c r="H68" s="886">
        <f>0.04+0.0245+0.0015</f>
        <v>6.6000000000000003E-2</v>
      </c>
      <c r="I68" s="456" t="s">
        <v>699</v>
      </c>
      <c r="J68" s="454"/>
      <c r="K68" s="457">
        <f ca="1">'Flow of Funds'!AD134</f>
        <v>-1762837.8860331019</v>
      </c>
    </row>
    <row r="69" spans="1:17">
      <c r="E69" s="449" t="s">
        <v>378</v>
      </c>
      <c r="F69" s="450"/>
      <c r="G69" s="451"/>
      <c r="H69" s="452"/>
      <c r="I69" s="452"/>
      <c r="J69" s="452"/>
      <c r="K69" s="458">
        <f ca="1">'50% Test'!D10</f>
        <v>0.55000000000000004</v>
      </c>
    </row>
    <row r="70" spans="1:17">
      <c r="F70" s="867" t="s">
        <v>839</v>
      </c>
    </row>
    <row r="74" spans="1:17">
      <c r="H74" s="866"/>
    </row>
    <row r="76" spans="1:17">
      <c r="H76" s="1050"/>
    </row>
    <row r="77" spans="1:17">
      <c r="F77" s="991"/>
    </row>
  </sheetData>
  <mergeCells count="4">
    <mergeCell ref="R22:S22"/>
    <mergeCell ref="P9:T10"/>
    <mergeCell ref="R27:S27"/>
    <mergeCell ref="R32:S32"/>
  </mergeCells>
  <pageMargins left="0.45" right="0.2" top="0.75" bottom="0.25" header="0.3" footer="0.3"/>
  <pageSetup scale="50" fitToWidth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73C74-95F7-4ED5-8145-4CFDC312699A}">
  <sheetPr transitionEvaluation="1" transitionEntry="1">
    <tabColor rgb="FF92D050"/>
    <pageSetUpPr fitToPage="1"/>
  </sheetPr>
  <dimension ref="A1:BZ156"/>
  <sheetViews>
    <sheetView showGridLines="0" defaultGridColor="0" topLeftCell="A12" colorId="22" zoomScale="90" zoomScaleNormal="90" zoomScaleSheetLayoutView="100" workbookViewId="0">
      <selection activeCell="G31" sqref="G31"/>
    </sheetView>
  </sheetViews>
  <sheetFormatPr baseColWidth="10" defaultColWidth="12.5" defaultRowHeight="15" outlineLevelRow="1"/>
  <cols>
    <col min="1" max="1" width="3.5" customWidth="1"/>
    <col min="2" max="2" width="4.5" customWidth="1"/>
    <col min="3" max="3" width="23" customWidth="1"/>
    <col min="5" max="5" width="12.5" customWidth="1"/>
    <col min="6" max="6" width="2.5" customWidth="1"/>
    <col min="7" max="7" width="17.5" customWidth="1"/>
    <col min="8" max="8" width="16.5" customWidth="1"/>
    <col min="9" max="9" width="14.5" hidden="1" customWidth="1"/>
    <col min="10" max="10" width="19.5" bestFit="1" customWidth="1"/>
    <col min="11" max="11" width="65.5" customWidth="1"/>
    <col min="12" max="13" width="14.5" customWidth="1"/>
    <col min="14" max="14" width="21.5" customWidth="1"/>
    <col min="15" max="15" width="27.5" customWidth="1"/>
    <col min="16" max="16" width="29.5" bestFit="1" customWidth="1"/>
    <col min="17" max="17" width="26" bestFit="1" customWidth="1"/>
    <col min="18" max="20" width="18.5" bestFit="1" customWidth="1"/>
    <col min="21" max="21" width="20.5" bestFit="1" customWidth="1"/>
    <col min="22" max="22" width="33.5" bestFit="1" customWidth="1"/>
    <col min="23" max="23" width="3.5" bestFit="1" customWidth="1"/>
  </cols>
  <sheetData>
    <row r="1" spans="1:18" ht="5" customHeight="1" thickTop="1" thickBot="1">
      <c r="A1" s="216"/>
      <c r="B1" s="217"/>
      <c r="C1" s="217"/>
      <c r="D1" s="217"/>
      <c r="E1" s="217"/>
      <c r="F1" s="217"/>
      <c r="G1" s="217"/>
      <c r="H1" s="217"/>
      <c r="I1" s="217"/>
      <c r="J1" s="217"/>
      <c r="K1" s="218" t="s">
        <v>690</v>
      </c>
      <c r="L1" s="219"/>
      <c r="M1" s="219"/>
      <c r="N1" s="219"/>
      <c r="O1" s="219"/>
      <c r="P1" s="219"/>
      <c r="Q1" s="219"/>
      <c r="R1" s="219"/>
    </row>
    <row r="2" spans="1:18" s="219" customFormat="1" ht="25.5" customHeight="1" thickTop="1">
      <c r="A2" s="1668" t="s">
        <v>117</v>
      </c>
      <c r="B2" s="1669"/>
      <c r="C2" s="1669"/>
      <c r="D2" s="1669"/>
      <c r="E2" s="1669"/>
      <c r="F2" s="1669"/>
      <c r="G2" s="1669"/>
      <c r="H2" s="220"/>
      <c r="I2" s="221"/>
      <c r="J2" s="221"/>
      <c r="K2" s="279" t="str">
        <f>'[2]Summary Sources-Uses'!L2</f>
        <v xml:space="preserve"> Structured Parking Transaction</v>
      </c>
    </row>
    <row r="3" spans="1:18" ht="15" customHeight="1">
      <c r="A3" s="278" t="str">
        <f>ProjName</f>
        <v>Columbia at Independence Heights</v>
      </c>
      <c r="B3" s="222"/>
      <c r="C3" s="222"/>
      <c r="D3" s="222"/>
      <c r="E3" s="222"/>
      <c r="F3" s="222"/>
      <c r="G3" s="838"/>
      <c r="H3" s="222"/>
      <c r="I3" s="222"/>
      <c r="J3" s="222"/>
      <c r="K3" s="997">
        <f>'Summary Sources-Uses'!L1</f>
        <v>45960</v>
      </c>
      <c r="L3" s="219"/>
      <c r="M3" s="219"/>
      <c r="N3" s="219"/>
      <c r="O3" s="219"/>
      <c r="P3" s="219"/>
      <c r="Q3" s="219"/>
      <c r="R3" s="219"/>
    </row>
    <row r="4" spans="1:18" ht="15" customHeight="1">
      <c r="A4" s="223"/>
      <c r="B4" s="224"/>
      <c r="C4" s="219"/>
      <c r="D4" s="219"/>
      <c r="E4" s="219"/>
      <c r="F4" s="219"/>
      <c r="G4" s="219"/>
      <c r="H4" s="219"/>
      <c r="I4" s="219"/>
      <c r="J4" s="225"/>
      <c r="K4" s="226"/>
      <c r="L4" s="219"/>
      <c r="M4" s="219"/>
      <c r="N4" s="219"/>
      <c r="O4" s="219"/>
      <c r="P4" s="219"/>
      <c r="Q4" s="219"/>
      <c r="R4" s="219"/>
    </row>
    <row r="5" spans="1:18" ht="15" customHeight="1">
      <c r="A5" s="223"/>
      <c r="B5" s="849" t="s">
        <v>687</v>
      </c>
      <c r="C5" s="850"/>
      <c r="D5" s="849"/>
      <c r="E5" s="849"/>
      <c r="F5" s="219"/>
      <c r="G5" s="228"/>
      <c r="H5" s="229"/>
      <c r="I5" s="229"/>
      <c r="J5" s="229" t="s">
        <v>118</v>
      </c>
      <c r="K5" s="230"/>
      <c r="L5" s="224"/>
      <c r="M5" s="219"/>
      <c r="N5" s="219"/>
      <c r="O5" s="219"/>
      <c r="P5" s="219"/>
      <c r="Q5" s="219"/>
      <c r="R5" s="219"/>
    </row>
    <row r="6" spans="1:18" ht="15" customHeight="1">
      <c r="A6" s="223"/>
      <c r="B6" s="219"/>
      <c r="C6" s="219"/>
      <c r="D6" s="219"/>
      <c r="E6" s="219"/>
      <c r="F6" s="219"/>
      <c r="G6" s="231" t="s">
        <v>16</v>
      </c>
      <c r="H6" s="232"/>
      <c r="I6" s="232" t="s">
        <v>8</v>
      </c>
      <c r="J6" s="232" t="s">
        <v>119</v>
      </c>
      <c r="K6" s="233" t="s">
        <v>11</v>
      </c>
      <c r="L6" s="224"/>
      <c r="M6" s="219"/>
      <c r="N6" s="1525"/>
      <c r="O6" s="1526"/>
      <c r="P6" s="219"/>
      <c r="Q6" s="219"/>
      <c r="R6" s="219"/>
    </row>
    <row r="7" spans="1:18" ht="15" customHeight="1">
      <c r="A7" s="223"/>
      <c r="B7" s="219"/>
      <c r="C7" s="219"/>
      <c r="D7" s="219"/>
      <c r="E7" s="219"/>
      <c r="F7" s="219"/>
      <c r="G7" s="234"/>
      <c r="H7" s="235"/>
      <c r="I7" s="235"/>
      <c r="J7" s="235" t="s">
        <v>120</v>
      </c>
      <c r="K7" s="236"/>
      <c r="L7" s="224"/>
      <c r="M7" s="219"/>
      <c r="N7" s="1527"/>
      <c r="O7" s="219"/>
      <c r="P7" s="219"/>
      <c r="Q7" s="219"/>
      <c r="R7" s="219"/>
    </row>
    <row r="8" spans="1:18" ht="15" customHeight="1">
      <c r="A8" s="223"/>
      <c r="B8" s="237" t="s">
        <v>121</v>
      </c>
      <c r="C8" s="238"/>
      <c r="D8" s="238"/>
      <c r="E8" s="238"/>
      <c r="F8" s="238"/>
      <c r="G8" s="239"/>
      <c r="I8" s="239"/>
      <c r="J8" s="239"/>
      <c r="K8" s="241"/>
      <c r="L8" s="219"/>
      <c r="M8" s="219"/>
      <c r="N8" s="1525"/>
      <c r="O8" s="219"/>
      <c r="P8" s="219"/>
      <c r="Q8" s="219"/>
      <c r="R8" s="219"/>
    </row>
    <row r="9" spans="1:18" s="219" customFormat="1" ht="15" customHeight="1">
      <c r="A9" s="223"/>
      <c r="C9" s="219" t="s">
        <v>313</v>
      </c>
      <c r="G9" s="1341">
        <v>0</v>
      </c>
      <c r="H9" s="258"/>
      <c r="I9" s="243" t="str">
        <f t="shared" ref="I9:I38" si="0">IF(G9&gt;0,G9/TotalUnitCount,"")</f>
        <v/>
      </c>
      <c r="J9" s="244"/>
      <c r="K9" s="1319" t="s">
        <v>691</v>
      </c>
      <c r="N9" s="1527"/>
    </row>
    <row r="10" spans="1:18" s="219" customFormat="1" ht="15" customHeight="1">
      <c r="A10" s="223"/>
      <c r="C10" s="1329"/>
      <c r="D10" s="1329"/>
      <c r="E10" s="1329"/>
      <c r="F10" s="1329"/>
      <c r="G10" s="1330"/>
      <c r="H10" s="1331">
        <f>SUM(G9:G9)</f>
        <v>0</v>
      </c>
      <c r="I10" s="243"/>
      <c r="J10" s="244"/>
      <c r="K10" s="1319"/>
      <c r="N10" s="1525"/>
    </row>
    <row r="11" spans="1:18" s="219" customFormat="1" ht="15" customHeight="1">
      <c r="A11" s="223"/>
      <c r="B11" s="237" t="s">
        <v>123</v>
      </c>
      <c r="C11" s="238"/>
      <c r="D11" s="238"/>
      <c r="E11" s="238"/>
      <c r="F11" s="238"/>
      <c r="G11" s="239"/>
      <c r="H11" s="1328"/>
      <c r="I11" s="239" t="str">
        <f t="shared" si="0"/>
        <v/>
      </c>
      <c r="J11" s="239"/>
      <c r="K11" s="241"/>
      <c r="N11" s="1528"/>
      <c r="O11" s="1529"/>
    </row>
    <row r="12" spans="1:18" s="219" customFormat="1" ht="15" customHeight="1">
      <c r="A12" s="223"/>
      <c r="C12" s="219" t="s">
        <v>124</v>
      </c>
      <c r="F12" s="903" t="s">
        <v>420</v>
      </c>
      <c r="G12" s="1342">
        <v>0</v>
      </c>
      <c r="H12" s="242"/>
      <c r="I12" s="243" t="str">
        <f t="shared" si="0"/>
        <v/>
      </c>
      <c r="J12" s="1338">
        <f>G12-400000</f>
        <v>-400000</v>
      </c>
      <c r="K12" s="1546" t="s">
        <v>798</v>
      </c>
    </row>
    <row r="13" spans="1:18" ht="15" customHeight="1">
      <c r="A13" s="223"/>
      <c r="B13" s="219"/>
      <c r="C13" s="249" t="s">
        <v>125</v>
      </c>
      <c r="D13" s="219"/>
      <c r="E13" s="219"/>
      <c r="F13" s="219"/>
      <c r="G13" s="1343">
        <v>0</v>
      </c>
      <c r="H13" s="251"/>
      <c r="I13" s="250" t="str">
        <f t="shared" si="0"/>
        <v/>
      </c>
      <c r="J13" s="1344">
        <f>G13*0.9</f>
        <v>0</v>
      </c>
      <c r="K13" s="1548" t="s">
        <v>815</v>
      </c>
      <c r="L13" s="219"/>
      <c r="M13" s="219"/>
      <c r="N13" s="374"/>
      <c r="O13" s="219"/>
      <c r="P13" s="219"/>
      <c r="Q13" s="219"/>
      <c r="R13" s="219"/>
    </row>
    <row r="14" spans="1:18" ht="15" customHeight="1">
      <c r="A14" s="223"/>
      <c r="B14" s="219"/>
      <c r="C14" s="249" t="s">
        <v>540</v>
      </c>
      <c r="D14" s="219"/>
      <c r="E14" s="219"/>
      <c r="F14" s="887"/>
      <c r="G14" s="1343">
        <v>0</v>
      </c>
      <c r="H14" s="251"/>
      <c r="I14" s="250" t="str">
        <f t="shared" si="0"/>
        <v/>
      </c>
      <c r="J14" s="1344">
        <f>G14</f>
        <v>0</v>
      </c>
      <c r="K14" s="295"/>
      <c r="L14" s="219"/>
      <c r="M14" s="219"/>
      <c r="N14" s="374"/>
      <c r="O14" s="219"/>
      <c r="P14" s="293"/>
      <c r="Q14" s="219"/>
      <c r="R14" s="219"/>
    </row>
    <row r="15" spans="1:18" s="219" customFormat="1" ht="15" customHeight="1">
      <c r="A15" s="223"/>
      <c r="C15" s="219" t="s">
        <v>126</v>
      </c>
      <c r="G15" s="1349">
        <v>0</v>
      </c>
      <c r="H15" s="246"/>
      <c r="I15" s="247" t="str">
        <f t="shared" si="0"/>
        <v/>
      </c>
      <c r="J15" s="1338">
        <f t="shared" ref="J15:J20" si="1">G15</f>
        <v>0</v>
      </c>
      <c r="K15" s="295"/>
      <c r="N15" s="274"/>
      <c r="P15" s="1530"/>
      <c r="Q15" s="1530"/>
    </row>
    <row r="16" spans="1:18" s="219" customFormat="1" ht="15" customHeight="1">
      <c r="A16" s="223"/>
      <c r="C16" s="219" t="s">
        <v>127</v>
      </c>
      <c r="G16" s="1349">
        <v>0</v>
      </c>
      <c r="H16" s="246"/>
      <c r="I16" s="247" t="str">
        <f t="shared" si="0"/>
        <v/>
      </c>
      <c r="J16" s="1338">
        <f t="shared" si="1"/>
        <v>0</v>
      </c>
      <c r="K16" s="853"/>
      <c r="N16" s="274"/>
      <c r="P16" s="1530"/>
      <c r="Q16" s="1530"/>
    </row>
    <row r="17" spans="1:21" s="219" customFormat="1" ht="15" customHeight="1">
      <c r="A17" s="223"/>
      <c r="C17" s="219" t="s">
        <v>128</v>
      </c>
      <c r="F17" s="242"/>
      <c r="G17" s="1349">
        <f>(G12+G13+G14)*0.06</f>
        <v>0</v>
      </c>
      <c r="H17" s="246"/>
      <c r="I17" s="247" t="str">
        <f t="shared" si="0"/>
        <v/>
      </c>
      <c r="J17" s="1338">
        <f t="shared" si="1"/>
        <v>0</v>
      </c>
      <c r="K17" s="869"/>
      <c r="N17" s="252"/>
      <c r="P17" s="253"/>
      <c r="Q17" s="246"/>
      <c r="R17" s="1531"/>
    </row>
    <row r="18" spans="1:21" s="219" customFormat="1" ht="15" customHeight="1">
      <c r="A18" s="223"/>
      <c r="C18" s="219" t="s">
        <v>348</v>
      </c>
      <c r="F18" s="374"/>
      <c r="G18" s="1347">
        <v>0</v>
      </c>
      <c r="H18" s="246"/>
      <c r="I18" s="247" t="str">
        <f t="shared" si="0"/>
        <v/>
      </c>
      <c r="J18" s="1338">
        <f t="shared" si="1"/>
        <v>0</v>
      </c>
      <c r="K18" s="1546"/>
      <c r="N18" s="252"/>
      <c r="P18" s="253"/>
      <c r="Q18" s="246"/>
      <c r="R18" s="1531"/>
    </row>
    <row r="19" spans="1:21" s="219" customFormat="1" ht="15" customHeight="1">
      <c r="A19" s="223"/>
      <c r="C19" s="219" t="s">
        <v>129</v>
      </c>
      <c r="G19" s="1347">
        <v>0</v>
      </c>
      <c r="H19" s="246"/>
      <c r="I19" s="247" t="str">
        <f t="shared" si="0"/>
        <v/>
      </c>
      <c r="J19" s="1338">
        <f t="shared" si="1"/>
        <v>0</v>
      </c>
      <c r="K19" s="869"/>
      <c r="N19" s="252"/>
      <c r="P19" s="253"/>
      <c r="Q19" s="246"/>
      <c r="R19" s="1531"/>
    </row>
    <row r="20" spans="1:21" s="219" customFormat="1" ht="15" customHeight="1">
      <c r="A20" s="223"/>
      <c r="C20" s="219" t="s">
        <v>791</v>
      </c>
      <c r="G20" s="1347">
        <f>(G12+G13+G14+G15+G16+G17+G19)*0.05</f>
        <v>0</v>
      </c>
      <c r="H20" s="246"/>
      <c r="I20" s="247" t="str">
        <f t="shared" si="0"/>
        <v/>
      </c>
      <c r="J20" s="1338">
        <f t="shared" si="1"/>
        <v>0</v>
      </c>
      <c r="K20" s="295"/>
    </row>
    <row r="21" spans="1:21" s="219" customFormat="1" ht="15" customHeight="1">
      <c r="A21" s="223"/>
      <c r="C21" s="1329"/>
      <c r="D21" s="1329"/>
      <c r="E21" s="1329"/>
      <c r="F21" s="1329"/>
      <c r="G21" s="1332"/>
      <c r="H21" s="1335">
        <f>SUM(G12:G20)</f>
        <v>0</v>
      </c>
      <c r="I21" s="247"/>
      <c r="J21" s="1338"/>
      <c r="K21" s="909"/>
      <c r="N21" s="280"/>
    </row>
    <row r="22" spans="1:21" s="219" customFormat="1" ht="15" customHeight="1">
      <c r="A22" s="223"/>
      <c r="B22" s="237" t="s">
        <v>130</v>
      </c>
      <c r="C22" s="238"/>
      <c r="D22" s="238"/>
      <c r="E22" s="238"/>
      <c r="F22" s="238"/>
      <c r="G22" s="239"/>
      <c r="H22" s="888"/>
      <c r="I22" s="239" t="str">
        <f t="shared" si="0"/>
        <v/>
      </c>
      <c r="J22" s="1339"/>
      <c r="K22" s="909"/>
      <c r="N22" s="272"/>
    </row>
    <row r="23" spans="1:21" ht="15" customHeight="1">
      <c r="A23" s="223"/>
      <c r="B23" s="219"/>
      <c r="C23" s="219" t="s">
        <v>131</v>
      </c>
      <c r="D23" s="219"/>
      <c r="E23" s="219"/>
      <c r="F23" s="219"/>
      <c r="G23" s="1340">
        <v>0</v>
      </c>
      <c r="H23" s="242"/>
      <c r="I23" s="243" t="str">
        <f t="shared" si="0"/>
        <v/>
      </c>
      <c r="J23" s="1338">
        <f t="shared" ref="J23:J28" si="2">G23</f>
        <v>0</v>
      </c>
      <c r="K23" s="245"/>
      <c r="L23" s="219"/>
      <c r="M23" s="219"/>
      <c r="N23" s="219"/>
      <c r="O23" s="219"/>
      <c r="P23" s="219"/>
      <c r="Q23" s="219"/>
      <c r="R23" s="219"/>
    </row>
    <row r="24" spans="1:21" ht="15" customHeight="1">
      <c r="A24" s="223"/>
      <c r="B24" s="219"/>
      <c r="C24" s="219" t="s">
        <v>132</v>
      </c>
      <c r="D24" s="219"/>
      <c r="E24" s="219"/>
      <c r="F24" s="219"/>
      <c r="G24" s="1340">
        <v>0</v>
      </c>
      <c r="H24" s="246"/>
      <c r="I24" s="247" t="str">
        <f t="shared" si="0"/>
        <v/>
      </c>
      <c r="J24" s="1338">
        <f t="shared" si="2"/>
        <v>0</v>
      </c>
      <c r="K24" s="248"/>
      <c r="L24" s="219"/>
      <c r="M24" s="219"/>
      <c r="N24" s="219"/>
      <c r="O24" s="219"/>
      <c r="P24" s="219"/>
      <c r="Q24" s="219"/>
      <c r="R24" s="219"/>
    </row>
    <row r="25" spans="1:21" ht="15" customHeight="1">
      <c r="A25" s="223"/>
      <c r="B25" s="219"/>
      <c r="C25" s="219" t="s">
        <v>133</v>
      </c>
      <c r="D25" s="219"/>
      <c r="E25" s="219"/>
      <c r="F25" s="219"/>
      <c r="G25" s="1340">
        <v>0</v>
      </c>
      <c r="H25" s="246"/>
      <c r="I25" s="247" t="str">
        <f t="shared" si="0"/>
        <v/>
      </c>
      <c r="J25" s="1338">
        <f t="shared" si="2"/>
        <v>0</v>
      </c>
      <c r="K25" s="1320" t="s">
        <v>793</v>
      </c>
      <c r="L25" s="219"/>
      <c r="M25" s="219"/>
      <c r="N25" s="219"/>
      <c r="O25" s="219"/>
      <c r="P25" s="219"/>
      <c r="Q25" s="219"/>
      <c r="R25" s="219"/>
    </row>
    <row r="26" spans="1:21" ht="15" customHeight="1">
      <c r="A26" s="223"/>
      <c r="B26" s="219"/>
      <c r="C26" s="219" t="s">
        <v>134</v>
      </c>
      <c r="D26" s="294"/>
      <c r="E26" s="219"/>
      <c r="F26" s="219"/>
      <c r="G26" s="1340">
        <v>0</v>
      </c>
      <c r="H26" s="246"/>
      <c r="I26" s="247" t="str">
        <f t="shared" si="0"/>
        <v/>
      </c>
      <c r="J26" s="1338">
        <f t="shared" si="2"/>
        <v>0</v>
      </c>
      <c r="K26" s="248"/>
      <c r="L26" s="219"/>
      <c r="M26" s="219"/>
      <c r="N26" s="297"/>
      <c r="O26" s="219"/>
      <c r="P26" s="219"/>
      <c r="Q26" s="219"/>
      <c r="R26" s="219"/>
    </row>
    <row r="27" spans="1:21" s="219" customFormat="1" ht="15" customHeight="1">
      <c r="A27" s="223"/>
      <c r="C27" s="219" t="s">
        <v>135</v>
      </c>
      <c r="G27" s="1340">
        <v>0</v>
      </c>
      <c r="H27" s="246"/>
      <c r="I27" s="247" t="str">
        <f t="shared" si="0"/>
        <v/>
      </c>
      <c r="J27" s="1338">
        <f t="shared" si="2"/>
        <v>0</v>
      </c>
      <c r="K27" s="248"/>
      <c r="N27" s="297"/>
    </row>
    <row r="28" spans="1:21" s="219" customFormat="1" ht="15" customHeight="1">
      <c r="A28" s="223"/>
      <c r="C28" s="219" t="s">
        <v>136</v>
      </c>
      <c r="G28" s="1340">
        <v>0</v>
      </c>
      <c r="H28" s="246"/>
      <c r="I28" s="247" t="str">
        <f t="shared" si="0"/>
        <v/>
      </c>
      <c r="J28" s="1338">
        <f t="shared" si="2"/>
        <v>0</v>
      </c>
      <c r="K28" s="248"/>
      <c r="N28" s="297"/>
      <c r="Q28" s="281"/>
      <c r="R28" s="281"/>
      <c r="S28" s="281"/>
      <c r="T28" s="281"/>
      <c r="U28" s="274"/>
    </row>
    <row r="29" spans="1:21" s="219" customFormat="1" ht="15" customHeight="1">
      <c r="A29" s="223"/>
      <c r="C29" s="1329"/>
      <c r="D29" s="1329"/>
      <c r="E29" s="1329"/>
      <c r="F29" s="1329"/>
      <c r="G29" s="1332"/>
      <c r="H29" s="1335">
        <f>SUM(G23:G28)</f>
        <v>0</v>
      </c>
      <c r="I29" s="247"/>
      <c r="J29" s="1338"/>
      <c r="K29" s="248"/>
      <c r="N29" s="297"/>
      <c r="Q29" s="281"/>
      <c r="R29" s="281"/>
      <c r="T29" s="281"/>
    </row>
    <row r="30" spans="1:21" s="219" customFormat="1" ht="15" customHeight="1">
      <c r="A30" s="223"/>
      <c r="B30" s="275" t="s">
        <v>234</v>
      </c>
      <c r="C30" s="238"/>
      <c r="D30" s="238"/>
      <c r="E30" s="238"/>
      <c r="F30" s="238"/>
      <c r="G30" s="239"/>
      <c r="H30" s="888"/>
      <c r="I30" s="239" t="str">
        <f t="shared" si="0"/>
        <v/>
      </c>
      <c r="J30" s="1339"/>
      <c r="K30" s="241"/>
      <c r="R30" s="281"/>
    </row>
    <row r="31" spans="1:21" s="219" customFormat="1" ht="15" customHeight="1">
      <c r="A31" s="223"/>
      <c r="C31" s="219" t="s">
        <v>598</v>
      </c>
      <c r="G31" s="1345">
        <f ca="1">'Summary Sources-Uses'!K68*1.3%</f>
        <v>-22916.892518430326</v>
      </c>
      <c r="H31" s="242"/>
      <c r="I31" s="243" t="str">
        <f t="shared" ca="1" si="0"/>
        <v/>
      </c>
      <c r="J31" s="1338">
        <f ca="1">G31*0.5</f>
        <v>-11458.446259215163</v>
      </c>
      <c r="K31" s="1367" t="s">
        <v>799</v>
      </c>
      <c r="O31" s="294"/>
      <c r="P31" s="281"/>
      <c r="Q31" s="274"/>
      <c r="R31" s="281"/>
    </row>
    <row r="32" spans="1:21" s="219" customFormat="1" ht="15" customHeight="1">
      <c r="A32" s="223"/>
      <c r="C32" s="1549" t="s">
        <v>137</v>
      </c>
      <c r="D32" s="1549"/>
      <c r="E32" s="1549"/>
      <c r="F32" s="1549"/>
      <c r="G32" s="1550">
        <f ca="1">'Flow of Funds'!H159</f>
        <v>711225.81557443284</v>
      </c>
      <c r="H32" s="1551"/>
      <c r="I32" s="1552">
        <f t="shared" ca="1" si="0"/>
        <v>3218.2163600653071</v>
      </c>
      <c r="J32" s="1550">
        <f ca="1">'Flow of Funds'!$H$160</f>
        <v>151470.82034012579</v>
      </c>
      <c r="K32" s="1588" t="s">
        <v>597</v>
      </c>
      <c r="P32" s="281"/>
    </row>
    <row r="33" spans="1:20" ht="15" customHeight="1">
      <c r="A33" s="223"/>
      <c r="B33" s="219"/>
      <c r="C33" s="1049" t="s">
        <v>667</v>
      </c>
      <c r="D33" s="975"/>
      <c r="E33" s="975"/>
      <c r="F33" s="975"/>
      <c r="G33" s="1336">
        <f ca="1">'Flow of Funds'!H116</f>
        <v>1186697.6059541965</v>
      </c>
      <c r="H33" s="976"/>
      <c r="I33" s="977">
        <f t="shared" ca="1" si="0"/>
        <v>5369.6724251321111</v>
      </c>
      <c r="J33" s="1336">
        <f ca="1">'Flow of Funds'!H117</f>
        <v>745924.20945692388</v>
      </c>
      <c r="K33" s="1368"/>
      <c r="L33" s="219"/>
      <c r="M33" s="219"/>
      <c r="N33" s="219"/>
      <c r="O33" s="219"/>
      <c r="P33" s="219"/>
      <c r="Q33" s="219"/>
      <c r="R33" s="219"/>
    </row>
    <row r="34" spans="1:20" ht="16">
      <c r="A34" s="223"/>
      <c r="B34" s="219"/>
      <c r="C34" s="219" t="s">
        <v>541</v>
      </c>
      <c r="D34" s="219"/>
      <c r="E34" s="219"/>
      <c r="F34" s="219"/>
      <c r="G34" s="1340">
        <v>0</v>
      </c>
      <c r="H34" s="246"/>
      <c r="I34" s="247" t="str">
        <f t="shared" si="0"/>
        <v/>
      </c>
      <c r="J34" s="1340">
        <f>G34*0.1</f>
        <v>0</v>
      </c>
      <c r="K34" s="1367" t="s">
        <v>800</v>
      </c>
    </row>
    <row r="35" spans="1:20" ht="15" customHeight="1">
      <c r="A35" s="223"/>
      <c r="B35" s="219"/>
      <c r="C35" s="219" t="s">
        <v>226</v>
      </c>
      <c r="D35" s="219"/>
      <c r="E35" s="219"/>
      <c r="F35" s="219"/>
      <c r="G35" s="1340">
        <v>50000</v>
      </c>
      <c r="H35" s="246"/>
      <c r="I35" s="247">
        <f t="shared" si="0"/>
        <v>226.24434389140271</v>
      </c>
      <c r="J35" s="1340">
        <v>150000</v>
      </c>
      <c r="K35" s="1366"/>
      <c r="P35" s="297"/>
    </row>
    <row r="36" spans="1:20" s="219" customFormat="1" ht="15" customHeight="1">
      <c r="A36" s="223"/>
      <c r="C36" s="219" t="s">
        <v>138</v>
      </c>
      <c r="G36" s="1340">
        <v>0</v>
      </c>
      <c r="H36" s="246"/>
      <c r="I36" s="247" t="str">
        <f t="shared" si="0"/>
        <v/>
      </c>
      <c r="J36" s="1338">
        <f>G36</f>
        <v>0</v>
      </c>
      <c r="K36" s="1366"/>
      <c r="N36" s="282"/>
      <c r="P36" s="281"/>
    </row>
    <row r="37" spans="1:20" s="219" customFormat="1" ht="15" customHeight="1">
      <c r="A37" s="223"/>
      <c r="C37" s="219" t="s">
        <v>792</v>
      </c>
      <c r="G37" s="1340">
        <v>120000</v>
      </c>
      <c r="H37" s="246"/>
      <c r="I37" s="247">
        <f t="shared" si="0"/>
        <v>542.98642533936652</v>
      </c>
      <c r="J37" s="1338">
        <v>320000</v>
      </c>
      <c r="K37" s="1366"/>
      <c r="P37" s="374"/>
    </row>
    <row r="38" spans="1:20" s="219" customFormat="1" ht="15" customHeight="1">
      <c r="A38" s="223"/>
      <c r="C38" s="219" t="s">
        <v>695</v>
      </c>
      <c r="G38" s="1340">
        <v>0</v>
      </c>
      <c r="H38" s="246"/>
      <c r="I38" s="247" t="str">
        <f t="shared" si="0"/>
        <v/>
      </c>
      <c r="J38" s="1340">
        <f>160000</f>
        <v>160000</v>
      </c>
      <c r="K38" s="1366" t="s">
        <v>319</v>
      </c>
      <c r="P38" s="374"/>
    </row>
    <row r="39" spans="1:20" s="219" customFormat="1" ht="15" customHeight="1">
      <c r="A39" s="223"/>
      <c r="C39" s="219" t="s">
        <v>696</v>
      </c>
      <c r="G39" s="1340">
        <v>0</v>
      </c>
      <c r="H39" s="246"/>
      <c r="I39" s="247"/>
      <c r="J39" s="1340">
        <v>0</v>
      </c>
      <c r="K39" s="1366"/>
      <c r="P39" s="374"/>
    </row>
    <row r="40" spans="1:20" s="219" customFormat="1" ht="15" customHeight="1">
      <c r="A40" s="223"/>
      <c r="C40" s="1329"/>
      <c r="D40" s="1329"/>
      <c r="E40" s="1329"/>
      <c r="F40" s="1329"/>
      <c r="G40" s="1332"/>
      <c r="H40" s="1335">
        <f ca="1">SUM(G31:G39)</f>
        <v>2045006.529010199</v>
      </c>
      <c r="I40" s="247"/>
      <c r="J40" s="1338"/>
      <c r="K40" s="248"/>
    </row>
    <row r="41" spans="1:20" s="219" customFormat="1" ht="15" customHeight="1">
      <c r="A41" s="223"/>
      <c r="B41" s="237" t="s">
        <v>105</v>
      </c>
      <c r="C41" s="238"/>
      <c r="D41" s="238"/>
      <c r="E41" s="238"/>
      <c r="F41" s="238"/>
      <c r="G41" s="239"/>
      <c r="H41" s="888"/>
      <c r="I41" s="239" t="str">
        <f t="shared" ref="I41:I72" si="3">IF(G41&gt;0,G41/TotalUnitCount,"")</f>
        <v/>
      </c>
      <c r="J41" s="1339"/>
      <c r="K41" s="241"/>
      <c r="P41" s="224"/>
      <c r="Q41" s="224"/>
      <c r="R41" s="224"/>
    </row>
    <row r="42" spans="1:20" s="219" customFormat="1" ht="15" customHeight="1">
      <c r="A42" s="223"/>
      <c r="C42" s="219" t="s">
        <v>215</v>
      </c>
      <c r="G42" s="1340">
        <f>150000</f>
        <v>150000</v>
      </c>
      <c r="H42" s="242"/>
      <c r="I42" s="243">
        <f t="shared" si="3"/>
        <v>678.73303167420818</v>
      </c>
      <c r="J42" s="1338">
        <f>G42</f>
        <v>150000</v>
      </c>
      <c r="K42" s="245"/>
      <c r="Q42" s="281"/>
      <c r="R42" s="281"/>
      <c r="S42" s="281"/>
    </row>
    <row r="43" spans="1:20" s="219" customFormat="1" ht="15" customHeight="1">
      <c r="A43" s="223"/>
      <c r="C43" s="219" t="s">
        <v>216</v>
      </c>
      <c r="G43" s="1340">
        <v>87400</v>
      </c>
      <c r="H43" s="246"/>
      <c r="I43" s="247">
        <f t="shared" si="3"/>
        <v>395.47511312217193</v>
      </c>
      <c r="J43" s="1338">
        <f>G43</f>
        <v>87400</v>
      </c>
      <c r="K43" s="248"/>
      <c r="N43" s="276"/>
      <c r="Q43" s="281"/>
      <c r="R43" s="281"/>
      <c r="S43" s="281"/>
      <c r="T43" s="274"/>
    </row>
    <row r="44" spans="1:20" s="219" customFormat="1" ht="15" customHeight="1">
      <c r="A44" s="223"/>
      <c r="C44" s="219" t="s">
        <v>139</v>
      </c>
      <c r="G44" s="1340">
        <v>20000</v>
      </c>
      <c r="H44" s="246"/>
      <c r="I44" s="247">
        <f t="shared" si="3"/>
        <v>90.497737556561091</v>
      </c>
      <c r="J44" s="1338">
        <f>G44</f>
        <v>20000</v>
      </c>
      <c r="K44" s="248"/>
      <c r="N44" s="276"/>
      <c r="Q44" s="292"/>
    </row>
    <row r="45" spans="1:20" s="219" customFormat="1" ht="15" customHeight="1">
      <c r="A45" s="223"/>
      <c r="C45" s="219" t="s">
        <v>305</v>
      </c>
      <c r="G45" s="1340">
        <v>35000</v>
      </c>
      <c r="H45" s="246"/>
      <c r="I45" s="247">
        <f t="shared" si="3"/>
        <v>158.37104072398191</v>
      </c>
      <c r="J45" s="1340">
        <f>G45</f>
        <v>35000</v>
      </c>
      <c r="K45" s="248"/>
    </row>
    <row r="46" spans="1:20" ht="15" customHeight="1">
      <c r="A46" s="223"/>
      <c r="B46" s="219"/>
      <c r="C46" s="219" t="s">
        <v>106</v>
      </c>
      <c r="D46" s="219"/>
      <c r="E46" s="219"/>
      <c r="F46" s="219"/>
      <c r="G46" s="1340">
        <f>150000</f>
        <v>150000</v>
      </c>
      <c r="H46" s="246"/>
      <c r="I46" s="247">
        <f t="shared" si="3"/>
        <v>678.73303167420818</v>
      </c>
      <c r="J46" s="1340">
        <f>G46</f>
        <v>150000</v>
      </c>
      <c r="K46" s="248"/>
    </row>
    <row r="47" spans="1:20" ht="15" customHeight="1">
      <c r="A47" s="223"/>
      <c r="B47" s="219"/>
      <c r="C47" s="219" t="s">
        <v>140</v>
      </c>
      <c r="D47" s="219"/>
      <c r="E47" s="219"/>
      <c r="F47" s="219"/>
      <c r="G47" s="1340">
        <v>75000</v>
      </c>
      <c r="H47" s="246"/>
      <c r="I47" s="247">
        <f t="shared" si="3"/>
        <v>339.36651583710409</v>
      </c>
      <c r="J47" s="1340">
        <f>G47*0.6</f>
        <v>45000</v>
      </c>
      <c r="K47" s="248"/>
      <c r="P47" s="219"/>
    </row>
    <row r="48" spans="1:20" s="219" customFormat="1" ht="17" customHeight="1">
      <c r="A48" s="223"/>
      <c r="C48" s="219" t="s">
        <v>387</v>
      </c>
      <c r="G48" s="1340">
        <v>50000</v>
      </c>
      <c r="H48" s="246"/>
      <c r="I48" s="247">
        <f t="shared" si="3"/>
        <v>226.24434389140271</v>
      </c>
      <c r="J48" s="1340">
        <f>G48*0.25</f>
        <v>12500</v>
      </c>
      <c r="K48" s="248"/>
      <c r="N48" s="296"/>
      <c r="P48" s="296"/>
      <c r="R48" s="281"/>
    </row>
    <row r="49" spans="1:18" s="219" customFormat="1" ht="15" customHeight="1">
      <c r="A49" s="223"/>
      <c r="C49" s="219" t="s">
        <v>141</v>
      </c>
      <c r="G49" s="1340">
        <v>70000</v>
      </c>
      <c r="H49" s="246"/>
      <c r="I49" s="247">
        <f t="shared" si="3"/>
        <v>316.74208144796381</v>
      </c>
      <c r="J49" s="1340">
        <v>70000</v>
      </c>
      <c r="K49" s="248"/>
      <c r="N49" s="405"/>
      <c r="R49" s="293"/>
    </row>
    <row r="50" spans="1:18" s="219" customFormat="1" ht="15" customHeight="1">
      <c r="A50" s="223"/>
      <c r="C50" s="219" t="s">
        <v>142</v>
      </c>
      <c r="G50" s="1340">
        <v>0</v>
      </c>
      <c r="H50" s="246"/>
      <c r="I50" s="247" t="str">
        <f t="shared" si="3"/>
        <v/>
      </c>
      <c r="J50" s="1340">
        <f>G50</f>
        <v>0</v>
      </c>
      <c r="K50" s="248"/>
    </row>
    <row r="51" spans="1:18" s="219" customFormat="1" ht="15" customHeight="1">
      <c r="A51" s="223"/>
      <c r="C51" s="219" t="s">
        <v>143</v>
      </c>
      <c r="G51" s="1340">
        <v>40000</v>
      </c>
      <c r="H51" s="246"/>
      <c r="I51" s="247">
        <f t="shared" si="3"/>
        <v>180.99547511312218</v>
      </c>
      <c r="J51" s="1340">
        <f>G51</f>
        <v>40000</v>
      </c>
      <c r="K51" s="248"/>
    </row>
    <row r="52" spans="1:18" s="219" customFormat="1" ht="15" customHeight="1">
      <c r="A52" s="223"/>
      <c r="C52" s="219" t="s">
        <v>144</v>
      </c>
      <c r="G52" s="1340">
        <v>30000</v>
      </c>
      <c r="H52" s="246"/>
      <c r="I52" s="247">
        <f t="shared" si="3"/>
        <v>135.74660633484163</v>
      </c>
      <c r="J52" s="1340">
        <f>G52</f>
        <v>30000</v>
      </c>
      <c r="K52" s="248"/>
    </row>
    <row r="53" spans="1:18" s="219" customFormat="1" ht="15" customHeight="1">
      <c r="A53" s="223"/>
      <c r="C53" s="219" t="s">
        <v>145</v>
      </c>
      <c r="G53" s="1340">
        <v>45000</v>
      </c>
      <c r="H53" s="246"/>
      <c r="I53" s="247">
        <f t="shared" si="3"/>
        <v>203.61990950226243</v>
      </c>
      <c r="J53" s="1340">
        <f>G53</f>
        <v>45000</v>
      </c>
      <c r="K53" s="248"/>
      <c r="Q53" s="246"/>
    </row>
    <row r="54" spans="1:18" s="219" customFormat="1" ht="15" customHeight="1">
      <c r="A54" s="223"/>
      <c r="C54" s="1329"/>
      <c r="D54" s="1329"/>
      <c r="E54" s="1329"/>
      <c r="F54" s="1329"/>
      <c r="G54" s="1332"/>
      <c r="H54" s="1335">
        <f>SUM(G42:G53)</f>
        <v>752400</v>
      </c>
      <c r="I54" s="247"/>
      <c r="J54" s="1340"/>
      <c r="K54" s="248"/>
      <c r="Q54" s="246"/>
    </row>
    <row r="55" spans="1:18" s="219" customFormat="1" ht="15" customHeight="1">
      <c r="A55" s="223"/>
      <c r="B55" s="237" t="s">
        <v>146</v>
      </c>
      <c r="C55" s="238"/>
      <c r="D55" s="238"/>
      <c r="E55" s="238"/>
      <c r="F55" s="238"/>
      <c r="G55" s="239"/>
      <c r="H55" s="888"/>
      <c r="I55" s="239" t="str">
        <f t="shared" si="3"/>
        <v/>
      </c>
      <c r="J55" s="1346"/>
      <c r="K55" s="241"/>
      <c r="Q55" s="246"/>
    </row>
    <row r="56" spans="1:18" s="219" customFormat="1" ht="15" customHeight="1">
      <c r="A56" s="223"/>
      <c r="C56" s="219" t="s">
        <v>147</v>
      </c>
      <c r="G56" s="1340">
        <f>160000</f>
        <v>160000</v>
      </c>
      <c r="H56" s="242"/>
      <c r="I56" s="243">
        <f t="shared" si="3"/>
        <v>723.98190045248873</v>
      </c>
      <c r="J56" s="1338">
        <f>G56</f>
        <v>160000</v>
      </c>
      <c r="K56" s="1322" t="s">
        <v>693</v>
      </c>
      <c r="Q56" s="246"/>
    </row>
    <row r="57" spans="1:18" s="219" customFormat="1" ht="15" customHeight="1">
      <c r="A57" s="223"/>
      <c r="C57" s="219" t="s">
        <v>148</v>
      </c>
      <c r="G57" s="1340">
        <v>186154.27</v>
      </c>
      <c r="H57" s="246"/>
      <c r="I57" s="247">
        <f t="shared" si="3"/>
        <v>842.32701357466055</v>
      </c>
      <c r="J57" s="1338">
        <f>G57</f>
        <v>186154.27</v>
      </c>
      <c r="K57" s="1321" t="s">
        <v>692</v>
      </c>
      <c r="Q57" s="246"/>
    </row>
    <row r="58" spans="1:18" s="219" customFormat="1" ht="15" customHeight="1">
      <c r="A58" s="223"/>
      <c r="C58" s="219" t="s">
        <v>349</v>
      </c>
      <c r="G58" s="1340">
        <v>25731</v>
      </c>
      <c r="H58" s="246"/>
      <c r="I58" s="247">
        <f t="shared" si="3"/>
        <v>116.42986425339366</v>
      </c>
      <c r="J58" s="1338">
        <f>G58</f>
        <v>25731</v>
      </c>
      <c r="K58" s="1321" t="s">
        <v>692</v>
      </c>
      <c r="Q58" s="246"/>
      <c r="R58" s="282"/>
    </row>
    <row r="59" spans="1:18" s="219" customFormat="1" ht="15" customHeight="1">
      <c r="A59" s="223"/>
      <c r="C59" s="219" t="s">
        <v>350</v>
      </c>
      <c r="G59" s="1340"/>
      <c r="H59" s="246"/>
      <c r="I59" s="247" t="str">
        <f t="shared" si="3"/>
        <v/>
      </c>
      <c r="J59" s="1338">
        <f>G59</f>
        <v>0</v>
      </c>
      <c r="K59" s="248"/>
    </row>
    <row r="60" spans="1:18" s="219" customFormat="1" ht="15" customHeight="1">
      <c r="A60" s="223"/>
      <c r="C60" s="1329"/>
      <c r="D60" s="1329"/>
      <c r="E60" s="1329"/>
      <c r="F60" s="1329"/>
      <c r="G60" s="1332"/>
      <c r="H60" s="1335">
        <f>SUM(G56:G59)</f>
        <v>371885.27</v>
      </c>
      <c r="I60" s="247"/>
      <c r="J60" s="1338"/>
      <c r="K60" s="248"/>
    </row>
    <row r="61" spans="1:18" s="219" customFormat="1" ht="15" customHeight="1">
      <c r="A61" s="223"/>
      <c r="B61" s="237" t="s">
        <v>149</v>
      </c>
      <c r="C61" s="238"/>
      <c r="D61" s="238"/>
      <c r="E61" s="238"/>
      <c r="F61" s="238"/>
      <c r="G61" s="239"/>
      <c r="H61" s="888"/>
      <c r="I61" s="239" t="str">
        <f t="shared" si="3"/>
        <v/>
      </c>
      <c r="J61" s="1339"/>
      <c r="K61" s="241"/>
    </row>
    <row r="62" spans="1:18" ht="15" customHeight="1">
      <c r="A62" s="223"/>
      <c r="B62" s="219"/>
      <c r="C62" s="219" t="s">
        <v>150</v>
      </c>
      <c r="D62" s="219"/>
      <c r="E62" s="219"/>
      <c r="F62" s="219"/>
      <c r="G62" s="1340">
        <f>10000+160500+14250+64125+50000+10000</f>
        <v>308875</v>
      </c>
      <c r="H62" s="242"/>
      <c r="I62" s="243">
        <f t="shared" si="3"/>
        <v>1397.6244343891403</v>
      </c>
      <c r="J62" s="1338"/>
      <c r="K62" s="1323" t="s">
        <v>694</v>
      </c>
      <c r="Q62" s="1"/>
    </row>
    <row r="63" spans="1:18" s="219" customFormat="1" ht="15" customHeight="1">
      <c r="A63" s="223"/>
      <c r="C63" s="219" t="s">
        <v>151</v>
      </c>
      <c r="G63" s="1340">
        <v>120000</v>
      </c>
      <c r="H63" s="246"/>
      <c r="I63" s="247">
        <f t="shared" si="3"/>
        <v>542.98642533936652</v>
      </c>
      <c r="J63" s="1338"/>
      <c r="K63" s="248"/>
      <c r="N63"/>
      <c r="O63"/>
      <c r="P63"/>
      <c r="Q63"/>
    </row>
    <row r="64" spans="1:18" s="219" customFormat="1" ht="15" customHeight="1">
      <c r="A64" s="223"/>
      <c r="C64" s="219" t="s">
        <v>104</v>
      </c>
      <c r="G64" s="1340">
        <v>115000</v>
      </c>
      <c r="H64" s="246"/>
      <c r="I64" s="247">
        <f t="shared" si="3"/>
        <v>520.3619909502263</v>
      </c>
      <c r="J64" s="1338">
        <f>G64*0.75</f>
        <v>86250</v>
      </c>
      <c r="K64" s="248"/>
      <c r="N64" s="42"/>
      <c r="O64"/>
    </row>
    <row r="65" spans="1:17" s="219" customFormat="1" ht="15" customHeight="1">
      <c r="A65" s="223"/>
      <c r="C65" s="219" t="s">
        <v>152</v>
      </c>
      <c r="G65" s="1340">
        <v>30000</v>
      </c>
      <c r="H65" s="246"/>
      <c r="I65" s="247">
        <f t="shared" si="3"/>
        <v>135.74660633484163</v>
      </c>
      <c r="J65" s="1338"/>
      <c r="K65" s="248"/>
      <c r="N65" s="1324"/>
      <c r="O65" s="1325"/>
      <c r="Q65" s="406"/>
    </row>
    <row r="66" spans="1:17" s="219" customFormat="1" ht="15" customHeight="1">
      <c r="A66" s="223"/>
      <c r="C66" s="219" t="s">
        <v>500</v>
      </c>
      <c r="G66" s="1340">
        <v>10000</v>
      </c>
      <c r="H66" s="246"/>
      <c r="I66" s="247">
        <f>IF(G66&gt;0,G66/TotalUnitCount,"")</f>
        <v>45.248868778280546</v>
      </c>
      <c r="J66" s="1338"/>
      <c r="K66" s="248"/>
      <c r="N66" s="1326"/>
      <c r="O66" s="1325"/>
    </row>
    <row r="67" spans="1:17" s="219" customFormat="1" ht="15" customHeight="1">
      <c r="A67" s="223"/>
      <c r="C67" s="1329"/>
      <c r="D67" s="1329"/>
      <c r="E67" s="1329"/>
      <c r="F67" s="1329"/>
      <c r="G67" s="1332"/>
      <c r="H67" s="1335">
        <f>SUM(G62:G66)</f>
        <v>583875</v>
      </c>
      <c r="I67" s="247"/>
      <c r="J67" s="1338"/>
      <c r="K67" s="248"/>
      <c r="L67"/>
      <c r="M67"/>
      <c r="N67" s="1326"/>
      <c r="O67" s="1325"/>
    </row>
    <row r="68" spans="1:17" ht="15" customHeight="1">
      <c r="A68" s="223"/>
      <c r="B68" s="237" t="s">
        <v>153</v>
      </c>
      <c r="C68" s="238"/>
      <c r="D68" s="238"/>
      <c r="E68" s="238"/>
      <c r="F68" s="238"/>
      <c r="G68" s="239"/>
      <c r="H68" s="888"/>
      <c r="I68" s="239" t="str">
        <f t="shared" si="3"/>
        <v/>
      </c>
      <c r="J68" s="1339"/>
      <c r="K68" s="241"/>
      <c r="L68" s="219"/>
      <c r="M68" s="219"/>
      <c r="N68" s="1324"/>
      <c r="O68" s="1325"/>
      <c r="P68" s="219"/>
      <c r="Q68" s="219"/>
    </row>
    <row r="69" spans="1:17" s="219" customFormat="1" ht="15" customHeight="1">
      <c r="A69" s="223"/>
      <c r="C69" s="219" t="s">
        <v>249</v>
      </c>
      <c r="G69" s="1347">
        <f>N69*'Summary Sources-Uses'!G5</f>
        <v>0</v>
      </c>
      <c r="H69" s="242"/>
      <c r="I69" s="243" t="str">
        <f t="shared" si="3"/>
        <v/>
      </c>
      <c r="J69" s="1338"/>
      <c r="K69" s="1365" t="s">
        <v>352</v>
      </c>
      <c r="N69" s="42">
        <v>41</v>
      </c>
      <c r="O69" t="s">
        <v>5</v>
      </c>
    </row>
    <row r="70" spans="1:17" s="219" customFormat="1" ht="15" customHeight="1">
      <c r="A70" s="223"/>
      <c r="C70" s="407" t="s">
        <v>250</v>
      </c>
      <c r="F70" s="254"/>
      <c r="G70" s="1347">
        <v>0</v>
      </c>
      <c r="H70" s="246"/>
      <c r="I70" s="247" t="str">
        <f t="shared" si="3"/>
        <v/>
      </c>
      <c r="J70" s="1338"/>
      <c r="K70" s="1366" t="s">
        <v>353</v>
      </c>
      <c r="N70" s="1324">
        <v>10</v>
      </c>
      <c r="O70" s="1325" t="s">
        <v>5</v>
      </c>
    </row>
    <row r="71" spans="1:17" s="219" customFormat="1" ht="15" customHeight="1">
      <c r="A71" s="223"/>
      <c r="C71" s="219" t="s">
        <v>251</v>
      </c>
      <c r="G71" s="1347">
        <f ca="1">N71*'Summary Sources-Uses'!E37</f>
        <v>37847.124916463661</v>
      </c>
      <c r="H71" s="246"/>
      <c r="I71" s="247">
        <f t="shared" ca="1" si="3"/>
        <v>171.25395889802562</v>
      </c>
      <c r="J71" s="1338"/>
      <c r="K71" s="1366" t="s">
        <v>354</v>
      </c>
      <c r="N71" s="1326">
        <v>0.04</v>
      </c>
      <c r="O71" s="1325" t="s">
        <v>252</v>
      </c>
    </row>
    <row r="72" spans="1:17" s="219" customFormat="1" ht="16">
      <c r="A72" s="223"/>
      <c r="C72" s="219" t="s">
        <v>351</v>
      </c>
      <c r="G72" s="1347">
        <f ca="1">N72*'Summary Sources-Uses'!E37</f>
        <v>37847.124916463661</v>
      </c>
      <c r="H72" s="246"/>
      <c r="I72" s="247">
        <f t="shared" ca="1" si="3"/>
        <v>171.25395889802562</v>
      </c>
      <c r="J72" s="1338"/>
      <c r="K72" s="1366" t="s">
        <v>354</v>
      </c>
      <c r="N72" s="1326">
        <v>0.04</v>
      </c>
      <c r="O72" s="1325" t="s">
        <v>252</v>
      </c>
    </row>
    <row r="73" spans="1:17" s="219" customFormat="1" ht="15" customHeight="1">
      <c r="A73" s="223"/>
      <c r="C73" s="219" t="s">
        <v>154</v>
      </c>
      <c r="G73" s="1347">
        <v>70000</v>
      </c>
      <c r="H73" s="246"/>
      <c r="I73" s="247">
        <f t="shared" ref="I73:I94" si="4">IF(G73&gt;0,G73/TotalUnitCount,"")</f>
        <v>316.74208144796381</v>
      </c>
      <c r="J73" s="1338"/>
      <c r="K73" s="1366" t="s">
        <v>355</v>
      </c>
      <c r="N73" s="1324"/>
      <c r="O73" s="1325"/>
    </row>
    <row r="74" spans="1:17" s="219" customFormat="1" ht="15" customHeight="1">
      <c r="A74" s="223"/>
      <c r="C74" s="219" t="s">
        <v>155</v>
      </c>
      <c r="G74" s="1347">
        <f>N74*LIUnits</f>
        <v>8480</v>
      </c>
      <c r="H74" s="246"/>
      <c r="I74" s="247">
        <f t="shared" si="4"/>
        <v>38.371040723981899</v>
      </c>
      <c r="J74" s="1338"/>
      <c r="K74" s="1366" t="s">
        <v>355</v>
      </c>
      <c r="N74" s="1324">
        <v>40</v>
      </c>
      <c r="O74" s="1325" t="s">
        <v>698</v>
      </c>
    </row>
    <row r="75" spans="1:17" s="219" customFormat="1" ht="15" customHeight="1">
      <c r="A75" s="223"/>
      <c r="C75" s="1329"/>
      <c r="D75" s="1329"/>
      <c r="E75" s="1329"/>
      <c r="F75" s="1329"/>
      <c r="G75" s="1332"/>
      <c r="H75" s="1335">
        <f ca="1">SUM(G69:G74)</f>
        <v>156675.24983292731</v>
      </c>
      <c r="I75" s="247"/>
      <c r="J75" s="1338"/>
      <c r="K75" s="248"/>
      <c r="L75"/>
      <c r="M75"/>
      <c r="N75"/>
      <c r="O75"/>
    </row>
    <row r="76" spans="1:17" s="219" customFormat="1" ht="15" customHeight="1">
      <c r="A76" s="223"/>
      <c r="B76" s="237" t="s">
        <v>156</v>
      </c>
      <c r="C76" s="238"/>
      <c r="D76" s="238"/>
      <c r="E76" s="238"/>
      <c r="F76" s="238"/>
      <c r="G76" s="839"/>
      <c r="H76" s="888"/>
      <c r="I76" s="239" t="str">
        <f t="shared" si="4"/>
        <v/>
      </c>
      <c r="J76" s="1339"/>
      <c r="K76" s="241"/>
      <c r="L76"/>
      <c r="M76"/>
      <c r="N76"/>
      <c r="O76"/>
    </row>
    <row r="77" spans="1:17" ht="15" customHeight="1">
      <c r="A77" s="223"/>
      <c r="B77" s="219"/>
      <c r="C77" s="219" t="s">
        <v>157</v>
      </c>
      <c r="D77" s="219"/>
      <c r="E77" s="219"/>
      <c r="F77" s="219"/>
      <c r="G77" s="1340">
        <v>35000</v>
      </c>
      <c r="H77" s="242"/>
      <c r="I77" s="243">
        <f t="shared" si="4"/>
        <v>158.37104072398191</v>
      </c>
      <c r="J77" s="1338"/>
      <c r="K77" s="245"/>
    </row>
    <row r="78" spans="1:17" ht="15" customHeight="1">
      <c r="A78" s="223"/>
      <c r="B78" s="219"/>
      <c r="C78" s="219" t="s">
        <v>158</v>
      </c>
      <c r="D78" s="219"/>
      <c r="E78" s="219"/>
      <c r="F78" s="219"/>
      <c r="G78" s="1340">
        <v>30000</v>
      </c>
      <c r="H78" s="246"/>
      <c r="I78" s="247">
        <f t="shared" si="4"/>
        <v>135.74660633484163</v>
      </c>
      <c r="J78" s="1338"/>
      <c r="K78" s="248"/>
    </row>
    <row r="79" spans="1:17" ht="15" customHeight="1">
      <c r="A79" s="223"/>
      <c r="B79" s="219"/>
      <c r="C79" s="219" t="s">
        <v>159</v>
      </c>
      <c r="D79" s="219"/>
      <c r="E79" s="219"/>
      <c r="F79" s="219"/>
      <c r="G79" s="1340">
        <v>30000</v>
      </c>
      <c r="H79" s="246"/>
      <c r="I79" s="247">
        <f t="shared" si="4"/>
        <v>135.74660633484163</v>
      </c>
      <c r="J79" s="1338"/>
      <c r="K79" s="248"/>
    </row>
    <row r="80" spans="1:17" ht="15" customHeight="1">
      <c r="A80" s="223"/>
      <c r="B80" s="219"/>
      <c r="C80" s="219" t="s">
        <v>160</v>
      </c>
      <c r="D80" s="219"/>
      <c r="E80" s="219"/>
      <c r="F80" s="219"/>
      <c r="G80" s="1340">
        <v>20000</v>
      </c>
      <c r="H80" s="246"/>
      <c r="I80" s="247">
        <f t="shared" si="4"/>
        <v>90.497737556561091</v>
      </c>
      <c r="J80" s="1338"/>
      <c r="K80" s="248"/>
      <c r="N80" s="42"/>
    </row>
    <row r="81" spans="1:15" ht="15" customHeight="1">
      <c r="A81" s="223"/>
      <c r="B81" s="219"/>
      <c r="C81" s="1329"/>
      <c r="D81" s="1329"/>
      <c r="E81" s="1329"/>
      <c r="F81" s="1329"/>
      <c r="G81" s="1332"/>
      <c r="H81" s="1335">
        <f>SUM(G77:G80)</f>
        <v>115000</v>
      </c>
      <c r="I81" s="247"/>
      <c r="J81" s="1338"/>
      <c r="K81" s="248"/>
      <c r="L81" s="219"/>
      <c r="M81" s="219"/>
      <c r="N81" s="296"/>
      <c r="O81" s="219"/>
    </row>
    <row r="82" spans="1:15" ht="15" customHeight="1">
      <c r="A82" s="223"/>
      <c r="B82" s="237" t="s">
        <v>161</v>
      </c>
      <c r="C82" s="238"/>
      <c r="D82" s="238"/>
      <c r="E82" s="238"/>
      <c r="F82" s="238"/>
      <c r="G82" s="239"/>
      <c r="H82" s="888"/>
      <c r="I82" s="239" t="str">
        <f t="shared" si="4"/>
        <v/>
      </c>
      <c r="J82" s="1339"/>
      <c r="K82" s="241"/>
      <c r="L82" s="219"/>
      <c r="M82" s="219"/>
      <c r="N82" s="274"/>
      <c r="O82" s="219"/>
    </row>
    <row r="83" spans="1:15" s="219" customFormat="1" ht="15" customHeight="1">
      <c r="A83" s="223"/>
      <c r="C83" s="219" t="s">
        <v>107</v>
      </c>
      <c r="G83" s="1347">
        <v>50000</v>
      </c>
      <c r="H83" s="242"/>
      <c r="I83" s="243">
        <f t="shared" si="4"/>
        <v>226.24434389140271</v>
      </c>
      <c r="J83" s="1338"/>
      <c r="K83" s="245"/>
    </row>
    <row r="84" spans="1:15" s="219" customFormat="1" ht="15" customHeight="1">
      <c r="A84" s="223"/>
      <c r="C84" s="219" t="s">
        <v>697</v>
      </c>
      <c r="G84" s="1347">
        <f>ExpTotalY1/12*4</f>
        <v>600000</v>
      </c>
      <c r="H84" s="246"/>
      <c r="I84" s="247">
        <f t="shared" si="4"/>
        <v>2714.9321266968327</v>
      </c>
      <c r="J84" s="1338"/>
      <c r="K84" s="1367" t="s">
        <v>811</v>
      </c>
    </row>
    <row r="85" spans="1:15" s="219" customFormat="1" ht="16">
      <c r="A85" s="223"/>
      <c r="C85" s="219" t="s">
        <v>162</v>
      </c>
      <c r="G85" s="1347">
        <f ca="1">(('Operating Expense'!E20/12+'Summary Sources-Uses'!$L$49/12)*6)</f>
        <v>1470002.8246386617</v>
      </c>
      <c r="H85" s="246"/>
      <c r="I85" s="247">
        <f t="shared" ca="1" si="4"/>
        <v>6651.5964915776549</v>
      </c>
      <c r="J85" s="1338"/>
      <c r="K85" s="1352" t="s">
        <v>700</v>
      </c>
    </row>
    <row r="86" spans="1:15" s="219" customFormat="1" ht="15" customHeight="1">
      <c r="A86" s="223"/>
      <c r="C86" s="219" t="s">
        <v>163</v>
      </c>
      <c r="G86" s="1347">
        <f>'Operating Expense'!E21</f>
        <v>66300</v>
      </c>
      <c r="H86" s="246"/>
      <c r="I86" s="247">
        <f t="shared" si="4"/>
        <v>300</v>
      </c>
      <c r="J86" s="1338"/>
      <c r="K86" s="248"/>
      <c r="N86" s="296"/>
    </row>
    <row r="87" spans="1:15" s="219" customFormat="1" ht="15" customHeight="1">
      <c r="A87" s="223"/>
      <c r="C87" s="219" t="s">
        <v>164</v>
      </c>
      <c r="G87" s="1347">
        <v>250000</v>
      </c>
      <c r="H87" s="246"/>
      <c r="I87" s="247">
        <f t="shared" si="4"/>
        <v>1131.2217194570135</v>
      </c>
      <c r="J87" s="1338">
        <f>G87</f>
        <v>250000</v>
      </c>
      <c r="K87" s="248"/>
    </row>
    <row r="88" spans="1:15" s="219" customFormat="1" ht="15" customHeight="1">
      <c r="A88" s="223"/>
      <c r="C88" s="1329"/>
      <c r="D88" s="1329"/>
      <c r="E88" s="1329"/>
      <c r="F88" s="1329"/>
      <c r="G88" s="1333"/>
      <c r="H88" s="1335">
        <f ca="1">SUM(G83:G87)</f>
        <v>2436302.8246386619</v>
      </c>
      <c r="I88" s="247"/>
      <c r="J88" s="1338"/>
      <c r="K88" s="248"/>
      <c r="L88"/>
      <c r="M88"/>
      <c r="N88"/>
      <c r="O88"/>
    </row>
    <row r="89" spans="1:15" s="219" customFormat="1" ht="15" customHeight="1">
      <c r="A89" s="223"/>
      <c r="B89" s="237" t="s">
        <v>165</v>
      </c>
      <c r="C89" s="238"/>
      <c r="D89" s="238"/>
      <c r="E89" s="238"/>
      <c r="F89" s="238"/>
      <c r="G89" s="239"/>
      <c r="H89" s="240"/>
      <c r="I89" s="239" t="str">
        <f t="shared" si="4"/>
        <v/>
      </c>
      <c r="J89" s="1339"/>
      <c r="K89" s="241"/>
      <c r="L89"/>
      <c r="M89"/>
      <c r="N89"/>
      <c r="O89"/>
    </row>
    <row r="90" spans="1:15" ht="15" customHeight="1">
      <c r="A90" s="223"/>
      <c r="B90" s="219"/>
      <c r="C90" s="219" t="s">
        <v>60</v>
      </c>
      <c r="D90" s="219"/>
      <c r="E90" s="219"/>
      <c r="F90" s="219"/>
      <c r="G90" s="1337">
        <v>75000</v>
      </c>
      <c r="H90" s="246"/>
      <c r="I90" s="247">
        <f t="shared" si="4"/>
        <v>339.36651583710409</v>
      </c>
      <c r="J90" s="1340">
        <f>G90*0.5</f>
        <v>37500</v>
      </c>
      <c r="K90" s="248"/>
    </row>
    <row r="91" spans="1:15" ht="15" customHeight="1">
      <c r="A91" s="223"/>
      <c r="B91" s="219"/>
      <c r="C91" s="1334"/>
      <c r="D91" s="1334"/>
      <c r="E91" s="1334"/>
      <c r="F91" s="1334"/>
      <c r="G91" s="1333"/>
      <c r="H91" s="1335">
        <f>G90</f>
        <v>75000</v>
      </c>
      <c r="I91" s="247"/>
      <c r="J91" s="247"/>
      <c r="K91" s="248"/>
    </row>
    <row r="92" spans="1:15" ht="15" customHeight="1">
      <c r="A92" s="223"/>
      <c r="B92" s="237" t="s">
        <v>166</v>
      </c>
      <c r="C92" s="238"/>
      <c r="D92" s="238"/>
      <c r="E92" s="238"/>
      <c r="F92" s="238"/>
      <c r="G92" s="255">
        <f ca="1">SUM(G8:G90)</f>
        <v>25836707.364591789</v>
      </c>
      <c r="H92" s="240">
        <f ca="1">SUM(H9:H91)</f>
        <v>25836707.364591789</v>
      </c>
      <c r="I92" s="256">
        <f t="shared" ca="1" si="4"/>
        <v>116908.17812032484</v>
      </c>
      <c r="J92" s="255">
        <f ca="1">SUM(J9:J90)</f>
        <v>21442305.69764784</v>
      </c>
      <c r="K92" s="369"/>
      <c r="L92" s="219"/>
      <c r="M92" s="219"/>
      <c r="N92" s="219"/>
      <c r="O92" s="219"/>
    </row>
    <row r="93" spans="1:15" ht="15" customHeight="1">
      <c r="A93" s="223"/>
      <c r="B93" s="257"/>
      <c r="C93" s="257" t="s">
        <v>114</v>
      </c>
      <c r="D93" s="257"/>
      <c r="E93" s="257"/>
      <c r="F93" s="257"/>
      <c r="G93" s="1348">
        <f>'Summary Sources-Uses'!K20</f>
        <v>7000000</v>
      </c>
      <c r="H93" s="259"/>
      <c r="I93" s="258">
        <f t="shared" si="4"/>
        <v>31674.208144796379</v>
      </c>
      <c r="J93" s="375">
        <f ca="1">MIN(SUM(J9:J90)*0.15,G93)</f>
        <v>3216345.8546471759</v>
      </c>
      <c r="K93" s="245"/>
      <c r="L93" s="219"/>
      <c r="M93" s="219"/>
      <c r="N93" s="219"/>
      <c r="O93" s="219"/>
    </row>
    <row r="94" spans="1:15" s="219" customFormat="1" ht="15" customHeight="1">
      <c r="A94" s="223"/>
      <c r="B94" s="224" t="s">
        <v>217</v>
      </c>
      <c r="G94" s="255">
        <f ca="1">G92+G93</f>
        <v>32836707.364591789</v>
      </c>
      <c r="H94" s="260"/>
      <c r="I94" s="255">
        <f t="shared" ca="1" si="4"/>
        <v>148582.38626512123</v>
      </c>
      <c r="J94" s="255">
        <f ca="1">J92+J93</f>
        <v>24658651.552295014</v>
      </c>
      <c r="K94" s="227"/>
    </row>
    <row r="95" spans="1:15" s="219" customFormat="1" ht="15" customHeight="1">
      <c r="A95" s="223"/>
      <c r="B95" s="224"/>
      <c r="C95" s="261"/>
      <c r="K95" s="227"/>
    </row>
    <row r="96" spans="1:15" s="219" customFormat="1" ht="15" customHeight="1">
      <c r="A96" s="223"/>
      <c r="G96" s="242"/>
      <c r="H96" s="242"/>
      <c r="I96" s="242"/>
      <c r="K96" s="262" t="str">
        <f>ProjName</f>
        <v>Columbia at Independence Heights</v>
      </c>
      <c r="L96"/>
      <c r="M96"/>
      <c r="N96"/>
      <c r="O96"/>
    </row>
    <row r="97" spans="1:23" s="219" customFormat="1" ht="15" customHeight="1">
      <c r="A97" s="223"/>
      <c r="C97" s="261"/>
      <c r="G97" s="242"/>
      <c r="H97" s="242"/>
      <c r="J97" s="242"/>
      <c r="K97" s="263"/>
      <c r="L97"/>
      <c r="M97"/>
      <c r="N97"/>
      <c r="O97"/>
    </row>
    <row r="98" spans="1:23" ht="15" customHeight="1">
      <c r="A98" s="223"/>
      <c r="B98" s="219"/>
      <c r="C98" s="219"/>
      <c r="D98" s="219"/>
      <c r="E98" s="219"/>
      <c r="F98" s="219"/>
      <c r="G98" s="219"/>
      <c r="H98" s="219"/>
      <c r="I98" s="219"/>
      <c r="J98" s="219"/>
      <c r="K98" s="262" t="s">
        <v>167</v>
      </c>
      <c r="L98" s="219"/>
      <c r="M98" s="219"/>
      <c r="N98" s="219"/>
      <c r="O98" s="219"/>
    </row>
    <row r="99" spans="1:23" ht="15" customHeight="1" thickBot="1">
      <c r="A99" s="1670"/>
      <c r="B99" s="1671"/>
      <c r="C99" s="1671"/>
      <c r="D99" s="1671"/>
      <c r="E99" s="1671"/>
      <c r="F99" s="1671"/>
      <c r="G99" s="1671"/>
      <c r="H99" s="1671"/>
      <c r="I99" s="1671"/>
      <c r="J99" s="1671"/>
      <c r="K99" s="1672"/>
      <c r="L99" s="219"/>
      <c r="M99" s="219"/>
      <c r="N99" s="219"/>
      <c r="O99" s="219"/>
    </row>
    <row r="100" spans="1:23" s="219" customFormat="1" ht="15" customHeight="1" thickTop="1">
      <c r="G100" s="265"/>
      <c r="H100" s="265"/>
      <c r="J100" s="265"/>
    </row>
    <row r="101" spans="1:23" s="219" customFormat="1" ht="15" customHeight="1">
      <c r="G101" s="266"/>
      <c r="H101" s="266">
        <f ca="1">H92-G92</f>
        <v>0</v>
      </c>
      <c r="J101" s="266"/>
    </row>
    <row r="102" spans="1:23" s="219" customFormat="1" ht="15" customHeight="1"/>
    <row r="103" spans="1:23" s="219" customFormat="1" ht="15" customHeight="1">
      <c r="J103" s="274"/>
      <c r="L103"/>
      <c r="M103"/>
      <c r="N103"/>
      <c r="O103"/>
    </row>
    <row r="104" spans="1:23" s="219" customFormat="1" ht="15" customHeight="1">
      <c r="A104"/>
      <c r="B104"/>
      <c r="H104" s="889"/>
      <c r="J104" s="242"/>
      <c r="L104"/>
      <c r="M104"/>
      <c r="N104"/>
      <c r="O104"/>
    </row>
    <row r="105" spans="1:23" ht="15" customHeight="1"/>
    <row r="106" spans="1:23" ht="15" customHeight="1"/>
    <row r="107" spans="1:23" ht="15" customHeight="1">
      <c r="L107" s="219"/>
      <c r="M107" s="219"/>
      <c r="N107" s="219"/>
      <c r="O107" s="219"/>
    </row>
    <row r="108" spans="1:23" ht="15" customHeight="1">
      <c r="L108" s="219"/>
      <c r="M108" s="219"/>
      <c r="N108" s="219"/>
      <c r="O108" s="219"/>
    </row>
    <row r="109" spans="1:23" s="219" customFormat="1" ht="15" customHeight="1">
      <c r="A109"/>
      <c r="B109"/>
      <c r="C109"/>
      <c r="D109"/>
      <c r="E109"/>
      <c r="F109"/>
      <c r="G109"/>
      <c r="H109"/>
      <c r="I109"/>
      <c r="J109"/>
      <c r="K109"/>
    </row>
    <row r="110" spans="1:23" s="219" customFormat="1" ht="15" customHeight="1">
      <c r="A110"/>
      <c r="B110"/>
      <c r="C110"/>
      <c r="D110"/>
      <c r="E110"/>
      <c r="F110"/>
      <c r="G110"/>
      <c r="H110"/>
      <c r="I110"/>
      <c r="J110"/>
      <c r="K110"/>
    </row>
    <row r="111" spans="1:23" ht="15" customHeight="1">
      <c r="L111" s="219"/>
      <c r="M111" s="219"/>
      <c r="N111" s="219"/>
      <c r="O111" s="219"/>
      <c r="P111" s="219"/>
      <c r="Q111" s="219"/>
      <c r="R111" s="219"/>
      <c r="S111" s="219"/>
      <c r="T111" s="219"/>
      <c r="U111" s="219"/>
      <c r="V111" s="219"/>
      <c r="W111" s="219"/>
    </row>
    <row r="112" spans="1:23" ht="15" customHeight="1">
      <c r="L112" s="219"/>
      <c r="M112" s="219"/>
      <c r="N112" s="219"/>
      <c r="O112" s="219"/>
      <c r="P112" s="219"/>
      <c r="Q112" s="219"/>
      <c r="R112" s="219"/>
      <c r="S112" s="219"/>
      <c r="T112" s="219"/>
      <c r="U112" s="219"/>
      <c r="V112" s="219"/>
      <c r="W112" s="219"/>
    </row>
    <row r="113" spans="1:78" ht="15" customHeight="1">
      <c r="L113" s="219"/>
      <c r="M113" s="219"/>
      <c r="N113" s="219"/>
      <c r="O113" s="219"/>
      <c r="P113" s="219"/>
      <c r="Q113" s="219"/>
      <c r="R113" s="219"/>
      <c r="S113" s="219"/>
      <c r="T113" s="219"/>
      <c r="U113" s="219"/>
      <c r="V113" s="219"/>
      <c r="W113" s="219"/>
    </row>
    <row r="114" spans="1:78" ht="16">
      <c r="L114" s="219"/>
      <c r="M114" s="219"/>
      <c r="N114" s="219"/>
      <c r="O114" s="219"/>
      <c r="P114" s="219"/>
      <c r="Q114" s="219"/>
      <c r="R114" s="219"/>
      <c r="S114" s="219"/>
      <c r="T114" s="219"/>
      <c r="U114" s="219"/>
      <c r="V114" s="219"/>
      <c r="W114" s="219"/>
    </row>
    <row r="115" spans="1:78" ht="15" customHeight="1">
      <c r="L115" s="219"/>
      <c r="M115" s="219"/>
      <c r="N115" s="219"/>
      <c r="O115" s="219"/>
      <c r="P115" s="219"/>
      <c r="Q115" s="219"/>
      <c r="R115" s="219"/>
      <c r="S115" s="219"/>
      <c r="T115" s="219"/>
      <c r="U115" s="219"/>
      <c r="V115" s="219"/>
      <c r="W115" s="219"/>
    </row>
    <row r="116" spans="1:78" s="219" customFormat="1" ht="15" customHeight="1">
      <c r="A116"/>
      <c r="B116"/>
      <c r="C116"/>
      <c r="D116"/>
      <c r="E116"/>
      <c r="F116"/>
      <c r="G116"/>
      <c r="H116"/>
      <c r="I116"/>
      <c r="J116"/>
      <c r="K116"/>
    </row>
    <row r="117" spans="1:78" ht="15" customHeight="1"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  <c r="V117" s="219"/>
      <c r="W117" s="219"/>
    </row>
    <row r="118" spans="1:78" ht="15" customHeight="1">
      <c r="L118" s="219"/>
      <c r="M118" s="219"/>
      <c r="N118" s="219"/>
      <c r="O118" s="219"/>
      <c r="P118" s="219"/>
      <c r="Q118" s="219"/>
      <c r="R118" s="219"/>
      <c r="S118" s="219"/>
      <c r="T118" s="219"/>
      <c r="U118" s="219"/>
      <c r="V118" s="219"/>
      <c r="W118" s="219"/>
    </row>
    <row r="119" spans="1:78" ht="15" customHeight="1">
      <c r="L119" s="219"/>
      <c r="M119" s="219"/>
      <c r="N119" s="219"/>
      <c r="O119" s="219"/>
      <c r="P119" s="219"/>
      <c r="Q119" s="219"/>
      <c r="R119" s="219"/>
      <c r="S119" s="219"/>
      <c r="T119" s="219"/>
      <c r="U119" s="219"/>
      <c r="V119" s="219"/>
      <c r="W119" s="219"/>
    </row>
    <row r="120" spans="1:78" ht="15" customHeight="1">
      <c r="L120" s="219"/>
      <c r="M120" s="219"/>
      <c r="N120" s="219"/>
      <c r="O120" s="219"/>
      <c r="P120" s="219"/>
      <c r="Q120" s="219"/>
      <c r="R120" s="219"/>
      <c r="S120" s="219"/>
      <c r="T120" s="219"/>
      <c r="U120" s="219"/>
      <c r="V120" s="219"/>
      <c r="W120" s="219"/>
    </row>
    <row r="121" spans="1:78" ht="15.5" customHeight="1">
      <c r="L121" s="219"/>
      <c r="M121" s="219"/>
      <c r="N121" s="219"/>
      <c r="O121" s="219"/>
      <c r="P121" s="219"/>
      <c r="Q121" s="219"/>
      <c r="R121" s="219"/>
      <c r="S121" s="219"/>
      <c r="T121" s="219"/>
      <c r="U121" s="219"/>
      <c r="V121" s="219"/>
      <c r="W121" s="219"/>
    </row>
    <row r="122" spans="1:78" ht="16">
      <c r="L122" s="219"/>
      <c r="M122" s="219"/>
      <c r="N122" s="219"/>
      <c r="O122" s="219"/>
      <c r="P122" s="219"/>
      <c r="Q122" s="219"/>
      <c r="R122" s="219"/>
      <c r="S122" s="219"/>
      <c r="T122" s="219"/>
      <c r="U122" s="219"/>
      <c r="V122" s="264"/>
      <c r="W122" s="264"/>
    </row>
    <row r="123" spans="1:78" ht="16">
      <c r="L123" s="219"/>
      <c r="M123" s="219"/>
      <c r="N123" s="219"/>
      <c r="O123" s="219"/>
      <c r="P123" s="219"/>
      <c r="Q123" s="219"/>
      <c r="R123" s="219"/>
      <c r="S123" s="219"/>
      <c r="T123" s="219"/>
      <c r="U123" s="219"/>
      <c r="V123" s="264"/>
      <c r="W123" s="264"/>
    </row>
    <row r="124" spans="1:78" ht="16">
      <c r="L124" s="219"/>
      <c r="M124" s="219"/>
      <c r="N124" s="219"/>
      <c r="O124" s="219"/>
      <c r="P124" s="219"/>
      <c r="Q124" s="219"/>
      <c r="R124" s="219"/>
      <c r="S124" s="219"/>
      <c r="T124" s="219"/>
      <c r="U124" s="219"/>
      <c r="V124" s="264"/>
      <c r="W124" s="264"/>
    </row>
    <row r="125" spans="1:78" ht="16">
      <c r="L125" s="219"/>
      <c r="M125" s="219"/>
      <c r="N125" s="219"/>
      <c r="O125" s="219"/>
      <c r="P125" s="219"/>
      <c r="Q125" s="219"/>
      <c r="R125" s="219"/>
      <c r="S125" s="219"/>
      <c r="T125" s="219"/>
      <c r="U125" s="219"/>
      <c r="V125" s="264"/>
      <c r="W125" s="264"/>
    </row>
    <row r="126" spans="1:78" ht="16">
      <c r="P126" s="219"/>
      <c r="Q126" s="219"/>
      <c r="R126" s="219"/>
      <c r="S126" s="219"/>
      <c r="T126" s="219"/>
      <c r="U126" s="219"/>
      <c r="V126" s="264"/>
      <c r="W126" s="264"/>
    </row>
    <row r="127" spans="1:78" ht="16">
      <c r="P127" s="219"/>
      <c r="Q127" s="219"/>
      <c r="R127" s="219"/>
      <c r="S127" s="219"/>
      <c r="T127" s="219"/>
      <c r="U127" s="219"/>
      <c r="V127" s="264"/>
      <c r="W127" s="264"/>
      <c r="X127" s="219"/>
      <c r="Y127" s="219"/>
      <c r="Z127" s="219"/>
      <c r="AA127" s="219"/>
      <c r="AB127" s="219"/>
      <c r="AC127" s="219"/>
      <c r="AD127" s="219"/>
      <c r="AE127" s="219"/>
      <c r="AF127" s="219"/>
      <c r="AG127" s="219"/>
      <c r="AH127" s="219"/>
      <c r="AI127" s="219"/>
      <c r="AJ127" s="219"/>
      <c r="AK127" s="219"/>
      <c r="AL127" s="219"/>
      <c r="AM127" s="219"/>
      <c r="AN127" s="219"/>
      <c r="AO127" s="219"/>
      <c r="AP127" s="219"/>
      <c r="AQ127" s="219"/>
      <c r="AR127" s="219"/>
      <c r="AS127" s="219"/>
      <c r="AT127" s="219"/>
      <c r="AU127" s="219"/>
      <c r="AV127" s="219"/>
      <c r="AW127" s="219"/>
      <c r="AX127" s="219"/>
      <c r="AY127" s="219"/>
      <c r="AZ127" s="219"/>
      <c r="BA127" s="219"/>
      <c r="BB127" s="219"/>
      <c r="BC127" s="219"/>
      <c r="BD127" s="219"/>
      <c r="BE127" s="219"/>
      <c r="BF127" s="219"/>
      <c r="BG127" s="219"/>
      <c r="BH127" s="219"/>
      <c r="BI127" s="219"/>
      <c r="BJ127" s="219"/>
      <c r="BK127" s="219"/>
      <c r="BL127" s="219"/>
      <c r="BM127" s="219"/>
      <c r="BN127" s="219"/>
      <c r="BO127" s="219"/>
      <c r="BP127" s="219"/>
      <c r="BQ127" s="219"/>
      <c r="BR127" s="219"/>
      <c r="BS127" s="219"/>
      <c r="BT127" s="219"/>
      <c r="BU127" s="219"/>
      <c r="BV127" s="219"/>
      <c r="BW127" s="219"/>
      <c r="BX127" s="219"/>
      <c r="BY127" s="219"/>
      <c r="BZ127" s="219"/>
    </row>
    <row r="128" spans="1:78" ht="16" outlineLevel="1">
      <c r="AH128" s="219"/>
      <c r="AI128" s="219"/>
      <c r="AJ128" s="219"/>
      <c r="AK128" s="219"/>
      <c r="AL128" s="219"/>
      <c r="AM128" s="219"/>
      <c r="AN128" s="219"/>
      <c r="AO128" s="219"/>
      <c r="AP128" s="219"/>
      <c r="AQ128" s="219"/>
      <c r="AR128" s="219"/>
      <c r="AS128" s="219"/>
      <c r="AT128" s="219"/>
      <c r="AU128" s="219"/>
      <c r="AV128" s="219"/>
      <c r="AW128" s="219"/>
      <c r="AX128" s="219"/>
      <c r="AY128" s="219"/>
      <c r="AZ128" s="219"/>
      <c r="BA128" s="219"/>
      <c r="BB128" s="219"/>
      <c r="BC128" s="219"/>
      <c r="BD128" s="219"/>
      <c r="BE128" s="219"/>
      <c r="BF128" s="219"/>
      <c r="BG128" s="219"/>
      <c r="BH128" s="219"/>
      <c r="BI128" s="219"/>
      <c r="BJ128" s="219"/>
      <c r="BK128" s="219"/>
      <c r="BL128" s="219"/>
      <c r="BM128" s="219"/>
      <c r="BN128" s="219"/>
      <c r="BO128" s="219"/>
      <c r="BP128" s="219"/>
      <c r="BQ128" s="219"/>
      <c r="BR128" s="219"/>
      <c r="BS128" s="219"/>
      <c r="BT128" s="219"/>
      <c r="BU128" s="219"/>
      <c r="BV128" s="219"/>
      <c r="BW128" s="219"/>
      <c r="BX128" s="219"/>
      <c r="BY128" s="219"/>
      <c r="BZ128" s="219"/>
    </row>
    <row r="129" spans="1:78" ht="16" outlineLevel="1">
      <c r="AH129" s="219"/>
      <c r="AI129" s="219"/>
      <c r="AJ129" s="219"/>
      <c r="AK129" s="219"/>
      <c r="AL129" s="219"/>
      <c r="AM129" s="219"/>
      <c r="AN129" s="219"/>
      <c r="AO129" s="219"/>
      <c r="AP129" s="219"/>
      <c r="AQ129" s="219"/>
      <c r="AR129" s="219"/>
      <c r="AS129" s="219"/>
      <c r="AT129" s="219"/>
      <c r="AU129" s="219"/>
      <c r="AV129" s="219"/>
      <c r="AW129" s="219"/>
      <c r="AX129" s="219"/>
      <c r="AY129" s="219"/>
      <c r="AZ129" s="219"/>
      <c r="BA129" s="219"/>
      <c r="BB129" s="219"/>
      <c r="BC129" s="219"/>
      <c r="BD129" s="219"/>
      <c r="BE129" s="219"/>
      <c r="BF129" s="219"/>
      <c r="BG129" s="219"/>
      <c r="BH129" s="219"/>
      <c r="BI129" s="219"/>
      <c r="BJ129" s="219"/>
      <c r="BK129" s="219"/>
      <c r="BL129" s="219"/>
      <c r="BM129" s="219"/>
      <c r="BN129" s="219"/>
      <c r="BO129" s="219"/>
      <c r="BP129" s="219"/>
      <c r="BQ129" s="219"/>
      <c r="BR129" s="219"/>
      <c r="BS129" s="219"/>
      <c r="BT129" s="219"/>
      <c r="BU129" s="219"/>
      <c r="BV129" s="219"/>
      <c r="BW129" s="219"/>
      <c r="BX129" s="219"/>
      <c r="BY129" s="219"/>
      <c r="BZ129" s="219"/>
    </row>
    <row r="130" spans="1:78" ht="16" outlineLevel="1">
      <c r="AH130" s="219"/>
      <c r="AI130" s="219"/>
      <c r="AJ130" s="219"/>
      <c r="AK130" s="219"/>
      <c r="AL130" s="219"/>
      <c r="AM130" s="219"/>
      <c r="AN130" s="219"/>
      <c r="AO130" s="219"/>
      <c r="AP130" s="219"/>
      <c r="AQ130" s="219"/>
      <c r="AR130" s="219"/>
      <c r="AS130" s="219"/>
      <c r="AT130" s="219"/>
      <c r="AU130" s="219"/>
      <c r="AV130" s="219"/>
      <c r="AW130" s="219"/>
      <c r="AX130" s="219"/>
      <c r="AY130" s="219"/>
      <c r="AZ130" s="219"/>
      <c r="BA130" s="219"/>
      <c r="BB130" s="219"/>
      <c r="BC130" s="219"/>
      <c r="BD130" s="219"/>
      <c r="BE130" s="219"/>
      <c r="BF130" s="219"/>
      <c r="BG130" s="219"/>
      <c r="BH130" s="219"/>
      <c r="BI130" s="219"/>
      <c r="BJ130" s="219"/>
      <c r="BK130" s="219"/>
      <c r="BL130" s="219"/>
      <c r="BM130" s="219"/>
      <c r="BN130" s="219"/>
      <c r="BO130" s="219"/>
      <c r="BP130" s="219"/>
      <c r="BQ130" s="219"/>
      <c r="BR130" s="219"/>
      <c r="BS130" s="219"/>
      <c r="BT130" s="219"/>
      <c r="BU130" s="219"/>
      <c r="BV130" s="219"/>
      <c r="BW130" s="219"/>
      <c r="BX130" s="219"/>
      <c r="BY130" s="219"/>
      <c r="BZ130" s="219"/>
    </row>
    <row r="131" spans="1:78" ht="16" outlineLevel="1">
      <c r="AH131" s="267"/>
      <c r="AI131" s="267"/>
      <c r="AJ131" s="267"/>
      <c r="AK131" s="267"/>
      <c r="AL131" s="267"/>
      <c r="AM131" s="267"/>
      <c r="AN131" s="219"/>
      <c r="AO131" s="219"/>
      <c r="AP131" s="219"/>
      <c r="AQ131" s="219"/>
      <c r="AR131" s="219"/>
      <c r="AS131" s="219"/>
      <c r="AT131" s="219"/>
      <c r="AU131" s="219"/>
      <c r="AV131" s="219"/>
      <c r="AW131" s="219"/>
      <c r="AX131" s="219"/>
      <c r="AY131" s="219"/>
      <c r="AZ131" s="219"/>
      <c r="BA131" s="219"/>
      <c r="BB131" s="219"/>
      <c r="BC131" s="219"/>
      <c r="BD131" s="219"/>
      <c r="BE131" s="219"/>
      <c r="BF131" s="219"/>
      <c r="BG131" s="219"/>
      <c r="BH131" s="219"/>
      <c r="BI131" s="219"/>
      <c r="BJ131" s="219"/>
      <c r="BK131" s="219"/>
      <c r="BL131" s="219"/>
      <c r="BM131" s="219"/>
      <c r="BN131" s="219"/>
      <c r="BO131" s="219"/>
      <c r="BP131" s="219"/>
      <c r="BQ131" s="219"/>
      <c r="BR131" s="219"/>
      <c r="BS131" s="219"/>
      <c r="BT131" s="219"/>
      <c r="BU131" s="219"/>
      <c r="BV131" s="219"/>
      <c r="BW131" s="219"/>
      <c r="BX131" s="219"/>
      <c r="BY131" s="219"/>
      <c r="BZ131" s="219"/>
    </row>
    <row r="132" spans="1:78" s="268" customFormat="1" ht="16" outlineLevel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 s="267"/>
      <c r="AI132" s="267"/>
      <c r="AJ132" s="267"/>
      <c r="AK132" s="267"/>
      <c r="AL132" s="267"/>
      <c r="AM132" s="267"/>
      <c r="AN132" s="267"/>
      <c r="AO132" s="267"/>
      <c r="AP132" s="267"/>
      <c r="AQ132" s="267"/>
      <c r="AR132" s="267"/>
      <c r="AS132" s="267"/>
      <c r="AT132" s="267"/>
      <c r="AU132" s="267"/>
      <c r="AV132" s="267"/>
      <c r="AW132" s="267"/>
      <c r="AX132" s="267"/>
      <c r="AY132" s="267"/>
      <c r="AZ132" s="267"/>
      <c r="BA132" s="267"/>
      <c r="BB132" s="267"/>
      <c r="BC132" s="267"/>
      <c r="BD132" s="267"/>
      <c r="BE132" s="267"/>
      <c r="BF132" s="267"/>
      <c r="BG132" s="267"/>
      <c r="BH132" s="267"/>
      <c r="BI132" s="267"/>
      <c r="BJ132" s="267"/>
      <c r="BK132" s="267"/>
      <c r="BL132" s="267"/>
      <c r="BM132" s="267"/>
      <c r="BN132" s="267"/>
      <c r="BO132" s="267"/>
      <c r="BP132" s="267"/>
      <c r="BQ132" s="267"/>
      <c r="BR132" s="267"/>
      <c r="BS132" s="267"/>
      <c r="BT132" s="267"/>
      <c r="BU132" s="267"/>
      <c r="BV132" s="267"/>
      <c r="BW132" s="267"/>
      <c r="BX132" s="267"/>
      <c r="BY132" s="267"/>
      <c r="BZ132" s="267"/>
    </row>
    <row r="133" spans="1:78" ht="16" outlineLevel="1">
      <c r="AH133" s="219"/>
      <c r="AI133" s="219"/>
      <c r="AJ133" s="219"/>
      <c r="AK133" s="219"/>
      <c r="AL133" s="219"/>
      <c r="AM133" s="219"/>
      <c r="AN133" s="219"/>
      <c r="AO133" s="219"/>
      <c r="AP133" s="219"/>
      <c r="AQ133" s="219"/>
      <c r="AR133" s="219"/>
      <c r="AS133" s="219"/>
      <c r="AT133" s="219"/>
      <c r="AU133" s="219"/>
      <c r="AV133" s="219"/>
      <c r="AW133" s="219"/>
      <c r="AX133" s="219"/>
      <c r="AY133" s="219"/>
      <c r="AZ133" s="219"/>
      <c r="BA133" s="219"/>
      <c r="BB133" s="219"/>
      <c r="BC133" s="219"/>
      <c r="BD133" s="219"/>
      <c r="BE133" s="219"/>
      <c r="BF133" s="219"/>
      <c r="BG133" s="219"/>
      <c r="BH133" s="219"/>
      <c r="BI133" s="219"/>
      <c r="BJ133" s="219"/>
      <c r="BK133" s="219"/>
      <c r="BL133" s="219"/>
      <c r="BM133" s="219"/>
      <c r="BN133" s="219"/>
      <c r="BO133" s="219"/>
      <c r="BP133" s="219"/>
      <c r="BQ133" s="219"/>
      <c r="BR133" s="219"/>
      <c r="BS133" s="219"/>
      <c r="BT133" s="219"/>
      <c r="BU133" s="219"/>
      <c r="BV133" s="219"/>
      <c r="BW133" s="219"/>
      <c r="BX133" s="219"/>
      <c r="BY133" s="219"/>
      <c r="BZ133" s="219"/>
    </row>
    <row r="134" spans="1:78" ht="16" outlineLevel="1">
      <c r="AH134" s="219"/>
      <c r="AI134" s="219"/>
      <c r="AJ134" s="219"/>
      <c r="AK134" s="219"/>
      <c r="AL134" s="219"/>
      <c r="AM134" s="219"/>
      <c r="AN134" s="219"/>
      <c r="AO134" s="219"/>
      <c r="AP134" s="219"/>
      <c r="AQ134" s="219"/>
      <c r="AR134" s="219"/>
      <c r="AS134" s="219"/>
      <c r="AT134" s="219"/>
      <c r="AU134" s="219"/>
      <c r="AV134" s="219"/>
      <c r="AW134" s="219"/>
      <c r="AX134" s="219"/>
      <c r="AY134" s="219"/>
      <c r="AZ134" s="219"/>
      <c r="BA134" s="219"/>
      <c r="BB134" s="219"/>
      <c r="BC134" s="219"/>
      <c r="BD134" s="219"/>
      <c r="BE134" s="219"/>
      <c r="BF134" s="219"/>
      <c r="BG134" s="219"/>
      <c r="BH134" s="219"/>
      <c r="BI134" s="219"/>
      <c r="BJ134" s="219"/>
      <c r="BK134" s="219"/>
      <c r="BL134" s="219"/>
      <c r="BM134" s="219"/>
      <c r="BN134" s="219"/>
      <c r="BO134" s="219"/>
      <c r="BP134" s="219"/>
      <c r="BQ134" s="219"/>
      <c r="BR134" s="219"/>
      <c r="BS134" s="219"/>
      <c r="BT134" s="219"/>
      <c r="BU134" s="219"/>
      <c r="BV134" s="219"/>
      <c r="BW134" s="219"/>
      <c r="BX134" s="219"/>
      <c r="BY134" s="219"/>
      <c r="BZ134" s="219"/>
    </row>
    <row r="135" spans="1:78" ht="16" outlineLevel="1">
      <c r="AH135" s="219"/>
      <c r="AI135" s="219"/>
      <c r="AJ135" s="219"/>
      <c r="AK135" s="219"/>
      <c r="AL135" s="219"/>
      <c r="AM135" s="219"/>
      <c r="AN135" s="219"/>
      <c r="AO135" s="219"/>
      <c r="AP135" s="219"/>
      <c r="AQ135" s="219"/>
      <c r="AR135" s="219"/>
      <c r="AS135" s="219"/>
      <c r="AT135" s="219"/>
      <c r="AU135" s="219"/>
      <c r="AV135" s="219"/>
      <c r="AW135" s="219"/>
      <c r="AX135" s="219"/>
      <c r="AY135" s="219"/>
      <c r="AZ135" s="219"/>
      <c r="BA135" s="219"/>
      <c r="BB135" s="219"/>
      <c r="BC135" s="219"/>
      <c r="BD135" s="219"/>
      <c r="BE135" s="219"/>
      <c r="BF135" s="219"/>
      <c r="BG135" s="219"/>
      <c r="BH135" s="219"/>
      <c r="BI135" s="219"/>
      <c r="BJ135" s="219"/>
      <c r="BK135" s="219"/>
      <c r="BL135" s="219"/>
      <c r="BM135" s="219"/>
      <c r="BN135" s="219"/>
      <c r="BO135" s="219"/>
      <c r="BP135" s="219"/>
      <c r="BQ135" s="219"/>
      <c r="BR135" s="219"/>
      <c r="BS135" s="219"/>
      <c r="BT135" s="219"/>
      <c r="BU135" s="219"/>
      <c r="BV135" s="219"/>
      <c r="BW135" s="219"/>
      <c r="BX135" s="219"/>
      <c r="BY135" s="219"/>
      <c r="BZ135" s="219"/>
    </row>
    <row r="136" spans="1:78" ht="16" outlineLevel="1">
      <c r="AH136" s="219"/>
      <c r="AI136" s="219"/>
      <c r="AJ136" s="219"/>
      <c r="AK136" s="219"/>
      <c r="AL136" s="219"/>
      <c r="AM136" s="219"/>
      <c r="AN136" s="219"/>
      <c r="AO136" s="219"/>
      <c r="AP136" s="219"/>
      <c r="AQ136" s="219"/>
      <c r="AR136" s="219"/>
      <c r="AS136" s="219"/>
      <c r="AT136" s="219"/>
      <c r="AU136" s="219"/>
      <c r="AV136" s="219"/>
      <c r="AW136" s="219"/>
      <c r="AX136" s="219"/>
      <c r="AY136" s="219"/>
      <c r="AZ136" s="219"/>
      <c r="BA136" s="219"/>
      <c r="BB136" s="219"/>
      <c r="BC136" s="219"/>
      <c r="BD136" s="219"/>
      <c r="BE136" s="219"/>
      <c r="BF136" s="219"/>
      <c r="BG136" s="219"/>
      <c r="BH136" s="219"/>
      <c r="BI136" s="219"/>
      <c r="BJ136" s="219"/>
      <c r="BK136" s="219"/>
      <c r="BL136" s="219"/>
      <c r="BM136" s="219"/>
      <c r="BN136" s="219"/>
      <c r="BO136" s="219"/>
      <c r="BP136" s="219"/>
      <c r="BQ136" s="219"/>
      <c r="BR136" s="219"/>
      <c r="BS136" s="219"/>
      <c r="BT136" s="219"/>
      <c r="BU136" s="219"/>
      <c r="BV136" s="219"/>
      <c r="BW136" s="219"/>
      <c r="BX136" s="219"/>
      <c r="BY136" s="219"/>
      <c r="BZ136" s="219"/>
    </row>
    <row r="137" spans="1:78" ht="16" outlineLevel="1">
      <c r="AH137" s="219"/>
      <c r="AI137" s="219"/>
      <c r="AJ137" s="219"/>
      <c r="AK137" s="219"/>
      <c r="AL137" s="219"/>
      <c r="AM137" s="219"/>
      <c r="AN137" s="219"/>
      <c r="AO137" s="219"/>
      <c r="AP137" s="219"/>
      <c r="AQ137" s="219"/>
      <c r="AR137" s="219"/>
      <c r="AS137" s="219"/>
      <c r="AT137" s="219"/>
      <c r="AU137" s="219"/>
      <c r="AV137" s="219"/>
      <c r="AW137" s="219"/>
      <c r="AX137" s="219"/>
      <c r="AY137" s="219"/>
      <c r="AZ137" s="219"/>
      <c r="BA137" s="219"/>
      <c r="BB137" s="219"/>
      <c r="BC137" s="219"/>
      <c r="BD137" s="219"/>
      <c r="BE137" s="219"/>
      <c r="BF137" s="219"/>
      <c r="BG137" s="219"/>
      <c r="BH137" s="219"/>
      <c r="BI137" s="219"/>
      <c r="BJ137" s="219"/>
      <c r="BK137" s="219"/>
      <c r="BL137" s="219"/>
      <c r="BM137" s="219"/>
      <c r="BN137" s="219"/>
      <c r="BO137" s="219"/>
      <c r="BP137" s="219"/>
      <c r="BQ137" s="219"/>
      <c r="BR137" s="219"/>
      <c r="BS137" s="219"/>
      <c r="BT137" s="219"/>
      <c r="BU137" s="219"/>
      <c r="BV137" s="219"/>
      <c r="BW137" s="219"/>
      <c r="BX137" s="219"/>
      <c r="BY137" s="219"/>
      <c r="BZ137" s="219"/>
    </row>
    <row r="138" spans="1:78" ht="16" outlineLevel="1">
      <c r="AH138" s="219"/>
      <c r="AI138" s="219"/>
      <c r="AJ138" s="219"/>
      <c r="AK138" s="219"/>
      <c r="AL138" s="219"/>
      <c r="AM138" s="219"/>
      <c r="AN138" s="219"/>
      <c r="AO138" s="219"/>
      <c r="AP138" s="219"/>
      <c r="AQ138" s="219"/>
      <c r="AR138" s="219"/>
      <c r="AS138" s="219"/>
      <c r="AT138" s="219"/>
      <c r="AU138" s="219"/>
      <c r="AV138" s="219"/>
      <c r="AW138" s="219"/>
      <c r="AX138" s="219"/>
      <c r="AY138" s="219"/>
      <c r="AZ138" s="219"/>
      <c r="BA138" s="219"/>
      <c r="BB138" s="219"/>
      <c r="BC138" s="219"/>
      <c r="BD138" s="219"/>
      <c r="BE138" s="219"/>
      <c r="BF138" s="219"/>
      <c r="BG138" s="219"/>
      <c r="BH138" s="219"/>
      <c r="BI138" s="219"/>
      <c r="BJ138" s="219"/>
      <c r="BK138" s="219"/>
      <c r="BL138" s="219"/>
      <c r="BM138" s="219"/>
      <c r="BN138" s="219"/>
      <c r="BO138" s="219"/>
      <c r="BP138" s="219"/>
      <c r="BQ138" s="219"/>
      <c r="BR138" s="219"/>
      <c r="BS138" s="219"/>
      <c r="BT138" s="219"/>
      <c r="BU138" s="219"/>
      <c r="BV138" s="219"/>
      <c r="BW138" s="219"/>
      <c r="BX138" s="219"/>
      <c r="BY138" s="219"/>
      <c r="BZ138" s="219"/>
    </row>
    <row r="139" spans="1:78" ht="16" outlineLevel="1">
      <c r="AH139" s="219"/>
      <c r="AI139" s="219"/>
      <c r="AJ139" s="219"/>
      <c r="AK139" s="219"/>
      <c r="AL139" s="219"/>
      <c r="AM139" s="219"/>
      <c r="AN139" s="219"/>
      <c r="AO139" s="219"/>
      <c r="AP139" s="219"/>
      <c r="AQ139" s="219"/>
      <c r="AR139" s="219"/>
      <c r="AS139" s="219"/>
      <c r="AT139" s="219"/>
      <c r="AU139" s="219"/>
      <c r="AV139" s="219"/>
      <c r="AW139" s="219"/>
      <c r="AX139" s="219"/>
      <c r="AY139" s="219"/>
      <c r="AZ139" s="219"/>
      <c r="BA139" s="219"/>
      <c r="BB139" s="219"/>
      <c r="BC139" s="219"/>
      <c r="BD139" s="219"/>
      <c r="BE139" s="219"/>
      <c r="BF139" s="219"/>
      <c r="BG139" s="219"/>
      <c r="BH139" s="219"/>
      <c r="BI139" s="219"/>
      <c r="BJ139" s="219"/>
      <c r="BK139" s="219"/>
      <c r="BL139" s="219"/>
      <c r="BM139" s="219"/>
      <c r="BN139" s="219"/>
      <c r="BO139" s="219"/>
      <c r="BP139" s="219"/>
      <c r="BQ139" s="219"/>
      <c r="BR139" s="219"/>
      <c r="BS139" s="219"/>
      <c r="BT139" s="219"/>
      <c r="BU139" s="219"/>
      <c r="BV139" s="219"/>
      <c r="BW139" s="219"/>
      <c r="BX139" s="219"/>
      <c r="BY139" s="219"/>
      <c r="BZ139" s="219"/>
    </row>
    <row r="140" spans="1:78" ht="16" outlineLevel="1">
      <c r="AH140" s="219"/>
      <c r="AI140" s="219"/>
      <c r="AJ140" s="219"/>
      <c r="AK140" s="219"/>
      <c r="AL140" s="219"/>
      <c r="AM140" s="219"/>
      <c r="AN140" s="219"/>
      <c r="AO140" s="219"/>
      <c r="AP140" s="219"/>
      <c r="AQ140" s="219"/>
      <c r="AR140" s="219"/>
      <c r="AS140" s="219"/>
      <c r="AT140" s="219"/>
      <c r="AU140" s="219"/>
      <c r="AV140" s="219"/>
      <c r="AW140" s="219"/>
      <c r="AX140" s="219"/>
      <c r="AY140" s="219"/>
      <c r="AZ140" s="219"/>
      <c r="BA140" s="219"/>
      <c r="BB140" s="219"/>
      <c r="BC140" s="219"/>
      <c r="BD140" s="219"/>
      <c r="BE140" s="219"/>
      <c r="BF140" s="219"/>
      <c r="BG140" s="219"/>
      <c r="BH140" s="219"/>
      <c r="BI140" s="219"/>
      <c r="BJ140" s="219"/>
      <c r="BK140" s="219"/>
      <c r="BL140" s="219"/>
      <c r="BM140" s="219"/>
      <c r="BN140" s="219"/>
      <c r="BO140" s="219"/>
      <c r="BP140" s="219"/>
      <c r="BQ140" s="219"/>
      <c r="BR140" s="219"/>
      <c r="BS140" s="219"/>
      <c r="BT140" s="219"/>
      <c r="BU140" s="219"/>
      <c r="BV140" s="219"/>
      <c r="BW140" s="219"/>
      <c r="BX140" s="219"/>
      <c r="BY140" s="219"/>
      <c r="BZ140" s="219"/>
    </row>
    <row r="141" spans="1:78" ht="16" outlineLevel="1">
      <c r="AH141" s="219"/>
      <c r="AI141" s="219"/>
      <c r="AJ141" s="219"/>
      <c r="AK141" s="219"/>
      <c r="AL141" s="219"/>
      <c r="AM141" s="219"/>
      <c r="AN141" s="219"/>
      <c r="AO141" s="219"/>
      <c r="AP141" s="219"/>
      <c r="AQ141" s="219"/>
      <c r="AR141" s="219"/>
      <c r="AS141" s="219"/>
      <c r="AT141" s="219"/>
      <c r="AU141" s="219"/>
      <c r="AV141" s="219"/>
      <c r="AW141" s="219"/>
      <c r="AX141" s="219"/>
      <c r="AY141" s="219"/>
      <c r="AZ141" s="219"/>
      <c r="BA141" s="219"/>
      <c r="BB141" s="219"/>
      <c r="BC141" s="219"/>
      <c r="BD141" s="219"/>
      <c r="BE141" s="219"/>
      <c r="BF141" s="219"/>
      <c r="BG141" s="219"/>
      <c r="BH141" s="219"/>
      <c r="BI141" s="219"/>
      <c r="BJ141" s="219"/>
      <c r="BK141" s="219"/>
      <c r="BL141" s="219"/>
      <c r="BM141" s="219"/>
      <c r="BN141" s="219"/>
      <c r="BO141" s="219"/>
      <c r="BP141" s="219"/>
      <c r="BQ141" s="219"/>
      <c r="BR141" s="219"/>
      <c r="BS141" s="219"/>
      <c r="BT141" s="219"/>
      <c r="BU141" s="219"/>
      <c r="BV141" s="219"/>
      <c r="BW141" s="219"/>
      <c r="BX141" s="219"/>
      <c r="BY141" s="219"/>
      <c r="BZ141" s="219"/>
    </row>
    <row r="142" spans="1:78" ht="16" outlineLevel="1">
      <c r="AH142" s="219"/>
      <c r="AI142" s="219"/>
      <c r="AJ142" s="219"/>
      <c r="AK142" s="219"/>
      <c r="AL142" s="219"/>
      <c r="AM142" s="219"/>
      <c r="AN142" s="219"/>
      <c r="AO142" s="219"/>
      <c r="AP142" s="219"/>
      <c r="AQ142" s="219"/>
      <c r="AR142" s="219"/>
      <c r="AS142" s="219"/>
      <c r="AT142" s="219"/>
      <c r="AU142" s="219"/>
      <c r="AV142" s="219"/>
      <c r="AW142" s="219"/>
      <c r="AX142" s="219"/>
      <c r="AY142" s="219"/>
      <c r="AZ142" s="219"/>
      <c r="BA142" s="219"/>
      <c r="BB142" s="219"/>
      <c r="BC142" s="219"/>
      <c r="BD142" s="219"/>
      <c r="BE142" s="219"/>
      <c r="BF142" s="219"/>
      <c r="BG142" s="219"/>
      <c r="BH142" s="219"/>
      <c r="BI142" s="219"/>
      <c r="BJ142" s="219"/>
      <c r="BK142" s="219"/>
      <c r="BL142" s="219"/>
      <c r="BM142" s="219"/>
      <c r="BN142" s="219"/>
      <c r="BO142" s="219"/>
      <c r="BP142" s="219"/>
      <c r="BQ142" s="219"/>
      <c r="BR142" s="219"/>
      <c r="BS142" s="219"/>
      <c r="BT142" s="219"/>
      <c r="BU142" s="219"/>
      <c r="BV142" s="219"/>
      <c r="BW142" s="219"/>
      <c r="BX142" s="219"/>
      <c r="BY142" s="219"/>
      <c r="BZ142" s="219"/>
    </row>
    <row r="143" spans="1:78" outlineLevel="1"/>
    <row r="144" spans="1:78" outlineLevel="1"/>
    <row r="145" outlineLevel="1"/>
    <row r="146" outlineLevel="1"/>
    <row r="147" outlineLevel="1"/>
    <row r="148" outlineLevel="1"/>
    <row r="149" outlineLevel="1"/>
    <row r="150" outlineLevel="1"/>
    <row r="151" outlineLevel="1"/>
    <row r="152" outlineLevel="1"/>
    <row r="153" outlineLevel="1"/>
    <row r="154" outlineLevel="1"/>
    <row r="155" outlineLevel="1"/>
    <row r="156" outlineLevel="1"/>
  </sheetData>
  <mergeCells count="2">
    <mergeCell ref="A2:G2"/>
    <mergeCell ref="A99:K99"/>
  </mergeCells>
  <conditionalFormatting sqref="Q17:Q19">
    <cfRule type="expression" dxfId="4" priority="3" stopIfTrue="1">
      <formula>$Q$17&gt;$P$17</formula>
    </cfRule>
  </conditionalFormatting>
  <conditionalFormatting sqref="Q18">
    <cfRule type="expression" dxfId="3" priority="2" stopIfTrue="1">
      <formula>$Q$18&gt;$P$18</formula>
    </cfRule>
  </conditionalFormatting>
  <conditionalFormatting sqref="Q19">
    <cfRule type="expression" dxfId="2" priority="1" stopIfTrue="1">
      <formula>$Q$19&gt;$P$19</formula>
    </cfRule>
  </conditionalFormatting>
  <hyperlinks>
    <hyperlink ref="C13" location="Input!B109:E117" display="Sitework &amp; Related Fees (1)" xr:uid="{C9E48962-DBC8-4832-9D08-1203ACC64B98}"/>
  </hyperlinks>
  <pageMargins left="0.45" right="0.2" top="0.75" bottom="0.25" header="0.3" footer="0.3"/>
  <pageSetup scale="28" fitToWidth="2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AE71"/>
  <sheetViews>
    <sheetView showGridLines="0" zoomScale="98" zoomScaleNormal="98" workbookViewId="0">
      <selection activeCell="C4" sqref="C4"/>
    </sheetView>
  </sheetViews>
  <sheetFormatPr baseColWidth="10" defaultColWidth="9.5" defaultRowHeight="15"/>
  <cols>
    <col min="1" max="3" width="11.5" customWidth="1"/>
    <col min="4" max="4" width="11" customWidth="1"/>
    <col min="5" max="5" width="11.5" customWidth="1"/>
    <col min="6" max="6" width="12.5" bestFit="1" customWidth="1"/>
    <col min="7" max="7" width="14" customWidth="1"/>
    <col min="8" max="8" width="13.5" customWidth="1"/>
    <col min="9" max="9" width="10.5" bestFit="1" customWidth="1"/>
    <col min="11" max="11" width="17.5" bestFit="1" customWidth="1"/>
    <col min="13" max="13" width="13.5" bestFit="1" customWidth="1"/>
    <col min="14" max="14" width="13.1640625" bestFit="1" customWidth="1"/>
    <col min="15" max="19" width="10" customWidth="1"/>
    <col min="21" max="21" width="13.5" bestFit="1" customWidth="1"/>
    <col min="25" max="25" width="11.5" bestFit="1" customWidth="1"/>
  </cols>
  <sheetData>
    <row r="1" spans="1:31" ht="21">
      <c r="A1" s="837" t="str">
        <f>ProjName</f>
        <v>Columbia at Independence Heights (NO QCT)</v>
      </c>
      <c r="K1" s="466" t="s">
        <v>420</v>
      </c>
      <c r="L1" s="1318"/>
    </row>
    <row r="2" spans="1:31">
      <c r="A2" s="515" t="s">
        <v>9</v>
      </c>
      <c r="K2" s="995">
        <f>'Summary Sources-Uses'!L1</f>
        <v>45960</v>
      </c>
      <c r="N2">
        <v>1792</v>
      </c>
      <c r="T2">
        <v>42400</v>
      </c>
      <c r="U2">
        <f>T2+T3+T4</f>
        <v>210700</v>
      </c>
    </row>
    <row r="3" spans="1:31">
      <c r="A3" s="2"/>
      <c r="H3" s="66" t="s">
        <v>763</v>
      </c>
      <c r="N3">
        <f>(N2*0.1)+N2</f>
        <v>1971.2</v>
      </c>
      <c r="T3">
        <v>129600</v>
      </c>
      <c r="U3">
        <f>U2*12</f>
        <v>2528400</v>
      </c>
    </row>
    <row r="4" spans="1:31">
      <c r="A4" s="2" t="s">
        <v>386</v>
      </c>
      <c r="H4" s="66" t="s">
        <v>762</v>
      </c>
      <c r="T4">
        <v>38700</v>
      </c>
    </row>
    <row r="5" spans="1:31">
      <c r="H5" s="66" t="s">
        <v>764</v>
      </c>
    </row>
    <row r="6" spans="1:31" ht="32">
      <c r="A6" s="304" t="s">
        <v>265</v>
      </c>
      <c r="B6" s="304" t="s">
        <v>266</v>
      </c>
      <c r="C6" s="304" t="s">
        <v>274</v>
      </c>
      <c r="D6" s="304" t="s">
        <v>267</v>
      </c>
      <c r="E6" s="304" t="s">
        <v>268</v>
      </c>
      <c r="F6" s="304" t="s">
        <v>269</v>
      </c>
      <c r="G6" s="304" t="s">
        <v>22</v>
      </c>
      <c r="H6" s="304" t="s">
        <v>270</v>
      </c>
      <c r="I6" s="304" t="s">
        <v>271</v>
      </c>
      <c r="J6" s="304"/>
      <c r="K6" s="304" t="s">
        <v>272</v>
      </c>
      <c r="N6" s="297">
        <f>F12*1.1</f>
        <v>1639.0000000000002</v>
      </c>
      <c r="O6" s="297">
        <f>F18*1.1</f>
        <v>1815.0000000000002</v>
      </c>
      <c r="P6" s="297">
        <f>F24*1.1</f>
        <v>2145</v>
      </c>
      <c r="U6" s="1534">
        <f>U3*20</f>
        <v>50568000</v>
      </c>
      <c r="V6" s="305"/>
    </row>
    <row r="7" spans="1:31">
      <c r="A7" s="475" t="s">
        <v>12</v>
      </c>
      <c r="B7" s="476" t="str">
        <f>N28</f>
        <v>30% PBV</v>
      </c>
      <c r="C7" s="477">
        <f t="shared" ref="C7:C23" si="0">IFERROR(INDEX(IncomeLimits,MATCH($B7,SetAsides,0)),"")</f>
        <v>0.3</v>
      </c>
      <c r="D7" s="522">
        <v>6</v>
      </c>
      <c r="E7" s="478">
        <f t="shared" ref="E7:E23" si="1">IF(LEN($B7)&gt;1,INDEX(UnitSFAvg,MATCH($A7,UnitTypes,0)),"")</f>
        <v>665</v>
      </c>
      <c r="F7" s="518">
        <f>H7-G7</f>
        <v>1531</v>
      </c>
      <c r="G7" s="479">
        <f>-F70</f>
        <v>-206</v>
      </c>
      <c r="H7" s="479">
        <v>1325</v>
      </c>
      <c r="I7" s="480">
        <f>IFERROR(H7/E7,"")</f>
        <v>1.9924812030075187</v>
      </c>
      <c r="J7" s="481"/>
      <c r="K7" s="479">
        <f>IFERROR(H7*12*D7,"")</f>
        <v>95400</v>
      </c>
      <c r="L7" s="958" t="s">
        <v>389</v>
      </c>
      <c r="P7" s="273"/>
      <c r="V7" s="305"/>
      <c r="AB7" s="4"/>
      <c r="AC7" s="50"/>
      <c r="AD7" s="306"/>
      <c r="AE7" s="288"/>
    </row>
    <row r="8" spans="1:31">
      <c r="A8" s="475" t="s">
        <v>12</v>
      </c>
      <c r="B8" s="476" t="str">
        <f>N29</f>
        <v>50% PBV</v>
      </c>
      <c r="C8" s="477">
        <f t="shared" si="0"/>
        <v>0.5</v>
      </c>
      <c r="D8" s="522">
        <v>6</v>
      </c>
      <c r="E8" s="478">
        <f t="shared" si="1"/>
        <v>665</v>
      </c>
      <c r="F8" s="518">
        <f>H8-G8</f>
        <v>1531</v>
      </c>
      <c r="G8" s="479">
        <f>-F70</f>
        <v>-206</v>
      </c>
      <c r="H8" s="479">
        <v>1325</v>
      </c>
      <c r="I8" s="480">
        <f>IFERROR(H8/E8,"")</f>
        <v>1.9924812030075187</v>
      </c>
      <c r="J8" s="481"/>
      <c r="K8" s="479">
        <f t="shared" ref="K8:K16" si="2">IFERROR(H8*12*D8,"")</f>
        <v>95400</v>
      </c>
      <c r="L8" s="958" t="s">
        <v>389</v>
      </c>
      <c r="N8" s="2" t="s">
        <v>382</v>
      </c>
      <c r="R8" s="315">
        <f>D7+D8+D9+D13+D14+D15+D19+D20+D21</f>
        <v>131</v>
      </c>
      <c r="AB8" s="4"/>
      <c r="AC8" s="50"/>
      <c r="AD8" s="306"/>
      <c r="AE8" s="288"/>
    </row>
    <row r="9" spans="1:31">
      <c r="A9" s="475" t="s">
        <v>12</v>
      </c>
      <c r="B9" s="476" t="s">
        <v>381</v>
      </c>
      <c r="C9" s="477">
        <v>0.6</v>
      </c>
      <c r="D9" s="522">
        <v>20</v>
      </c>
      <c r="E9" s="478">
        <f t="shared" si="1"/>
        <v>665</v>
      </c>
      <c r="F9" s="518">
        <f>N6-G9</f>
        <v>1845.0000000000002</v>
      </c>
      <c r="G9" s="479">
        <f>-F70</f>
        <v>-206</v>
      </c>
      <c r="H9" s="479">
        <v>1325</v>
      </c>
      <c r="I9" s="480">
        <f>IFERROR(H9/E9,"")</f>
        <v>1.9924812030075187</v>
      </c>
      <c r="J9" s="481"/>
      <c r="K9" s="479">
        <f t="shared" si="2"/>
        <v>318000</v>
      </c>
      <c r="L9" s="958" t="s">
        <v>389</v>
      </c>
      <c r="N9" s="2" t="s">
        <v>383</v>
      </c>
      <c r="R9" s="465">
        <v>1.1000000000000001</v>
      </c>
      <c r="S9" t="s">
        <v>384</v>
      </c>
      <c r="AB9" s="4"/>
      <c r="AC9" s="50"/>
      <c r="AD9" s="306"/>
      <c r="AE9" s="288"/>
    </row>
    <row r="10" spans="1:31">
      <c r="A10" s="482" t="s">
        <v>12</v>
      </c>
      <c r="B10" s="483" t="str">
        <f>N30</f>
        <v>60% LIHTC</v>
      </c>
      <c r="C10" s="484">
        <f t="shared" si="0"/>
        <v>0.6</v>
      </c>
      <c r="D10" s="523">
        <v>26</v>
      </c>
      <c r="E10" s="485">
        <f t="shared" si="1"/>
        <v>665</v>
      </c>
      <c r="F10" s="519">
        <v>1137</v>
      </c>
      <c r="G10" s="486">
        <f>-F70</f>
        <v>-206</v>
      </c>
      <c r="H10" s="486">
        <f>IF(SUM(F10:G10)&gt;0,SUM(F10:G10),"")</f>
        <v>931</v>
      </c>
      <c r="I10" s="487">
        <f t="shared" ref="I10:I16" si="3">IFERROR(H10/E10,"")</f>
        <v>1.4</v>
      </c>
      <c r="J10" s="488"/>
      <c r="K10" s="486">
        <f t="shared" si="2"/>
        <v>290472</v>
      </c>
      <c r="L10" s="959" t="s">
        <v>388</v>
      </c>
      <c r="N10" t="s">
        <v>385</v>
      </c>
      <c r="R10" s="315">
        <f>D26-D11-D12-D17-D18-D24</f>
        <v>212</v>
      </c>
      <c r="AB10" s="4"/>
      <c r="AC10" s="50"/>
      <c r="AD10" s="306"/>
      <c r="AE10" s="288"/>
    </row>
    <row r="11" spans="1:31">
      <c r="A11" s="4" t="s">
        <v>12</v>
      </c>
      <c r="B11" s="50" t="str">
        <f>N31</f>
        <v>80% LIHTC</v>
      </c>
      <c r="C11" s="306">
        <f t="shared" si="0"/>
        <v>0.8</v>
      </c>
      <c r="D11" s="524">
        <v>0</v>
      </c>
      <c r="E11" s="288">
        <f t="shared" si="1"/>
        <v>665</v>
      </c>
      <c r="F11" s="317">
        <v>1517</v>
      </c>
      <c r="G11" s="479">
        <f>-F70</f>
        <v>-206</v>
      </c>
      <c r="H11" s="1231">
        <f>IF(SUM(F11:G11)&gt;0,SUM(F11:G11),"")</f>
        <v>1311</v>
      </c>
      <c r="I11" s="289">
        <f t="shared" si="3"/>
        <v>1.9714285714285715</v>
      </c>
      <c r="K11" s="42">
        <f t="shared" si="2"/>
        <v>0</v>
      </c>
      <c r="L11" s="960" t="s">
        <v>388</v>
      </c>
      <c r="O11" s="80"/>
      <c r="P11" s="42"/>
      <c r="Q11" s="42"/>
      <c r="R11" s="42"/>
      <c r="W11">
        <f>1135*1.1</f>
        <v>1248.5</v>
      </c>
      <c r="AB11" s="4"/>
      <c r="AC11" s="50"/>
      <c r="AD11" s="306"/>
      <c r="AE11" s="288"/>
    </row>
    <row r="12" spans="1:31">
      <c r="A12" s="489" t="s">
        <v>12</v>
      </c>
      <c r="B12" s="490" t="str">
        <f>N37</f>
        <v>Market</v>
      </c>
      <c r="C12" s="491" t="s">
        <v>379</v>
      </c>
      <c r="D12" s="525">
        <v>7</v>
      </c>
      <c r="E12" s="492">
        <f t="shared" si="1"/>
        <v>665</v>
      </c>
      <c r="F12" s="520">
        <v>1490</v>
      </c>
      <c r="G12" s="493" t="str">
        <f>IFERROR(IF(INDEX(RentRange,MATCH("UA's",RentRow,0),MATCH($B12,RentColumn,0))="Y",
IFERROR(-INDEX(RentRange,MATCH($A12,RentRow,0),MATCH(G$6,RentColumn,0)),""),""),"")</f>
        <v/>
      </c>
      <c r="H12" s="493">
        <f>IF(SUM(F12:G12)&gt;0,SUM(F12:G12),"")</f>
        <v>1490</v>
      </c>
      <c r="I12" s="494">
        <f>IFERROR(H12/E12,"")</f>
        <v>2.2406015037593985</v>
      </c>
      <c r="J12" s="495"/>
      <c r="K12" s="493">
        <f t="shared" si="2"/>
        <v>125160</v>
      </c>
      <c r="L12" s="961" t="s">
        <v>390</v>
      </c>
      <c r="O12" s="80"/>
      <c r="P12" s="305"/>
      <c r="W12">
        <f>1357*1.1</f>
        <v>1492.7</v>
      </c>
      <c r="AB12" s="4"/>
      <c r="AC12" s="50"/>
      <c r="AD12" s="463"/>
      <c r="AE12" s="288"/>
    </row>
    <row r="13" spans="1:31">
      <c r="A13" s="475" t="s">
        <v>13</v>
      </c>
      <c r="B13" s="481" t="str">
        <f t="shared" ref="B13:B24" si="4">B7</f>
        <v>30% PBV</v>
      </c>
      <c r="C13" s="477">
        <f t="shared" si="0"/>
        <v>0.3</v>
      </c>
      <c r="D13" s="522">
        <v>12</v>
      </c>
      <c r="E13" s="478">
        <f t="shared" si="1"/>
        <v>850</v>
      </c>
      <c r="F13" s="518">
        <f>H13-G13</f>
        <v>1869</v>
      </c>
      <c r="G13" s="479">
        <f>-G70</f>
        <v>-269</v>
      </c>
      <c r="H13" s="479">
        <v>1600</v>
      </c>
      <c r="I13" s="480">
        <f t="shared" si="3"/>
        <v>1.8823529411764706</v>
      </c>
      <c r="J13" s="481"/>
      <c r="K13" s="479">
        <f t="shared" si="2"/>
        <v>230400</v>
      </c>
      <c r="L13" s="958" t="s">
        <v>389</v>
      </c>
      <c r="W13">
        <f>1792*1.1</f>
        <v>1971.2000000000003</v>
      </c>
      <c r="AB13" s="4"/>
      <c r="AD13" s="306"/>
      <c r="AE13" s="288"/>
    </row>
    <row r="14" spans="1:31">
      <c r="A14" s="475" t="s">
        <v>13</v>
      </c>
      <c r="B14" s="481" t="str">
        <f t="shared" si="4"/>
        <v>50% PBV</v>
      </c>
      <c r="C14" s="477">
        <f t="shared" si="0"/>
        <v>0.5</v>
      </c>
      <c r="D14" s="522">
        <v>12</v>
      </c>
      <c r="E14" s="478">
        <f t="shared" si="1"/>
        <v>850</v>
      </c>
      <c r="F14" s="518">
        <f>H14-G14</f>
        <v>1869</v>
      </c>
      <c r="G14" s="479">
        <f>-G70</f>
        <v>-269</v>
      </c>
      <c r="H14" s="479">
        <v>1600</v>
      </c>
      <c r="I14" s="480">
        <f t="shared" si="3"/>
        <v>1.8823529411764706</v>
      </c>
      <c r="J14" s="481"/>
      <c r="K14" s="479">
        <f t="shared" si="2"/>
        <v>230400</v>
      </c>
      <c r="L14" s="958" t="s">
        <v>389</v>
      </c>
      <c r="P14" s="872">
        <f>D7+D13+D19</f>
        <v>20</v>
      </c>
      <c r="Q14" s="871" t="s">
        <v>320</v>
      </c>
      <c r="AB14" s="4"/>
      <c r="AD14" s="306"/>
      <c r="AE14" s="288"/>
    </row>
    <row r="15" spans="1:31">
      <c r="A15" s="475" t="s">
        <v>13</v>
      </c>
      <c r="B15" s="481" t="str">
        <f t="shared" si="4"/>
        <v>60% PBV</v>
      </c>
      <c r="C15" s="477">
        <v>0.6</v>
      </c>
      <c r="D15" s="522">
        <v>57</v>
      </c>
      <c r="E15" s="478">
        <f t="shared" si="1"/>
        <v>850</v>
      </c>
      <c r="F15" s="518">
        <f>H15-G15</f>
        <v>1869</v>
      </c>
      <c r="G15" s="479">
        <f>-G70</f>
        <v>-269</v>
      </c>
      <c r="H15" s="479">
        <v>1600</v>
      </c>
      <c r="I15" s="480">
        <f>H14/E14</f>
        <v>1.8823529411764706</v>
      </c>
      <c r="J15" s="481"/>
      <c r="K15" s="479">
        <f t="shared" si="2"/>
        <v>1094400</v>
      </c>
      <c r="L15" s="958" t="s">
        <v>389</v>
      </c>
      <c r="P15" s="873">
        <f>D8+D14+D20</f>
        <v>20</v>
      </c>
      <c r="Q15" s="398" t="s">
        <v>321</v>
      </c>
      <c r="AB15" s="4"/>
      <c r="AD15" s="306"/>
      <c r="AE15" s="288"/>
    </row>
    <row r="16" spans="1:31">
      <c r="A16" s="482" t="s">
        <v>13</v>
      </c>
      <c r="B16" s="488" t="str">
        <f t="shared" si="4"/>
        <v>60% LIHTC</v>
      </c>
      <c r="C16" s="484">
        <f t="shared" si="0"/>
        <v>0.6</v>
      </c>
      <c r="D16" s="523">
        <v>45</v>
      </c>
      <c r="E16" s="485">
        <f t="shared" si="1"/>
        <v>850</v>
      </c>
      <c r="F16" s="519">
        <v>1365</v>
      </c>
      <c r="G16" s="486">
        <f>-G70</f>
        <v>-269</v>
      </c>
      <c r="H16" s="486">
        <f>G16+F16</f>
        <v>1096</v>
      </c>
      <c r="I16" s="487">
        <f t="shared" si="3"/>
        <v>1.2894117647058823</v>
      </c>
      <c r="J16" s="488"/>
      <c r="K16" s="486">
        <f t="shared" si="2"/>
        <v>591840</v>
      </c>
      <c r="L16" s="959" t="s">
        <v>388</v>
      </c>
      <c r="M16" t="s">
        <v>420</v>
      </c>
      <c r="N16" s="2"/>
      <c r="P16" s="873">
        <f>D9+D15+D21</f>
        <v>91</v>
      </c>
      <c r="Q16" s="398" t="s">
        <v>381</v>
      </c>
      <c r="AB16" s="4"/>
      <c r="AD16" s="306"/>
      <c r="AE16" s="288"/>
    </row>
    <row r="17" spans="1:31">
      <c r="A17" s="4" t="s">
        <v>13</v>
      </c>
      <c r="B17" t="str">
        <f t="shared" si="4"/>
        <v>80% LIHTC</v>
      </c>
      <c r="C17" s="306">
        <f t="shared" si="0"/>
        <v>0.8</v>
      </c>
      <c r="D17" s="524">
        <v>0</v>
      </c>
      <c r="E17" s="288">
        <f t="shared" si="1"/>
        <v>850</v>
      </c>
      <c r="F17" s="317">
        <v>1820</v>
      </c>
      <c r="G17" s="42">
        <f>-G70</f>
        <v>-269</v>
      </c>
      <c r="H17" s="42">
        <f>G17+F17</f>
        <v>1551</v>
      </c>
      <c r="I17" s="289">
        <f t="shared" ref="I17:I22" si="5">IFERROR(H17/E17,"")</f>
        <v>1.8247058823529412</v>
      </c>
      <c r="K17" s="42">
        <f t="shared" ref="K17:K22" si="6">IFERROR(H17*12*D17,"")</f>
        <v>0</v>
      </c>
      <c r="L17" s="960" t="s">
        <v>388</v>
      </c>
      <c r="N17" s="50"/>
      <c r="P17" s="873">
        <f>D10+D16+D22</f>
        <v>81</v>
      </c>
      <c r="Q17" s="398" t="s">
        <v>229</v>
      </c>
      <c r="S17" s="273"/>
      <c r="AB17" s="4"/>
      <c r="AD17" s="306"/>
      <c r="AE17" s="288"/>
    </row>
    <row r="18" spans="1:31">
      <c r="A18" s="489" t="s">
        <v>13</v>
      </c>
      <c r="B18" s="495" t="str">
        <f t="shared" si="4"/>
        <v>Market</v>
      </c>
      <c r="C18" s="491" t="s">
        <v>379</v>
      </c>
      <c r="D18" s="525">
        <v>2</v>
      </c>
      <c r="E18" s="492">
        <f t="shared" si="1"/>
        <v>850</v>
      </c>
      <c r="F18" s="520">
        <v>1650</v>
      </c>
      <c r="G18" s="493" t="str">
        <f>IFERROR(IF(INDEX(RentRange,MATCH("UA's",RentRow,0),MATCH($B18,RentColumn,0))="Y",
IFERROR(-INDEX(RentRange,MATCH($A18,RentRow,0),MATCH(G$6,RentColumn,0)),""),""),"")</f>
        <v/>
      </c>
      <c r="H18" s="493">
        <f>IF(SUM(F18:G18)&gt;0,SUM(F18:G18),"")</f>
        <v>1650</v>
      </c>
      <c r="I18" s="494">
        <f t="shared" si="5"/>
        <v>1.9411764705882353</v>
      </c>
      <c r="J18" s="495"/>
      <c r="K18" s="493">
        <f t="shared" si="6"/>
        <v>39600</v>
      </c>
      <c r="L18" s="961" t="s">
        <v>390</v>
      </c>
      <c r="N18" s="50"/>
      <c r="P18" s="874">
        <f>D12+D18+D24</f>
        <v>9</v>
      </c>
      <c r="Q18" s="311" t="s">
        <v>390</v>
      </c>
      <c r="S18" s="273"/>
      <c r="AB18" s="4"/>
      <c r="AD18" s="463"/>
      <c r="AE18" s="288"/>
    </row>
    <row r="19" spans="1:31">
      <c r="A19" s="475" t="s">
        <v>14</v>
      </c>
      <c r="B19" s="481" t="str">
        <f t="shared" si="4"/>
        <v>30% PBV</v>
      </c>
      <c r="C19" s="477">
        <f t="shared" si="0"/>
        <v>0.3</v>
      </c>
      <c r="D19" s="522">
        <v>2</v>
      </c>
      <c r="E19" s="478">
        <f t="shared" si="1"/>
        <v>1200</v>
      </c>
      <c r="F19" s="518">
        <f>H19-G19</f>
        <v>2481</v>
      </c>
      <c r="G19" s="479">
        <f>-H70</f>
        <v>-331</v>
      </c>
      <c r="H19" s="479">
        <v>2150</v>
      </c>
      <c r="I19" s="480">
        <f t="shared" si="5"/>
        <v>1.7916666666666667</v>
      </c>
      <c r="J19" s="481"/>
      <c r="K19" s="479">
        <f t="shared" si="6"/>
        <v>51600</v>
      </c>
      <c r="L19" s="958" t="s">
        <v>389</v>
      </c>
      <c r="N19" s="50"/>
      <c r="S19" s="273"/>
      <c r="AB19" s="4"/>
      <c r="AD19" s="306"/>
      <c r="AE19" s="288"/>
    </row>
    <row r="20" spans="1:31">
      <c r="A20" s="475" t="s">
        <v>14</v>
      </c>
      <c r="B20" s="481" t="str">
        <f t="shared" si="4"/>
        <v>50% PBV</v>
      </c>
      <c r="C20" s="477">
        <f t="shared" si="0"/>
        <v>0.5</v>
      </c>
      <c r="D20" s="522">
        <v>2</v>
      </c>
      <c r="E20" s="478">
        <f t="shared" si="1"/>
        <v>1200</v>
      </c>
      <c r="F20" s="518">
        <f>H20-G20</f>
        <v>2481</v>
      </c>
      <c r="G20" s="479">
        <f>-H70</f>
        <v>-331</v>
      </c>
      <c r="H20" s="479">
        <v>2150</v>
      </c>
      <c r="I20" s="480">
        <f t="shared" si="5"/>
        <v>1.7916666666666667</v>
      </c>
      <c r="J20" s="481"/>
      <c r="K20" s="479">
        <f t="shared" si="6"/>
        <v>51600</v>
      </c>
      <c r="L20" s="958" t="s">
        <v>389</v>
      </c>
      <c r="N20" s="50"/>
      <c r="S20" s="273"/>
      <c r="AB20" s="4"/>
      <c r="AD20" s="306"/>
      <c r="AE20" s="288"/>
    </row>
    <row r="21" spans="1:31">
      <c r="A21" s="475" t="s">
        <v>14</v>
      </c>
      <c r="B21" s="481" t="str">
        <f t="shared" si="4"/>
        <v>60% PBV</v>
      </c>
      <c r="C21" s="477">
        <v>0.6</v>
      </c>
      <c r="D21" s="522">
        <v>14</v>
      </c>
      <c r="E21" s="478">
        <f t="shared" si="1"/>
        <v>1200</v>
      </c>
      <c r="F21" s="518">
        <f>H21-G21</f>
        <v>2481</v>
      </c>
      <c r="G21" s="479">
        <f>-H70</f>
        <v>-331</v>
      </c>
      <c r="H21" s="479">
        <v>2150</v>
      </c>
      <c r="I21" s="480">
        <f>H20/E20</f>
        <v>1.7916666666666667</v>
      </c>
      <c r="J21" s="481"/>
      <c r="K21" s="479">
        <f t="shared" si="6"/>
        <v>361200</v>
      </c>
      <c r="L21" s="958" t="s">
        <v>389</v>
      </c>
      <c r="N21" s="50"/>
      <c r="S21" s="273"/>
      <c r="AB21" s="4"/>
      <c r="AD21" s="306"/>
      <c r="AE21" s="288"/>
    </row>
    <row r="22" spans="1:31">
      <c r="A22" s="482" t="s">
        <v>14</v>
      </c>
      <c r="B22" s="488" t="str">
        <f t="shared" si="4"/>
        <v>60% LIHTC</v>
      </c>
      <c r="C22" s="484">
        <f t="shared" si="0"/>
        <v>0.6</v>
      </c>
      <c r="D22" s="523">
        <v>10</v>
      </c>
      <c r="E22" s="485">
        <f t="shared" si="1"/>
        <v>1200</v>
      </c>
      <c r="F22" s="519">
        <v>1577</v>
      </c>
      <c r="G22" s="486">
        <f>-H70</f>
        <v>-331</v>
      </c>
      <c r="H22" s="486">
        <f>IF(SUM(F22:G22)&gt;0,SUM(F22:G22),"")</f>
        <v>1246</v>
      </c>
      <c r="I22" s="487">
        <f t="shared" si="5"/>
        <v>1.0383333333333333</v>
      </c>
      <c r="J22" s="488"/>
      <c r="K22" s="486">
        <f t="shared" si="6"/>
        <v>149520</v>
      </c>
      <c r="L22" s="959" t="s">
        <v>388</v>
      </c>
      <c r="N22" s="211"/>
      <c r="S22" s="273"/>
      <c r="AB22" s="4"/>
      <c r="AD22" s="306"/>
      <c r="AE22" s="288"/>
    </row>
    <row r="23" spans="1:31">
      <c r="A23" s="4" t="s">
        <v>14</v>
      </c>
      <c r="B23" t="str">
        <f t="shared" si="4"/>
        <v>80% LIHTC</v>
      </c>
      <c r="C23" s="306">
        <f t="shared" si="0"/>
        <v>0.8</v>
      </c>
      <c r="D23" s="810">
        <v>0</v>
      </c>
      <c r="E23" s="288">
        <f t="shared" si="1"/>
        <v>1200</v>
      </c>
      <c r="F23" s="317">
        <v>2103</v>
      </c>
      <c r="G23" s="42">
        <f>-H70</f>
        <v>-331</v>
      </c>
      <c r="H23" s="42">
        <f>IF(SUM(F23:G23)&gt;0,SUM(F23:G23),"")</f>
        <v>1772</v>
      </c>
      <c r="I23" s="289">
        <f>IFERROR(H23/E23,"")</f>
        <v>1.4766666666666666</v>
      </c>
      <c r="K23" s="42">
        <f>IFERROR(H23*12*D23,"")</f>
        <v>0</v>
      </c>
      <c r="L23" s="960" t="s">
        <v>388</v>
      </c>
      <c r="N23" s="50"/>
      <c r="S23" s="273"/>
      <c r="AB23" s="4"/>
      <c r="AD23" s="306"/>
      <c r="AE23" s="288"/>
    </row>
    <row r="24" spans="1:31">
      <c r="A24" s="496" t="s">
        <v>14</v>
      </c>
      <c r="B24" s="497" t="str">
        <f t="shared" si="4"/>
        <v>Market</v>
      </c>
      <c r="C24" s="498" t="s">
        <v>379</v>
      </c>
      <c r="D24" s="526">
        <v>0</v>
      </c>
      <c r="E24" s="499">
        <f>IF(LEN($B24)&gt;1,INDEX(UnitSFAvg,MATCH($A24,UnitTypes,0)),"")</f>
        <v>1200</v>
      </c>
      <c r="F24" s="521">
        <v>1950</v>
      </c>
      <c r="G24" s="500" t="str">
        <f>IFERROR(IF(INDEX(RentRange,MATCH("UA's",RentRow,0),MATCH($B24,RentColumn,0))="Y",
IFERROR(-INDEX(RentRange,MATCH($A24,RentRow,0),MATCH(G$6,RentColumn,0)),""),""),"")</f>
        <v/>
      </c>
      <c r="H24" s="500">
        <f>IF(SUM(F24:G24)&gt;0,SUM(F24:G24),"")</f>
        <v>1950</v>
      </c>
      <c r="I24" s="501">
        <f>IFERROR(H24/E24,"")</f>
        <v>1.625</v>
      </c>
      <c r="J24" s="497"/>
      <c r="K24" s="500">
        <f>IFERROR(H24*12*D24,"")</f>
        <v>0</v>
      </c>
      <c r="L24" s="961" t="s">
        <v>390</v>
      </c>
      <c r="O24" s="273"/>
      <c r="P24" s="80"/>
      <c r="AB24" s="4"/>
      <c r="AD24" s="306"/>
      <c r="AE24" s="288"/>
    </row>
    <row r="25" spans="1:31">
      <c r="A25" s="47"/>
      <c r="B25" s="9"/>
      <c r="C25" s="9"/>
      <c r="D25" s="314"/>
      <c r="E25" s="9"/>
      <c r="F25" s="9"/>
      <c r="G25" s="9"/>
      <c r="H25" s="300"/>
      <c r="I25" s="300"/>
      <c r="J25" s="9"/>
      <c r="K25" s="300"/>
      <c r="O25" s="305"/>
      <c r="AB25" s="4"/>
      <c r="AD25" s="306"/>
      <c r="AE25" s="288"/>
    </row>
    <row r="26" spans="1:31">
      <c r="A26" s="2" t="s">
        <v>277</v>
      </c>
      <c r="B26" s="2"/>
      <c r="C26" s="2"/>
      <c r="D26" s="315">
        <f>SUM(D7:D25)</f>
        <v>221</v>
      </c>
      <c r="E26" s="316">
        <f>SUMPRODUCT($E$7:$E$25,$D$7:$D$25)/D26</f>
        <v>839.9321266968326</v>
      </c>
      <c r="F26" s="2"/>
      <c r="G26" s="2"/>
      <c r="H26" s="317">
        <f>SUMPRODUCT(K26/12/D26)</f>
        <v>1404.5972850678734</v>
      </c>
      <c r="I26" s="2"/>
      <c r="J26" s="2"/>
      <c r="K26" s="317">
        <f>SUM(K7:K25)</f>
        <v>3724992</v>
      </c>
      <c r="L26" s="464">
        <f>GrossRentIncomeY1/D26</f>
        <v>16855.16742081448</v>
      </c>
      <c r="P26" t="s">
        <v>240</v>
      </c>
      <c r="U26" t="s">
        <v>241</v>
      </c>
      <c r="AB26" s="4"/>
      <c r="AD26" s="306"/>
      <c r="AE26" s="288"/>
    </row>
    <row r="27" spans="1:31">
      <c r="D27" s="286">
        <f>(D7+D8+D9+D10+D13+D14+D15+D16+D19+D20+D21+D22)/D26</f>
        <v>0.95927601809954754</v>
      </c>
      <c r="N27" s="9" t="s">
        <v>242</v>
      </c>
      <c r="O27" s="9"/>
      <c r="P27" s="9" t="s">
        <v>12</v>
      </c>
      <c r="Q27" s="9" t="s">
        <v>13</v>
      </c>
      <c r="R27" s="9" t="s">
        <v>14</v>
      </c>
      <c r="S27" s="9" t="s">
        <v>4</v>
      </c>
      <c r="U27" t="s">
        <v>12</v>
      </c>
      <c r="V27" t="s">
        <v>13</v>
      </c>
      <c r="W27" t="s">
        <v>14</v>
      </c>
      <c r="X27" t="s">
        <v>4</v>
      </c>
      <c r="Y27" t="s">
        <v>239</v>
      </c>
      <c r="AB27" s="4"/>
      <c r="AD27" s="306"/>
      <c r="AE27" s="288"/>
    </row>
    <row r="28" spans="1:31">
      <c r="A28" s="37" t="s">
        <v>17</v>
      </c>
      <c r="B28" s="37"/>
      <c r="C28" s="37"/>
      <c r="D28" s="37"/>
      <c r="E28" s="37"/>
      <c r="F28" s="303" t="s">
        <v>278</v>
      </c>
      <c r="G28" s="303"/>
      <c r="H28" s="303" t="s">
        <v>279</v>
      </c>
      <c r="I28" s="303"/>
      <c r="J28" s="303"/>
      <c r="K28" s="303" t="s">
        <v>280</v>
      </c>
      <c r="N28" t="str">
        <f t="array" ref="N28:N37">IF(SetAsides&gt;0,SetAsides,"")</f>
        <v>30% PBV</v>
      </c>
      <c r="P28" s="273">
        <f>P$38*Inputs!$D23</f>
        <v>4.7E-2</v>
      </c>
      <c r="Q28" s="273">
        <f>Q$38*Inputs!$D23</f>
        <v>4.1000000000000002E-2</v>
      </c>
      <c r="R28" s="273">
        <f>R$38*Inputs!$D23</f>
        <v>1.2E-2</v>
      </c>
      <c r="S28" s="273">
        <f>SUM(P28:R28)</f>
        <v>9.9999999999999992E-2</v>
      </c>
      <c r="U28" s="273">
        <f t="shared" ref="U28:W29" si="7">C45/TotalUnitCount</f>
        <v>2.7149321266968326E-2</v>
      </c>
      <c r="V28" s="273">
        <f t="shared" si="7"/>
        <v>5.4298642533936653E-2</v>
      </c>
      <c r="W28" s="273">
        <f t="shared" si="7"/>
        <v>9.0497737556561094E-3</v>
      </c>
      <c r="X28" s="273">
        <f>SUM(U28:W28)</f>
        <v>9.0497737556561084E-2</v>
      </c>
      <c r="Y28" s="273">
        <f>S28-X28</f>
        <v>9.502262443438908E-3</v>
      </c>
      <c r="AB28" s="4"/>
      <c r="AD28" s="306"/>
      <c r="AE28" s="288"/>
    </row>
    <row r="29" spans="1:31">
      <c r="A29" t="s">
        <v>218</v>
      </c>
      <c r="F29" s="289">
        <v>0.75</v>
      </c>
      <c r="G29" s="4"/>
      <c r="H29" s="359">
        <f>F29*TotalUnitCount</f>
        <v>165.75</v>
      </c>
      <c r="I29" s="4"/>
      <c r="J29" s="4"/>
      <c r="K29" s="213">
        <f>H29*12</f>
        <v>1989</v>
      </c>
      <c r="N29" t="str">
        <v>50% PBV</v>
      </c>
      <c r="P29" s="273">
        <f>P$38*Inputs!$D24</f>
        <v>4.7E-2</v>
      </c>
      <c r="Q29" s="273">
        <f>Q$38*Inputs!$D24</f>
        <v>4.1000000000000002E-2</v>
      </c>
      <c r="R29" s="273">
        <f>R$38*Inputs!$D24</f>
        <v>1.2E-2</v>
      </c>
      <c r="S29" s="273">
        <f t="shared" ref="S29:S37" si="8">SUM(P29:R29)</f>
        <v>9.9999999999999992E-2</v>
      </c>
      <c r="U29" s="273">
        <f t="shared" si="7"/>
        <v>2.7149321266968326E-2</v>
      </c>
      <c r="V29" s="273">
        <f t="shared" si="7"/>
        <v>5.4298642533936653E-2</v>
      </c>
      <c r="W29" s="273">
        <f t="shared" si="7"/>
        <v>9.0497737556561094E-3</v>
      </c>
      <c r="X29" s="273">
        <f t="shared" ref="X29:X37" si="9">SUM(U29:W29)</f>
        <v>9.0497737556561084E-2</v>
      </c>
      <c r="Y29" s="273">
        <f t="shared" ref="Y29:Y37" si="10">S29-X29</f>
        <v>9.502262443438908E-3</v>
      </c>
      <c r="AB29" s="4"/>
      <c r="AD29" s="306"/>
      <c r="AE29" s="288"/>
    </row>
    <row r="30" spans="1:31">
      <c r="A30" t="s">
        <v>219</v>
      </c>
      <c r="F30" s="289">
        <v>0.75</v>
      </c>
      <c r="G30" s="4"/>
      <c r="H30" s="213">
        <f>F30*TotalUnitCount</f>
        <v>165.75</v>
      </c>
      <c r="I30" s="4"/>
      <c r="J30" s="4"/>
      <c r="K30" s="213">
        <f>H30*12</f>
        <v>1989</v>
      </c>
      <c r="N30" t="str">
        <v>60% LIHTC</v>
      </c>
      <c r="P30" s="273">
        <f>P$38*Inputs!$D25</f>
        <v>0.376</v>
      </c>
      <c r="Q30" s="273">
        <f>Q$38*Inputs!$D25</f>
        <v>0.32800000000000001</v>
      </c>
      <c r="R30" s="273">
        <f>R$38*Inputs!$D25</f>
        <v>9.6000000000000002E-2</v>
      </c>
      <c r="S30" s="273">
        <f t="shared" si="8"/>
        <v>0.79999999999999993</v>
      </c>
      <c r="U30" s="273">
        <f t="shared" ref="U30:W31" si="11">C48/TotalUnitCount</f>
        <v>0.11764705882352941</v>
      </c>
      <c r="V30" s="273">
        <f t="shared" si="11"/>
        <v>0.20361990950226244</v>
      </c>
      <c r="W30" s="273">
        <f t="shared" si="11"/>
        <v>4.5248868778280542E-2</v>
      </c>
      <c r="X30" s="273">
        <f t="shared" si="9"/>
        <v>0.36651583710407237</v>
      </c>
      <c r="Y30" s="273">
        <f t="shared" si="10"/>
        <v>0.43348416289592756</v>
      </c>
      <c r="AB30" s="4"/>
      <c r="AD30" s="463"/>
      <c r="AE30" s="288"/>
    </row>
    <row r="31" spans="1:31">
      <c r="A31" t="s">
        <v>220</v>
      </c>
      <c r="D31" s="212"/>
      <c r="F31" s="289">
        <v>0.75</v>
      </c>
      <c r="G31" s="4"/>
      <c r="H31" s="213">
        <f>F31*TotalUnitCount</f>
        <v>165.75</v>
      </c>
      <c r="I31" s="4"/>
      <c r="J31" s="4"/>
      <c r="K31" s="213">
        <f>H31*12</f>
        <v>1989</v>
      </c>
      <c r="N31" t="str">
        <v>80% LIHTC</v>
      </c>
      <c r="P31" s="273">
        <f>P$38*Inputs!$D26</f>
        <v>0</v>
      </c>
      <c r="Q31" s="273">
        <f>Q$38*Inputs!$D26</f>
        <v>0</v>
      </c>
      <c r="R31" s="273">
        <f>R$38*Inputs!$D26</f>
        <v>0</v>
      </c>
      <c r="S31" s="273">
        <f t="shared" si="8"/>
        <v>0</v>
      </c>
      <c r="U31" s="273">
        <f t="shared" si="11"/>
        <v>0</v>
      </c>
      <c r="V31" s="273">
        <f t="shared" si="11"/>
        <v>0</v>
      </c>
      <c r="W31" s="273">
        <f t="shared" si="11"/>
        <v>0</v>
      </c>
      <c r="X31" s="273">
        <f t="shared" si="9"/>
        <v>0</v>
      </c>
      <c r="Y31" s="273">
        <f t="shared" si="10"/>
        <v>0</v>
      </c>
      <c r="AB31" s="4"/>
      <c r="AE31" s="288"/>
    </row>
    <row r="32" spans="1:31">
      <c r="A32" t="s">
        <v>221</v>
      </c>
      <c r="F32" s="289">
        <v>0.75</v>
      </c>
      <c r="G32" s="4"/>
      <c r="H32" s="213">
        <f>F32*TotalUnitCount</f>
        <v>165.75</v>
      </c>
      <c r="I32" s="4"/>
      <c r="J32" s="4"/>
      <c r="K32" s="213">
        <f>H32*12</f>
        <v>1989</v>
      </c>
      <c r="M32" s="302"/>
      <c r="N32" t="str">
        <v/>
      </c>
      <c r="P32" s="273">
        <f>P$38*Inputs!$D27</f>
        <v>0</v>
      </c>
      <c r="Q32" s="273">
        <f>Q$38*Inputs!$D27</f>
        <v>0</v>
      </c>
      <c r="R32" s="273">
        <f>R$38*Inputs!$D27</f>
        <v>0</v>
      </c>
      <c r="S32" s="273">
        <f t="shared" si="8"/>
        <v>0</v>
      </c>
      <c r="U32" s="273" t="e">
        <f>#REF!/TotalUnitCount</f>
        <v>#REF!</v>
      </c>
      <c r="V32" s="273" t="e">
        <f>#REF!/TotalUnitCount</f>
        <v>#REF!</v>
      </c>
      <c r="W32" s="273" t="e">
        <f>#REF!/TotalUnitCount</f>
        <v>#REF!</v>
      </c>
      <c r="X32" s="273" t="e">
        <f t="shared" si="9"/>
        <v>#REF!</v>
      </c>
      <c r="Y32" s="273" t="e">
        <f t="shared" si="10"/>
        <v>#REF!</v>
      </c>
      <c r="AB32" s="2"/>
      <c r="AC32" s="2"/>
      <c r="AD32" s="2"/>
      <c r="AE32" s="315"/>
    </row>
    <row r="33" spans="1:25">
      <c r="A33" s="9" t="s">
        <v>222</v>
      </c>
      <c r="B33" s="9"/>
      <c r="C33" s="9"/>
      <c r="D33" s="9"/>
      <c r="E33" s="9"/>
      <c r="F33" s="318">
        <v>9</v>
      </c>
      <c r="G33" s="47"/>
      <c r="H33" s="319">
        <f>F33*TotalUnitCount</f>
        <v>1989</v>
      </c>
      <c r="I33" s="47"/>
      <c r="J33" s="47"/>
      <c r="K33" s="319">
        <f>H33*12</f>
        <v>23868</v>
      </c>
      <c r="M33">
        <f>18238/12649-1</f>
        <v>0.44185311091785917</v>
      </c>
      <c r="N33" t="str">
        <v/>
      </c>
      <c r="P33" s="273">
        <f>P$38*Inputs!$D28</f>
        <v>0</v>
      </c>
      <c r="Q33" s="273">
        <f>Q$38*Inputs!$D28</f>
        <v>0</v>
      </c>
      <c r="R33" s="273">
        <f>R$38*Inputs!$D28</f>
        <v>0</v>
      </c>
      <c r="S33" s="273">
        <f t="shared" si="8"/>
        <v>0</v>
      </c>
      <c r="U33" s="273" t="e">
        <f>#REF!/TotalUnitCount</f>
        <v>#REF!</v>
      </c>
      <c r="V33" s="273" t="e">
        <f>#REF!/TotalUnitCount</f>
        <v>#REF!</v>
      </c>
      <c r="W33" s="273" t="e">
        <f>#REF!/TotalUnitCount</f>
        <v>#REF!</v>
      </c>
      <c r="X33" s="273" t="e">
        <f t="shared" si="9"/>
        <v>#REF!</v>
      </c>
      <c r="Y33" s="273" t="e">
        <f t="shared" si="10"/>
        <v>#REF!</v>
      </c>
    </row>
    <row r="34" spans="1:25">
      <c r="F34" s="213">
        <f>SUM(F29:F33)</f>
        <v>12</v>
      </c>
      <c r="G34" s="4"/>
      <c r="H34" s="213">
        <f>SUM(H29:H33)</f>
        <v>2652</v>
      </c>
      <c r="I34" s="4"/>
      <c r="J34" s="4"/>
      <c r="K34" s="213">
        <f>SUM(K29:K33)</f>
        <v>31824</v>
      </c>
      <c r="N34" t="str">
        <v/>
      </c>
      <c r="P34" s="273">
        <f>P$38*Inputs!$D29</f>
        <v>0</v>
      </c>
      <c r="Q34" s="273">
        <f>Q$38*Inputs!$D29</f>
        <v>0</v>
      </c>
      <c r="R34" s="273">
        <f>R$38*Inputs!$D29</f>
        <v>0</v>
      </c>
      <c r="S34" s="273">
        <f t="shared" si="8"/>
        <v>0</v>
      </c>
      <c r="U34" s="273" t="e">
        <f>#REF!/TotalUnitCount</f>
        <v>#REF!</v>
      </c>
      <c r="V34" s="273" t="e">
        <f>#REF!/TotalUnitCount</f>
        <v>#REF!</v>
      </c>
      <c r="W34" s="273" t="e">
        <f>#REF!/TotalUnitCount</f>
        <v>#REF!</v>
      </c>
      <c r="X34" s="273" t="e">
        <f t="shared" si="9"/>
        <v>#REF!</v>
      </c>
      <c r="Y34" s="273" t="e">
        <f t="shared" si="10"/>
        <v>#REF!</v>
      </c>
    </row>
    <row r="35" spans="1:25">
      <c r="A35" s="402" t="s">
        <v>347</v>
      </c>
      <c r="B35" s="402"/>
      <c r="C35" s="402"/>
      <c r="D35" s="402"/>
      <c r="E35" s="402" t="s">
        <v>295</v>
      </c>
      <c r="F35" s="403"/>
      <c r="G35" s="404"/>
      <c r="H35" s="403" t="s">
        <v>10</v>
      </c>
      <c r="I35" s="404" t="s">
        <v>345</v>
      </c>
      <c r="J35" s="404" t="s">
        <v>346</v>
      </c>
      <c r="K35" s="403" t="s">
        <v>280</v>
      </c>
      <c r="N35" t="str">
        <v/>
      </c>
      <c r="P35" s="273">
        <f>P$38*Inputs!$D30</f>
        <v>0</v>
      </c>
      <c r="Q35" s="273">
        <f>Q$38*Inputs!$D30</f>
        <v>0</v>
      </c>
      <c r="R35" s="273">
        <f>R$38*Inputs!$D30</f>
        <v>0</v>
      </c>
      <c r="S35" s="273">
        <f t="shared" si="8"/>
        <v>0</v>
      </c>
      <c r="U35" s="273" t="e">
        <f>#REF!/TotalUnitCount</f>
        <v>#REF!</v>
      </c>
      <c r="V35" s="273" t="e">
        <f>#REF!/TotalUnitCount</f>
        <v>#REF!</v>
      </c>
      <c r="W35" s="273" t="e">
        <f>#REF!/TotalUnitCount</f>
        <v>#REF!</v>
      </c>
      <c r="X35" s="273" t="e">
        <f t="shared" si="9"/>
        <v>#REF!</v>
      </c>
      <c r="Y35" s="273" t="e">
        <f t="shared" si="10"/>
        <v>#REF!</v>
      </c>
    </row>
    <row r="36" spans="1:25">
      <c r="A36" t="s">
        <v>555</v>
      </c>
      <c r="E36" s="302">
        <v>3000</v>
      </c>
      <c r="F36" s="213"/>
      <c r="G36" s="4"/>
      <c r="H36" s="213">
        <v>0</v>
      </c>
      <c r="I36" s="289">
        <f>H36/E36</f>
        <v>0</v>
      </c>
      <c r="J36" s="289">
        <f>I36*12</f>
        <v>0</v>
      </c>
      <c r="K36" s="213">
        <v>100</v>
      </c>
      <c r="N36" t="str">
        <v/>
      </c>
      <c r="P36" s="273">
        <f>P$38*Inputs!$D31</f>
        <v>0</v>
      </c>
      <c r="Q36" s="273">
        <f>Q$38*Inputs!$D31</f>
        <v>0</v>
      </c>
      <c r="R36" s="273">
        <f>R$38*Inputs!$D31</f>
        <v>0</v>
      </c>
      <c r="S36" s="273">
        <f t="shared" si="8"/>
        <v>0</v>
      </c>
      <c r="U36" s="273" t="e">
        <f>#REF!/TotalUnitCount</f>
        <v>#REF!</v>
      </c>
      <c r="V36" s="273" t="e">
        <f>#REF!/TotalUnitCount</f>
        <v>#REF!</v>
      </c>
      <c r="W36" s="273" t="e">
        <f>#REF!/TotalUnitCount</f>
        <v>#REF!</v>
      </c>
      <c r="X36" s="273" t="e">
        <f t="shared" si="9"/>
        <v>#REF!</v>
      </c>
      <c r="Y36" s="273" t="e">
        <f t="shared" si="10"/>
        <v>#REF!</v>
      </c>
    </row>
    <row r="37" spans="1:25">
      <c r="F37" s="213"/>
      <c r="G37" s="4"/>
      <c r="H37" s="213"/>
      <c r="I37" s="4"/>
      <c r="J37" s="4"/>
      <c r="K37" s="213"/>
      <c r="N37" s="9" t="str">
        <v>Market</v>
      </c>
      <c r="O37" s="9"/>
      <c r="P37" s="312">
        <f>P$38*Inputs!$D32</f>
        <v>0</v>
      </c>
      <c r="Q37" s="312">
        <f>Q$38*Inputs!$D32</f>
        <v>0</v>
      </c>
      <c r="R37" s="312">
        <f>R$38*Inputs!$D32</f>
        <v>0</v>
      </c>
      <c r="S37" s="312">
        <f t="shared" si="8"/>
        <v>0</v>
      </c>
      <c r="T37" s="9"/>
      <c r="U37" s="312">
        <f>C50/TotalUnitCount</f>
        <v>3.1674208144796379E-2</v>
      </c>
      <c r="V37" s="312">
        <f>D50/TotalUnitCount</f>
        <v>9.0497737556561094E-3</v>
      </c>
      <c r="W37" s="312">
        <f>E50/TotalUnitCount</f>
        <v>0</v>
      </c>
      <c r="X37" s="312">
        <f t="shared" si="9"/>
        <v>4.072398190045249E-2</v>
      </c>
      <c r="Y37" s="312">
        <f t="shared" si="10"/>
        <v>-4.072398190045249E-2</v>
      </c>
    </row>
    <row r="38" spans="1:25">
      <c r="A38" s="37" t="s">
        <v>281</v>
      </c>
      <c r="B38" s="37"/>
      <c r="C38" s="37" t="s">
        <v>57</v>
      </c>
      <c r="D38" s="37" t="s">
        <v>243</v>
      </c>
      <c r="H38" s="430" t="s">
        <v>18</v>
      </c>
      <c r="I38" s="431"/>
      <c r="J38" s="431"/>
      <c r="K38" s="432">
        <f>K26</f>
        <v>3724992</v>
      </c>
      <c r="N38" t="s">
        <v>4</v>
      </c>
      <c r="P38" s="313">
        <f>INDEX(unitmix,MATCH(P27,UnitTypes,0))</f>
        <v>0.47</v>
      </c>
      <c r="Q38" s="313">
        <f>INDEX(unitmix,MATCH(Q27,UnitTypes,0))</f>
        <v>0.41</v>
      </c>
      <c r="R38" s="313">
        <f>INDEX(unitmix,MATCH(R27,UnitTypes,0))</f>
        <v>0.12</v>
      </c>
      <c r="S38" s="273">
        <f>SUM(S28:S37)</f>
        <v>0.99999999999999989</v>
      </c>
      <c r="U38" s="273" t="e">
        <f>SUM(U28:U37)</f>
        <v>#REF!</v>
      </c>
      <c r="V38" s="273" t="e">
        <f>SUM(V28:V37)</f>
        <v>#REF!</v>
      </c>
      <c r="W38" s="273" t="e">
        <f>SUM(W28:W37)</f>
        <v>#REF!</v>
      </c>
      <c r="X38" s="273" t="e">
        <f>SUM(X28:X37)</f>
        <v>#REF!</v>
      </c>
    </row>
    <row r="39" spans="1:25">
      <c r="A39" t="s">
        <v>530</v>
      </c>
      <c r="C39">
        <f>TotalUnitCount-SUM(C40:C41)</f>
        <v>131</v>
      </c>
      <c r="D39" s="80">
        <f>C39/$C$42</f>
        <v>0.59276018099547512</v>
      </c>
      <c r="H39" s="309" t="s">
        <v>17</v>
      </c>
      <c r="K39" s="320">
        <f>AddRevY1</f>
        <v>31824</v>
      </c>
      <c r="P39" s="305"/>
    </row>
    <row r="40" spans="1:25">
      <c r="A40" t="s">
        <v>205</v>
      </c>
      <c r="C40">
        <f>SUMIF($B$7:$B$25,"*LIHTC",$D$7:$D$25)</f>
        <v>81</v>
      </c>
      <c r="D40" s="80">
        <f>C40/$C$42</f>
        <v>0.36651583710407237</v>
      </c>
      <c r="H40" s="309" t="s">
        <v>224</v>
      </c>
      <c r="I40" s="212"/>
      <c r="J40" s="212"/>
      <c r="K40" s="320">
        <f>K36</f>
        <v>100</v>
      </c>
      <c r="U40" t="s">
        <v>299</v>
      </c>
      <c r="X40" s="273">
        <f>1-X37</f>
        <v>0.95927601809954754</v>
      </c>
    </row>
    <row r="41" spans="1:25">
      <c r="A41" s="9" t="s">
        <v>238</v>
      </c>
      <c r="B41" s="9"/>
      <c r="C41" s="9">
        <f>SUMIF($B$7:$B$25,"Market",$D$7:$D$25)</f>
        <v>9</v>
      </c>
      <c r="D41" s="321">
        <f>C41/$C$42</f>
        <v>4.072398190045249E-2</v>
      </c>
      <c r="H41" s="310" t="s">
        <v>223</v>
      </c>
      <c r="I41" s="429"/>
      <c r="J41" s="442">
        <f>'20yr Proforma'!J5</f>
        <v>7.0000000000000007E-2</v>
      </c>
      <c r="K41" s="322">
        <f>SUM(K38:K40)*-J41</f>
        <v>-262984.12000000005</v>
      </c>
      <c r="X41" s="273"/>
    </row>
    <row r="42" spans="1:25">
      <c r="A42" s="2" t="s">
        <v>4</v>
      </c>
      <c r="B42" s="2"/>
      <c r="C42" s="2">
        <f>SUM(C39:C41)</f>
        <v>221</v>
      </c>
      <c r="D42" s="323">
        <f>C42/$C$42</f>
        <v>1</v>
      </c>
      <c r="H42" s="324" t="s">
        <v>225</v>
      </c>
      <c r="I42" s="325"/>
      <c r="J42" s="325"/>
      <c r="K42" s="326">
        <f>SUM(K38:K41)</f>
        <v>3493931.88</v>
      </c>
      <c r="X42" s="273"/>
    </row>
    <row r="43" spans="1:25">
      <c r="X43" s="273"/>
    </row>
    <row r="44" spans="1:25">
      <c r="A44" s="416" t="s">
        <v>282</v>
      </c>
      <c r="B44" s="416"/>
      <c r="C44" s="417" t="s">
        <v>12</v>
      </c>
      <c r="D44" s="417" t="s">
        <v>13</v>
      </c>
      <c r="E44" s="417" t="s">
        <v>14</v>
      </c>
      <c r="F44" s="418" t="s">
        <v>4</v>
      </c>
      <c r="G44" s="417"/>
      <c r="H44" s="417" t="s">
        <v>283</v>
      </c>
      <c r="I44" s="417" t="s">
        <v>284</v>
      </c>
    </row>
    <row r="45" spans="1:25">
      <c r="A45" s="131" t="str">
        <f>N28</f>
        <v>30% PBV</v>
      </c>
      <c r="B45" s="131"/>
      <c r="C45" s="504">
        <f>D7</f>
        <v>6</v>
      </c>
      <c r="D45" s="504">
        <f>D13</f>
        <v>12</v>
      </c>
      <c r="E45" s="504">
        <f>D19</f>
        <v>2</v>
      </c>
      <c r="F45" s="504">
        <f>SUM(C45:E45)</f>
        <v>20</v>
      </c>
      <c r="G45" s="505"/>
      <c r="H45" s="506">
        <f t="shared" ref="H45:H50" si="12">F45/$F$51</f>
        <v>9.0497737556561084E-2</v>
      </c>
      <c r="I45" s="506">
        <f>F45/($F$51-$F$50)</f>
        <v>9.4339622641509441E-2</v>
      </c>
      <c r="L45" s="273"/>
      <c r="M45" s="305"/>
    </row>
    <row r="46" spans="1:25">
      <c r="A46" s="131" t="str">
        <f>N29</f>
        <v>50% PBV</v>
      </c>
      <c r="B46" s="131"/>
      <c r="C46" s="504">
        <f>D8</f>
        <v>6</v>
      </c>
      <c r="D46" s="504">
        <f>D14</f>
        <v>12</v>
      </c>
      <c r="E46" s="504">
        <f>D20</f>
        <v>2</v>
      </c>
      <c r="F46" s="504">
        <f>SUM(C46:E46)</f>
        <v>20</v>
      </c>
      <c r="G46" s="505"/>
      <c r="H46" s="506">
        <f t="shared" si="12"/>
        <v>9.0497737556561084E-2</v>
      </c>
      <c r="I46" s="506">
        <f>F46/($F$51-$F$50)</f>
        <v>9.4339622641509441E-2</v>
      </c>
      <c r="L46" s="273"/>
      <c r="M46" s="305"/>
    </row>
    <row r="47" spans="1:25">
      <c r="A47" s="131" t="s">
        <v>381</v>
      </c>
      <c r="B47" s="131"/>
      <c r="C47" s="504">
        <v>20</v>
      </c>
      <c r="D47" s="504">
        <v>57</v>
      </c>
      <c r="E47" s="504">
        <v>14</v>
      </c>
      <c r="F47" s="504">
        <v>91</v>
      </c>
      <c r="G47" s="505"/>
      <c r="H47" s="506">
        <f t="shared" si="12"/>
        <v>0.41176470588235292</v>
      </c>
      <c r="I47" s="506">
        <f>F47/($F$51-$F$50)</f>
        <v>0.42924528301886794</v>
      </c>
      <c r="L47" s="273"/>
      <c r="M47" s="305"/>
    </row>
    <row r="48" spans="1:25">
      <c r="A48" s="507" t="str">
        <f>N30</f>
        <v>60% LIHTC</v>
      </c>
      <c r="B48" s="507"/>
      <c r="C48" s="508">
        <v>26</v>
      </c>
      <c r="D48" s="508">
        <v>45</v>
      </c>
      <c r="E48" s="508">
        <v>10</v>
      </c>
      <c r="F48" s="508">
        <f>SUM(C48:E48)</f>
        <v>81</v>
      </c>
      <c r="G48" s="509"/>
      <c r="H48" s="510">
        <f t="shared" si="12"/>
        <v>0.36651583710407237</v>
      </c>
      <c r="I48" s="510">
        <f>F48/($F$51-$F$50)</f>
        <v>0.38207547169811323</v>
      </c>
      <c r="L48" s="273"/>
    </row>
    <row r="49" spans="1:15">
      <c r="A49" s="419" t="str">
        <f>N31</f>
        <v>80% LIHTC</v>
      </c>
      <c r="B49" s="419"/>
      <c r="C49" s="420">
        <f>D11</f>
        <v>0</v>
      </c>
      <c r="D49" s="420">
        <f>D17</f>
        <v>0</v>
      </c>
      <c r="E49" s="420">
        <f>D11+D17+D23</f>
        <v>0</v>
      </c>
      <c r="F49" s="420">
        <f>SUM(C49:E49)</f>
        <v>0</v>
      </c>
      <c r="G49" s="421"/>
      <c r="H49" s="422">
        <f t="shared" si="12"/>
        <v>0</v>
      </c>
      <c r="I49" s="422">
        <f>F49/($F$51-$F$50)</f>
        <v>0</v>
      </c>
      <c r="J49" s="212"/>
      <c r="L49" s="273"/>
    </row>
    <row r="50" spans="1:15">
      <c r="A50" s="511" t="str">
        <f>N37</f>
        <v>Market</v>
      </c>
      <c r="B50" s="511"/>
      <c r="C50" s="512">
        <f>D12</f>
        <v>7</v>
      </c>
      <c r="D50" s="512">
        <f>D18</f>
        <v>2</v>
      </c>
      <c r="E50" s="512">
        <f>D24</f>
        <v>0</v>
      </c>
      <c r="F50" s="512">
        <f>SUM(C50:E50)</f>
        <v>9</v>
      </c>
      <c r="G50" s="513"/>
      <c r="H50" s="514">
        <f t="shared" si="12"/>
        <v>4.072398190045249E-2</v>
      </c>
      <c r="I50" s="516"/>
      <c r="M50" s="273"/>
    </row>
    <row r="51" spans="1:15">
      <c r="A51" s="423" t="s">
        <v>4</v>
      </c>
      <c r="B51" s="423"/>
      <c r="C51" s="424">
        <f>SUM(C45:C50)</f>
        <v>65</v>
      </c>
      <c r="D51" s="424">
        <f>SUM(D45:D50)</f>
        <v>128</v>
      </c>
      <c r="E51" s="424">
        <f>SUM(E45:E50)</f>
        <v>28</v>
      </c>
      <c r="F51" s="424">
        <f>SUM(F45:F50)</f>
        <v>221</v>
      </c>
      <c r="G51" s="425"/>
      <c r="H51" s="426">
        <f>SUM(H45:H50)</f>
        <v>0.99999999999999989</v>
      </c>
      <c r="I51" s="426">
        <f>SUM(I45:I50)</f>
        <v>1</v>
      </c>
      <c r="M51" s="273"/>
    </row>
    <row r="52" spans="1:15">
      <c r="A52" s="419" t="s">
        <v>366</v>
      </c>
      <c r="B52" s="419"/>
      <c r="C52" s="422">
        <f>C51/$F$51</f>
        <v>0.29411764705882354</v>
      </c>
      <c r="D52" s="422">
        <f>D51/$F$51</f>
        <v>0.579185520361991</v>
      </c>
      <c r="E52" s="422">
        <f>E51/$F$51</f>
        <v>0.12669683257918551</v>
      </c>
      <c r="F52" s="427">
        <f>F51/$F$51</f>
        <v>1</v>
      </c>
      <c r="G52" s="419"/>
      <c r="H52" s="419"/>
      <c r="I52" s="419"/>
      <c r="M52" s="273"/>
    </row>
    <row r="53" spans="1:15">
      <c r="M53" s="273"/>
    </row>
    <row r="54" spans="1:15">
      <c r="M54" s="273"/>
    </row>
    <row r="56" spans="1:15">
      <c r="C56" s="870">
        <f>SUM(C45:C50)</f>
        <v>65</v>
      </c>
      <c r="D56" s="870">
        <f>SUM(D45:D50)</f>
        <v>128</v>
      </c>
      <c r="E56" s="870">
        <f>SUM(E45:E50)</f>
        <v>28</v>
      </c>
      <c r="F56" s="870">
        <f>SUM(F45:F50)</f>
        <v>221</v>
      </c>
    </row>
    <row r="57" spans="1:15">
      <c r="C57" s="991">
        <f>C56/$F$56</f>
        <v>0.29411764705882354</v>
      </c>
      <c r="D57" s="90">
        <f>D56/$F$56</f>
        <v>0.579185520361991</v>
      </c>
      <c r="E57" s="90">
        <f>E56/$F$56</f>
        <v>0.12669683257918551</v>
      </c>
      <c r="F57" s="90"/>
    </row>
    <row r="58" spans="1:15" ht="16" thickBot="1">
      <c r="B58" s="812"/>
    </row>
    <row r="59" spans="1:15" ht="49" thickBot="1">
      <c r="A59" s="822" t="s">
        <v>504</v>
      </c>
      <c r="B59" s="823"/>
      <c r="C59" s="813" t="s">
        <v>505</v>
      </c>
      <c r="D59" s="814" t="s">
        <v>506</v>
      </c>
      <c r="E59" s="815" t="s">
        <v>525</v>
      </c>
      <c r="F59" s="815" t="s">
        <v>526</v>
      </c>
      <c r="G59" s="815" t="s">
        <v>527</v>
      </c>
      <c r="H59" s="815" t="s">
        <v>507</v>
      </c>
      <c r="I59" s="815" t="s">
        <v>508</v>
      </c>
      <c r="J59" s="831"/>
      <c r="K59" s="813" t="s">
        <v>509</v>
      </c>
      <c r="O59" s="273"/>
    </row>
    <row r="60" spans="1:15" ht="17" thickBot="1">
      <c r="A60" s="825" t="s">
        <v>510</v>
      </c>
      <c r="B60" s="824"/>
      <c r="C60" s="816" t="s">
        <v>511</v>
      </c>
      <c r="D60" s="816" t="s">
        <v>512</v>
      </c>
      <c r="E60" s="817"/>
      <c r="F60" s="826">
        <v>14</v>
      </c>
      <c r="G60" s="826">
        <v>16</v>
      </c>
      <c r="H60" s="826">
        <v>19</v>
      </c>
      <c r="I60" s="817"/>
      <c r="J60" s="832"/>
      <c r="K60" s="834" t="s">
        <v>765</v>
      </c>
      <c r="O60" s="273"/>
    </row>
    <row r="61" spans="1:15" ht="17" thickBot="1">
      <c r="A61" s="825" t="s">
        <v>513</v>
      </c>
      <c r="B61" s="824"/>
      <c r="C61" s="816" t="s">
        <v>511</v>
      </c>
      <c r="D61" s="816" t="s">
        <v>512</v>
      </c>
      <c r="E61" s="817"/>
      <c r="F61" s="826">
        <v>8</v>
      </c>
      <c r="G61" s="826">
        <v>12</v>
      </c>
      <c r="H61" s="826">
        <v>16</v>
      </c>
      <c r="I61" s="817"/>
      <c r="J61" s="832"/>
      <c r="K61" s="834" t="s">
        <v>765</v>
      </c>
      <c r="O61" s="273"/>
    </row>
    <row r="62" spans="1:15" ht="17" thickBot="1">
      <c r="A62" s="825" t="s">
        <v>514</v>
      </c>
      <c r="B62" s="824"/>
      <c r="C62" s="816" t="s">
        <v>511</v>
      </c>
      <c r="D62" s="819"/>
      <c r="E62" s="817"/>
      <c r="F62" s="826">
        <v>31</v>
      </c>
      <c r="G62" s="826">
        <v>44</v>
      </c>
      <c r="H62" s="826">
        <v>56</v>
      </c>
      <c r="I62" s="817"/>
      <c r="J62" s="832"/>
      <c r="K62" s="834" t="s">
        <v>765</v>
      </c>
      <c r="O62" s="273"/>
    </row>
    <row r="63" spans="1:15" ht="17" thickBot="1">
      <c r="A63" s="825" t="s">
        <v>515</v>
      </c>
      <c r="B63" s="824"/>
      <c r="C63" s="816" t="s">
        <v>511</v>
      </c>
      <c r="D63" s="816" t="s">
        <v>512</v>
      </c>
      <c r="E63" s="817"/>
      <c r="F63" s="826">
        <v>28</v>
      </c>
      <c r="G63" s="826">
        <v>39</v>
      </c>
      <c r="H63" s="826">
        <v>50</v>
      </c>
      <c r="I63" s="817"/>
      <c r="J63" s="832"/>
      <c r="K63" s="834" t="s">
        <v>765</v>
      </c>
    </row>
    <row r="64" spans="1:15" ht="17" thickBot="1">
      <c r="A64" s="825" t="s">
        <v>516</v>
      </c>
      <c r="B64" s="824"/>
      <c r="C64" s="816" t="s">
        <v>511</v>
      </c>
      <c r="D64" s="816" t="s">
        <v>512</v>
      </c>
      <c r="E64" s="817"/>
      <c r="F64" s="826">
        <v>18</v>
      </c>
      <c r="G64" s="826">
        <v>24</v>
      </c>
      <c r="H64" s="826">
        <v>29</v>
      </c>
      <c r="I64" s="817"/>
      <c r="J64" s="832"/>
      <c r="K64" s="834" t="s">
        <v>765</v>
      </c>
    </row>
    <row r="65" spans="1:11" ht="17" thickBot="1">
      <c r="A65" s="825" t="s">
        <v>517</v>
      </c>
      <c r="B65" s="824"/>
      <c r="C65" s="816" t="s">
        <v>511</v>
      </c>
      <c r="D65" s="819"/>
      <c r="E65" s="817"/>
      <c r="F65" s="826">
        <v>37</v>
      </c>
      <c r="G65" s="826">
        <v>48</v>
      </c>
      <c r="H65" s="826">
        <v>60</v>
      </c>
      <c r="I65" s="817"/>
      <c r="J65" s="832"/>
      <c r="K65" s="834" t="s">
        <v>765</v>
      </c>
    </row>
    <row r="66" spans="1:11" ht="17" thickBot="1">
      <c r="A66" s="825" t="s">
        <v>518</v>
      </c>
      <c r="B66" s="824"/>
      <c r="C66" s="816" t="s">
        <v>511</v>
      </c>
      <c r="D66" s="819"/>
      <c r="E66" s="817"/>
      <c r="F66" s="826">
        <v>55</v>
      </c>
      <c r="G66" s="826">
        <v>71</v>
      </c>
      <c r="H66" s="826">
        <v>86</v>
      </c>
      <c r="I66" s="817"/>
      <c r="J66" s="832"/>
      <c r="K66" s="834" t="s">
        <v>765</v>
      </c>
    </row>
    <row r="67" spans="1:11" ht="16" thickBot="1">
      <c r="A67" s="825" t="s">
        <v>519</v>
      </c>
      <c r="B67" s="824"/>
      <c r="C67" s="816" t="s">
        <v>520</v>
      </c>
      <c r="D67" s="819"/>
      <c r="E67" s="817"/>
      <c r="F67" s="826"/>
      <c r="G67" s="826"/>
      <c r="H67" s="826"/>
      <c r="I67" s="817"/>
      <c r="J67" s="832"/>
      <c r="K67" s="834"/>
    </row>
    <row r="68" spans="1:11" ht="17" thickBot="1">
      <c r="A68" s="825" t="s">
        <v>521</v>
      </c>
      <c r="B68" s="824"/>
      <c r="C68" s="816" t="s">
        <v>511</v>
      </c>
      <c r="D68" s="816"/>
      <c r="E68" s="817"/>
      <c r="F68" s="826">
        <v>15</v>
      </c>
      <c r="G68" s="826">
        <v>15</v>
      </c>
      <c r="H68" s="826">
        <v>15</v>
      </c>
      <c r="I68" s="817"/>
      <c r="J68" s="832"/>
      <c r="K68" s="834" t="s">
        <v>765</v>
      </c>
    </row>
    <row r="69" spans="1:11" ht="16" thickBot="1">
      <c r="A69" s="827" t="s">
        <v>497</v>
      </c>
      <c r="B69" s="828"/>
      <c r="C69" s="816" t="s">
        <v>511</v>
      </c>
      <c r="D69" s="816"/>
      <c r="E69" s="817"/>
      <c r="F69" s="826"/>
      <c r="G69" s="826"/>
      <c r="H69" s="826"/>
      <c r="I69" s="817"/>
      <c r="J69" s="832"/>
      <c r="K69" s="818"/>
    </row>
    <row r="70" spans="1:11" ht="16" thickBot="1">
      <c r="A70" s="829"/>
      <c r="B70" s="830" t="s">
        <v>522</v>
      </c>
      <c r="C70" s="1684"/>
      <c r="D70" s="1685"/>
      <c r="E70" s="820" t="s">
        <v>523</v>
      </c>
      <c r="F70" s="835">
        <f>SUM(F60:F69)</f>
        <v>206</v>
      </c>
      <c r="G70" s="835">
        <f>SUM(G60:G69)</f>
        <v>269</v>
      </c>
      <c r="H70" s="835">
        <f>SUM(H60:H69)</f>
        <v>331</v>
      </c>
      <c r="I70" s="820" t="s">
        <v>524</v>
      </c>
      <c r="J70" s="833"/>
      <c r="K70" s="821"/>
    </row>
    <row r="71" spans="1:11">
      <c r="F71" s="4"/>
      <c r="G71" s="4"/>
      <c r="H71" s="4"/>
    </row>
  </sheetData>
  <mergeCells count="1">
    <mergeCell ref="C70:D70"/>
  </mergeCells>
  <phoneticPr fontId="168" type="noConversion"/>
  <pageMargins left="0.45" right="0.2" top="0.75" bottom="0.25" header="0.3" footer="0.3"/>
  <pageSetup scale="59" fitToWidth="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T199"/>
  <sheetViews>
    <sheetView showGridLines="0" view="pageBreakPreview" topLeftCell="A97" zoomScale="80" zoomScaleNormal="110" zoomScaleSheetLayoutView="80" workbookViewId="0">
      <selection activeCell="F129" sqref="F129"/>
    </sheetView>
  </sheetViews>
  <sheetFormatPr baseColWidth="10" defaultColWidth="8.83203125" defaultRowHeight="15"/>
  <cols>
    <col min="1" max="1" width="27.5" customWidth="1"/>
    <col min="2" max="3" width="9.5" customWidth="1"/>
    <col min="4" max="4" width="3.5" customWidth="1"/>
    <col min="5" max="5" width="15.5" customWidth="1"/>
    <col min="6" max="6" width="14.5" customWidth="1"/>
    <col min="7" max="7" width="14" customWidth="1"/>
    <col min="8" max="8" width="12" customWidth="1"/>
    <col min="9" max="11" width="16.5" customWidth="1"/>
    <col min="12" max="12" width="12.5" customWidth="1"/>
    <col min="13" max="13" width="16.5" customWidth="1"/>
    <col min="14" max="14" width="13.5" customWidth="1"/>
    <col min="15" max="15" width="12.5" customWidth="1"/>
    <col min="16" max="16" width="14.5" customWidth="1"/>
    <col min="17" max="17" width="16.5" customWidth="1"/>
    <col min="18" max="18" width="11.5" customWidth="1"/>
    <col min="20" max="20" width="12" bestFit="1" customWidth="1"/>
  </cols>
  <sheetData>
    <row r="1" spans="1:20" ht="19">
      <c r="A1" s="84" t="s">
        <v>67</v>
      </c>
      <c r="B1" s="40"/>
      <c r="C1" s="40"/>
      <c r="D1" s="40"/>
      <c r="E1" s="40"/>
      <c r="F1" s="40"/>
      <c r="G1" s="40"/>
      <c r="J1" s="39"/>
      <c r="L1" s="1318"/>
      <c r="M1" s="277">
        <f>'Summary Sources-Uses'!L2</f>
        <v>0</v>
      </c>
      <c r="O1" s="277"/>
      <c r="Q1" s="277"/>
    </row>
    <row r="2" spans="1:20" ht="19">
      <c r="A2" s="85" t="str">
        <f>'Summary Sources-Uses'!A2</f>
        <v>Project Name</v>
      </c>
      <c r="B2" s="10"/>
      <c r="C2" s="10"/>
      <c r="D2" s="10"/>
      <c r="E2" s="10"/>
      <c r="F2" s="10"/>
      <c r="G2" s="10"/>
      <c r="I2" s="66"/>
      <c r="J2" s="1"/>
      <c r="M2" s="996">
        <f>'Summary Sources-Uses'!L1</f>
        <v>45960</v>
      </c>
      <c r="O2" s="376"/>
      <c r="Q2" s="376"/>
    </row>
    <row r="3" spans="1:20" ht="16">
      <c r="A3" s="2"/>
      <c r="B3" s="2"/>
      <c r="C3" s="2"/>
      <c r="D3" s="2"/>
      <c r="E3" s="2"/>
      <c r="F3" s="2"/>
      <c r="G3" s="2"/>
      <c r="H3" s="150"/>
      <c r="J3" s="66"/>
      <c r="K3" s="857"/>
      <c r="L3" s="858"/>
      <c r="M3" s="908"/>
      <c r="N3" s="860" t="s">
        <v>755</v>
      </c>
      <c r="Q3" s="904"/>
    </row>
    <row r="4" spans="1:20" s="21" customFormat="1" ht="14">
      <c r="E4" s="100"/>
      <c r="F4" s="101"/>
    </row>
    <row r="5" spans="1:20" s="21" customFormat="1" ht="14">
      <c r="E5" s="102" t="s">
        <v>558</v>
      </c>
      <c r="F5" s="103"/>
      <c r="J5" s="411" t="s">
        <v>232</v>
      </c>
      <c r="M5" s="926"/>
      <c r="P5" s="710"/>
      <c r="Q5" s="927"/>
      <c r="R5" s="710"/>
    </row>
    <row r="6" spans="1:20" s="21" customFormat="1" ht="14">
      <c r="A6" s="72" t="s">
        <v>68</v>
      </c>
      <c r="B6" s="72"/>
      <c r="C6" s="72"/>
      <c r="D6" s="72"/>
      <c r="E6" s="104">
        <f>'Rent Schedule'!D26</f>
        <v>221</v>
      </c>
      <c r="F6" s="105" t="s">
        <v>72</v>
      </c>
      <c r="G6" s="72"/>
      <c r="J6" s="957">
        <f>E6</f>
        <v>221</v>
      </c>
      <c r="K6" s="21" t="str">
        <f>F6</f>
        <v>units</v>
      </c>
      <c r="L6" s="155"/>
      <c r="M6" s="928"/>
      <c r="P6" s="929"/>
      <c r="Q6" s="928"/>
      <c r="R6" s="929"/>
    </row>
    <row r="7" spans="1:20" s="74" customFormat="1" ht="14">
      <c r="A7" s="73"/>
      <c r="B7" s="73"/>
      <c r="C7" s="73"/>
      <c r="D7" s="73"/>
      <c r="E7" s="104"/>
      <c r="F7" s="106"/>
      <c r="G7" s="73"/>
      <c r="M7" s="930"/>
      <c r="P7" s="931"/>
      <c r="Q7" s="930"/>
      <c r="R7" s="931"/>
    </row>
    <row r="8" spans="1:20" s="21" customFormat="1">
      <c r="A8" s="73" t="s">
        <v>69</v>
      </c>
      <c r="B8" s="73"/>
      <c r="C8" s="73"/>
      <c r="D8" s="73"/>
      <c r="E8" s="443" t="s">
        <v>585</v>
      </c>
      <c r="F8" s="96" t="s">
        <v>5</v>
      </c>
      <c r="G8" s="73"/>
      <c r="J8" s="948" t="s">
        <v>586</v>
      </c>
      <c r="K8" s="944">
        <f t="shared" ref="K8:K17" si="0">(H46+J46+L46+N46+P46+R46)/6</f>
        <v>193.56108801793275</v>
      </c>
      <c r="L8" s="156"/>
      <c r="M8" s="932"/>
      <c r="P8" s="933"/>
      <c r="Q8" s="932"/>
      <c r="R8" s="933"/>
    </row>
    <row r="9" spans="1:20" s="21" customFormat="1">
      <c r="A9" s="73"/>
      <c r="B9" s="73"/>
      <c r="C9" s="73"/>
      <c r="D9" s="73"/>
      <c r="E9" s="107"/>
      <c r="F9" s="97"/>
      <c r="G9" s="73"/>
      <c r="J9" s="949" t="s">
        <v>587</v>
      </c>
      <c r="K9" s="945">
        <f t="shared" si="0"/>
        <v>286.38268882348888</v>
      </c>
      <c r="L9" s="157"/>
      <c r="M9" s="929"/>
      <c r="P9" s="934"/>
      <c r="Q9" s="929"/>
      <c r="R9" s="934"/>
    </row>
    <row r="10" spans="1:20" s="21" customFormat="1" ht="15" customHeight="1">
      <c r="A10" s="77" t="s">
        <v>207</v>
      </c>
      <c r="B10" s="73"/>
      <c r="C10" s="73"/>
      <c r="D10" s="73"/>
      <c r="E10" s="530">
        <f>E81</f>
        <v>115000</v>
      </c>
      <c r="F10" s="98">
        <f>E10/$E$6</f>
        <v>520.3619909502263</v>
      </c>
      <c r="G10" s="73"/>
      <c r="J10" s="953">
        <f t="shared" ref="J10:J17" si="1">K10*E$6</f>
        <v>106067.57468195417</v>
      </c>
      <c r="K10" s="946">
        <f t="shared" si="0"/>
        <v>479.9437768414216</v>
      </c>
      <c r="L10" s="158"/>
      <c r="M10" s="935"/>
      <c r="P10" s="936"/>
      <c r="Q10" s="935"/>
      <c r="R10" s="936"/>
    </row>
    <row r="11" spans="1:20" s="21" customFormat="1" ht="15" customHeight="1">
      <c r="A11" s="77" t="s">
        <v>208</v>
      </c>
      <c r="B11" s="73"/>
      <c r="C11" s="73"/>
      <c r="D11" s="73"/>
      <c r="E11" s="530">
        <f>E86</f>
        <v>30000</v>
      </c>
      <c r="F11" s="98">
        <f t="shared" ref="F11:F18" si="2">E11/$E$6</f>
        <v>135.74660633484163</v>
      </c>
      <c r="G11" s="73"/>
      <c r="J11" s="953">
        <f t="shared" si="1"/>
        <v>11241.194929446458</v>
      </c>
      <c r="K11" s="946">
        <f t="shared" si="0"/>
        <v>50.86513542735954</v>
      </c>
      <c r="L11" s="158"/>
      <c r="M11" s="935"/>
      <c r="P11" s="936"/>
      <c r="Q11" s="935"/>
      <c r="R11" s="936"/>
    </row>
    <row r="12" spans="1:20" s="21" customFormat="1" ht="15" customHeight="1">
      <c r="A12" s="77" t="s">
        <v>209</v>
      </c>
      <c r="B12" s="73"/>
      <c r="C12" s="73"/>
      <c r="D12" s="73"/>
      <c r="E12" s="530">
        <f>E96</f>
        <v>450000</v>
      </c>
      <c r="F12" s="98">
        <f t="shared" si="2"/>
        <v>2036.1990950226245</v>
      </c>
      <c r="G12" s="73"/>
      <c r="J12" s="953">
        <f t="shared" si="1"/>
        <v>392076.16952037113</v>
      </c>
      <c r="K12" s="946">
        <f t="shared" si="0"/>
        <v>1774.100314571815</v>
      </c>
      <c r="L12" s="158"/>
      <c r="M12" s="935"/>
      <c r="P12" s="936"/>
      <c r="Q12" s="935"/>
      <c r="R12" s="936"/>
    </row>
    <row r="13" spans="1:20" s="21" customFormat="1" ht="15" customHeight="1">
      <c r="A13" s="77" t="s">
        <v>210</v>
      </c>
      <c r="B13" s="73"/>
      <c r="C13" s="73"/>
      <c r="D13" s="73"/>
      <c r="E13" s="530">
        <f>E106</f>
        <v>230000</v>
      </c>
      <c r="F13" s="98">
        <f t="shared" si="2"/>
        <v>1040.7239819004526</v>
      </c>
      <c r="G13" s="73"/>
      <c r="J13" s="953">
        <f t="shared" si="1"/>
        <v>186021.54773365473</v>
      </c>
      <c r="K13" s="946">
        <f t="shared" si="0"/>
        <v>841.72646033327931</v>
      </c>
      <c r="L13" s="158"/>
      <c r="M13" s="935"/>
      <c r="P13" s="936"/>
      <c r="Q13" s="935"/>
      <c r="R13" s="936"/>
      <c r="T13" s="301"/>
    </row>
    <row r="14" spans="1:20" s="21" customFormat="1" ht="15" customHeight="1">
      <c r="A14" s="77" t="s">
        <v>211</v>
      </c>
      <c r="B14" s="73"/>
      <c r="C14" s="73"/>
      <c r="D14" s="73"/>
      <c r="E14" s="530">
        <f>E114</f>
        <v>210000</v>
      </c>
      <c r="F14" s="98">
        <f t="shared" si="2"/>
        <v>950.22624434389138</v>
      </c>
      <c r="G14" s="950" t="s">
        <v>262</v>
      </c>
      <c r="J14" s="953">
        <f t="shared" si="1"/>
        <v>231155.53339081258</v>
      </c>
      <c r="K14" s="946">
        <f t="shared" si="0"/>
        <v>1045.9526397774325</v>
      </c>
      <c r="L14" s="158"/>
      <c r="M14" s="935"/>
      <c r="P14" s="936"/>
      <c r="Q14" s="935"/>
      <c r="R14" s="936"/>
      <c r="T14" s="301"/>
    </row>
    <row r="15" spans="1:20" s="21" customFormat="1" ht="15" customHeight="1">
      <c r="A15" s="77" t="s">
        <v>212</v>
      </c>
      <c r="B15" s="73"/>
      <c r="D15" s="163" t="s">
        <v>420</v>
      </c>
      <c r="E15" s="530">
        <f>E121</f>
        <v>215000</v>
      </c>
      <c r="F15" s="98">
        <f t="shared" si="2"/>
        <v>972.85067873303171</v>
      </c>
      <c r="G15" s="951" t="s">
        <v>326</v>
      </c>
      <c r="J15" s="953">
        <f t="shared" si="1"/>
        <v>152399.67555296779</v>
      </c>
      <c r="K15" s="946">
        <f t="shared" si="0"/>
        <v>689.59129209487685</v>
      </c>
      <c r="L15" s="158"/>
      <c r="M15" s="935"/>
      <c r="P15" s="936"/>
      <c r="Q15" s="935"/>
      <c r="R15" s="936"/>
    </row>
    <row r="16" spans="1:20" s="74" customFormat="1" ht="15" customHeight="1">
      <c r="A16" s="77" t="s">
        <v>213</v>
      </c>
      <c r="B16" s="73"/>
      <c r="C16" s="73"/>
      <c r="D16" s="73"/>
      <c r="E16" s="530">
        <f>E130</f>
        <v>361635.91279999999</v>
      </c>
      <c r="F16" s="98">
        <f t="shared" si="2"/>
        <v>1636.3615963800905</v>
      </c>
      <c r="G16" s="952"/>
      <c r="J16" s="953">
        <f t="shared" si="1"/>
        <v>279410.30185803788</v>
      </c>
      <c r="K16" s="946">
        <f t="shared" si="0"/>
        <v>1264.3000084074113</v>
      </c>
      <c r="L16" s="158"/>
      <c r="M16" s="935"/>
      <c r="P16" s="936"/>
      <c r="Q16" s="935"/>
      <c r="R16" s="936"/>
    </row>
    <row r="17" spans="1:19" s="21" customFormat="1" ht="15" customHeight="1">
      <c r="A17" s="77" t="s">
        <v>214</v>
      </c>
      <c r="B17" s="73"/>
      <c r="C17" s="73"/>
      <c r="D17" s="73"/>
      <c r="E17" s="530">
        <f>E136</f>
        <v>290000</v>
      </c>
      <c r="F17" s="98">
        <f t="shared" si="2"/>
        <v>1312.2171945701357</v>
      </c>
      <c r="G17" s="951" t="s">
        <v>364</v>
      </c>
      <c r="J17" s="954">
        <f t="shared" si="1"/>
        <v>255743.63700216784</v>
      </c>
      <c r="K17" s="947">
        <f t="shared" si="0"/>
        <v>1157.2110271591305</v>
      </c>
      <c r="L17" s="158"/>
      <c r="M17" s="935"/>
      <c r="P17" s="937"/>
      <c r="Q17" s="935"/>
      <c r="R17" s="937"/>
    </row>
    <row r="18" spans="1:19" s="21" customFormat="1" ht="15" customHeight="1">
      <c r="A18" s="77" t="s">
        <v>599</v>
      </c>
      <c r="B18" s="73"/>
      <c r="C18" s="73"/>
      <c r="D18" s="73"/>
      <c r="E18" s="530">
        <f ca="1">E138</f>
        <v>13562.25835376226</v>
      </c>
      <c r="F18" s="1052">
        <f t="shared" ca="1" si="2"/>
        <v>61.367684858652758</v>
      </c>
      <c r="G18" s="951"/>
      <c r="J18" s="954"/>
      <c r="K18" s="947"/>
      <c r="L18" s="158"/>
      <c r="M18" s="935"/>
      <c r="P18" s="937"/>
      <c r="Q18" s="935"/>
      <c r="R18" s="937"/>
    </row>
    <row r="19" spans="1:19" s="74" customFormat="1" ht="15" customHeight="1">
      <c r="A19" s="126"/>
      <c r="B19" s="73"/>
      <c r="C19" s="73"/>
      <c r="D19" s="73"/>
      <c r="E19" s="531"/>
      <c r="F19" s="99"/>
      <c r="G19" s="73"/>
      <c r="J19" s="955"/>
      <c r="L19" s="159"/>
      <c r="M19" s="935"/>
      <c r="P19" s="938"/>
      <c r="Q19" s="935"/>
      <c r="R19" s="938"/>
    </row>
    <row r="20" spans="1:19" s="21" customFormat="1" ht="15" customHeight="1">
      <c r="A20" s="75"/>
      <c r="B20" s="71" t="s">
        <v>70</v>
      </c>
      <c r="E20" s="1272">
        <f ca="1">SUM(E10:E18)</f>
        <v>1915198.1711537624</v>
      </c>
      <c r="F20" s="98">
        <f ca="1">E20/$E$6</f>
        <v>8666.0550730939467</v>
      </c>
      <c r="J20" s="953">
        <f>SUM(J10:J17)</f>
        <v>1614115.6346694124</v>
      </c>
      <c r="K20" s="412">
        <f>SUM(K10:K17)</f>
        <v>7303.6906546127266</v>
      </c>
      <c r="L20" s="160"/>
      <c r="M20" s="939"/>
      <c r="P20" s="936"/>
      <c r="Q20" s="939"/>
      <c r="R20" s="936"/>
    </row>
    <row r="21" spans="1:19" s="21" customFormat="1" ht="14.75" customHeight="1">
      <c r="B21" s="164" t="s">
        <v>30</v>
      </c>
      <c r="E21" s="532">
        <f>300*E6</f>
        <v>66300</v>
      </c>
      <c r="F21" s="98">
        <f>E21/$E$6</f>
        <v>300</v>
      </c>
      <c r="J21" s="956"/>
      <c r="K21" s="82"/>
      <c r="L21" s="161"/>
      <c r="M21" s="940"/>
      <c r="P21" s="941"/>
      <c r="Q21" s="940"/>
      <c r="R21" s="941"/>
    </row>
    <row r="22" spans="1:19" s="21" customFormat="1" ht="15" customHeight="1">
      <c r="B22" s="71" t="s">
        <v>112</v>
      </c>
      <c r="E22" s="533">
        <f ca="1">E20+E21</f>
        <v>1981498.1711537624</v>
      </c>
      <c r="F22" s="165">
        <f ca="1">E22/E6</f>
        <v>8966.0550730939467</v>
      </c>
      <c r="J22" s="414"/>
      <c r="K22" s="82"/>
      <c r="M22" s="942"/>
      <c r="P22" s="943"/>
      <c r="Q22" s="942"/>
      <c r="R22" s="943"/>
      <c r="S22" s="74"/>
    </row>
    <row r="23" spans="1:19" s="21" customFormat="1" ht="14">
      <c r="E23" s="76"/>
      <c r="F23" s="81"/>
      <c r="J23" s="75"/>
      <c r="K23" s="162"/>
    </row>
    <row r="24" spans="1:19">
      <c r="A24" t="s">
        <v>168</v>
      </c>
      <c r="E24" s="42">
        <v>0</v>
      </c>
      <c r="F24" s="297">
        <v>0</v>
      </c>
      <c r="G24" t="s">
        <v>5</v>
      </c>
      <c r="J24" s="285"/>
      <c r="K24" s="82"/>
      <c r="L24" s="34"/>
    </row>
    <row r="25" spans="1:19" ht="16" thickBot="1">
      <c r="A25" t="s">
        <v>244</v>
      </c>
      <c r="E25" s="34">
        <f ca="1">E20-E24</f>
        <v>1915198.1711537624</v>
      </c>
      <c r="F25" s="34">
        <f ca="1">E25/E6</f>
        <v>8666.0550730939467</v>
      </c>
      <c r="G25" t="s">
        <v>5</v>
      </c>
      <c r="J25" s="413"/>
      <c r="K25" s="82"/>
      <c r="L25" s="34"/>
      <c r="M25" s="49"/>
      <c r="P25" s="529"/>
      <c r="Q25" s="49"/>
      <c r="R25" s="529"/>
    </row>
    <row r="26" spans="1:19" ht="17" thickTop="1">
      <c r="A26" s="152"/>
      <c r="B26" s="152"/>
      <c r="C26" s="152"/>
      <c r="D26" s="152"/>
      <c r="E26" s="153"/>
      <c r="F26" s="152"/>
      <c r="G26" s="152"/>
      <c r="H26" s="152"/>
      <c r="I26" s="153"/>
      <c r="J26" s="64"/>
      <c r="K26" s="111"/>
      <c r="L26" s="529"/>
      <c r="M26" s="111"/>
      <c r="P26" s="64"/>
      <c r="Q26" s="111"/>
      <c r="R26" s="64"/>
    </row>
    <row r="28" spans="1:19">
      <c r="A28" t="s">
        <v>245</v>
      </c>
      <c r="E28" s="212">
        <f>NetIncomeY1</f>
        <v>3493931.88</v>
      </c>
      <c r="H28" s="42">
        <f ca="1">ExpTotalY1/12</f>
        <v>159599.84759614686</v>
      </c>
      <c r="J28" s="42"/>
    </row>
    <row r="29" spans="1:19">
      <c r="A29" t="s">
        <v>231</v>
      </c>
      <c r="E29" s="273">
        <f ca="1">E20/E28</f>
        <v>0.54814983145972562</v>
      </c>
      <c r="F29" t="s">
        <v>373</v>
      </c>
      <c r="H29" s="273"/>
      <c r="J29" s="273"/>
      <c r="L29" s="273"/>
    </row>
    <row r="30" spans="1:19">
      <c r="A30" t="s">
        <v>246</v>
      </c>
      <c r="E30" s="273">
        <f ca="1">(E28-E20)/E28</f>
        <v>0.45185016854027432</v>
      </c>
      <c r="H30" s="273"/>
      <c r="J30" s="273"/>
      <c r="L30" s="273"/>
    </row>
    <row r="32" spans="1:19">
      <c r="B32" s="212"/>
      <c r="C32" s="212"/>
      <c r="D32" s="212"/>
      <c r="E32" s="212"/>
    </row>
    <row r="33" spans="1:18">
      <c r="A33" s="3" t="s">
        <v>375</v>
      </c>
      <c r="C33" s="5"/>
      <c r="F33" s="34"/>
    </row>
    <row r="34" spans="1:18">
      <c r="A34" t="s">
        <v>374</v>
      </c>
      <c r="C34" s="5"/>
      <c r="E34" s="34"/>
      <c r="F34" s="34"/>
    </row>
    <row r="35" spans="1:18">
      <c r="A35" s="77"/>
      <c r="C35" s="5"/>
      <c r="E35" s="360"/>
      <c r="F35" s="384"/>
      <c r="G35" s="42"/>
      <c r="H35" s="42"/>
      <c r="I35" s="42"/>
    </row>
    <row r="36" spans="1:18">
      <c r="A36" s="77"/>
      <c r="C36" s="5"/>
      <c r="E36" s="360"/>
      <c r="F36" s="384"/>
      <c r="G36" s="42"/>
      <c r="H36" s="42"/>
      <c r="I36" s="42"/>
    </row>
    <row r="37" spans="1:18" ht="16">
      <c r="A37" s="84" t="s">
        <v>67</v>
      </c>
    </row>
    <row r="38" spans="1:18" ht="19">
      <c r="A38" s="85" t="s">
        <v>559</v>
      </c>
    </row>
    <row r="39" spans="1:18">
      <c r="A39" s="2"/>
      <c r="O39" s="915"/>
      <c r="P39" s="915"/>
    </row>
    <row r="40" spans="1:18">
      <c r="A40" s="21"/>
      <c r="G40" s="1686" t="s">
        <v>560</v>
      </c>
      <c r="H40" s="1687"/>
      <c r="I40" s="1686" t="s">
        <v>560</v>
      </c>
      <c r="J40" s="1687"/>
      <c r="K40" s="1686" t="s">
        <v>560</v>
      </c>
      <c r="L40" s="1687"/>
      <c r="M40" s="1686" t="s">
        <v>560</v>
      </c>
      <c r="N40" s="1687"/>
      <c r="O40" s="1686" t="s">
        <v>560</v>
      </c>
      <c r="P40" s="1687"/>
      <c r="Q40" s="1686" t="s">
        <v>560</v>
      </c>
      <c r="R40" s="1687"/>
    </row>
    <row r="41" spans="1:18">
      <c r="A41" s="21"/>
      <c r="G41" s="916" t="s">
        <v>561</v>
      </c>
      <c r="H41" s="21"/>
      <c r="I41" s="916" t="s">
        <v>562</v>
      </c>
      <c r="J41" s="21"/>
      <c r="K41" s="916" t="s">
        <v>563</v>
      </c>
      <c r="L41" s="21"/>
      <c r="M41" s="917" t="s">
        <v>564</v>
      </c>
      <c r="N41" s="21"/>
      <c r="O41" s="917" t="s">
        <v>588</v>
      </c>
      <c r="P41" s="21"/>
      <c r="Q41" s="917" t="s">
        <v>565</v>
      </c>
      <c r="R41" s="21"/>
    </row>
    <row r="42" spans="1:18">
      <c r="A42" s="72" t="s">
        <v>68</v>
      </c>
      <c r="E42" s="4"/>
      <c r="G42" s="918">
        <v>200</v>
      </c>
      <c r="H42" s="72" t="s">
        <v>72</v>
      </c>
      <c r="I42" s="918">
        <v>191</v>
      </c>
      <c r="J42" s="72" t="s">
        <v>72</v>
      </c>
      <c r="K42" s="918">
        <f>132+138</f>
        <v>270</v>
      </c>
      <c r="L42" s="72" t="s">
        <v>72</v>
      </c>
      <c r="M42" s="918">
        <f>151+179</f>
        <v>330</v>
      </c>
      <c r="N42" s="72" t="s">
        <v>72</v>
      </c>
      <c r="O42" s="918">
        <v>140</v>
      </c>
      <c r="P42" s="72" t="s">
        <v>72</v>
      </c>
      <c r="Q42" s="918">
        <v>466</v>
      </c>
      <c r="R42" s="72" t="s">
        <v>72</v>
      </c>
    </row>
    <row r="43" spans="1:18">
      <c r="A43" s="73"/>
      <c r="E43" s="4"/>
      <c r="K43" s="1"/>
    </row>
    <row r="44" spans="1:18">
      <c r="A44" s="72" t="s">
        <v>69</v>
      </c>
      <c r="E44" s="919"/>
      <c r="G44" s="1"/>
      <c r="I44" s="1"/>
      <c r="K44" s="1"/>
      <c r="M44" s="1"/>
      <c r="O44" s="1"/>
      <c r="Q44" s="1"/>
      <c r="R44" s="1"/>
    </row>
    <row r="45" spans="1:18">
      <c r="A45" s="73"/>
      <c r="E45" s="4"/>
      <c r="G45" s="1"/>
      <c r="I45" s="1"/>
      <c r="K45" s="1"/>
      <c r="M45" s="1"/>
      <c r="O45" s="1"/>
      <c r="Q45" s="1"/>
      <c r="R45" s="1"/>
    </row>
    <row r="46" spans="1:18">
      <c r="A46" s="73"/>
      <c r="B46" t="s">
        <v>566</v>
      </c>
      <c r="G46" s="1">
        <v>34857.089999999997</v>
      </c>
      <c r="H46" s="920">
        <f>G46/G$42</f>
        <v>174.28544999999997</v>
      </c>
      <c r="I46" s="1">
        <v>63638.06</v>
      </c>
      <c r="J46" s="920">
        <f>I46/I$42</f>
        <v>333.18356020942406</v>
      </c>
      <c r="K46" s="1">
        <f>30841.05+17031.96</f>
        <v>47873.009999999995</v>
      </c>
      <c r="L46" s="920">
        <f t="shared" ref="L46:L55" si="3">K46/K$42</f>
        <v>177.30744444444443</v>
      </c>
      <c r="M46" s="1">
        <f>8259.72+41005.28</f>
        <v>49265</v>
      </c>
      <c r="N46" s="920">
        <f t="shared" ref="N46:N55" si="4">M46/M$42</f>
        <v>149.28787878787878</v>
      </c>
      <c r="O46" s="1">
        <v>11517.23</v>
      </c>
      <c r="P46" s="920">
        <f t="shared" ref="P46:P55" si="5">O46/O$42</f>
        <v>82.265928571428574</v>
      </c>
      <c r="Q46" s="1">
        <v>114186.9</v>
      </c>
      <c r="R46" s="920">
        <f t="shared" ref="R46:R55" si="6">Q46/Q$42</f>
        <v>245.0362660944206</v>
      </c>
    </row>
    <row r="47" spans="1:18">
      <c r="A47" s="921"/>
      <c r="B47" s="541" t="s">
        <v>567</v>
      </c>
      <c r="C47" s="541"/>
      <c r="D47" s="541"/>
      <c r="G47" s="922">
        <f>96635.82-G46</f>
        <v>61778.73000000001</v>
      </c>
      <c r="H47" s="920">
        <f t="shared" ref="H47:J55" si="7">G47/G$42</f>
        <v>308.89365000000004</v>
      </c>
      <c r="I47" s="922">
        <f>115284.62-I46</f>
        <v>51646.559999999998</v>
      </c>
      <c r="J47" s="920">
        <f t="shared" si="7"/>
        <v>270.40083769633509</v>
      </c>
      <c r="K47" s="922">
        <f>79427.6-K46+47508.61</f>
        <v>79063.200000000012</v>
      </c>
      <c r="L47" s="920">
        <f t="shared" si="3"/>
        <v>292.82666666666671</v>
      </c>
      <c r="M47" s="922">
        <f>50385.39-M46+70545.57</f>
        <v>71665.960000000006</v>
      </c>
      <c r="N47" s="920">
        <f t="shared" si="4"/>
        <v>217.16957575757579</v>
      </c>
      <c r="O47" s="922">
        <f>46971.31-O46</f>
        <v>35454.080000000002</v>
      </c>
      <c r="P47" s="920">
        <f t="shared" si="5"/>
        <v>253.24342857142858</v>
      </c>
      <c r="Q47" s="922">
        <f>289291.98-Q46</f>
        <v>175105.08</v>
      </c>
      <c r="R47" s="920">
        <f t="shared" si="6"/>
        <v>375.761974248927</v>
      </c>
    </row>
    <row r="48" spans="1:18">
      <c r="A48" s="77" t="s">
        <v>568</v>
      </c>
      <c r="G48" s="1">
        <f>G46+G47</f>
        <v>96635.82</v>
      </c>
      <c r="H48" s="920">
        <f t="shared" si="7"/>
        <v>483.17910000000006</v>
      </c>
      <c r="I48" s="1">
        <f>I46+I47</f>
        <v>115284.62</v>
      </c>
      <c r="J48" s="920">
        <f t="shared" si="7"/>
        <v>603.58439790575915</v>
      </c>
      <c r="K48" s="1">
        <f>K46+K47</f>
        <v>126936.21</v>
      </c>
      <c r="L48" s="920">
        <f t="shared" si="3"/>
        <v>470.13411111111111</v>
      </c>
      <c r="M48" s="1">
        <f>M46+M47</f>
        <v>120930.96</v>
      </c>
      <c r="N48" s="920">
        <f t="shared" si="4"/>
        <v>366.45745454545454</v>
      </c>
      <c r="O48" s="1">
        <f>O46+O47</f>
        <v>46971.31</v>
      </c>
      <c r="P48" s="920">
        <f t="shared" si="5"/>
        <v>335.50935714285714</v>
      </c>
      <c r="Q48" s="1">
        <f>Q46+Q47</f>
        <v>289291.98</v>
      </c>
      <c r="R48" s="920">
        <f t="shared" si="6"/>
        <v>620.79824034334763</v>
      </c>
    </row>
    <row r="49" spans="1:18">
      <c r="A49" s="77" t="s">
        <v>569</v>
      </c>
      <c r="G49" s="1">
        <v>12789.35</v>
      </c>
      <c r="H49" s="920">
        <f t="shared" si="7"/>
        <v>63.946750000000002</v>
      </c>
      <c r="I49" s="1">
        <v>13318.35</v>
      </c>
      <c r="J49" s="920">
        <f t="shared" si="7"/>
        <v>69.729581151832463</v>
      </c>
      <c r="K49" s="1">
        <f>4079.38+3906.67</f>
        <v>7986.05</v>
      </c>
      <c r="L49" s="920">
        <f t="shared" si="3"/>
        <v>29.577962962962964</v>
      </c>
      <c r="M49" s="1">
        <f>6019.15+4933.34</f>
        <v>10952.49</v>
      </c>
      <c r="N49" s="920">
        <f t="shared" si="4"/>
        <v>33.189363636363638</v>
      </c>
      <c r="O49" s="1">
        <v>7102.73</v>
      </c>
      <c r="P49" s="920">
        <f t="shared" si="5"/>
        <v>50.733785714285709</v>
      </c>
      <c r="Q49" s="1">
        <v>27034.23</v>
      </c>
      <c r="R49" s="920">
        <f t="shared" si="6"/>
        <v>58.013369098712445</v>
      </c>
    </row>
    <row r="50" spans="1:18">
      <c r="A50" s="77" t="s">
        <v>570</v>
      </c>
      <c r="G50" s="1">
        <v>489458.47</v>
      </c>
      <c r="H50" s="920">
        <f t="shared" si="7"/>
        <v>2447.2923499999997</v>
      </c>
      <c r="I50" s="1">
        <v>347193.89</v>
      </c>
      <c r="J50" s="920">
        <f t="shared" si="7"/>
        <v>1817.7690575916231</v>
      </c>
      <c r="K50" s="1">
        <f>183054.93+193045.46</f>
        <v>376100.39</v>
      </c>
      <c r="L50" s="920">
        <f t="shared" si="3"/>
        <v>1392.9644074074074</v>
      </c>
      <c r="M50" s="1">
        <f>285524.83+242835.05</f>
        <v>528359.88</v>
      </c>
      <c r="N50" s="920">
        <f t="shared" si="4"/>
        <v>1601.0905454545455</v>
      </c>
      <c r="O50" s="1">
        <f>154648.03+51953</f>
        <v>206601.03</v>
      </c>
      <c r="P50" s="920">
        <f t="shared" si="5"/>
        <v>1475.7216428571428</v>
      </c>
      <c r="Q50" s="1">
        <v>889949.97</v>
      </c>
      <c r="R50" s="920">
        <f t="shared" si="6"/>
        <v>1909.7638841201717</v>
      </c>
    </row>
    <row r="51" spans="1:18" ht="15" customHeight="1">
      <c r="A51" s="77" t="s">
        <v>571</v>
      </c>
      <c r="G51" s="1">
        <v>195288.79</v>
      </c>
      <c r="H51" s="920">
        <f t="shared" si="7"/>
        <v>976.44395000000009</v>
      </c>
      <c r="I51" s="1">
        <v>170057.73</v>
      </c>
      <c r="J51" s="920">
        <f t="shared" si="7"/>
        <v>890.35460732984302</v>
      </c>
      <c r="K51" s="1">
        <f>96619.62+106586.17</f>
        <v>203205.78999999998</v>
      </c>
      <c r="L51" s="920">
        <f t="shared" si="3"/>
        <v>752.61403703703695</v>
      </c>
      <c r="M51" s="1">
        <f>101093.71+104212.04</f>
        <v>205305.75</v>
      </c>
      <c r="N51" s="920">
        <f t="shared" si="4"/>
        <v>622.13863636363635</v>
      </c>
      <c r="O51" s="1">
        <v>121738.49</v>
      </c>
      <c r="P51" s="920">
        <f t="shared" si="5"/>
        <v>869.56064285714285</v>
      </c>
      <c r="Q51" s="1">
        <v>437689.05</v>
      </c>
      <c r="R51" s="920">
        <f t="shared" si="6"/>
        <v>939.24688841201714</v>
      </c>
    </row>
    <row r="52" spans="1:18" ht="15" customHeight="1">
      <c r="A52" s="77" t="s">
        <v>572</v>
      </c>
      <c r="G52" s="1">
        <v>141629.56</v>
      </c>
      <c r="H52" s="920">
        <f t="shared" si="7"/>
        <v>708.14779999999996</v>
      </c>
      <c r="I52" s="1">
        <v>275639.61</v>
      </c>
      <c r="J52" s="920">
        <f t="shared" si="7"/>
        <v>1443.1393193717277</v>
      </c>
      <c r="K52" s="1">
        <f>158796.88+99845.3</f>
        <v>258642.18</v>
      </c>
      <c r="L52" s="920">
        <f t="shared" si="3"/>
        <v>957.93399999999997</v>
      </c>
      <c r="M52" s="1">
        <f>197838.2+95082.78</f>
        <v>292920.98</v>
      </c>
      <c r="N52" s="920">
        <f t="shared" si="4"/>
        <v>887.6393333333333</v>
      </c>
      <c r="O52" s="1">
        <f>136716.73-51953</f>
        <v>84763.73000000001</v>
      </c>
      <c r="P52" s="920">
        <f t="shared" si="5"/>
        <v>605.45521428571431</v>
      </c>
      <c r="Q52" s="1">
        <v>779804.48</v>
      </c>
      <c r="R52" s="920">
        <f t="shared" si="6"/>
        <v>1673.4001716738196</v>
      </c>
    </row>
    <row r="53" spans="1:18" ht="15" customHeight="1">
      <c r="A53" s="77" t="s">
        <v>573</v>
      </c>
      <c r="C53" s="17" t="s">
        <v>574</v>
      </c>
      <c r="G53" s="1">
        <f>210123.7-82110.95</f>
        <v>128012.75000000001</v>
      </c>
      <c r="H53" s="920">
        <f t="shared" si="7"/>
        <v>640.06375000000003</v>
      </c>
      <c r="I53" s="1">
        <f>310145.67-168748.08</f>
        <v>141397.59</v>
      </c>
      <c r="J53" s="920">
        <f t="shared" si="7"/>
        <v>740.30151832460729</v>
      </c>
      <c r="K53" s="1">
        <f>143111.58-73181.92-77139.45+131485.39</f>
        <v>124275.6</v>
      </c>
      <c r="L53" s="920">
        <f t="shared" si="3"/>
        <v>460.28000000000003</v>
      </c>
      <c r="M53" s="1">
        <f>362149.68+138733.19</f>
        <v>500882.87</v>
      </c>
      <c r="N53" s="920">
        <f t="shared" si="4"/>
        <v>1517.8268787878787</v>
      </c>
      <c r="O53" s="1">
        <f>66341.65-22450</f>
        <v>43891.649999999994</v>
      </c>
      <c r="P53" s="920">
        <f t="shared" si="5"/>
        <v>313.51178571428568</v>
      </c>
      <c r="Q53" s="1">
        <f>216952.74</f>
        <v>216952.74</v>
      </c>
      <c r="R53" s="920">
        <f t="shared" si="6"/>
        <v>465.56381974248927</v>
      </c>
    </row>
    <row r="54" spans="1:18">
      <c r="A54" s="77" t="s">
        <v>575</v>
      </c>
      <c r="G54" s="1">
        <v>260457.44</v>
      </c>
      <c r="H54" s="920">
        <f t="shared" si="7"/>
        <v>1302.2872</v>
      </c>
      <c r="I54" s="1">
        <v>329211.40000000002</v>
      </c>
      <c r="J54" s="920">
        <f t="shared" si="7"/>
        <v>1723.6198952879583</v>
      </c>
      <c r="K54" s="1">
        <f>163155.76+154941.25</f>
        <v>318097.01</v>
      </c>
      <c r="L54" s="920">
        <f t="shared" si="3"/>
        <v>1178.137074074074</v>
      </c>
      <c r="M54" s="1">
        <f>230656.49+182780.11</f>
        <v>413436.6</v>
      </c>
      <c r="N54" s="920">
        <f t="shared" si="4"/>
        <v>1252.8381818181817</v>
      </c>
      <c r="O54" s="1">
        <v>148368.25</v>
      </c>
      <c r="P54" s="920">
        <f t="shared" si="5"/>
        <v>1059.7732142857142</v>
      </c>
      <c r="Q54" s="1">
        <v>498221.33</v>
      </c>
      <c r="R54" s="920">
        <f t="shared" si="6"/>
        <v>1069.1444849785407</v>
      </c>
    </row>
    <row r="55" spans="1:18" ht="18">
      <c r="A55" s="77" t="s">
        <v>576</v>
      </c>
      <c r="G55" s="924">
        <v>387800.7</v>
      </c>
      <c r="H55" s="923">
        <f t="shared" si="7"/>
        <v>1939.0035</v>
      </c>
      <c r="I55" s="924">
        <v>131393.04</v>
      </c>
      <c r="J55" s="923">
        <f t="shared" si="7"/>
        <v>687.92167539267018</v>
      </c>
      <c r="K55" s="924">
        <f>141805.78+43470+91891</f>
        <v>277166.78000000003</v>
      </c>
      <c r="L55" s="923">
        <f t="shared" si="3"/>
        <v>1026.5436296296298</v>
      </c>
      <c r="M55" s="924">
        <f>-67824.02+80121.72-60443.94+72479.94</f>
        <v>24333.699999999997</v>
      </c>
      <c r="N55" s="923">
        <f t="shared" si="4"/>
        <v>73.738484848484845</v>
      </c>
      <c r="O55" s="924">
        <v>204093.08</v>
      </c>
      <c r="P55" s="923">
        <f t="shared" si="5"/>
        <v>1457.8077142857142</v>
      </c>
      <c r="Q55" s="924">
        <v>819345.04</v>
      </c>
      <c r="R55" s="923">
        <f t="shared" si="6"/>
        <v>1758.2511587982833</v>
      </c>
    </row>
    <row r="56" spans="1:18">
      <c r="A56" s="126" t="s">
        <v>577</v>
      </c>
      <c r="E56" s="946"/>
      <c r="G56" s="1"/>
      <c r="I56" s="1"/>
      <c r="K56" s="1"/>
      <c r="M56" s="1"/>
      <c r="O56" s="1"/>
      <c r="Q56" s="1"/>
    </row>
    <row r="57" spans="1:18">
      <c r="A57" s="75"/>
      <c r="B57" t="s">
        <v>578</v>
      </c>
      <c r="E57" s="946"/>
      <c r="G57" s="1">
        <f>SUM(G48:G55)</f>
        <v>1712072.88</v>
      </c>
      <c r="H57" s="34">
        <f>G57/G$42</f>
        <v>8560.3643999999986</v>
      </c>
      <c r="I57" s="1">
        <f>SUM(I48:I55)</f>
        <v>1523496.23</v>
      </c>
      <c r="J57" s="34">
        <f>I57/I$42</f>
        <v>7976.4200523560212</v>
      </c>
      <c r="K57" s="1">
        <f>SUM(K48:K55)</f>
        <v>1692410.01</v>
      </c>
      <c r="L57" s="34">
        <f>K57/K$42</f>
        <v>6268.1852222222224</v>
      </c>
      <c r="M57" s="1">
        <f>SUM(M48:M55)</f>
        <v>2097123.2300000002</v>
      </c>
      <c r="N57" s="34">
        <f>M57/M$42</f>
        <v>6354.9188787878793</v>
      </c>
      <c r="O57" s="1">
        <f>SUM(O48:O55)</f>
        <v>863530.27</v>
      </c>
      <c r="P57" s="34">
        <f>O57/O$42</f>
        <v>6168.0733571428573</v>
      </c>
      <c r="Q57" s="1">
        <f>SUM(Q48:Q55)</f>
        <v>3958288.8200000003</v>
      </c>
      <c r="R57" s="34">
        <f>Q57/Q$42</f>
        <v>8494.1820171673826</v>
      </c>
    </row>
    <row r="58" spans="1:18">
      <c r="A58" s="21"/>
      <c r="E58" s="4"/>
      <c r="G58" s="1"/>
      <c r="I58" s="1"/>
      <c r="K58" s="1"/>
      <c r="M58" s="1"/>
      <c r="O58" s="1"/>
      <c r="Q58" s="1"/>
      <c r="R58" s="1"/>
    </row>
    <row r="59" spans="1:18">
      <c r="A59" s="925" t="s">
        <v>579</v>
      </c>
      <c r="G59" s="1"/>
      <c r="I59" s="1"/>
      <c r="K59" s="1"/>
      <c r="M59" s="1"/>
      <c r="O59" s="1"/>
      <c r="Q59" s="1"/>
      <c r="R59" s="1"/>
    </row>
    <row r="60" spans="1:18" ht="15" customHeight="1">
      <c r="A60" s="75"/>
      <c r="G60" s="1688" t="s">
        <v>580</v>
      </c>
      <c r="H60" s="1689"/>
      <c r="I60" s="1688" t="s">
        <v>581</v>
      </c>
      <c r="J60" s="1689"/>
      <c r="K60" s="1688" t="s">
        <v>582</v>
      </c>
      <c r="L60" s="1689"/>
      <c r="M60" s="1688" t="s">
        <v>583</v>
      </c>
      <c r="N60" s="1689"/>
      <c r="O60" s="1688" t="s">
        <v>589</v>
      </c>
      <c r="P60" s="1689"/>
      <c r="Q60" s="1688" t="s">
        <v>584</v>
      </c>
      <c r="R60" s="1689"/>
    </row>
    <row r="61" spans="1:18">
      <c r="A61" s="21"/>
      <c r="G61" s="1689"/>
      <c r="H61" s="1689"/>
      <c r="I61" s="1689"/>
      <c r="J61" s="1689"/>
      <c r="K61" s="1689"/>
      <c r="L61" s="1689"/>
      <c r="M61" s="1689"/>
      <c r="N61" s="1689"/>
      <c r="O61" s="1689"/>
      <c r="P61" s="1689"/>
      <c r="Q61" s="1689"/>
      <c r="R61" s="1689"/>
    </row>
    <row r="62" spans="1:18">
      <c r="G62" s="1689"/>
      <c r="H62" s="1689"/>
      <c r="I62" s="1689"/>
      <c r="J62" s="1689"/>
      <c r="K62" s="1689"/>
      <c r="L62" s="1689"/>
      <c r="M62" s="1689"/>
      <c r="N62" s="1689"/>
      <c r="O62" s="1689"/>
      <c r="P62" s="1689"/>
      <c r="Q62" s="1689"/>
      <c r="R62" s="1689"/>
    </row>
    <row r="63" spans="1:18">
      <c r="G63" s="1689"/>
      <c r="H63" s="1689"/>
      <c r="I63" s="1689"/>
      <c r="J63" s="1689"/>
      <c r="K63" s="1689"/>
      <c r="L63" s="1689"/>
      <c r="M63" s="1689"/>
      <c r="N63" s="1689"/>
      <c r="O63" s="1689"/>
      <c r="P63" s="1689"/>
      <c r="Q63" s="1689"/>
      <c r="R63" s="1689"/>
    </row>
    <row r="64" spans="1:18">
      <c r="G64" s="1689"/>
      <c r="H64" s="1689"/>
      <c r="I64" s="1689"/>
      <c r="J64" s="1689"/>
      <c r="K64" s="1689"/>
      <c r="L64" s="1689"/>
      <c r="M64" s="1689"/>
      <c r="N64" s="1689"/>
      <c r="O64" s="1689"/>
      <c r="P64" s="1689"/>
      <c r="Q64" s="1689"/>
      <c r="R64" s="1689"/>
    </row>
    <row r="65" spans="1:14">
      <c r="A65" s="283"/>
      <c r="E65" s="42"/>
      <c r="F65" s="297"/>
      <c r="H65" s="385"/>
      <c r="I65" s="386"/>
    </row>
    <row r="66" spans="1:14">
      <c r="A66" s="283"/>
      <c r="E66" s="42"/>
      <c r="F66" s="297"/>
      <c r="H66" s="385"/>
      <c r="I66" s="386"/>
    </row>
    <row r="67" spans="1:14">
      <c r="A67" s="283"/>
      <c r="E67" s="42"/>
      <c r="F67" s="297"/>
      <c r="H67" s="385"/>
      <c r="I67" s="386"/>
    </row>
    <row r="68" spans="1:14">
      <c r="A68" s="1353" t="s">
        <v>701</v>
      </c>
      <c r="B68" s="423"/>
      <c r="C68" s="419"/>
      <c r="D68" s="419"/>
      <c r="E68" s="425" t="s">
        <v>702</v>
      </c>
      <c r="F68" s="1354"/>
      <c r="J68" s="42"/>
      <c r="K68" s="297"/>
      <c r="M68" s="385"/>
      <c r="N68" s="386"/>
    </row>
    <row r="69" spans="1:14">
      <c r="A69" s="1355"/>
      <c r="B69" s="419"/>
      <c r="C69" s="419"/>
      <c r="D69" s="419"/>
      <c r="E69" s="419"/>
      <c r="F69" s="1354"/>
      <c r="J69" s="42"/>
      <c r="K69" s="297"/>
      <c r="M69" s="385"/>
      <c r="N69" s="386"/>
    </row>
    <row r="70" spans="1:14">
      <c r="A70" s="1356" t="s">
        <v>703</v>
      </c>
      <c r="B70" s="419"/>
      <c r="C70" s="419"/>
      <c r="D70" s="419"/>
      <c r="E70" s="419"/>
      <c r="F70" s="1354"/>
      <c r="J70" s="42"/>
      <c r="K70" s="297"/>
      <c r="M70" s="385"/>
      <c r="N70" s="386"/>
    </row>
    <row r="71" spans="1:14">
      <c r="A71" s="1357" t="s">
        <v>704</v>
      </c>
      <c r="B71" s="419"/>
      <c r="C71" s="419"/>
      <c r="D71" s="419"/>
      <c r="E71" s="1358">
        <v>15000</v>
      </c>
      <c r="F71" s="1354"/>
      <c r="J71" s="42"/>
      <c r="K71" s="297"/>
      <c r="M71" s="385"/>
      <c r="N71" s="386"/>
    </row>
    <row r="72" spans="1:14">
      <c r="A72" s="1357" t="s">
        <v>705</v>
      </c>
      <c r="B72" s="419"/>
      <c r="C72" s="419"/>
      <c r="D72" s="419"/>
      <c r="E72" s="1358">
        <v>5000</v>
      </c>
      <c r="F72" s="1354"/>
      <c r="J72" s="42"/>
      <c r="K72" s="297"/>
      <c r="M72" s="385"/>
      <c r="N72" s="386"/>
    </row>
    <row r="73" spans="1:14">
      <c r="A73" s="1357" t="s">
        <v>706</v>
      </c>
      <c r="B73" s="419"/>
      <c r="C73" s="419"/>
      <c r="D73" s="419"/>
      <c r="E73" s="1358">
        <v>5000</v>
      </c>
      <c r="F73" s="1354"/>
      <c r="J73" s="42"/>
      <c r="K73" s="297"/>
      <c r="M73" s="385"/>
      <c r="N73" s="386"/>
    </row>
    <row r="74" spans="1:14">
      <c r="A74" s="1357" t="s">
        <v>725</v>
      </c>
      <c r="B74" s="419"/>
      <c r="C74" s="419"/>
      <c r="D74" s="419"/>
      <c r="E74" s="1358">
        <v>5000</v>
      </c>
      <c r="F74" s="1354"/>
      <c r="J74" s="42"/>
      <c r="K74" s="297"/>
      <c r="M74" s="385"/>
      <c r="N74" s="386"/>
    </row>
    <row r="75" spans="1:14">
      <c r="A75" s="1357" t="s">
        <v>726</v>
      </c>
      <c r="B75" s="419"/>
      <c r="C75" s="419"/>
      <c r="D75" s="419"/>
      <c r="E75" s="1358">
        <v>40000</v>
      </c>
      <c r="F75" s="1354"/>
      <c r="J75" s="42"/>
      <c r="K75" s="297"/>
      <c r="M75" s="385"/>
      <c r="N75" s="386"/>
    </row>
    <row r="76" spans="1:14">
      <c r="A76" s="1357" t="s">
        <v>727</v>
      </c>
      <c r="B76" s="419"/>
      <c r="C76" s="419"/>
      <c r="D76" s="419"/>
      <c r="E76" s="1358">
        <v>15000</v>
      </c>
      <c r="F76" s="1354"/>
      <c r="J76" s="42"/>
      <c r="K76" s="297"/>
      <c r="M76" s="385"/>
      <c r="N76" s="386"/>
    </row>
    <row r="77" spans="1:14">
      <c r="A77" s="1357" t="s">
        <v>752</v>
      </c>
      <c r="B77" s="419"/>
      <c r="C77" s="419"/>
      <c r="D77" s="419"/>
      <c r="E77" s="1358">
        <v>8000</v>
      </c>
      <c r="F77" s="1354"/>
      <c r="J77" s="42"/>
      <c r="K77" s="297"/>
      <c r="M77" s="385"/>
      <c r="N77" s="386"/>
    </row>
    <row r="78" spans="1:14">
      <c r="A78" s="1357" t="s">
        <v>728</v>
      </c>
      <c r="B78" s="419"/>
      <c r="C78" s="419"/>
      <c r="D78" s="419"/>
      <c r="E78" s="1358">
        <v>10000</v>
      </c>
      <c r="F78" s="1354"/>
      <c r="J78" s="42"/>
      <c r="K78" s="297"/>
      <c r="M78" s="385"/>
      <c r="N78" s="386"/>
    </row>
    <row r="79" spans="1:14">
      <c r="A79" s="1357" t="s">
        <v>707</v>
      </c>
      <c r="B79" s="419"/>
      <c r="C79" s="419"/>
      <c r="D79" s="419"/>
      <c r="E79" s="1358">
        <v>2000</v>
      </c>
      <c r="F79" s="1354"/>
      <c r="J79" s="42"/>
      <c r="K79" s="297"/>
      <c r="M79" s="385"/>
      <c r="N79" s="386"/>
    </row>
    <row r="80" spans="1:14" ht="17.5" customHeight="1">
      <c r="A80" s="1357" t="s">
        <v>708</v>
      </c>
      <c r="B80" s="419"/>
      <c r="C80" s="419"/>
      <c r="D80" s="419"/>
      <c r="E80" s="1358">
        <v>10000</v>
      </c>
      <c r="F80" s="1354"/>
      <c r="J80" s="42"/>
      <c r="K80" s="297"/>
      <c r="M80" s="385"/>
      <c r="N80" s="386"/>
    </row>
    <row r="81" spans="1:14">
      <c r="A81" s="1356" t="s">
        <v>709</v>
      </c>
      <c r="B81" s="419"/>
      <c r="C81" s="419"/>
      <c r="D81" s="419"/>
      <c r="E81" s="1542">
        <f>SUM(E71:E80)</f>
        <v>115000</v>
      </c>
      <c r="F81" s="1354"/>
      <c r="J81" s="42"/>
      <c r="K81" s="297"/>
      <c r="M81" s="385"/>
      <c r="N81" s="386"/>
    </row>
    <row r="82" spans="1:14">
      <c r="A82" s="1355"/>
      <c r="B82" s="419"/>
      <c r="C82" s="419"/>
      <c r="D82" s="419"/>
      <c r="E82" s="1355"/>
      <c r="F82" s="1354"/>
      <c r="J82" s="42"/>
      <c r="K82" s="297"/>
      <c r="M82" s="385"/>
      <c r="N82" s="386"/>
    </row>
    <row r="83" spans="1:14">
      <c r="A83" s="1356" t="s">
        <v>710</v>
      </c>
      <c r="B83" s="419"/>
      <c r="C83" s="419"/>
      <c r="D83" s="419"/>
      <c r="E83" s="1356"/>
      <c r="F83" s="1354"/>
      <c r="J83" s="42"/>
      <c r="K83" s="297"/>
      <c r="M83" s="385"/>
      <c r="N83" s="386"/>
    </row>
    <row r="84" spans="1:14">
      <c r="A84" s="1357" t="s">
        <v>729</v>
      </c>
      <c r="B84" s="419"/>
      <c r="C84" s="419"/>
      <c r="D84" s="419"/>
      <c r="E84" s="1358">
        <v>25000</v>
      </c>
      <c r="F84" s="1354"/>
      <c r="J84" s="42"/>
      <c r="K84" s="297"/>
      <c r="M84" s="385"/>
      <c r="N84" s="386"/>
    </row>
    <row r="85" spans="1:14" ht="17.5" customHeight="1">
      <c r="A85" s="1357" t="s">
        <v>730</v>
      </c>
      <c r="B85" s="419"/>
      <c r="C85" s="419"/>
      <c r="D85" s="419"/>
      <c r="E85" s="1358">
        <v>5000</v>
      </c>
      <c r="F85" s="1354"/>
      <c r="J85" s="42"/>
      <c r="K85" s="297"/>
      <c r="M85" s="385"/>
      <c r="N85" s="386"/>
    </row>
    <row r="86" spans="1:14">
      <c r="A86" s="1356" t="s">
        <v>569</v>
      </c>
      <c r="B86" s="419"/>
      <c r="C86" s="419"/>
      <c r="D86" s="419"/>
      <c r="E86" s="1542">
        <f>SUM(E84:E85)</f>
        <v>30000</v>
      </c>
      <c r="F86" s="1354"/>
      <c r="J86" s="42"/>
      <c r="K86" s="297"/>
      <c r="M86" s="385"/>
      <c r="N86" s="386"/>
    </row>
    <row r="87" spans="1:14">
      <c r="A87" s="1355"/>
      <c r="B87" s="419"/>
      <c r="C87" s="419"/>
      <c r="D87" s="419"/>
      <c r="E87" s="1355"/>
      <c r="F87" s="1354"/>
      <c r="J87" s="42"/>
      <c r="K87" s="297"/>
      <c r="M87" s="385"/>
      <c r="N87" s="386"/>
    </row>
    <row r="88" spans="1:14">
      <c r="A88" s="1356" t="s">
        <v>711</v>
      </c>
      <c r="B88" s="419"/>
      <c r="C88" s="419"/>
      <c r="D88" s="419"/>
      <c r="E88" s="1356"/>
      <c r="F88" s="1354"/>
      <c r="J88" s="42"/>
      <c r="K88" s="297"/>
      <c r="M88" s="385"/>
      <c r="N88" s="386"/>
    </row>
    <row r="89" spans="1:14">
      <c r="A89" s="1357" t="s">
        <v>712</v>
      </c>
      <c r="B89" s="419"/>
      <c r="C89" s="419"/>
      <c r="D89" s="419"/>
      <c r="E89" s="1360">
        <v>90000</v>
      </c>
      <c r="F89" s="1354"/>
      <c r="J89" s="385"/>
      <c r="K89" s="297"/>
      <c r="M89" s="385"/>
      <c r="N89" s="386"/>
    </row>
    <row r="90" spans="1:14">
      <c r="A90" s="1357" t="s">
        <v>731</v>
      </c>
      <c r="B90" s="419"/>
      <c r="C90" s="419"/>
      <c r="D90" s="419"/>
      <c r="E90" s="1360">
        <v>50000</v>
      </c>
      <c r="F90" s="1354"/>
      <c r="J90" s="385"/>
      <c r="K90" s="297"/>
      <c r="M90" s="385"/>
      <c r="N90" s="386"/>
    </row>
    <row r="91" spans="1:14">
      <c r="A91" s="1357" t="s">
        <v>732</v>
      </c>
      <c r="B91" s="419"/>
      <c r="C91" s="419"/>
      <c r="D91" s="419"/>
      <c r="E91" s="1360">
        <v>70000</v>
      </c>
      <c r="F91" s="1354"/>
      <c r="J91" s="42"/>
      <c r="K91" s="297"/>
      <c r="M91" s="385"/>
      <c r="N91" s="386"/>
    </row>
    <row r="92" spans="1:14">
      <c r="A92" s="1357" t="s">
        <v>673</v>
      </c>
      <c r="B92" s="419"/>
      <c r="C92" s="419"/>
      <c r="D92" s="419"/>
      <c r="E92" s="1360">
        <v>50000</v>
      </c>
      <c r="F92" s="1354"/>
      <c r="J92" s="42"/>
      <c r="K92" s="297"/>
      <c r="M92" s="385"/>
      <c r="N92" s="386"/>
    </row>
    <row r="93" spans="1:14">
      <c r="A93" s="1357" t="s">
        <v>733</v>
      </c>
      <c r="B93" s="419"/>
      <c r="C93" s="419"/>
      <c r="D93" s="419"/>
      <c r="E93" s="1360">
        <v>50000</v>
      </c>
      <c r="F93" s="1354"/>
      <c r="J93" s="42"/>
      <c r="K93" s="297"/>
      <c r="M93" s="385"/>
      <c r="N93" s="386"/>
    </row>
    <row r="94" spans="1:14">
      <c r="A94" s="1357" t="s">
        <v>734</v>
      </c>
      <c r="B94" s="419"/>
      <c r="C94" s="419"/>
      <c r="D94" s="419"/>
      <c r="E94" s="1360">
        <v>50000</v>
      </c>
      <c r="F94" s="1354"/>
      <c r="J94" s="42"/>
      <c r="K94" s="297"/>
      <c r="M94" s="385"/>
      <c r="N94" s="386"/>
    </row>
    <row r="95" spans="1:14">
      <c r="A95" s="1357" t="s">
        <v>735</v>
      </c>
      <c r="B95" s="419"/>
      <c r="C95" s="419"/>
      <c r="D95" s="419"/>
      <c r="E95" s="1360">
        <f>SUM(E89:E94)*0.25</f>
        <v>90000</v>
      </c>
      <c r="F95" s="1354"/>
      <c r="J95" s="42"/>
      <c r="K95" s="297"/>
      <c r="M95" s="385"/>
      <c r="N95" s="386"/>
    </row>
    <row r="96" spans="1:14">
      <c r="A96" s="1356" t="s">
        <v>570</v>
      </c>
      <c r="B96" s="419"/>
      <c r="C96" s="419"/>
      <c r="D96" s="419"/>
      <c r="E96" s="1542">
        <f>SUM(E89:E95)</f>
        <v>450000</v>
      </c>
      <c r="F96" s="1354"/>
      <c r="J96" s="42"/>
      <c r="K96" s="297"/>
      <c r="M96" s="385"/>
      <c r="N96" s="386"/>
    </row>
    <row r="97" spans="1:14">
      <c r="A97" s="1355"/>
      <c r="B97" s="419"/>
      <c r="C97" s="419"/>
      <c r="D97" s="419"/>
      <c r="E97" s="1355"/>
      <c r="F97" s="1354"/>
      <c r="J97" s="42"/>
      <c r="K97" s="297"/>
      <c r="M97" s="385"/>
      <c r="N97" s="386"/>
    </row>
    <row r="98" spans="1:14">
      <c r="A98" s="1356" t="s">
        <v>736</v>
      </c>
      <c r="B98" s="419"/>
      <c r="C98" s="419"/>
      <c r="D98" s="419"/>
      <c r="E98" s="1356"/>
      <c r="F98" s="1354"/>
      <c r="J98" s="42"/>
      <c r="K98" s="297"/>
      <c r="M98" s="385"/>
      <c r="N98" s="386"/>
    </row>
    <row r="99" spans="1:14">
      <c r="A99" s="1357" t="s">
        <v>737</v>
      </c>
      <c r="B99" s="419"/>
      <c r="C99" s="419"/>
      <c r="D99" s="419"/>
      <c r="E99" s="1360">
        <v>60000</v>
      </c>
      <c r="F99" s="1354"/>
      <c r="J99" s="385"/>
      <c r="K99" s="297"/>
      <c r="M99" s="385"/>
      <c r="N99" s="386"/>
    </row>
    <row r="100" spans="1:14">
      <c r="A100" s="1357" t="s">
        <v>738</v>
      </c>
      <c r="B100" s="419"/>
      <c r="C100" s="419"/>
      <c r="D100" s="419"/>
      <c r="E100" s="1360">
        <v>20000</v>
      </c>
      <c r="F100" s="1354"/>
      <c r="J100" s="385"/>
      <c r="K100" s="297"/>
      <c r="M100" s="385"/>
      <c r="N100" s="386"/>
    </row>
    <row r="101" spans="1:14">
      <c r="A101" s="1357" t="s">
        <v>739</v>
      </c>
      <c r="B101" s="419"/>
      <c r="C101" s="419"/>
      <c r="D101" s="419"/>
      <c r="E101" s="1360">
        <v>10000</v>
      </c>
      <c r="F101" s="1354"/>
      <c r="J101" s="42"/>
      <c r="K101" s="297"/>
      <c r="M101" s="385"/>
      <c r="N101" s="386"/>
    </row>
    <row r="102" spans="1:14">
      <c r="A102" s="1356" t="s">
        <v>740</v>
      </c>
      <c r="B102" s="419"/>
      <c r="C102" s="419"/>
      <c r="D102" s="419"/>
      <c r="E102" s="1356"/>
      <c r="F102" s="1354"/>
      <c r="J102" s="42"/>
      <c r="K102" s="297"/>
      <c r="M102" s="385"/>
      <c r="N102" s="386"/>
    </row>
    <row r="103" spans="1:14">
      <c r="A103" s="1357" t="s">
        <v>741</v>
      </c>
      <c r="B103" s="419"/>
      <c r="C103" s="419"/>
      <c r="D103" s="419"/>
      <c r="E103" s="1360">
        <v>60000</v>
      </c>
      <c r="F103" s="1354"/>
      <c r="J103" s="385"/>
      <c r="K103" s="297"/>
      <c r="M103" s="385"/>
      <c r="N103" s="386"/>
    </row>
    <row r="104" spans="1:14">
      <c r="A104" s="1357" t="s">
        <v>742</v>
      </c>
      <c r="B104" s="419"/>
      <c r="C104" s="419"/>
      <c r="D104" s="419"/>
      <c r="E104" s="1360">
        <v>30000</v>
      </c>
      <c r="F104" s="1354"/>
      <c r="J104" s="385"/>
      <c r="K104" s="297"/>
      <c r="M104" s="385"/>
      <c r="N104" s="386"/>
    </row>
    <row r="105" spans="1:14">
      <c r="A105" s="1357" t="s">
        <v>743</v>
      </c>
      <c r="B105" s="419"/>
      <c r="C105" s="419"/>
      <c r="D105" s="419"/>
      <c r="E105" s="1360">
        <v>50000</v>
      </c>
      <c r="F105" s="1354"/>
      <c r="J105" s="42"/>
      <c r="K105" s="297"/>
      <c r="M105" s="385"/>
      <c r="N105" s="386"/>
    </row>
    <row r="106" spans="1:14">
      <c r="A106" s="1356" t="s">
        <v>571</v>
      </c>
      <c r="B106" s="419"/>
      <c r="C106" s="419"/>
      <c r="D106" s="419"/>
      <c r="E106" s="1542">
        <f>SUM(E99:E105)</f>
        <v>230000</v>
      </c>
      <c r="F106" s="1354"/>
      <c r="J106" s="42"/>
      <c r="K106" s="297"/>
      <c r="M106" s="385"/>
      <c r="N106" s="386"/>
    </row>
    <row r="107" spans="1:14">
      <c r="A107" s="1355"/>
      <c r="B107" s="419"/>
      <c r="C107" s="419"/>
      <c r="D107" s="419"/>
      <c r="E107" s="1355"/>
      <c r="F107" s="1354"/>
      <c r="J107" s="42"/>
      <c r="K107" s="297"/>
      <c r="M107" s="385"/>
      <c r="N107" s="386"/>
    </row>
    <row r="108" spans="1:14">
      <c r="A108" s="1356" t="s">
        <v>713</v>
      </c>
      <c r="B108" s="419"/>
      <c r="C108" s="419"/>
      <c r="D108" s="419"/>
      <c r="E108" s="1356"/>
      <c r="F108" s="1354"/>
      <c r="J108" s="42"/>
      <c r="K108" s="297"/>
      <c r="M108" s="385"/>
      <c r="N108" s="386"/>
    </row>
    <row r="109" spans="1:14">
      <c r="A109" s="1357" t="s">
        <v>452</v>
      </c>
      <c r="B109" s="419"/>
      <c r="C109" s="419"/>
      <c r="D109" s="419"/>
      <c r="E109" s="1360">
        <v>30000</v>
      </c>
      <c r="F109" s="1354"/>
      <c r="J109" s="42"/>
      <c r="K109" s="297"/>
      <c r="M109" s="385"/>
      <c r="N109" s="386"/>
    </row>
    <row r="110" spans="1:14">
      <c r="A110" s="1357" t="s">
        <v>744</v>
      </c>
      <c r="B110" s="419"/>
      <c r="C110" s="419"/>
      <c r="D110" s="419"/>
      <c r="E110" s="1544">
        <v>20000</v>
      </c>
      <c r="F110" s="1354"/>
      <c r="J110" s="42"/>
      <c r="K110" s="297"/>
      <c r="M110" s="385"/>
      <c r="N110" s="386"/>
    </row>
    <row r="111" spans="1:14">
      <c r="A111" s="1357" t="s">
        <v>745</v>
      </c>
      <c r="B111" s="419"/>
      <c r="C111" s="419"/>
      <c r="D111" s="419"/>
      <c r="E111" s="1544">
        <v>20000</v>
      </c>
      <c r="F111" s="1354"/>
      <c r="J111" s="42"/>
      <c r="K111" s="297"/>
      <c r="M111" s="385"/>
      <c r="N111" s="386"/>
    </row>
    <row r="112" spans="1:14">
      <c r="A112" s="1357" t="s">
        <v>714</v>
      </c>
      <c r="B112" s="419"/>
      <c r="C112" s="419"/>
      <c r="D112" s="419"/>
      <c r="E112" s="1360">
        <v>20000</v>
      </c>
      <c r="F112" s="1354"/>
      <c r="J112" s="42"/>
      <c r="K112" s="297"/>
      <c r="M112" s="385"/>
      <c r="N112" s="386"/>
    </row>
    <row r="113" spans="1:14">
      <c r="A113" s="1357" t="s">
        <v>715</v>
      </c>
      <c r="B113" s="419"/>
      <c r="C113" s="419"/>
      <c r="D113" s="419"/>
      <c r="E113" s="1544">
        <v>120000</v>
      </c>
      <c r="F113" s="1354"/>
      <c r="J113" s="42"/>
      <c r="K113" s="297"/>
      <c r="M113" s="385"/>
      <c r="N113" s="386"/>
    </row>
    <row r="114" spans="1:14">
      <c r="A114" s="1356" t="s">
        <v>572</v>
      </c>
      <c r="B114" s="419"/>
      <c r="C114" s="419"/>
      <c r="D114" s="419"/>
      <c r="E114" s="1359">
        <f>SUM(E109:E113)</f>
        <v>210000</v>
      </c>
      <c r="F114" s="1354"/>
      <c r="J114" s="42"/>
      <c r="K114" s="297"/>
      <c r="M114" s="385"/>
      <c r="N114" s="386"/>
    </row>
    <row r="115" spans="1:14">
      <c r="A115" s="1355"/>
      <c r="B115" s="419"/>
      <c r="C115" s="419"/>
      <c r="D115" s="419"/>
      <c r="E115" s="1355"/>
      <c r="F115" s="1354"/>
      <c r="J115" s="42"/>
      <c r="K115" s="297"/>
      <c r="M115" s="385"/>
      <c r="N115" s="386"/>
    </row>
    <row r="116" spans="1:14">
      <c r="A116" s="1356" t="s">
        <v>716</v>
      </c>
      <c r="B116" s="419"/>
      <c r="C116" s="419"/>
      <c r="D116" s="419"/>
      <c r="E116" s="1356"/>
      <c r="F116" s="1354"/>
      <c r="J116" s="42"/>
      <c r="K116" s="297"/>
      <c r="M116" s="385"/>
      <c r="N116" s="386"/>
    </row>
    <row r="117" spans="1:14">
      <c r="A117" s="1357" t="s">
        <v>717</v>
      </c>
      <c r="B117" s="419"/>
      <c r="C117" s="419"/>
      <c r="D117" s="419"/>
      <c r="E117" s="1360">
        <v>80000</v>
      </c>
      <c r="F117" s="1354"/>
      <c r="J117" s="42"/>
      <c r="K117" s="297"/>
      <c r="M117" s="385"/>
      <c r="N117" s="386"/>
    </row>
    <row r="118" spans="1:14">
      <c r="A118" s="1357" t="s">
        <v>746</v>
      </c>
      <c r="B118" s="419"/>
      <c r="C118" s="419"/>
      <c r="D118" s="419"/>
      <c r="E118" s="1360">
        <v>15000</v>
      </c>
      <c r="F118" s="1354"/>
      <c r="J118" s="42"/>
      <c r="K118" s="297"/>
      <c r="M118" s="385"/>
      <c r="N118" s="386"/>
    </row>
    <row r="119" spans="1:14">
      <c r="A119" s="1357" t="s">
        <v>754</v>
      </c>
      <c r="B119" s="419"/>
      <c r="C119" s="419"/>
      <c r="D119" s="419"/>
      <c r="E119" s="1360">
        <v>80000</v>
      </c>
      <c r="F119" s="1354"/>
      <c r="J119" s="42"/>
      <c r="K119" s="297"/>
      <c r="M119" s="385"/>
      <c r="N119" s="386"/>
    </row>
    <row r="120" spans="1:14">
      <c r="A120" s="1357" t="s">
        <v>662</v>
      </c>
      <c r="B120" s="419"/>
      <c r="C120" s="419"/>
      <c r="D120" s="419"/>
      <c r="E120" s="1360">
        <v>40000</v>
      </c>
      <c r="F120" s="1354"/>
      <c r="J120" s="42"/>
      <c r="K120" s="297"/>
      <c r="M120" s="385"/>
      <c r="N120" s="386"/>
    </row>
    <row r="121" spans="1:14">
      <c r="A121" s="1356" t="s">
        <v>573</v>
      </c>
      <c r="B121" s="419"/>
      <c r="C121" s="419"/>
      <c r="D121" s="419"/>
      <c r="E121" s="1542">
        <f>SUM(E117:E120)</f>
        <v>215000</v>
      </c>
      <c r="F121" s="1354"/>
      <c r="J121" s="42"/>
      <c r="K121" s="297"/>
      <c r="M121" s="385"/>
      <c r="N121" s="386"/>
    </row>
    <row r="122" spans="1:14">
      <c r="A122" s="1355"/>
      <c r="B122" s="419"/>
      <c r="C122" s="419"/>
      <c r="D122" s="419"/>
      <c r="E122" s="1355"/>
      <c r="F122" s="1354"/>
      <c r="J122" s="42"/>
      <c r="K122" s="297"/>
      <c r="M122" s="385"/>
      <c r="N122" s="386"/>
    </row>
    <row r="123" spans="1:14">
      <c r="A123" s="1356" t="s">
        <v>718</v>
      </c>
      <c r="B123" s="419"/>
      <c r="C123" s="419"/>
      <c r="D123" s="419"/>
      <c r="E123" s="1356"/>
      <c r="F123" s="1354"/>
      <c r="J123" s="42"/>
      <c r="K123" s="297"/>
      <c r="M123" s="385"/>
      <c r="N123" s="386"/>
    </row>
    <row r="124" spans="1:14">
      <c r="A124" s="1357" t="s">
        <v>719</v>
      </c>
      <c r="B124" s="419"/>
      <c r="C124" s="419"/>
      <c r="D124" s="419"/>
      <c r="E124" s="1541">
        <f>'20yr Proforma'!F19*0.06</f>
        <v>209635.91279999999</v>
      </c>
      <c r="F124" s="1354"/>
      <c r="J124" s="42"/>
      <c r="K124" s="297"/>
      <c r="M124" s="385"/>
      <c r="N124" s="386"/>
    </row>
    <row r="125" spans="1:14">
      <c r="A125" s="1357" t="s">
        <v>747</v>
      </c>
      <c r="B125" s="419"/>
      <c r="C125" s="419"/>
      <c r="D125" s="419"/>
      <c r="E125" s="1360">
        <v>60000</v>
      </c>
      <c r="F125" s="1354"/>
      <c r="J125" s="42"/>
      <c r="K125" s="297"/>
      <c r="M125" s="385"/>
      <c r="N125" s="386"/>
    </row>
    <row r="126" spans="1:14">
      <c r="A126" s="1357" t="s">
        <v>748</v>
      </c>
      <c r="B126" s="419"/>
      <c r="C126" s="419"/>
      <c r="D126" s="419"/>
      <c r="E126" s="1544">
        <v>10000</v>
      </c>
      <c r="F126" s="1354"/>
      <c r="H126" s="212"/>
      <c r="J126" s="42"/>
      <c r="K126" s="297"/>
      <c r="M126" s="385"/>
      <c r="N126" s="386"/>
    </row>
    <row r="127" spans="1:14">
      <c r="A127" s="1357" t="s">
        <v>749</v>
      </c>
      <c r="B127" s="419"/>
      <c r="C127" s="419"/>
      <c r="D127" s="419"/>
      <c r="E127" s="1544">
        <v>10000</v>
      </c>
      <c r="F127" s="1354"/>
      <c r="J127" s="42"/>
      <c r="K127" s="297"/>
      <c r="M127" s="385"/>
      <c r="N127" s="386"/>
    </row>
    <row r="128" spans="1:14">
      <c r="A128" s="1357" t="s">
        <v>673</v>
      </c>
      <c r="B128" s="419"/>
      <c r="C128" s="419"/>
      <c r="D128" s="419"/>
      <c r="E128" s="1544">
        <v>42000</v>
      </c>
      <c r="F128" s="1664" t="s">
        <v>838</v>
      </c>
      <c r="J128" s="42"/>
      <c r="K128" s="297"/>
      <c r="M128" s="385"/>
      <c r="N128" s="386"/>
    </row>
    <row r="129" spans="1:14">
      <c r="A129" s="1357" t="s">
        <v>750</v>
      </c>
      <c r="B129" s="419"/>
      <c r="C129" s="419"/>
      <c r="D129" s="419"/>
      <c r="E129" s="1360">
        <v>30000</v>
      </c>
      <c r="F129" s="1354"/>
      <c r="J129" s="42"/>
      <c r="K129" s="297"/>
      <c r="M129" s="385"/>
      <c r="N129" s="386"/>
    </row>
    <row r="130" spans="1:14">
      <c r="A130" s="1356" t="s">
        <v>575</v>
      </c>
      <c r="B130" s="419"/>
      <c r="C130" s="419"/>
      <c r="D130" s="419"/>
      <c r="E130" s="1359">
        <f>SUM(E124:E129)</f>
        <v>361635.91279999999</v>
      </c>
      <c r="F130" s="1354"/>
      <c r="J130" s="42"/>
      <c r="K130" s="297"/>
      <c r="M130" s="385"/>
      <c r="N130" s="386"/>
    </row>
    <row r="131" spans="1:14">
      <c r="A131" s="1355"/>
      <c r="B131" s="419"/>
      <c r="C131" s="419"/>
      <c r="D131" s="419"/>
      <c r="E131" s="1355"/>
      <c r="F131" s="1354"/>
      <c r="J131" s="42"/>
      <c r="K131" s="297"/>
      <c r="M131" s="385"/>
      <c r="N131" s="386"/>
    </row>
    <row r="132" spans="1:14">
      <c r="A132" s="1356" t="s">
        <v>720</v>
      </c>
      <c r="B132" s="419"/>
      <c r="C132" s="419"/>
      <c r="D132" s="419"/>
      <c r="E132" s="1356"/>
      <c r="I132" s="42"/>
      <c r="J132" s="297"/>
      <c r="L132" s="385"/>
      <c r="M132" s="386"/>
    </row>
    <row r="133" spans="1:14">
      <c r="A133" s="1357" t="s">
        <v>751</v>
      </c>
      <c r="B133" s="419"/>
      <c r="C133" s="419"/>
      <c r="D133" s="419"/>
      <c r="E133" s="1363">
        <v>0</v>
      </c>
      <c r="I133" s="42"/>
      <c r="J133" s="297"/>
      <c r="L133" s="385"/>
      <c r="M133" s="386"/>
    </row>
    <row r="134" spans="1:14">
      <c r="A134" s="1357" t="s">
        <v>721</v>
      </c>
      <c r="B134" s="419"/>
      <c r="C134" s="419"/>
      <c r="D134" s="419"/>
      <c r="E134" s="1360">
        <v>290000</v>
      </c>
      <c r="F134" s="1354"/>
      <c r="J134" s="42"/>
      <c r="K134" s="297"/>
      <c r="M134" s="385"/>
      <c r="N134" s="386"/>
    </row>
    <row r="135" spans="1:14">
      <c r="A135" s="1357" t="s">
        <v>722</v>
      </c>
      <c r="B135" s="419"/>
      <c r="C135" s="419"/>
      <c r="D135" s="419"/>
      <c r="E135" s="1360">
        <v>0</v>
      </c>
      <c r="F135" s="1354"/>
      <c r="J135" s="42"/>
      <c r="K135" s="297"/>
      <c r="M135" s="385"/>
      <c r="N135" s="386"/>
    </row>
    <row r="136" spans="1:14">
      <c r="A136" s="1356" t="s">
        <v>723</v>
      </c>
      <c r="B136" s="419"/>
      <c r="C136" s="419"/>
      <c r="D136" s="419"/>
      <c r="E136" s="1543">
        <f>SUM(E133:E135)</f>
        <v>290000</v>
      </c>
      <c r="F136" s="1354"/>
      <c r="J136" s="42"/>
      <c r="K136" s="297"/>
      <c r="M136" s="385"/>
      <c r="N136" s="386"/>
    </row>
    <row r="137" spans="1:14">
      <c r="A137" s="1356"/>
      <c r="B137" s="419"/>
      <c r="C137" s="419"/>
      <c r="D137" s="419"/>
      <c r="E137" s="1364"/>
      <c r="F137" s="1354"/>
      <c r="J137" s="42"/>
      <c r="K137" s="297"/>
      <c r="M137" s="385"/>
      <c r="N137" s="386"/>
    </row>
    <row r="138" spans="1:14">
      <c r="A138" s="1356" t="s">
        <v>753</v>
      </c>
      <c r="B138" s="419"/>
      <c r="C138" s="419"/>
      <c r="D138" s="419"/>
      <c r="E138" s="1545">
        <f ca="1">0.001*'Summary Sources-Uses'!K67</f>
        <v>13562.25835376226</v>
      </c>
      <c r="F138" s="1354"/>
      <c r="J138" s="42"/>
      <c r="K138" s="297"/>
      <c r="M138" s="385"/>
      <c r="N138" s="386"/>
    </row>
    <row r="139" spans="1:14">
      <c r="A139" s="1355"/>
      <c r="B139" s="419"/>
      <c r="C139" s="419"/>
      <c r="D139" s="419"/>
      <c r="E139" s="1355"/>
      <c r="F139" s="1354"/>
      <c r="J139" s="42"/>
      <c r="K139" s="297"/>
      <c r="M139" s="385"/>
      <c r="N139" s="386"/>
    </row>
    <row r="140" spans="1:14">
      <c r="A140" s="1356" t="s">
        <v>724</v>
      </c>
      <c r="B140" s="419"/>
      <c r="C140" s="419"/>
      <c r="D140" s="419"/>
      <c r="E140" s="1361">
        <f ca="1">SUM(E81+E86+E96+E106+E114+E121+E130+E136+E138)</f>
        <v>1915198.1711537624</v>
      </c>
      <c r="F140" s="1354"/>
      <c r="J140" s="42"/>
      <c r="K140" s="297"/>
      <c r="M140" s="385"/>
      <c r="N140" s="386"/>
    </row>
    <row r="141" spans="1:14">
      <c r="A141" s="1354"/>
      <c r="B141" s="419"/>
      <c r="C141" s="419"/>
      <c r="D141" s="419"/>
      <c r="E141" s="1231"/>
      <c r="F141" s="1362"/>
      <c r="H141" s="385"/>
      <c r="I141" s="386"/>
    </row>
    <row r="142" spans="1:14">
      <c r="A142" s="1354"/>
      <c r="B142" s="419"/>
      <c r="C142" s="419"/>
      <c r="D142" s="419"/>
      <c r="E142" s="1231"/>
      <c r="F142" s="297"/>
      <c r="H142" s="385"/>
      <c r="I142" s="386"/>
    </row>
    <row r="143" spans="1:14">
      <c r="A143" s="283"/>
      <c r="E143" s="42"/>
      <c r="F143" s="297"/>
      <c r="H143" s="385"/>
      <c r="I143" s="386"/>
    </row>
    <row r="144" spans="1:14">
      <c r="A144" s="283"/>
      <c r="E144" s="42"/>
      <c r="F144" s="297"/>
      <c r="H144" s="385"/>
      <c r="I144" s="386"/>
    </row>
    <row r="145" spans="1:9">
      <c r="A145" s="283"/>
      <c r="E145" s="42"/>
      <c r="F145" s="297"/>
      <c r="H145" s="385"/>
      <c r="I145" s="386"/>
    </row>
    <row r="146" spans="1:9">
      <c r="A146" s="283"/>
      <c r="E146" s="42"/>
      <c r="F146" s="297"/>
      <c r="H146" s="385"/>
      <c r="I146" s="386"/>
    </row>
    <row r="147" spans="1:9">
      <c r="A147" s="283"/>
      <c r="E147" s="42"/>
      <c r="F147" s="297"/>
      <c r="H147" s="385"/>
      <c r="I147" s="386"/>
    </row>
    <row r="148" spans="1:9">
      <c r="A148" s="283"/>
      <c r="E148" s="42"/>
      <c r="F148" s="297"/>
      <c r="H148" s="385"/>
      <c r="I148" s="386"/>
    </row>
    <row r="149" spans="1:9">
      <c r="A149" s="283"/>
      <c r="E149" s="42"/>
      <c r="F149" s="297"/>
      <c r="H149" s="385"/>
      <c r="I149" s="386"/>
    </row>
    <row r="150" spans="1:9">
      <c r="A150" s="284"/>
      <c r="E150" s="42"/>
      <c r="F150" s="297"/>
      <c r="H150" s="385"/>
      <c r="I150" s="386"/>
    </row>
    <row r="151" spans="1:9">
      <c r="A151" s="283"/>
      <c r="E151" s="42"/>
      <c r="F151" s="297"/>
      <c r="H151" s="385"/>
      <c r="I151" s="386"/>
    </row>
    <row r="152" spans="1:9">
      <c r="A152" s="283"/>
      <c r="E152" s="42"/>
      <c r="F152" s="297"/>
      <c r="H152" s="385"/>
      <c r="I152" s="386"/>
    </row>
    <row r="153" spans="1:9">
      <c r="A153" s="283"/>
      <c r="E153" s="42"/>
      <c r="F153" s="297"/>
      <c r="H153" s="385"/>
      <c r="I153" s="386"/>
    </row>
    <row r="154" spans="1:9">
      <c r="A154" s="283"/>
      <c r="E154" s="42"/>
      <c r="F154" s="297"/>
      <c r="H154" s="385"/>
      <c r="I154" s="386"/>
    </row>
    <row r="155" spans="1:9">
      <c r="A155" s="283"/>
      <c r="E155" s="42"/>
      <c r="F155" s="297"/>
      <c r="H155" s="385"/>
      <c r="I155" s="386"/>
    </row>
    <row r="156" spans="1:9">
      <c r="A156" s="283"/>
      <c r="E156" s="42"/>
      <c r="F156" s="297"/>
      <c r="H156" s="385"/>
      <c r="I156" s="386"/>
    </row>
    <row r="157" spans="1:9">
      <c r="A157" s="283"/>
      <c r="E157" s="42"/>
      <c r="F157" s="297"/>
      <c r="H157" s="385"/>
      <c r="I157" s="386"/>
    </row>
    <row r="158" spans="1:9">
      <c r="A158" s="283"/>
      <c r="E158" s="385"/>
      <c r="F158" s="297"/>
      <c r="H158" s="385"/>
      <c r="I158" s="386"/>
    </row>
    <row r="159" spans="1:9">
      <c r="E159" s="42"/>
      <c r="F159" s="297"/>
      <c r="H159" s="385"/>
      <c r="I159" s="386"/>
    </row>
    <row r="160" spans="1:9">
      <c r="E160" s="42"/>
      <c r="F160" s="297"/>
      <c r="H160" s="385"/>
      <c r="I160" s="386"/>
    </row>
    <row r="161" spans="5:9">
      <c r="E161" s="42"/>
      <c r="F161" s="297"/>
      <c r="H161" s="385"/>
      <c r="I161" s="386"/>
    </row>
    <row r="162" spans="5:9">
      <c r="E162" s="42"/>
      <c r="F162" s="297"/>
      <c r="H162" s="385"/>
      <c r="I162" s="386"/>
    </row>
    <row r="163" spans="5:9">
      <c r="E163" s="42"/>
      <c r="F163" s="297"/>
      <c r="H163" s="385"/>
      <c r="I163" s="386"/>
    </row>
    <row r="164" spans="5:9">
      <c r="E164" s="42"/>
      <c r="F164" s="297"/>
      <c r="H164" s="385"/>
      <c r="I164" s="386"/>
    </row>
    <row r="165" spans="5:9">
      <c r="E165" s="42"/>
      <c r="F165" s="297"/>
      <c r="H165" s="385"/>
      <c r="I165" s="386"/>
    </row>
    <row r="166" spans="5:9">
      <c r="E166" s="42"/>
      <c r="F166" s="297"/>
      <c r="H166" s="385"/>
      <c r="I166" s="386"/>
    </row>
    <row r="167" spans="5:9">
      <c r="E167" s="387"/>
      <c r="F167" s="297"/>
      <c r="H167" s="385"/>
      <c r="I167" s="386"/>
    </row>
    <row r="168" spans="5:9">
      <c r="E168" s="42"/>
      <c r="F168" s="297"/>
      <c r="H168" s="385"/>
      <c r="I168" s="386"/>
    </row>
    <row r="169" spans="5:9">
      <c r="E169" s="385"/>
      <c r="F169" s="297"/>
      <c r="H169" s="385"/>
      <c r="I169" s="386"/>
    </row>
    <row r="170" spans="5:9">
      <c r="E170" s="42"/>
      <c r="F170" s="297"/>
      <c r="H170" s="385"/>
      <c r="I170" s="386"/>
    </row>
    <row r="171" spans="5:9">
      <c r="E171" s="42"/>
      <c r="F171" s="297"/>
      <c r="H171" s="385"/>
      <c r="I171" s="386"/>
    </row>
    <row r="172" spans="5:9">
      <c r="E172" s="42"/>
      <c r="F172" s="297"/>
      <c r="H172" s="385"/>
      <c r="I172" s="386"/>
    </row>
    <row r="173" spans="5:9">
      <c r="E173" s="42"/>
      <c r="F173" s="297"/>
      <c r="H173" s="385"/>
      <c r="I173" s="386"/>
    </row>
    <row r="174" spans="5:9">
      <c r="E174" s="42"/>
      <c r="F174" s="297"/>
      <c r="H174" s="385"/>
      <c r="I174" s="386"/>
    </row>
    <row r="175" spans="5:9">
      <c r="E175" s="42"/>
      <c r="F175" s="297"/>
      <c r="H175" s="385"/>
      <c r="I175" s="386"/>
    </row>
    <row r="176" spans="5:9">
      <c r="E176" s="42"/>
      <c r="F176" s="297"/>
      <c r="H176" s="385"/>
      <c r="I176" s="386"/>
    </row>
    <row r="177" spans="5:9">
      <c r="E177" s="385"/>
      <c r="F177" s="297"/>
      <c r="H177" s="385"/>
      <c r="I177" s="386"/>
    </row>
    <row r="178" spans="5:9">
      <c r="E178" s="385"/>
      <c r="F178" s="297"/>
      <c r="H178" s="385"/>
      <c r="I178" s="386"/>
    </row>
    <row r="179" spans="5:9">
      <c r="E179" s="42"/>
      <c r="F179" s="297"/>
      <c r="H179" s="385"/>
      <c r="I179" s="386"/>
    </row>
    <row r="180" spans="5:9">
      <c r="E180" s="42"/>
      <c r="F180" s="297"/>
      <c r="H180" s="385"/>
      <c r="I180" s="386"/>
    </row>
    <row r="181" spans="5:9">
      <c r="E181" s="42"/>
      <c r="F181" s="297"/>
      <c r="H181" s="385"/>
      <c r="I181" s="386"/>
    </row>
    <row r="182" spans="5:9">
      <c r="E182" s="42"/>
      <c r="F182" s="297"/>
      <c r="H182" s="385"/>
      <c r="I182" s="386"/>
    </row>
    <row r="183" spans="5:9">
      <c r="E183" s="42"/>
      <c r="F183" s="297"/>
      <c r="H183" s="385"/>
      <c r="I183" s="386"/>
    </row>
    <row r="184" spans="5:9">
      <c r="E184" s="42"/>
      <c r="F184" s="297"/>
      <c r="H184" s="385"/>
      <c r="I184" s="386"/>
    </row>
    <row r="185" spans="5:9">
      <c r="E185" s="42"/>
      <c r="F185" s="297"/>
      <c r="H185" s="385"/>
      <c r="I185" s="386"/>
    </row>
    <row r="186" spans="5:9">
      <c r="E186" s="42"/>
      <c r="F186" s="297"/>
      <c r="H186" s="385"/>
      <c r="I186" s="386"/>
    </row>
    <row r="187" spans="5:9">
      <c r="E187" s="42"/>
      <c r="F187" s="297"/>
      <c r="H187" s="385"/>
      <c r="I187" s="386"/>
    </row>
    <row r="188" spans="5:9">
      <c r="E188" s="42"/>
      <c r="F188" s="297"/>
      <c r="H188" s="385"/>
      <c r="I188" s="386"/>
    </row>
    <row r="189" spans="5:9">
      <c r="E189" s="42"/>
      <c r="F189" s="297"/>
      <c r="H189" s="385"/>
      <c r="I189" s="386"/>
    </row>
    <row r="190" spans="5:9">
      <c r="E190" s="385"/>
      <c r="F190" s="297"/>
      <c r="H190" s="385"/>
      <c r="I190" s="386"/>
    </row>
    <row r="191" spans="5:9">
      <c r="E191" s="42"/>
      <c r="F191" s="297"/>
      <c r="H191" s="385"/>
      <c r="I191" s="386"/>
    </row>
    <row r="192" spans="5:9">
      <c r="E192" s="42"/>
      <c r="F192" s="297"/>
      <c r="H192" s="385"/>
      <c r="I192" s="386"/>
    </row>
    <row r="193" spans="5:9">
      <c r="E193" s="42"/>
      <c r="F193" s="297"/>
      <c r="H193" s="385"/>
      <c r="I193" s="386"/>
    </row>
    <row r="194" spans="5:9">
      <c r="E194" s="42"/>
      <c r="F194" s="297"/>
      <c r="H194" s="385"/>
      <c r="I194" s="386"/>
    </row>
    <row r="195" spans="5:9">
      <c r="E195" s="42"/>
      <c r="F195" s="297"/>
      <c r="H195" s="385"/>
      <c r="I195" s="386"/>
    </row>
    <row r="196" spans="5:9">
      <c r="E196" s="42"/>
      <c r="F196" s="297"/>
      <c r="H196" s="385"/>
      <c r="I196" s="386"/>
    </row>
    <row r="197" spans="5:9">
      <c r="E197" s="42"/>
      <c r="F197" s="297"/>
      <c r="H197" s="385"/>
      <c r="I197" s="386"/>
    </row>
    <row r="198" spans="5:9">
      <c r="E198" s="385"/>
      <c r="F198" s="297"/>
      <c r="H198" s="385"/>
      <c r="I198" s="386"/>
    </row>
    <row r="199" spans="5:9">
      <c r="E199" s="385"/>
      <c r="F199" s="297"/>
      <c r="H199" s="385"/>
      <c r="I199" s="386"/>
    </row>
  </sheetData>
  <mergeCells count="12">
    <mergeCell ref="Q40:R40"/>
    <mergeCell ref="G60:H64"/>
    <mergeCell ref="I60:J64"/>
    <mergeCell ref="K60:L64"/>
    <mergeCell ref="M60:N64"/>
    <mergeCell ref="Q60:R64"/>
    <mergeCell ref="O40:P40"/>
    <mergeCell ref="O60:P64"/>
    <mergeCell ref="G40:H40"/>
    <mergeCell ref="I40:J40"/>
    <mergeCell ref="K40:L40"/>
    <mergeCell ref="M40:N40"/>
  </mergeCells>
  <pageMargins left="0.45" right="0.2" top="0.75" bottom="0.25" header="0.3" footer="0.3"/>
  <pageSetup fitToWidth="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AM96"/>
  <sheetViews>
    <sheetView showGridLines="0" zoomScale="110" zoomScaleNormal="110" workbookViewId="0">
      <selection activeCell="G46" sqref="G46"/>
    </sheetView>
  </sheetViews>
  <sheetFormatPr baseColWidth="10" defaultColWidth="8.83203125" defaultRowHeight="15"/>
  <cols>
    <col min="1" max="1" width="6.5" customWidth="1"/>
    <col min="2" max="2" width="15.5" customWidth="1"/>
    <col min="3" max="3" width="17.5" customWidth="1"/>
    <col min="4" max="4" width="12.5" customWidth="1"/>
    <col min="5" max="5" width="18" customWidth="1"/>
    <col min="6" max="6" width="14.5" customWidth="1"/>
    <col min="7" max="7" width="14" customWidth="1"/>
    <col min="8" max="8" width="15.5" bestFit="1" customWidth="1"/>
    <col min="9" max="10" width="14.5" customWidth="1"/>
    <col min="11" max="12" width="15.5" customWidth="1"/>
    <col min="13" max="13" width="14.5" customWidth="1"/>
    <col min="14" max="14" width="14.5" bestFit="1" customWidth="1"/>
    <col min="15" max="15" width="14.5" customWidth="1"/>
    <col min="16" max="16" width="13.5" bestFit="1" customWidth="1"/>
    <col min="17" max="20" width="15" bestFit="1" customWidth="1"/>
    <col min="21" max="21" width="13.5" customWidth="1"/>
    <col min="22" max="22" width="15.5" customWidth="1"/>
    <col min="23" max="23" width="14.5" customWidth="1"/>
    <col min="24" max="24" width="13.5" customWidth="1"/>
    <col min="25" max="25" width="15.5" customWidth="1"/>
    <col min="26" max="26" width="11.5" bestFit="1" customWidth="1"/>
  </cols>
  <sheetData>
    <row r="1" spans="1:25" ht="19">
      <c r="A1" s="40" t="s">
        <v>49</v>
      </c>
      <c r="D1" s="1693">
        <f>'Summary Sources-Uses'!L1</f>
        <v>45960</v>
      </c>
      <c r="E1" s="1693"/>
      <c r="L1" s="1318"/>
    </row>
    <row r="2" spans="1:25" ht="16">
      <c r="A2" s="11" t="s">
        <v>23</v>
      </c>
      <c r="F2" s="1690" t="str">
        <f>'Summary Sources-Uses'!A2</f>
        <v>Project Name</v>
      </c>
      <c r="G2" s="1690"/>
      <c r="H2" s="1690"/>
      <c r="I2" s="1690"/>
      <c r="J2" s="1690"/>
      <c r="K2" s="990">
        <f>'Summary Sources-Uses'!L1</f>
        <v>45960</v>
      </c>
      <c r="N2" s="1692"/>
      <c r="O2" s="1692"/>
      <c r="P2" s="1692"/>
      <c r="Q2" s="1692"/>
      <c r="R2" s="1692"/>
    </row>
    <row r="3" spans="1:25" ht="8.5" customHeight="1"/>
    <row r="4" spans="1:25" ht="14" customHeight="1">
      <c r="C4" s="1691" t="s">
        <v>24</v>
      </c>
      <c r="D4" s="1691"/>
      <c r="F4" s="4">
        <v>1</v>
      </c>
      <c r="G4" s="4">
        <v>2</v>
      </c>
      <c r="H4" s="4">
        <v>3</v>
      </c>
      <c r="I4" s="4">
        <v>4</v>
      </c>
      <c r="J4" s="4">
        <v>5</v>
      </c>
      <c r="K4" s="4">
        <v>6</v>
      </c>
      <c r="L4" s="4">
        <v>7</v>
      </c>
      <c r="M4" s="4">
        <v>8</v>
      </c>
      <c r="N4" s="4">
        <v>9</v>
      </c>
      <c r="O4" s="4">
        <v>10</v>
      </c>
      <c r="P4" s="4">
        <v>11</v>
      </c>
      <c r="Q4" s="4">
        <v>12</v>
      </c>
      <c r="R4" s="4">
        <v>13</v>
      </c>
      <c r="S4" s="4">
        <v>14</v>
      </c>
      <c r="T4" s="4">
        <v>15</v>
      </c>
    </row>
    <row r="5" spans="1:25" ht="15" customHeight="1">
      <c r="A5" t="s">
        <v>42</v>
      </c>
      <c r="C5" s="23">
        <f>TotalUnitCount</f>
        <v>221</v>
      </c>
      <c r="F5" s="18" t="s">
        <v>38</v>
      </c>
      <c r="G5" s="19"/>
      <c r="H5" s="20">
        <f>RevInfl</f>
        <v>0.02</v>
      </c>
      <c r="I5" s="19" t="s">
        <v>37</v>
      </c>
      <c r="J5" s="914">
        <v>7.0000000000000007E-2</v>
      </c>
      <c r="K5" s="18" t="s">
        <v>40</v>
      </c>
      <c r="L5" s="19"/>
      <c r="M5" s="22">
        <f ca="1">'Operating Expense'!F20</f>
        <v>8666.0550730939467</v>
      </c>
      <c r="N5" s="63" t="s">
        <v>92</v>
      </c>
      <c r="O5" s="110" t="s">
        <v>116</v>
      </c>
      <c r="P5" s="4"/>
      <c r="Q5" s="22">
        <v>8500</v>
      </c>
      <c r="R5" s="111" t="s">
        <v>91</v>
      </c>
      <c r="S5" s="4"/>
      <c r="T5" s="4"/>
    </row>
    <row r="6" spans="1:25" ht="15" customHeight="1">
      <c r="A6" t="s">
        <v>58</v>
      </c>
      <c r="C6" s="48">
        <f>'Rent Schedule'!E26*'Rent Schedule'!D26</f>
        <v>185625</v>
      </c>
      <c r="D6" s="5"/>
      <c r="F6" s="21" t="s">
        <v>39</v>
      </c>
      <c r="G6" s="19"/>
      <c r="H6" s="20">
        <v>0.03</v>
      </c>
      <c r="I6" s="19"/>
      <c r="J6" s="19"/>
      <c r="K6" s="18" t="s">
        <v>41</v>
      </c>
      <c r="L6" s="19"/>
      <c r="M6" s="148">
        <f>ReplReserve</f>
        <v>300</v>
      </c>
      <c r="N6" s="4"/>
      <c r="O6" s="110" t="s">
        <v>380</v>
      </c>
      <c r="P6" s="4"/>
      <c r="Q6" s="22">
        <v>7500</v>
      </c>
      <c r="R6" s="111" t="s">
        <v>91</v>
      </c>
      <c r="S6" s="4"/>
      <c r="T6" s="4"/>
    </row>
    <row r="7" spans="1:25" ht="15" customHeight="1">
      <c r="A7" t="s">
        <v>669</v>
      </c>
      <c r="C7" s="70">
        <v>2028</v>
      </c>
      <c r="D7" s="5"/>
      <c r="F7" s="4"/>
      <c r="G7" s="4"/>
      <c r="H7" s="4"/>
      <c r="I7" s="4"/>
      <c r="J7" s="4"/>
      <c r="K7" s="4"/>
      <c r="L7" s="4"/>
      <c r="M7" s="147">
        <f ca="1">M5+M6</f>
        <v>8966.0550730939467</v>
      </c>
      <c r="N7" s="4"/>
      <c r="O7" s="110" t="s">
        <v>549</v>
      </c>
      <c r="P7" s="4"/>
      <c r="Q7" s="22">
        <v>7500</v>
      </c>
      <c r="R7" s="111" t="s">
        <v>91</v>
      </c>
      <c r="S7" s="4"/>
      <c r="T7" s="4"/>
    </row>
    <row r="8" spans="1:25" ht="15" customHeight="1">
      <c r="C8" s="70"/>
      <c r="D8" s="5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5">
      <c r="C9" s="1533"/>
      <c r="D9" s="5"/>
      <c r="E9" s="149">
        <v>2025</v>
      </c>
      <c r="F9" s="4" t="str">
        <f>$C$4&amp;" "&amp;F4</f>
        <v>Year 1</v>
      </c>
      <c r="G9" s="4" t="str">
        <f t="shared" ref="G9:T9" si="0">$C$4&amp;" "&amp;G4</f>
        <v>Year 2</v>
      </c>
      <c r="H9" s="4" t="str">
        <f t="shared" si="0"/>
        <v>Year 3</v>
      </c>
      <c r="I9" s="4" t="str">
        <f t="shared" si="0"/>
        <v>Year 4</v>
      </c>
      <c r="J9" s="4" t="str">
        <f t="shared" si="0"/>
        <v>Year 5</v>
      </c>
      <c r="K9" s="4" t="str">
        <f t="shared" si="0"/>
        <v>Year 6</v>
      </c>
      <c r="L9" s="4" t="str">
        <f t="shared" si="0"/>
        <v>Year 7</v>
      </c>
      <c r="M9" s="4" t="str">
        <f t="shared" si="0"/>
        <v>Year 8</v>
      </c>
      <c r="N9" s="4" t="str">
        <f t="shared" si="0"/>
        <v>Year 9</v>
      </c>
      <c r="O9" s="4" t="str">
        <f t="shared" si="0"/>
        <v>Year 10</v>
      </c>
      <c r="P9" s="4" t="str">
        <f t="shared" si="0"/>
        <v>Year 11</v>
      </c>
      <c r="Q9" s="4" t="str">
        <f t="shared" si="0"/>
        <v>Year 12</v>
      </c>
      <c r="R9" s="4" t="str">
        <f t="shared" si="0"/>
        <v>Year 13</v>
      </c>
      <c r="S9" s="4" t="str">
        <f t="shared" si="0"/>
        <v>Year 14</v>
      </c>
      <c r="T9" s="4" t="str">
        <f t="shared" si="0"/>
        <v>Year 15</v>
      </c>
      <c r="U9" s="127" t="s">
        <v>97</v>
      </c>
      <c r="V9" s="127" t="s">
        <v>98</v>
      </c>
      <c r="W9" s="127" t="s">
        <v>99</v>
      </c>
      <c r="X9" s="127" t="s">
        <v>100</v>
      </c>
      <c r="Y9" s="127" t="s">
        <v>101</v>
      </c>
    </row>
    <row r="10" spans="1:25" s="8" customFormat="1" ht="12">
      <c r="E10" s="8" t="s">
        <v>113</v>
      </c>
      <c r="F10" s="38">
        <v>2028</v>
      </c>
      <c r="G10" s="38">
        <f t="shared" ref="G10:Y10" si="1">F10+1</f>
        <v>2029</v>
      </c>
      <c r="H10" s="38">
        <f t="shared" si="1"/>
        <v>2030</v>
      </c>
      <c r="I10" s="38">
        <f t="shared" si="1"/>
        <v>2031</v>
      </c>
      <c r="J10" s="38">
        <f t="shared" si="1"/>
        <v>2032</v>
      </c>
      <c r="K10" s="38">
        <f t="shared" si="1"/>
        <v>2033</v>
      </c>
      <c r="L10" s="38">
        <f t="shared" si="1"/>
        <v>2034</v>
      </c>
      <c r="M10" s="38">
        <f t="shared" si="1"/>
        <v>2035</v>
      </c>
      <c r="N10" s="38">
        <f t="shared" si="1"/>
        <v>2036</v>
      </c>
      <c r="O10" s="38">
        <f t="shared" si="1"/>
        <v>2037</v>
      </c>
      <c r="P10" s="38">
        <f t="shared" si="1"/>
        <v>2038</v>
      </c>
      <c r="Q10" s="38">
        <f t="shared" si="1"/>
        <v>2039</v>
      </c>
      <c r="R10" s="38">
        <f t="shared" si="1"/>
        <v>2040</v>
      </c>
      <c r="S10" s="38">
        <f t="shared" si="1"/>
        <v>2041</v>
      </c>
      <c r="T10" s="38">
        <f t="shared" si="1"/>
        <v>2042</v>
      </c>
      <c r="U10" s="128">
        <f t="shared" si="1"/>
        <v>2043</v>
      </c>
      <c r="V10" s="128">
        <f t="shared" si="1"/>
        <v>2044</v>
      </c>
      <c r="W10" s="128">
        <f t="shared" si="1"/>
        <v>2045</v>
      </c>
      <c r="X10" s="128">
        <f t="shared" si="1"/>
        <v>2046</v>
      </c>
      <c r="Y10" s="128">
        <f t="shared" si="1"/>
        <v>2047</v>
      </c>
    </row>
    <row r="11" spans="1:25" s="4" customFormat="1">
      <c r="E11" s="151" t="s">
        <v>115</v>
      </c>
      <c r="F11" s="125">
        <v>1</v>
      </c>
      <c r="G11" s="125">
        <v>2</v>
      </c>
      <c r="H11" s="125">
        <v>3</v>
      </c>
      <c r="I11" s="125">
        <v>4</v>
      </c>
      <c r="J11" s="125">
        <v>5</v>
      </c>
      <c r="K11" s="125">
        <v>6</v>
      </c>
      <c r="L11" s="125">
        <v>7</v>
      </c>
      <c r="M11" s="125">
        <v>8</v>
      </c>
      <c r="N11" s="125">
        <v>9</v>
      </c>
      <c r="O11" s="125">
        <v>10</v>
      </c>
      <c r="P11" s="125">
        <v>11</v>
      </c>
      <c r="Q11" s="125">
        <v>12</v>
      </c>
      <c r="R11" s="125">
        <v>13</v>
      </c>
      <c r="S11" s="125">
        <v>14</v>
      </c>
      <c r="T11" s="125">
        <v>15</v>
      </c>
      <c r="U11" s="129">
        <v>16</v>
      </c>
      <c r="V11" s="129">
        <v>17</v>
      </c>
      <c r="W11" s="129">
        <v>18</v>
      </c>
      <c r="X11" s="129">
        <v>19</v>
      </c>
      <c r="Y11" s="129">
        <v>20</v>
      </c>
    </row>
    <row r="12" spans="1:25">
      <c r="A12" s="12" t="s">
        <v>25</v>
      </c>
      <c r="B12" s="12"/>
      <c r="C12" s="12"/>
      <c r="D12" s="12"/>
      <c r="E12" s="844">
        <f>GrossRentIncomeY1</f>
        <v>3724992</v>
      </c>
      <c r="F12" s="840">
        <f>E12</f>
        <v>3724992</v>
      </c>
      <c r="G12" s="33">
        <f t="shared" ref="G12:Y12" si="2">F12*(1+$H5)</f>
        <v>3799491.84</v>
      </c>
      <c r="H12" s="33">
        <f t="shared" si="2"/>
        <v>3875481.6768</v>
      </c>
      <c r="I12" s="33">
        <f t="shared" si="2"/>
        <v>3952991.3103360003</v>
      </c>
      <c r="J12" s="33">
        <f t="shared" si="2"/>
        <v>4032051.1365427203</v>
      </c>
      <c r="K12" s="33">
        <f t="shared" si="2"/>
        <v>4112692.1592735746</v>
      </c>
      <c r="L12" s="33">
        <f t="shared" si="2"/>
        <v>4194946.0024590464</v>
      </c>
      <c r="M12" s="33">
        <f t="shared" si="2"/>
        <v>4278844.9225082276</v>
      </c>
      <c r="N12" s="33">
        <f t="shared" si="2"/>
        <v>4364421.8209583927</v>
      </c>
      <c r="O12" s="33">
        <f t="shared" si="2"/>
        <v>4451710.2573775603</v>
      </c>
      <c r="P12" s="33">
        <f t="shared" si="2"/>
        <v>4540744.4625251116</v>
      </c>
      <c r="Q12" s="33">
        <f t="shared" si="2"/>
        <v>4631559.3517756136</v>
      </c>
      <c r="R12" s="33">
        <f t="shared" si="2"/>
        <v>4724190.5388111258</v>
      </c>
      <c r="S12" s="33">
        <f t="shared" si="2"/>
        <v>4818674.3495873483</v>
      </c>
      <c r="T12" s="33">
        <f t="shared" si="2"/>
        <v>4915047.8365790956</v>
      </c>
      <c r="U12" s="130">
        <f t="shared" si="2"/>
        <v>5013348.7933106776</v>
      </c>
      <c r="V12" s="130">
        <f t="shared" si="2"/>
        <v>5113615.7691768911</v>
      </c>
      <c r="W12" s="130">
        <f t="shared" si="2"/>
        <v>5215888.0845604287</v>
      </c>
      <c r="X12" s="130">
        <f t="shared" si="2"/>
        <v>5320205.8462516377</v>
      </c>
      <c r="Y12" s="130">
        <f t="shared" si="2"/>
        <v>5426609.9631766705</v>
      </c>
    </row>
    <row r="13" spans="1:25">
      <c r="A13" s="14" t="s">
        <v>26</v>
      </c>
      <c r="B13" s="15" t="s">
        <v>357</v>
      </c>
      <c r="C13" s="15"/>
      <c r="D13" s="15"/>
      <c r="E13" s="845">
        <f>AddRevY1+'Rent Schedule'!K36</f>
        <v>31924</v>
      </c>
      <c r="F13" s="840">
        <f>E13</f>
        <v>31924</v>
      </c>
      <c r="G13" s="33">
        <f t="shared" ref="G13:Y13" si="3">F13*(1+$H5)</f>
        <v>32562.48</v>
      </c>
      <c r="H13" s="33">
        <f t="shared" si="3"/>
        <v>33213.729599999999</v>
      </c>
      <c r="I13" s="33">
        <f t="shared" si="3"/>
        <v>33878.004192</v>
      </c>
      <c r="J13" s="33">
        <f t="shared" si="3"/>
        <v>34555.564275839999</v>
      </c>
      <c r="K13" s="33">
        <f t="shared" si="3"/>
        <v>35246.675561356802</v>
      </c>
      <c r="L13" s="33">
        <f t="shared" si="3"/>
        <v>35951.609072583939</v>
      </c>
      <c r="M13" s="33">
        <f t="shared" si="3"/>
        <v>36670.641254035618</v>
      </c>
      <c r="N13" s="33">
        <f t="shared" si="3"/>
        <v>37404.054079116329</v>
      </c>
      <c r="O13" s="33">
        <f t="shared" si="3"/>
        <v>38152.135160698657</v>
      </c>
      <c r="P13" s="33">
        <f t="shared" si="3"/>
        <v>38915.177863912628</v>
      </c>
      <c r="Q13" s="33">
        <f t="shared" si="3"/>
        <v>39693.481421190882</v>
      </c>
      <c r="R13" s="33">
        <f t="shared" si="3"/>
        <v>40487.351049614699</v>
      </c>
      <c r="S13" s="33">
        <f t="shared" si="3"/>
        <v>41297.098070606997</v>
      </c>
      <c r="T13" s="33">
        <f t="shared" si="3"/>
        <v>42123.04003201914</v>
      </c>
      <c r="U13" s="130">
        <f t="shared" si="3"/>
        <v>42965.500832659527</v>
      </c>
      <c r="V13" s="130">
        <f t="shared" si="3"/>
        <v>43824.810849312722</v>
      </c>
      <c r="W13" s="130">
        <f t="shared" si="3"/>
        <v>44701.307066298978</v>
      </c>
      <c r="X13" s="130">
        <f t="shared" si="3"/>
        <v>45595.333207624957</v>
      </c>
      <c r="Y13" s="130">
        <f t="shared" si="3"/>
        <v>46507.239871777456</v>
      </c>
    </row>
    <row r="14" spans="1:25">
      <c r="A14" s="12"/>
      <c r="B14" s="12"/>
      <c r="C14" s="12"/>
      <c r="D14" s="12"/>
      <c r="E14" s="841"/>
      <c r="F14" s="34"/>
      <c r="G14" s="34"/>
      <c r="U14" s="131"/>
      <c r="V14" s="131"/>
      <c r="W14" s="131"/>
      <c r="X14" s="131"/>
      <c r="Y14" s="131"/>
    </row>
    <row r="15" spans="1:25">
      <c r="A15" s="12" t="s">
        <v>18</v>
      </c>
      <c r="B15" s="12"/>
      <c r="C15" s="12"/>
      <c r="D15" s="12"/>
      <c r="E15" s="851">
        <f t="shared" ref="E15:Y15" si="4">E12+E13</f>
        <v>3756916</v>
      </c>
      <c r="F15" s="35">
        <f t="shared" si="4"/>
        <v>3756916</v>
      </c>
      <c r="G15" s="35">
        <f t="shared" si="4"/>
        <v>3832054.32</v>
      </c>
      <c r="H15" s="35">
        <f t="shared" si="4"/>
        <v>3908695.4064000002</v>
      </c>
      <c r="I15" s="35">
        <f t="shared" si="4"/>
        <v>3986869.3145280001</v>
      </c>
      <c r="J15" s="35">
        <f t="shared" si="4"/>
        <v>4066606.7008185601</v>
      </c>
      <c r="K15" s="35">
        <f t="shared" si="4"/>
        <v>4147938.8348349314</v>
      </c>
      <c r="L15" s="35">
        <f t="shared" si="4"/>
        <v>4230897.6115316302</v>
      </c>
      <c r="M15" s="35">
        <f t="shared" si="4"/>
        <v>4315515.5637622634</v>
      </c>
      <c r="N15" s="35">
        <f t="shared" si="4"/>
        <v>4401825.875037509</v>
      </c>
      <c r="O15" s="35">
        <f t="shared" si="4"/>
        <v>4489862.3925382588</v>
      </c>
      <c r="P15" s="35">
        <f t="shared" si="4"/>
        <v>4579659.6403890243</v>
      </c>
      <c r="Q15" s="35">
        <f t="shared" si="4"/>
        <v>4671252.8331968049</v>
      </c>
      <c r="R15" s="35">
        <f t="shared" si="4"/>
        <v>4764677.8898607409</v>
      </c>
      <c r="S15" s="35">
        <f t="shared" si="4"/>
        <v>4859971.4476579549</v>
      </c>
      <c r="T15" s="35">
        <f t="shared" si="4"/>
        <v>4957170.8766111145</v>
      </c>
      <c r="U15" s="124">
        <f t="shared" si="4"/>
        <v>5056314.2941433368</v>
      </c>
      <c r="V15" s="124">
        <f t="shared" si="4"/>
        <v>5157440.5800262038</v>
      </c>
      <c r="W15" s="124">
        <f t="shared" si="4"/>
        <v>5260589.3916267278</v>
      </c>
      <c r="X15" s="124">
        <f t="shared" si="4"/>
        <v>5365801.1794592626</v>
      </c>
      <c r="Y15" s="124">
        <f t="shared" si="4"/>
        <v>5473117.2030484481</v>
      </c>
    </row>
    <row r="16" spans="1:25">
      <c r="A16" s="15"/>
      <c r="B16" s="15"/>
      <c r="C16" s="15"/>
      <c r="D16" s="15"/>
      <c r="E16" s="841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132"/>
      <c r="V16" s="132"/>
      <c r="W16" s="132"/>
      <c r="X16" s="132"/>
      <c r="Y16" s="132"/>
    </row>
    <row r="17" spans="1:25">
      <c r="A17" s="14" t="s">
        <v>27</v>
      </c>
      <c r="B17" s="15" t="s">
        <v>28</v>
      </c>
      <c r="C17" s="15"/>
      <c r="D17" s="15"/>
      <c r="E17" s="842">
        <f>(E12+E13)*$J5</f>
        <v>262984.12000000005</v>
      </c>
      <c r="F17" s="840">
        <f>(F12+F13)*$J5</f>
        <v>262984.12000000005</v>
      </c>
      <c r="G17" s="33">
        <f t="shared" ref="G17:Y17" si="5">(G12+G13)*$J5</f>
        <v>268243.80239999999</v>
      </c>
      <c r="H17" s="33">
        <f t="shared" si="5"/>
        <v>273608.67844800005</v>
      </c>
      <c r="I17" s="33">
        <f t="shared" si="5"/>
        <v>279080.85201696004</v>
      </c>
      <c r="J17" s="33">
        <f t="shared" si="5"/>
        <v>284662.46905729925</v>
      </c>
      <c r="K17" s="33">
        <f t="shared" si="5"/>
        <v>290355.71843844524</v>
      </c>
      <c r="L17" s="33">
        <f t="shared" si="5"/>
        <v>296162.83280721412</v>
      </c>
      <c r="M17" s="33">
        <f t="shared" si="5"/>
        <v>302086.08946335845</v>
      </c>
      <c r="N17" s="33">
        <f t="shared" si="5"/>
        <v>308127.81125262566</v>
      </c>
      <c r="O17" s="33">
        <f t="shared" si="5"/>
        <v>314290.36747767817</v>
      </c>
      <c r="P17" s="33">
        <f t="shared" si="5"/>
        <v>320576.17482723173</v>
      </c>
      <c r="Q17" s="33">
        <f t="shared" si="5"/>
        <v>326987.69832377636</v>
      </c>
      <c r="R17" s="33">
        <f t="shared" si="5"/>
        <v>333527.45229025191</v>
      </c>
      <c r="S17" s="33">
        <f t="shared" si="5"/>
        <v>340198.00133605686</v>
      </c>
      <c r="T17" s="33">
        <f t="shared" si="5"/>
        <v>347001.96136277803</v>
      </c>
      <c r="U17" s="130">
        <f t="shared" si="5"/>
        <v>353942.0005900336</v>
      </c>
      <c r="V17" s="130">
        <f t="shared" si="5"/>
        <v>361020.84060183429</v>
      </c>
      <c r="W17" s="130">
        <f t="shared" si="5"/>
        <v>368241.257413871</v>
      </c>
      <c r="X17" s="130">
        <f t="shared" si="5"/>
        <v>375606.0825621484</v>
      </c>
      <c r="Y17" s="130">
        <f t="shared" si="5"/>
        <v>383118.20421339141</v>
      </c>
    </row>
    <row r="18" spans="1:25">
      <c r="A18" s="12"/>
      <c r="B18" s="12"/>
      <c r="C18" s="12"/>
      <c r="D18" s="12"/>
      <c r="E18" s="841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132"/>
      <c r="V18" s="132"/>
      <c r="W18" s="132"/>
      <c r="X18" s="132"/>
      <c r="Y18" s="132"/>
    </row>
    <row r="19" spans="1:25">
      <c r="A19" s="12" t="s">
        <v>76</v>
      </c>
      <c r="B19" s="12"/>
      <c r="C19" s="12"/>
      <c r="D19" s="12"/>
      <c r="E19" s="851">
        <f>+E15-E17</f>
        <v>3493931.88</v>
      </c>
      <c r="F19" s="35">
        <f>+F15-F17</f>
        <v>3493931.88</v>
      </c>
      <c r="G19" s="35">
        <f>+G15-G17</f>
        <v>3563810.5175999999</v>
      </c>
      <c r="H19" s="35">
        <f t="shared" ref="H19:T19" si="6">+H15-H17</f>
        <v>3635086.7279520002</v>
      </c>
      <c r="I19" s="35">
        <f t="shared" si="6"/>
        <v>3707788.4625110403</v>
      </c>
      <c r="J19" s="35">
        <f t="shared" si="6"/>
        <v>3781944.2317612609</v>
      </c>
      <c r="K19" s="35">
        <f t="shared" si="6"/>
        <v>3857583.1163964863</v>
      </c>
      <c r="L19" s="35">
        <f t="shared" si="6"/>
        <v>3934734.7787244162</v>
      </c>
      <c r="M19" s="35">
        <f t="shared" si="6"/>
        <v>4013429.4742989051</v>
      </c>
      <c r="N19" s="35">
        <f t="shared" si="6"/>
        <v>4093698.0637848834</v>
      </c>
      <c r="O19" s="35">
        <f t="shared" si="6"/>
        <v>4175572.0250605806</v>
      </c>
      <c r="P19" s="35">
        <f t="shared" si="6"/>
        <v>4259083.4655617923</v>
      </c>
      <c r="Q19" s="35">
        <f t="shared" si="6"/>
        <v>4344265.1348730288</v>
      </c>
      <c r="R19" s="35">
        <f t="shared" si="6"/>
        <v>4431150.437570489</v>
      </c>
      <c r="S19" s="35">
        <f t="shared" si="6"/>
        <v>4519773.4463218981</v>
      </c>
      <c r="T19" s="35">
        <f t="shared" si="6"/>
        <v>4610168.9152483363</v>
      </c>
      <c r="U19" s="124">
        <f>+U15-U17</f>
        <v>4702372.293553303</v>
      </c>
      <c r="V19" s="124">
        <f>+V15-V17</f>
        <v>4796419.7394243693</v>
      </c>
      <c r="W19" s="124">
        <f>+W15-W17</f>
        <v>4892348.1342128571</v>
      </c>
      <c r="X19" s="124">
        <f>+X15-X17</f>
        <v>4990195.0968971141</v>
      </c>
      <c r="Y19" s="124">
        <f>+Y15-Y17</f>
        <v>5089998.998835057</v>
      </c>
    </row>
    <row r="20" spans="1:25">
      <c r="A20" s="15"/>
      <c r="B20" s="15"/>
      <c r="C20" s="15"/>
      <c r="D20" s="15"/>
      <c r="E20" s="841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132"/>
      <c r="V20" s="132"/>
      <c r="W20" s="132"/>
      <c r="X20" s="132"/>
      <c r="Y20" s="132"/>
    </row>
    <row r="21" spans="1:25">
      <c r="A21" s="14" t="s">
        <v>27</v>
      </c>
      <c r="B21" s="15" t="s">
        <v>29</v>
      </c>
      <c r="C21" s="15"/>
      <c r="D21" s="15"/>
      <c r="E21" s="843">
        <f ca="1">ExpTotalY1</f>
        <v>1915198.1711537624</v>
      </c>
      <c r="F21" s="840">
        <f ca="1">E21</f>
        <v>1915198.1711537624</v>
      </c>
      <c r="G21" s="33">
        <f t="shared" ref="G21:Y21" ca="1" si="7">$F21*(1+$H6)^(G11-1)</f>
        <v>1972654.1162883753</v>
      </c>
      <c r="H21" s="33">
        <f t="shared" ca="1" si="7"/>
        <v>2031833.7397770265</v>
      </c>
      <c r="I21" s="33">
        <f t="shared" ca="1" si="7"/>
        <v>2092788.7519703372</v>
      </c>
      <c r="J21" s="33">
        <f t="shared" ca="1" si="7"/>
        <v>2155572.4145294474</v>
      </c>
      <c r="K21" s="33">
        <f t="shared" ca="1" si="7"/>
        <v>2220239.5869653304</v>
      </c>
      <c r="L21" s="33">
        <f t="shared" ca="1" si="7"/>
        <v>2286846.7745742905</v>
      </c>
      <c r="M21" s="33">
        <f t="shared" ca="1" si="7"/>
        <v>2355452.1778115192</v>
      </c>
      <c r="N21" s="33">
        <f t="shared" ca="1" si="7"/>
        <v>2426115.7431458649</v>
      </c>
      <c r="O21" s="33">
        <f t="shared" ca="1" si="7"/>
        <v>2498899.2154402407</v>
      </c>
      <c r="P21" s="33">
        <f t="shared" ca="1" si="7"/>
        <v>2573866.1919034482</v>
      </c>
      <c r="Q21" s="33">
        <f t="shared" ca="1" si="7"/>
        <v>2651082.1776605514</v>
      </c>
      <c r="R21" s="33">
        <f t="shared" ca="1" si="7"/>
        <v>2730614.6429903675</v>
      </c>
      <c r="S21" s="33">
        <f t="shared" ca="1" si="7"/>
        <v>2812533.0822800784</v>
      </c>
      <c r="T21" s="33">
        <f t="shared" ca="1" si="7"/>
        <v>2896909.0747484812</v>
      </c>
      <c r="U21" s="130">
        <f t="shared" ca="1" si="7"/>
        <v>2983816.346990936</v>
      </c>
      <c r="V21" s="130">
        <f t="shared" ca="1" si="7"/>
        <v>3073330.8374006632</v>
      </c>
      <c r="W21" s="130">
        <f t="shared" ca="1" si="7"/>
        <v>3165530.7625226835</v>
      </c>
      <c r="X21" s="130">
        <f t="shared" ca="1" si="7"/>
        <v>3260496.685398364</v>
      </c>
      <c r="Y21" s="130">
        <f t="shared" ca="1" si="7"/>
        <v>3358311.5859603146</v>
      </c>
    </row>
    <row r="22" spans="1:25">
      <c r="A22" s="14" t="s">
        <v>247</v>
      </c>
      <c r="B22" s="15"/>
      <c r="C22" s="15"/>
      <c r="D22" s="15" t="str">
        <f>IF(Inputs!M25&gt;0,"yes","no")</f>
        <v>yes</v>
      </c>
      <c r="E22" s="843">
        <f>-'Operating Expense'!E24</f>
        <v>0</v>
      </c>
      <c r="F22" s="840">
        <f>$E$22*(1+$H$6)^F11*INDEX(Inputs!$M$25:$M$39,MATCH('20yr Proforma'!F11,Inputs!$L$25:$L$39,0))</f>
        <v>0</v>
      </c>
      <c r="G22" s="33">
        <f>$E$22*(1+$H$6)^G11*INDEX(Inputs!$M$25:$M$39,MATCH('20yr Proforma'!G11,Inputs!$L$25:$L$39,0))</f>
        <v>0</v>
      </c>
      <c r="H22" s="33">
        <f>$E$22*(1+$H$6)^H11*INDEX(Inputs!$M$25:$M$39,MATCH('20yr Proforma'!H11,Inputs!$L$25:$L$39,0))</f>
        <v>0</v>
      </c>
      <c r="I22" s="33">
        <f>$E$22*(1+$H$6)^I11*INDEX(Inputs!$M$25:$M$39,MATCH('20yr Proforma'!I11,Inputs!$L$25:$L$39,0))</f>
        <v>0</v>
      </c>
      <c r="J22" s="33">
        <f>$E$22*(1+$H$6)^J11*INDEX(Inputs!$M$25:$M$39,MATCH('20yr Proforma'!J11,Inputs!$L$25:$L$39,0))</f>
        <v>0</v>
      </c>
      <c r="K22" s="33">
        <f>$E$22*(1+$H$6)^K11*INDEX(Inputs!$M$25:$M$39,MATCH('20yr Proforma'!K11,Inputs!$L$25:$L$39,0))</f>
        <v>0</v>
      </c>
      <c r="L22" s="33">
        <f>$E$22*(1+$H$6)^L11*INDEX(Inputs!$M$25:$M$39,MATCH('20yr Proforma'!L11,Inputs!$L$25:$L$39,0))</f>
        <v>0</v>
      </c>
      <c r="M22" s="33">
        <f>$E$22*(1+$H$6)^M11*INDEX(Inputs!$M$25:$M$39,MATCH('20yr Proforma'!M11,Inputs!$L$25:$L$39,0))</f>
        <v>0</v>
      </c>
      <c r="N22" s="33">
        <f>$E$22*(1+$H$6)^N11*INDEX(Inputs!$M$25:$M$39,MATCH('20yr Proforma'!N11,Inputs!$L$25:$L$39,0))</f>
        <v>0</v>
      </c>
      <c r="O22" s="33">
        <f>$E$22*(1+$H$6)^O11*INDEX(Inputs!$M$25:$M$39,MATCH('20yr Proforma'!O11,Inputs!$L$25:$L$39,0))</f>
        <v>0</v>
      </c>
      <c r="P22" s="33">
        <f>$E$22*(1+$H$6)^P11*INDEX(Inputs!$M$25:$M$39,MATCH('20yr Proforma'!P11,Inputs!$L$25:$L$39,0))</f>
        <v>0</v>
      </c>
      <c r="Q22" s="33">
        <f>$E$22*(1+$H$6)^Q11*INDEX(Inputs!$M$25:$M$39,MATCH('20yr Proforma'!Q11,Inputs!$L$25:$L$39,0))</f>
        <v>0</v>
      </c>
      <c r="R22" s="33">
        <f>$E$22*(1+$H$6)^R11*INDEX(Inputs!$M$25:$M$39,MATCH('20yr Proforma'!R11,Inputs!$L$25:$L$39,0))</f>
        <v>0</v>
      </c>
      <c r="S22" s="33">
        <f>$E$22*(1+$H$6)^S11*INDEX(Inputs!$M$25:$M$39,MATCH('20yr Proforma'!S11,Inputs!$L$25:$L$39,0))</f>
        <v>0</v>
      </c>
      <c r="T22" s="33">
        <f>$E$22*(1+$H$6)^T11*INDEX(Inputs!$M$25:$M$39,MATCH('20yr Proforma'!T11,Inputs!$L$25:$L$39,0))</f>
        <v>0</v>
      </c>
      <c r="U22" s="130">
        <f>$E$22*(1+$H$6)^U11*INDEX(Inputs!$M$25:$M$45,MATCH('20yr Proforma'!U11,Inputs!$L$25:$L$45,0))</f>
        <v>0</v>
      </c>
      <c r="V22" s="130">
        <f>$E$22*(1+$H$6)^V11*INDEX(Inputs!$M$25:$M$45,MATCH('20yr Proforma'!V11,Inputs!$L$25:$L$45,0))</f>
        <v>0</v>
      </c>
      <c r="W22" s="130">
        <f>$E$22*(1+$H$6)^W11*INDEX(Inputs!$M$25:$M$45,MATCH('20yr Proforma'!W11,Inputs!$L$25:$L$45,0))</f>
        <v>0</v>
      </c>
      <c r="X22" s="130">
        <f>$E$22*(1+$H$6)^X11*INDEX(Inputs!$M$25:$M$45,MATCH('20yr Proforma'!X11,Inputs!$L$25:$L$45,0))</f>
        <v>0</v>
      </c>
      <c r="Y22" s="130">
        <f>$E$22*(1+$H$6)^Y11*INDEX(Inputs!$M$25:$M$45,MATCH('20yr Proforma'!Y11,Inputs!$L$25:$L$45,0))</f>
        <v>0</v>
      </c>
    </row>
    <row r="23" spans="1:25">
      <c r="A23" s="14" t="s">
        <v>27</v>
      </c>
      <c r="B23" s="15" t="s">
        <v>30</v>
      </c>
      <c r="C23" s="15"/>
      <c r="D23" s="15"/>
      <c r="E23" s="846">
        <f>F23</f>
        <v>66300</v>
      </c>
      <c r="F23" s="840">
        <f>M6*$C5</f>
        <v>66300</v>
      </c>
      <c r="G23" s="33">
        <f>F23*(1+$H6)</f>
        <v>68289</v>
      </c>
      <c r="H23" s="33">
        <f t="shared" ref="H23:Y23" si="8">G23*(1+$H6)</f>
        <v>70337.67</v>
      </c>
      <c r="I23" s="33">
        <f t="shared" si="8"/>
        <v>72447.800099999993</v>
      </c>
      <c r="J23" s="33">
        <f t="shared" si="8"/>
        <v>74621.234102999995</v>
      </c>
      <c r="K23" s="33">
        <f t="shared" si="8"/>
        <v>76859.871126090002</v>
      </c>
      <c r="L23" s="33">
        <f t="shared" si="8"/>
        <v>79165.667259872702</v>
      </c>
      <c r="M23" s="33">
        <f t="shared" si="8"/>
        <v>81540.63727766888</v>
      </c>
      <c r="N23" s="33">
        <f t="shared" si="8"/>
        <v>83986.856395998955</v>
      </c>
      <c r="O23" s="33">
        <f t="shared" si="8"/>
        <v>86506.462087878928</v>
      </c>
      <c r="P23" s="33">
        <f t="shared" si="8"/>
        <v>89101.655950515298</v>
      </c>
      <c r="Q23" s="33">
        <f t="shared" si="8"/>
        <v>91774.705629030766</v>
      </c>
      <c r="R23" s="33">
        <f t="shared" si="8"/>
        <v>94527.946797901692</v>
      </c>
      <c r="S23" s="33">
        <f t="shared" si="8"/>
        <v>97363.785201838749</v>
      </c>
      <c r="T23" s="33">
        <f t="shared" si="8"/>
        <v>100284.69875789392</v>
      </c>
      <c r="U23" s="130">
        <f t="shared" si="8"/>
        <v>103293.23972063074</v>
      </c>
      <c r="V23" s="130">
        <f t="shared" si="8"/>
        <v>106392.03691224966</v>
      </c>
      <c r="W23" s="130">
        <f t="shared" si="8"/>
        <v>109583.79801961716</v>
      </c>
      <c r="X23" s="130">
        <f t="shared" si="8"/>
        <v>112871.31196020567</v>
      </c>
      <c r="Y23" s="130">
        <f t="shared" si="8"/>
        <v>116257.45131901185</v>
      </c>
    </row>
    <row r="24" spans="1:25" s="2" customFormat="1">
      <c r="A24" s="12" t="s">
        <v>31</v>
      </c>
      <c r="B24" s="12"/>
      <c r="C24" s="12"/>
      <c r="D24" s="12"/>
      <c r="E24" s="979">
        <f ca="1">E19-E21-E23-E22</f>
        <v>1512433.7088462375</v>
      </c>
      <c r="F24" s="980">
        <f ca="1">F19-F21-F23-F22</f>
        <v>1512433.7088462375</v>
      </c>
      <c r="G24" s="980">
        <f ca="1">G19-G21-G23-G22</f>
        <v>1522867.4013116246</v>
      </c>
      <c r="H24" s="980">
        <f t="shared" ref="H24:Y24" ca="1" si="9">H19-H21-H23-H22</f>
        <v>1532915.3181749738</v>
      </c>
      <c r="I24" s="980">
        <f t="shared" ca="1" si="9"/>
        <v>1542551.9104407029</v>
      </c>
      <c r="J24" s="980">
        <f t="shared" ca="1" si="9"/>
        <v>1551750.5831288134</v>
      </c>
      <c r="K24" s="980">
        <f t="shared" ca="1" si="9"/>
        <v>1560483.6583050659</v>
      </c>
      <c r="L24" s="980">
        <f t="shared" ca="1" si="9"/>
        <v>1568722.336890253</v>
      </c>
      <c r="M24" s="980">
        <f t="shared" ca="1" si="9"/>
        <v>1576436.6592097171</v>
      </c>
      <c r="N24" s="980">
        <f t="shared" ca="1" si="9"/>
        <v>1583595.4642430195</v>
      </c>
      <c r="O24" s="980">
        <f t="shared" ca="1" si="9"/>
        <v>1590166.3475324609</v>
      </c>
      <c r="P24" s="980">
        <f t="shared" ca="1" si="9"/>
        <v>1596115.6177078288</v>
      </c>
      <c r="Q24" s="980">
        <f t="shared" ca="1" si="9"/>
        <v>1601408.2515834467</v>
      </c>
      <c r="R24" s="980">
        <f t="shared" ca="1" si="9"/>
        <v>1606007.8477822198</v>
      </c>
      <c r="S24" s="980">
        <f t="shared" ca="1" si="9"/>
        <v>1609876.578839981</v>
      </c>
      <c r="T24" s="980">
        <f t="shared" ca="1" si="9"/>
        <v>1612975.1417419612</v>
      </c>
      <c r="U24" s="981">
        <f t="shared" ca="1" si="9"/>
        <v>1615262.7068417363</v>
      </c>
      <c r="V24" s="981">
        <f t="shared" ca="1" si="9"/>
        <v>1616696.8651114565</v>
      </c>
      <c r="W24" s="981">
        <f t="shared" ca="1" si="9"/>
        <v>1617233.5736705565</v>
      </c>
      <c r="X24" s="981">
        <f t="shared" ca="1" si="9"/>
        <v>1616827.0995385444</v>
      </c>
      <c r="Y24" s="981">
        <f t="shared" ca="1" si="9"/>
        <v>1615429.9615557306</v>
      </c>
    </row>
    <row r="25" spans="1:25">
      <c r="A25" s="15"/>
      <c r="B25" s="15"/>
      <c r="C25" s="15"/>
      <c r="D25" s="15"/>
      <c r="F25" s="273"/>
      <c r="G25" s="34"/>
      <c r="U25" s="131"/>
      <c r="V25" s="131"/>
      <c r="W25" s="131"/>
      <c r="X25" s="131"/>
      <c r="Y25" s="131"/>
    </row>
    <row r="26" spans="1:25">
      <c r="A26" s="15"/>
      <c r="B26" s="852" t="s">
        <v>45</v>
      </c>
      <c r="C26" s="15"/>
      <c r="D26" s="15"/>
      <c r="F26" s="34"/>
      <c r="G26" s="34"/>
      <c r="U26" s="131"/>
      <c r="V26" s="131"/>
      <c r="W26" s="131"/>
      <c r="X26" s="131"/>
      <c r="Y26" s="131"/>
    </row>
    <row r="27" spans="1:25">
      <c r="A27" s="11" t="s">
        <v>27</v>
      </c>
      <c r="B27" s="25" t="s">
        <v>32</v>
      </c>
      <c r="C27" s="67"/>
      <c r="D27" s="26"/>
      <c r="E27" s="461" t="str">
        <f>'[5]Summary Sources-Uses'!$D$8</f>
        <v>1st Mortgage</v>
      </c>
      <c r="F27" s="33">
        <f>'Summary Sources-Uses'!L49</f>
        <v>0</v>
      </c>
      <c r="G27" s="33">
        <f>F27</f>
        <v>0</v>
      </c>
      <c r="H27" s="33">
        <f t="shared" ref="H27:Y30" si="10">G27</f>
        <v>0</v>
      </c>
      <c r="I27" s="33">
        <f t="shared" si="10"/>
        <v>0</v>
      </c>
      <c r="J27" s="33">
        <f t="shared" si="10"/>
        <v>0</v>
      </c>
      <c r="K27" s="33">
        <f t="shared" si="10"/>
        <v>0</v>
      </c>
      <c r="L27" s="33">
        <f t="shared" si="10"/>
        <v>0</v>
      </c>
      <c r="M27" s="33">
        <f t="shared" si="10"/>
        <v>0</v>
      </c>
      <c r="N27" s="33">
        <f t="shared" si="10"/>
        <v>0</v>
      </c>
      <c r="O27" s="33">
        <f t="shared" si="10"/>
        <v>0</v>
      </c>
      <c r="P27" s="33">
        <f t="shared" si="10"/>
        <v>0</v>
      </c>
      <c r="Q27" s="33">
        <f t="shared" si="10"/>
        <v>0</v>
      </c>
      <c r="R27" s="33">
        <f t="shared" si="10"/>
        <v>0</v>
      </c>
      <c r="S27" s="33">
        <f t="shared" si="10"/>
        <v>0</v>
      </c>
      <c r="T27" s="33">
        <f t="shared" si="10"/>
        <v>0</v>
      </c>
      <c r="U27" s="130">
        <f t="shared" si="10"/>
        <v>0</v>
      </c>
      <c r="V27" s="130">
        <f t="shared" si="10"/>
        <v>0</v>
      </c>
      <c r="W27" s="130">
        <f t="shared" si="10"/>
        <v>0</v>
      </c>
      <c r="X27" s="130">
        <f t="shared" si="10"/>
        <v>0</v>
      </c>
      <c r="Y27" s="130">
        <f t="shared" si="10"/>
        <v>0</v>
      </c>
    </row>
    <row r="28" spans="1:25">
      <c r="A28" s="11"/>
      <c r="B28" s="27" t="s">
        <v>33</v>
      </c>
      <c r="C28" s="62"/>
      <c r="D28" s="15"/>
      <c r="E28" s="462" t="str">
        <f>'Summary Sources-Uses'!E53</f>
        <v>GAP Funding (TBD)</v>
      </c>
      <c r="F28" s="33">
        <f>'Summary Sources-Uses'!L53</f>
        <v>0</v>
      </c>
      <c r="G28" s="33">
        <f>F28</f>
        <v>0</v>
      </c>
      <c r="H28" s="33">
        <f t="shared" si="10"/>
        <v>0</v>
      </c>
      <c r="I28" s="33">
        <f t="shared" si="10"/>
        <v>0</v>
      </c>
      <c r="J28" s="33">
        <f t="shared" si="10"/>
        <v>0</v>
      </c>
      <c r="K28" s="33">
        <f t="shared" si="10"/>
        <v>0</v>
      </c>
      <c r="L28" s="33">
        <f t="shared" si="10"/>
        <v>0</v>
      </c>
      <c r="M28" s="33">
        <f t="shared" si="10"/>
        <v>0</v>
      </c>
      <c r="N28" s="33">
        <f t="shared" si="10"/>
        <v>0</v>
      </c>
      <c r="O28" s="33">
        <f t="shared" si="10"/>
        <v>0</v>
      </c>
      <c r="P28" s="33">
        <f>O28</f>
        <v>0</v>
      </c>
      <c r="Q28" s="33">
        <f>P28</f>
        <v>0</v>
      </c>
      <c r="R28" s="33">
        <f>Q28</f>
        <v>0</v>
      </c>
      <c r="S28" s="33">
        <f>R28</f>
        <v>0</v>
      </c>
      <c r="T28" s="540">
        <f>S28</f>
        <v>0</v>
      </c>
      <c r="U28" s="130">
        <f t="shared" si="10"/>
        <v>0</v>
      </c>
      <c r="V28" s="130">
        <f t="shared" si="10"/>
        <v>0</v>
      </c>
      <c r="W28" s="130">
        <f t="shared" si="10"/>
        <v>0</v>
      </c>
      <c r="X28" s="130">
        <f t="shared" si="10"/>
        <v>0</v>
      </c>
      <c r="Y28" s="130">
        <f t="shared" si="10"/>
        <v>0</v>
      </c>
    </row>
    <row r="29" spans="1:25">
      <c r="A29" s="11"/>
      <c r="B29" s="27" t="s">
        <v>34</v>
      </c>
      <c r="C29" s="62"/>
      <c r="D29" s="15"/>
      <c r="E29" s="460">
        <f>'Summary Sources-Uses'!E55</f>
        <v>0</v>
      </c>
      <c r="F29" s="33">
        <f>'Summary Sources-Uses'!L55</f>
        <v>0</v>
      </c>
      <c r="G29" s="33">
        <f>F29</f>
        <v>0</v>
      </c>
      <c r="H29" s="33">
        <f t="shared" si="10"/>
        <v>0</v>
      </c>
      <c r="I29" s="33">
        <f t="shared" si="10"/>
        <v>0</v>
      </c>
      <c r="J29" s="33">
        <f t="shared" si="10"/>
        <v>0</v>
      </c>
      <c r="K29" s="33">
        <f t="shared" si="10"/>
        <v>0</v>
      </c>
      <c r="L29" s="33">
        <f t="shared" si="10"/>
        <v>0</v>
      </c>
      <c r="M29" s="33">
        <f t="shared" si="10"/>
        <v>0</v>
      </c>
      <c r="N29" s="33">
        <f t="shared" si="10"/>
        <v>0</v>
      </c>
      <c r="O29" s="33">
        <f t="shared" si="10"/>
        <v>0</v>
      </c>
      <c r="P29" s="33">
        <f t="shared" si="10"/>
        <v>0</v>
      </c>
      <c r="Q29" s="33">
        <f t="shared" si="10"/>
        <v>0</v>
      </c>
      <c r="R29" s="33">
        <f t="shared" si="10"/>
        <v>0</v>
      </c>
      <c r="S29" s="33">
        <f t="shared" si="10"/>
        <v>0</v>
      </c>
      <c r="T29" s="33">
        <f t="shared" si="10"/>
        <v>0</v>
      </c>
      <c r="U29" s="130">
        <f t="shared" si="10"/>
        <v>0</v>
      </c>
      <c r="V29" s="130">
        <f t="shared" si="10"/>
        <v>0</v>
      </c>
      <c r="W29" s="130">
        <f t="shared" si="10"/>
        <v>0</v>
      </c>
      <c r="X29" s="130">
        <f t="shared" si="10"/>
        <v>0</v>
      </c>
      <c r="Y29" s="130">
        <f t="shared" si="10"/>
        <v>0</v>
      </c>
    </row>
    <row r="30" spans="1:25">
      <c r="A30" s="11"/>
      <c r="B30" s="27" t="s">
        <v>35</v>
      </c>
      <c r="C30" s="62"/>
      <c r="D30" s="15"/>
      <c r="E30" s="462"/>
      <c r="F30" s="33">
        <f>'Summary Sources-Uses'!L57</f>
        <v>0</v>
      </c>
      <c r="G30" s="33">
        <f>F30</f>
        <v>0</v>
      </c>
      <c r="H30" s="33">
        <f t="shared" si="10"/>
        <v>0</v>
      </c>
      <c r="I30" s="33">
        <f t="shared" si="10"/>
        <v>0</v>
      </c>
      <c r="J30" s="33">
        <f t="shared" si="10"/>
        <v>0</v>
      </c>
      <c r="K30" s="33">
        <f t="shared" si="10"/>
        <v>0</v>
      </c>
      <c r="L30" s="33">
        <f t="shared" si="10"/>
        <v>0</v>
      </c>
      <c r="M30" s="33">
        <f t="shared" si="10"/>
        <v>0</v>
      </c>
      <c r="N30" s="33">
        <f t="shared" si="10"/>
        <v>0</v>
      </c>
      <c r="O30" s="33">
        <f t="shared" si="10"/>
        <v>0</v>
      </c>
      <c r="P30" s="33">
        <f t="shared" si="10"/>
        <v>0</v>
      </c>
      <c r="Q30" s="33">
        <f t="shared" si="10"/>
        <v>0</v>
      </c>
      <c r="R30" s="33">
        <f t="shared" si="10"/>
        <v>0</v>
      </c>
      <c r="S30" s="33">
        <f t="shared" si="10"/>
        <v>0</v>
      </c>
      <c r="T30" s="33">
        <f t="shared" si="10"/>
        <v>0</v>
      </c>
      <c r="U30" s="130">
        <f t="shared" si="10"/>
        <v>0</v>
      </c>
      <c r="V30" s="130">
        <f t="shared" si="10"/>
        <v>0</v>
      </c>
      <c r="W30" s="130">
        <f t="shared" si="10"/>
        <v>0</v>
      </c>
      <c r="X30" s="130">
        <f t="shared" si="10"/>
        <v>0</v>
      </c>
      <c r="Y30" s="130">
        <f t="shared" si="10"/>
        <v>0</v>
      </c>
    </row>
    <row r="31" spans="1:25" hidden="1">
      <c r="A31" s="11"/>
      <c r="B31" s="27" t="s">
        <v>36</v>
      </c>
      <c r="C31" s="62"/>
      <c r="D31" s="15"/>
      <c r="E31" s="28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130"/>
      <c r="V31" s="130"/>
      <c r="W31" s="130"/>
      <c r="X31" s="130"/>
      <c r="Y31" s="130"/>
    </row>
    <row r="32" spans="1:25" hidden="1">
      <c r="A32" s="11"/>
      <c r="B32" s="27" t="s">
        <v>108</v>
      </c>
      <c r="C32" s="62"/>
      <c r="D32" s="15"/>
      <c r="E32" s="28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130"/>
      <c r="V32" s="130"/>
      <c r="W32" s="130"/>
      <c r="X32" s="130"/>
      <c r="Y32" s="130"/>
    </row>
    <row r="33" spans="1:25">
      <c r="A33" s="80"/>
      <c r="B33" s="29"/>
      <c r="C33" s="30" t="s">
        <v>44</v>
      </c>
      <c r="D33" s="30"/>
      <c r="E33" s="121">
        <v>12</v>
      </c>
      <c r="F33" s="1047">
        <f t="shared" ref="F33:T33" ca="1" si="11">MIN(F63,SUM(F39:F41))</f>
        <v>-18830916.735726323</v>
      </c>
      <c r="G33" s="1047">
        <f t="shared" ca="1" si="11"/>
        <v>0</v>
      </c>
      <c r="H33" s="1047">
        <f t="shared" ca="1" si="11"/>
        <v>0</v>
      </c>
      <c r="I33" s="1047">
        <f t="shared" ca="1" si="11"/>
        <v>0</v>
      </c>
      <c r="J33" s="1047">
        <f t="shared" ca="1" si="11"/>
        <v>0</v>
      </c>
      <c r="K33" s="1047">
        <f t="shared" ca="1" si="11"/>
        <v>0</v>
      </c>
      <c r="L33" s="1047">
        <f t="shared" ca="1" si="11"/>
        <v>0</v>
      </c>
      <c r="M33" s="1047">
        <f t="shared" ca="1" si="11"/>
        <v>0</v>
      </c>
      <c r="N33" s="1047">
        <f t="shared" ca="1" si="11"/>
        <v>0</v>
      </c>
      <c r="O33" s="1047">
        <f t="shared" ca="1" si="11"/>
        <v>0</v>
      </c>
      <c r="P33" s="1047">
        <f t="shared" ca="1" si="11"/>
        <v>0</v>
      </c>
      <c r="Q33" s="1047">
        <f t="shared" ca="1" si="11"/>
        <v>0</v>
      </c>
      <c r="R33" s="1047">
        <f t="shared" ca="1" si="11"/>
        <v>0</v>
      </c>
      <c r="S33" s="1047">
        <f t="shared" ca="1" si="11"/>
        <v>0</v>
      </c>
      <c r="T33" s="1047">
        <f t="shared" ca="1" si="11"/>
        <v>0</v>
      </c>
      <c r="U33" s="133"/>
      <c r="V33" s="133"/>
      <c r="W33" s="133"/>
      <c r="X33" s="133"/>
      <c r="Y33" s="133"/>
    </row>
    <row r="34" spans="1:25">
      <c r="B34" s="15"/>
      <c r="C34" s="15"/>
      <c r="D34" s="15"/>
      <c r="F34" s="33"/>
      <c r="G34" s="33"/>
      <c r="H34" s="16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3"/>
      <c r="V34" s="133"/>
      <c r="W34" s="133"/>
      <c r="X34" s="133"/>
      <c r="Y34" s="133"/>
    </row>
    <row r="35" spans="1:25">
      <c r="A35" s="2" t="s">
        <v>89</v>
      </c>
      <c r="B35" s="15"/>
      <c r="C35" s="15"/>
      <c r="D35" s="15"/>
      <c r="F35" s="36"/>
      <c r="G35" s="36"/>
      <c r="H35" s="32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134"/>
      <c r="V35" s="134"/>
      <c r="W35" s="134"/>
      <c r="X35" s="134"/>
      <c r="Y35" s="134"/>
    </row>
    <row r="36" spans="1:25">
      <c r="B36" s="15" t="s">
        <v>6</v>
      </c>
      <c r="C36" s="15"/>
      <c r="D36" s="15"/>
      <c r="F36" s="36">
        <f t="shared" ref="F36:Y36" ca="1" si="12">F24</f>
        <v>1512433.7088462375</v>
      </c>
      <c r="G36" s="36">
        <f t="shared" ca="1" si="12"/>
        <v>1522867.4013116246</v>
      </c>
      <c r="H36" s="36">
        <f t="shared" ca="1" si="12"/>
        <v>1532915.3181749738</v>
      </c>
      <c r="I36" s="36">
        <f t="shared" ca="1" si="12"/>
        <v>1542551.9104407029</v>
      </c>
      <c r="J36" s="36">
        <f t="shared" ca="1" si="12"/>
        <v>1551750.5831288134</v>
      </c>
      <c r="K36" s="36">
        <f t="shared" ca="1" si="12"/>
        <v>1560483.6583050659</v>
      </c>
      <c r="L36" s="36">
        <f t="shared" ca="1" si="12"/>
        <v>1568722.336890253</v>
      </c>
      <c r="M36" s="36">
        <f t="shared" ca="1" si="12"/>
        <v>1576436.6592097171</v>
      </c>
      <c r="N36" s="36">
        <f t="shared" ca="1" si="12"/>
        <v>1583595.4642430195</v>
      </c>
      <c r="O36" s="36">
        <f t="shared" ca="1" si="12"/>
        <v>1590166.3475324609</v>
      </c>
      <c r="P36" s="36">
        <f t="shared" ca="1" si="12"/>
        <v>1596115.6177078288</v>
      </c>
      <c r="Q36" s="36">
        <f t="shared" ca="1" si="12"/>
        <v>1601408.2515834467</v>
      </c>
      <c r="R36" s="36">
        <f t="shared" ca="1" si="12"/>
        <v>1606007.8477822198</v>
      </c>
      <c r="S36" s="36">
        <f t="shared" ca="1" si="12"/>
        <v>1609876.578839981</v>
      </c>
      <c r="T36" s="36">
        <f t="shared" ca="1" si="12"/>
        <v>1612975.1417419612</v>
      </c>
      <c r="U36" s="135">
        <f t="shared" ca="1" si="12"/>
        <v>1615262.7068417363</v>
      </c>
      <c r="V36" s="135">
        <f t="shared" ca="1" si="12"/>
        <v>1616696.8651114565</v>
      </c>
      <c r="W36" s="135">
        <f t="shared" ca="1" si="12"/>
        <v>1617233.5736705565</v>
      </c>
      <c r="X36" s="135">
        <f t="shared" ca="1" si="12"/>
        <v>1616827.0995385444</v>
      </c>
      <c r="Y36" s="135">
        <f t="shared" ca="1" si="12"/>
        <v>1615429.9615557306</v>
      </c>
    </row>
    <row r="37" spans="1:25">
      <c r="B37" s="15" t="s">
        <v>392</v>
      </c>
      <c r="C37" s="15"/>
      <c r="D37" s="15"/>
      <c r="E37" s="115" t="s">
        <v>94</v>
      </c>
      <c r="F37" s="1662">
        <f t="shared" ref="F37:Y37" si="13">-F27</f>
        <v>0</v>
      </c>
      <c r="G37" s="1662">
        <f t="shared" si="13"/>
        <v>0</v>
      </c>
      <c r="H37" s="1662">
        <f t="shared" si="13"/>
        <v>0</v>
      </c>
      <c r="I37" s="1662">
        <f t="shared" si="13"/>
        <v>0</v>
      </c>
      <c r="J37" s="1662">
        <f t="shared" si="13"/>
        <v>0</v>
      </c>
      <c r="K37" s="1662">
        <f t="shared" si="13"/>
        <v>0</v>
      </c>
      <c r="L37" s="1662">
        <f t="shared" si="13"/>
        <v>0</v>
      </c>
      <c r="M37" s="1662">
        <f t="shared" si="13"/>
        <v>0</v>
      </c>
      <c r="N37" s="1662">
        <f t="shared" si="13"/>
        <v>0</v>
      </c>
      <c r="O37" s="1662">
        <f t="shared" si="13"/>
        <v>0</v>
      </c>
      <c r="P37" s="1662">
        <f t="shared" si="13"/>
        <v>0</v>
      </c>
      <c r="Q37" s="1662">
        <f t="shared" si="13"/>
        <v>0</v>
      </c>
      <c r="R37" s="1662">
        <f t="shared" si="13"/>
        <v>0</v>
      </c>
      <c r="S37" s="1662">
        <f t="shared" si="13"/>
        <v>0</v>
      </c>
      <c r="T37" s="1662">
        <f t="shared" si="13"/>
        <v>0</v>
      </c>
      <c r="U37" s="1663">
        <f t="shared" si="13"/>
        <v>0</v>
      </c>
      <c r="V37" s="1663">
        <f t="shared" si="13"/>
        <v>0</v>
      </c>
      <c r="W37" s="1663">
        <f t="shared" si="13"/>
        <v>0</v>
      </c>
      <c r="X37" s="1663">
        <f t="shared" si="13"/>
        <v>0</v>
      </c>
      <c r="Y37" s="1663">
        <f t="shared" si="13"/>
        <v>0</v>
      </c>
    </row>
    <row r="38" spans="1:25">
      <c r="B38" s="15" t="s">
        <v>835</v>
      </c>
      <c r="C38" s="15"/>
      <c r="D38" s="15"/>
      <c r="E38" s="115"/>
      <c r="F38" s="112">
        <f>-'Summary Sources-Uses'!L51</f>
        <v>0</v>
      </c>
      <c r="G38" s="112">
        <f t="shared" ref="G38:Y38" si="14">F38</f>
        <v>0</v>
      </c>
      <c r="H38" s="112">
        <f t="shared" si="14"/>
        <v>0</v>
      </c>
      <c r="I38" s="112">
        <f t="shared" si="14"/>
        <v>0</v>
      </c>
      <c r="J38" s="112">
        <f t="shared" si="14"/>
        <v>0</v>
      </c>
      <c r="K38" s="112">
        <f t="shared" si="14"/>
        <v>0</v>
      </c>
      <c r="L38" s="112">
        <f t="shared" si="14"/>
        <v>0</v>
      </c>
      <c r="M38" s="112">
        <f t="shared" si="14"/>
        <v>0</v>
      </c>
      <c r="N38" s="112">
        <f t="shared" si="14"/>
        <v>0</v>
      </c>
      <c r="O38" s="112">
        <f t="shared" si="14"/>
        <v>0</v>
      </c>
      <c r="P38" s="112">
        <f t="shared" si="14"/>
        <v>0</v>
      </c>
      <c r="Q38" s="112">
        <f t="shared" si="14"/>
        <v>0</v>
      </c>
      <c r="R38" s="112">
        <f t="shared" si="14"/>
        <v>0</v>
      </c>
      <c r="S38" s="112">
        <f t="shared" si="14"/>
        <v>0</v>
      </c>
      <c r="T38" s="112">
        <f t="shared" si="14"/>
        <v>0</v>
      </c>
      <c r="U38" s="136">
        <f t="shared" si="14"/>
        <v>0</v>
      </c>
      <c r="V38" s="136">
        <f t="shared" si="14"/>
        <v>0</v>
      </c>
      <c r="W38" s="136">
        <f t="shared" si="14"/>
        <v>0</v>
      </c>
      <c r="X38" s="136">
        <f t="shared" si="14"/>
        <v>0</v>
      </c>
      <c r="Y38" s="136">
        <f t="shared" si="14"/>
        <v>0</v>
      </c>
    </row>
    <row r="39" spans="1:25" s="2" customFormat="1">
      <c r="B39" s="117" t="s">
        <v>90</v>
      </c>
      <c r="C39" s="117"/>
      <c r="D39" s="117"/>
      <c r="E39" s="118"/>
      <c r="F39" s="119">
        <f t="shared" ref="F39:Y39" ca="1" si="15">SUM(F36:F38)</f>
        <v>286024.7596164025</v>
      </c>
      <c r="G39" s="119">
        <f t="shared" ca="1" si="15"/>
        <v>296458.45208178955</v>
      </c>
      <c r="H39" s="119">
        <f t="shared" ca="1" si="15"/>
        <v>306506.36894513882</v>
      </c>
      <c r="I39" s="119">
        <f t="shared" ca="1" si="15"/>
        <v>316142.96121086791</v>
      </c>
      <c r="J39" s="119">
        <f t="shared" ca="1" si="15"/>
        <v>325341.63389897841</v>
      </c>
      <c r="K39" s="119">
        <f t="shared" ca="1" si="15"/>
        <v>334074.70907523093</v>
      </c>
      <c r="L39" s="119">
        <f t="shared" ca="1" si="15"/>
        <v>342313.387660418</v>
      </c>
      <c r="M39" s="119">
        <f t="shared" ca="1" si="15"/>
        <v>350027.70997988206</v>
      </c>
      <c r="N39" s="119">
        <f t="shared" ca="1" si="15"/>
        <v>357186.51501318446</v>
      </c>
      <c r="O39" s="119">
        <f t="shared" ca="1" si="15"/>
        <v>363757.39830262592</v>
      </c>
      <c r="P39" s="119">
        <f t="shared" ca="1" si="15"/>
        <v>369706.66847799375</v>
      </c>
      <c r="Q39" s="119">
        <f t="shared" ca="1" si="15"/>
        <v>374999.30235361174</v>
      </c>
      <c r="R39" s="119">
        <f t="shared" ca="1" si="15"/>
        <v>379598.89855238475</v>
      </c>
      <c r="S39" s="119">
        <f t="shared" ca="1" si="15"/>
        <v>383467.62961014599</v>
      </c>
      <c r="T39" s="119">
        <f t="shared" ca="1" si="15"/>
        <v>386566.19251212623</v>
      </c>
      <c r="U39" s="137">
        <f t="shared" ca="1" si="15"/>
        <v>388853.75761190132</v>
      </c>
      <c r="V39" s="137">
        <f t="shared" ca="1" si="15"/>
        <v>390287.91588162148</v>
      </c>
      <c r="W39" s="137">
        <f t="shared" ca="1" si="15"/>
        <v>390824.62444072153</v>
      </c>
      <c r="X39" s="137">
        <f t="shared" ca="1" si="15"/>
        <v>390418.15030870942</v>
      </c>
      <c r="Y39" s="137">
        <f t="shared" ca="1" si="15"/>
        <v>389021.01232589554</v>
      </c>
    </row>
    <row r="40" spans="1:25">
      <c r="B40" s="15"/>
      <c r="C40" s="15"/>
      <c r="D40" s="15"/>
      <c r="E40" s="17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35"/>
      <c r="V40" s="135"/>
      <c r="W40" s="135"/>
      <c r="X40" s="135"/>
      <c r="Y40" s="135"/>
    </row>
    <row r="41" spans="1:25">
      <c r="B41" s="15" t="s">
        <v>393</v>
      </c>
      <c r="C41" s="15"/>
      <c r="D41" s="15"/>
      <c r="E41" s="115" t="s">
        <v>95</v>
      </c>
      <c r="F41" s="36">
        <f>-$Q$5</f>
        <v>-8500</v>
      </c>
      <c r="G41" s="36">
        <f>F41*(1+$H6)</f>
        <v>-8755</v>
      </c>
      <c r="H41" s="36">
        <f t="shared" ref="H41:T41" si="16">G41*(1+$H6)</f>
        <v>-9017.65</v>
      </c>
      <c r="I41" s="36">
        <f t="shared" si="16"/>
        <v>-9288.1795000000002</v>
      </c>
      <c r="J41" s="36">
        <f t="shared" si="16"/>
        <v>-9566.824885</v>
      </c>
      <c r="K41" s="36">
        <f t="shared" si="16"/>
        <v>-9853.8296315500011</v>
      </c>
      <c r="L41" s="36">
        <f t="shared" si="16"/>
        <v>-10149.444520496501</v>
      </c>
      <c r="M41" s="36">
        <f t="shared" si="16"/>
        <v>-10453.927856111397</v>
      </c>
      <c r="N41" s="36">
        <f t="shared" si="16"/>
        <v>-10767.545691794739</v>
      </c>
      <c r="O41" s="36">
        <f t="shared" si="16"/>
        <v>-11090.572062548583</v>
      </c>
      <c r="P41" s="36">
        <f t="shared" si="16"/>
        <v>-11423.28922442504</v>
      </c>
      <c r="Q41" s="36">
        <f t="shared" si="16"/>
        <v>-11765.98790115779</v>
      </c>
      <c r="R41" s="36">
        <f t="shared" si="16"/>
        <v>-12118.967538192524</v>
      </c>
      <c r="S41" s="36">
        <f t="shared" si="16"/>
        <v>-12482.536564338301</v>
      </c>
      <c r="T41" s="36">
        <f t="shared" si="16"/>
        <v>-12857.012661268451</v>
      </c>
      <c r="U41" s="135">
        <f>T41*(1+$H6)</f>
        <v>-13242.723041106505</v>
      </c>
      <c r="V41" s="135">
        <f>U41*(1+$H6)</f>
        <v>-13640.004732339701</v>
      </c>
      <c r="W41" s="135">
        <f>V41*(1+$H6)</f>
        <v>-14049.204874309893</v>
      </c>
      <c r="X41" s="135">
        <f>W41*(1+$H6)</f>
        <v>-14470.68102053919</v>
      </c>
      <c r="Y41" s="135">
        <f>X41*(1+$H6)</f>
        <v>-14904.801451155367</v>
      </c>
    </row>
    <row r="42" spans="1:25">
      <c r="B42" s="15" t="s">
        <v>46</v>
      </c>
      <c r="C42" s="15"/>
      <c r="D42" s="372"/>
      <c r="E42" s="115" t="s">
        <v>109</v>
      </c>
      <c r="F42" s="386">
        <f ca="1">-F33</f>
        <v>18830916.735726323</v>
      </c>
      <c r="G42" s="1532">
        <f ca="1">-MIN(SUM(G39:G41),G63)</f>
        <v>0</v>
      </c>
      <c r="H42" s="386">
        <f t="shared" ref="H42:T42" ca="1" si="17">-MIN(SUM(H39:H41),H63)</f>
        <v>0</v>
      </c>
      <c r="I42" s="386">
        <f t="shared" ca="1" si="17"/>
        <v>0</v>
      </c>
      <c r="J42" s="386">
        <f t="shared" ca="1" si="17"/>
        <v>0</v>
      </c>
      <c r="K42" s="386">
        <f t="shared" ca="1" si="17"/>
        <v>0</v>
      </c>
      <c r="L42" s="386">
        <f t="shared" ca="1" si="17"/>
        <v>0</v>
      </c>
      <c r="M42" s="386">
        <f t="shared" ca="1" si="17"/>
        <v>0</v>
      </c>
      <c r="N42" s="386">
        <f t="shared" ca="1" si="17"/>
        <v>0</v>
      </c>
      <c r="O42" s="386">
        <f t="shared" ca="1" si="17"/>
        <v>0</v>
      </c>
      <c r="P42" s="386">
        <f t="shared" ca="1" si="17"/>
        <v>0</v>
      </c>
      <c r="Q42" s="386">
        <f t="shared" ca="1" si="17"/>
        <v>0</v>
      </c>
      <c r="R42" s="386">
        <f t="shared" ca="1" si="17"/>
        <v>0</v>
      </c>
      <c r="S42" s="386">
        <f t="shared" ca="1" si="17"/>
        <v>0</v>
      </c>
      <c r="T42" s="386">
        <f t="shared" ca="1" si="17"/>
        <v>0</v>
      </c>
      <c r="U42" s="132">
        <v>0</v>
      </c>
      <c r="V42" s="132">
        <v>0</v>
      </c>
      <c r="W42" s="132">
        <v>0</v>
      </c>
      <c r="X42" s="132">
        <v>0</v>
      </c>
      <c r="Y42" s="132">
        <v>0</v>
      </c>
    </row>
    <row r="43" spans="1:25">
      <c r="B43" s="15" t="s">
        <v>590</v>
      </c>
      <c r="C43" s="15"/>
      <c r="D43" s="15"/>
      <c r="E43" s="115" t="s">
        <v>95</v>
      </c>
      <c r="F43" s="386">
        <f t="shared" ref="F43:Y43" ca="1" si="18">IF(SUM(F39:F42)&gt;F83, -F83,0)</f>
        <v>-8500</v>
      </c>
      <c r="G43" s="386">
        <f t="shared" ca="1" si="18"/>
        <v>-8755</v>
      </c>
      <c r="H43" s="386">
        <f t="shared" ca="1" si="18"/>
        <v>-9017.65</v>
      </c>
      <c r="I43" s="386">
        <f t="shared" ca="1" si="18"/>
        <v>-9288.1795000000002</v>
      </c>
      <c r="J43" s="386">
        <f t="shared" ca="1" si="18"/>
        <v>-9566.824885</v>
      </c>
      <c r="K43" s="386">
        <f t="shared" ca="1" si="18"/>
        <v>-9853.8296315500011</v>
      </c>
      <c r="L43" s="386">
        <f t="shared" ca="1" si="18"/>
        <v>-10149.444520496501</v>
      </c>
      <c r="M43" s="386">
        <f t="shared" ca="1" si="18"/>
        <v>-10453.927856111397</v>
      </c>
      <c r="N43" s="386">
        <f t="shared" ca="1" si="18"/>
        <v>-10767.545691794739</v>
      </c>
      <c r="O43" s="386">
        <f t="shared" ca="1" si="18"/>
        <v>-11090.572062548583</v>
      </c>
      <c r="P43" s="386">
        <f t="shared" ca="1" si="18"/>
        <v>-11423.28922442504</v>
      </c>
      <c r="Q43" s="386">
        <f t="shared" ca="1" si="18"/>
        <v>-11765.98790115779</v>
      </c>
      <c r="R43" s="386">
        <f t="shared" ca="1" si="18"/>
        <v>-12118.967538192524</v>
      </c>
      <c r="S43" s="386">
        <f t="shared" ca="1" si="18"/>
        <v>-12482.536564338301</v>
      </c>
      <c r="T43" s="386">
        <f t="shared" ca="1" si="18"/>
        <v>-12857.012661268451</v>
      </c>
      <c r="U43" s="983">
        <f t="shared" ca="1" si="18"/>
        <v>-13242.723041106505</v>
      </c>
      <c r="V43" s="983">
        <f t="shared" ca="1" si="18"/>
        <v>-13640.004732339701</v>
      </c>
      <c r="W43" s="983">
        <f t="shared" ca="1" si="18"/>
        <v>-14049.204874309893</v>
      </c>
      <c r="X43" s="983">
        <f t="shared" ca="1" si="18"/>
        <v>-14470.68102053919</v>
      </c>
      <c r="Y43" s="983">
        <f t="shared" ca="1" si="18"/>
        <v>-14904.801451155367</v>
      </c>
    </row>
    <row r="44" spans="1:25">
      <c r="B44" s="15" t="s">
        <v>674</v>
      </c>
      <c r="C44" s="15"/>
      <c r="D44" s="1273">
        <v>0.1</v>
      </c>
      <c r="E44" s="115" t="s">
        <v>95</v>
      </c>
      <c r="F44" s="386">
        <f ca="1">IF(SUM(F39:F43)&gt;0,-SUM(F39:F43)*$D$44,0)</f>
        <v>-1909994.1495342725</v>
      </c>
      <c r="G44" s="386">
        <f ca="1">IF(SUM(G39:G43)&gt;0,-SUM(G39:G43)*$D$44,0)</f>
        <v>-27894.845208178958</v>
      </c>
      <c r="H44" s="386">
        <f t="shared" ref="H44:Y44" ca="1" si="19">IF(SUM(H39:H43)&gt;0,-SUM(H39:H43)*$D$44,0)</f>
        <v>-28847.10689451388</v>
      </c>
      <c r="I44" s="386">
        <f t="shared" ca="1" si="19"/>
        <v>-29756.660221086786</v>
      </c>
      <c r="J44" s="386">
        <f t="shared" ca="1" si="19"/>
        <v>-30620.798412897842</v>
      </c>
      <c r="K44" s="386">
        <f t="shared" ca="1" si="19"/>
        <v>-31436.704981213094</v>
      </c>
      <c r="L44" s="386">
        <f t="shared" ca="1" si="19"/>
        <v>-32201.449861942499</v>
      </c>
      <c r="M44" s="386">
        <f t="shared" ca="1" si="19"/>
        <v>-32911.985426765932</v>
      </c>
      <c r="N44" s="386">
        <f t="shared" ca="1" si="19"/>
        <v>-33565.142362959501</v>
      </c>
      <c r="O44" s="386">
        <f t="shared" ca="1" si="19"/>
        <v>-34157.625417752875</v>
      </c>
      <c r="P44" s="386">
        <f t="shared" ca="1" si="19"/>
        <v>-34686.009002914368</v>
      </c>
      <c r="Q44" s="386">
        <f t="shared" ca="1" si="19"/>
        <v>-35146.732655129614</v>
      </c>
      <c r="R44" s="386">
        <f t="shared" ca="1" si="19"/>
        <v>-35536.096347599974</v>
      </c>
      <c r="S44" s="386">
        <f t="shared" ca="1" si="19"/>
        <v>-35850.255648146936</v>
      </c>
      <c r="T44" s="386">
        <f t="shared" ca="1" si="19"/>
        <v>-36085.216718958931</v>
      </c>
      <c r="U44" s="983">
        <f t="shared" ca="1" si="19"/>
        <v>-36236.831152968836</v>
      </c>
      <c r="V44" s="983">
        <f t="shared" ca="1" si="19"/>
        <v>-36300.790641694206</v>
      </c>
      <c r="W44" s="983">
        <f t="shared" ca="1" si="19"/>
        <v>-36272.621469210178</v>
      </c>
      <c r="X44" s="983">
        <f t="shared" ca="1" si="19"/>
        <v>-36147.678826763105</v>
      </c>
      <c r="Y44" s="983">
        <f t="shared" ca="1" si="19"/>
        <v>-35921.140942358477</v>
      </c>
    </row>
    <row r="45" spans="1:25">
      <c r="B45" s="15" t="s">
        <v>675</v>
      </c>
      <c r="C45" s="15"/>
      <c r="D45" s="1274">
        <v>1E-4</v>
      </c>
      <c r="E45" s="115" t="s">
        <v>95</v>
      </c>
      <c r="F45" s="386">
        <f ca="1">IF(SUM(F39:F43)&gt;0,-SUM(F39:F43)*$D$45,0)</f>
        <v>-1909.9941495342725</v>
      </c>
      <c r="G45" s="386">
        <f t="shared" ref="G45:Y45" ca="1" si="20">IF(SUM(G39:G43)&gt;0,-SUM(G39:G43)*$D$45,0)</f>
        <v>-27.894845208178957</v>
      </c>
      <c r="H45" s="386">
        <f t="shared" ca="1" si="20"/>
        <v>-28.847106894513878</v>
      </c>
      <c r="I45" s="386">
        <f t="shared" ca="1" si="20"/>
        <v>-29.756660221086786</v>
      </c>
      <c r="J45" s="386">
        <f t="shared" ca="1" si="20"/>
        <v>-30.620798412897841</v>
      </c>
      <c r="K45" s="386">
        <f t="shared" ca="1" si="20"/>
        <v>-31.436704981213094</v>
      </c>
      <c r="L45" s="386">
        <f t="shared" ca="1" si="20"/>
        <v>-32.2014498619425</v>
      </c>
      <c r="M45" s="386">
        <f t="shared" ca="1" si="20"/>
        <v>-32.911985426765931</v>
      </c>
      <c r="N45" s="386">
        <f t="shared" ca="1" si="20"/>
        <v>-33.565142362959506</v>
      </c>
      <c r="O45" s="386">
        <f t="shared" ca="1" si="20"/>
        <v>-34.157625417752875</v>
      </c>
      <c r="P45" s="386">
        <f t="shared" ca="1" si="20"/>
        <v>-34.686009002914368</v>
      </c>
      <c r="Q45" s="386">
        <f t="shared" ca="1" si="20"/>
        <v>-35.146732655129611</v>
      </c>
      <c r="R45" s="386">
        <f t="shared" ca="1" si="20"/>
        <v>-35.536096347599972</v>
      </c>
      <c r="S45" s="386">
        <f t="shared" ca="1" si="20"/>
        <v>-35.850255648146941</v>
      </c>
      <c r="T45" s="386">
        <f t="shared" ca="1" si="20"/>
        <v>-36.085216718958932</v>
      </c>
      <c r="U45" s="983">
        <f t="shared" ca="1" si="20"/>
        <v>-36.23683115296884</v>
      </c>
      <c r="V45" s="983">
        <f t="shared" ca="1" si="20"/>
        <v>-36.300790641694206</v>
      </c>
      <c r="W45" s="983">
        <f t="shared" ca="1" si="20"/>
        <v>-36.272621469210179</v>
      </c>
      <c r="X45" s="983">
        <f t="shared" ca="1" si="20"/>
        <v>-36.147678826763105</v>
      </c>
      <c r="Y45" s="983">
        <f t="shared" ca="1" si="20"/>
        <v>-35.921140942358477</v>
      </c>
    </row>
    <row r="46" spans="1:25">
      <c r="B46" s="15" t="s">
        <v>676</v>
      </c>
      <c r="C46" s="15"/>
      <c r="D46" s="1273">
        <v>0.9</v>
      </c>
      <c r="E46" s="115" t="s">
        <v>95</v>
      </c>
      <c r="F46" s="386">
        <f ca="1">-F89</f>
        <v>-201135.91280000098</v>
      </c>
      <c r="G46" s="386">
        <f ca="1">-G89</f>
        <v>-205073.63105599998</v>
      </c>
      <c r="H46" s="386">
        <f t="shared" ref="H46:Y46" ca="1" si="21">-H89</f>
        <v>-209087.55367711998</v>
      </c>
      <c r="I46" s="386">
        <f ca="1">-I89</f>
        <v>-213179.12825066238</v>
      </c>
      <c r="J46" s="386">
        <f t="shared" ca="1" si="21"/>
        <v>-217349.82902067565</v>
      </c>
      <c r="K46" s="386">
        <f t="shared" ca="1" si="21"/>
        <v>-221601.15735223916</v>
      </c>
      <c r="L46" s="386">
        <f t="shared" ca="1" si="21"/>
        <v>-225934.64220296848</v>
      </c>
      <c r="M46" s="386">
        <f t="shared" ca="1" si="21"/>
        <v>-230351.84060182289</v>
      </c>
      <c r="N46" s="386">
        <f t="shared" ca="1" si="21"/>
        <v>-234854.33813529828</v>
      </c>
      <c r="O46" s="386">
        <f t="shared" ca="1" si="21"/>
        <v>-239443.74944108631</v>
      </c>
      <c r="P46" s="386">
        <f t="shared" ca="1" si="21"/>
        <v>-244121.71870928252</v>
      </c>
      <c r="Q46" s="386">
        <f t="shared" ca="1" si="21"/>
        <v>-248889.92019122397</v>
      </c>
      <c r="R46" s="386">
        <f t="shared" ca="1" si="21"/>
        <v>-253750.05871603684</v>
      </c>
      <c r="S46" s="386">
        <f t="shared" ca="1" si="21"/>
        <v>-258703.87021497556</v>
      </c>
      <c r="T46" s="386">
        <f t="shared" ca="1" si="21"/>
        <v>-263753.12225363171</v>
      </c>
      <c r="U46" s="983">
        <f t="shared" ca="1" si="21"/>
        <v>-268899.61457209161</v>
      </c>
      <c r="V46" s="983">
        <f t="shared" ca="1" si="21"/>
        <v>-274145.17963312246</v>
      </c>
      <c r="W46" s="983">
        <f t="shared" ca="1" si="21"/>
        <v>-279491.68317846151</v>
      </c>
      <c r="X46" s="983">
        <f t="shared" ca="1" si="21"/>
        <v>-284941.02479328756</v>
      </c>
      <c r="Y46" s="983">
        <f t="shared" ca="1" si="21"/>
        <v>-290495.13847894809</v>
      </c>
    </row>
    <row r="47" spans="1:25">
      <c r="B47" s="15" t="s">
        <v>548</v>
      </c>
      <c r="C47" s="15"/>
      <c r="D47" s="552">
        <v>0.5</v>
      </c>
      <c r="E47" s="115" t="s">
        <v>109</v>
      </c>
      <c r="F47" s="386">
        <f ca="1">IF(SUM(F39:F46)&gt;0,-SUM(F39:F46)*$D$47,0)</f>
        <v>-8493450.7194294557</v>
      </c>
      <c r="G47" s="386">
        <f t="shared" ref="G47:Y47" ca="1" si="22">IF(SUM(G39:G46)&gt;0,-SUM(G39:G46)*$D$47,0)</f>
        <v>-22976.040486201207</v>
      </c>
      <c r="H47" s="386">
        <f t="shared" ca="1" si="22"/>
        <v>-25253.780633305199</v>
      </c>
      <c r="I47" s="386">
        <f t="shared" ca="1" si="22"/>
        <v>-27300.528539448816</v>
      </c>
      <c r="J47" s="386">
        <f t="shared" ca="1" si="22"/>
        <v>-29103.367948496001</v>
      </c>
      <c r="K47" s="386">
        <f t="shared" ca="1" si="22"/>
        <v>-30648.87538684874</v>
      </c>
      <c r="L47" s="386">
        <f t="shared" ca="1" si="22"/>
        <v>-31923.102552326047</v>
      </c>
      <c r="M47" s="386">
        <f t="shared" ca="1" si="22"/>
        <v>-32911.558126821852</v>
      </c>
      <c r="N47" s="386">
        <f t="shared" ca="1" si="22"/>
        <v>-33599.188994487136</v>
      </c>
      <c r="O47" s="386">
        <f t="shared" ca="1" si="22"/>
        <v>-33970.360846635886</v>
      </c>
      <c r="P47" s="386">
        <f t="shared" ca="1" si="22"/>
        <v>-34008.838153971941</v>
      </c>
      <c r="Q47" s="386">
        <f t="shared" ca="1" si="22"/>
        <v>-33697.763486143696</v>
      </c>
      <c r="R47" s="386">
        <f t="shared" ca="1" si="22"/>
        <v>-33019.636158007634</v>
      </c>
      <c r="S47" s="386">
        <f t="shared" ca="1" si="22"/>
        <v>-31956.290181349381</v>
      </c>
      <c r="T47" s="386">
        <f t="shared" ca="1" si="22"/>
        <v>-30488.871500139852</v>
      </c>
      <c r="U47" s="983">
        <f t="shared" ca="1" si="22"/>
        <v>-28597.81448673745</v>
      </c>
      <c r="V47" s="983">
        <f t="shared" ca="1" si="22"/>
        <v>-26262.817675741855</v>
      </c>
      <c r="W47" s="983">
        <f t="shared" ca="1" si="22"/>
        <v>-23462.818711480417</v>
      </c>
      <c r="X47" s="983">
        <f t="shared" ca="1" si="22"/>
        <v>-20175.96848437679</v>
      </c>
      <c r="Y47" s="983">
        <f t="shared" ca="1" si="22"/>
        <v>-16379.60443066791</v>
      </c>
    </row>
    <row r="48" spans="1:25">
      <c r="B48" s="15" t="s">
        <v>837</v>
      </c>
      <c r="C48" s="15"/>
      <c r="D48" s="552">
        <v>0.5</v>
      </c>
      <c r="E48" s="115" t="s">
        <v>109</v>
      </c>
      <c r="F48" s="1286">
        <f ca="1">-IF(SUM(F$39:F47)&gt;0,MIN(F29,SUM(F$39:F47)*$D$48),0)</f>
        <v>0</v>
      </c>
      <c r="G48" s="1286">
        <f ca="1">-IF(SUM(G$39:G47)&gt;0,MIN(G29,SUM(G$39:G47)*$D$48),0)</f>
        <v>0</v>
      </c>
      <c r="H48" s="1286">
        <f ca="1">-IF(SUM(H$39:H47)&gt;0,MIN(H29,SUM(H$39:H47)*$D$48),0)</f>
        <v>0</v>
      </c>
      <c r="I48" s="1286">
        <f ca="1">-IF(SUM(I$39:I47)&gt;0,MIN(I29,SUM(I$39:I47)*$D$48),0)</f>
        <v>0</v>
      </c>
      <c r="J48" s="1286">
        <f ca="1">-IF(SUM(J$39:J47)&gt;0,MIN(J29,SUM(J$39:J47)*$D$48),0)</f>
        <v>0</v>
      </c>
      <c r="K48" s="1286">
        <f ca="1">-IF(SUM(K$39:K47)&gt;0,MIN(K29,SUM(K$39:K47)*$D$48),0)</f>
        <v>0</v>
      </c>
      <c r="L48" s="1286">
        <f ca="1">-IF(SUM(L$39:L47)&gt;0,MIN(L29,SUM(L$39:L47)*$D$48),0)</f>
        <v>0</v>
      </c>
      <c r="M48" s="1286">
        <f ca="1">-IF(SUM(M$39:M47)&gt;0,MIN(M29,SUM(M$39:M47)*$D$48),0)</f>
        <v>0</v>
      </c>
      <c r="N48" s="1286">
        <f ca="1">-IF(SUM(N$39:N47)&gt;0,MIN(N29,SUM(N$39:N47)*$D$48),0)</f>
        <v>0</v>
      </c>
      <c r="O48" s="1286">
        <f ca="1">-IF(SUM(O$39:O47)&gt;0,MIN(O29,SUM(O$39:O47)*$D$48),0)</f>
        <v>0</v>
      </c>
      <c r="P48" s="1286">
        <f ca="1">-IF(SUM(P$39:P47)&gt;0,MIN(P29,SUM(P$39:P47)*$D$48),0)</f>
        <v>0</v>
      </c>
      <c r="Q48" s="1286">
        <f ca="1">-IF(SUM(Q$39:Q47)&gt;0,MIN(Q29,SUM(Q$39:Q47)*$D$48),0)</f>
        <v>0</v>
      </c>
      <c r="R48" s="1286">
        <f ca="1">-IF(SUM(R$39:R47)&gt;0,MIN(R29,SUM(R$39:R47)*$D$48),0)</f>
        <v>0</v>
      </c>
      <c r="S48" s="1286">
        <f ca="1">-IF(SUM(S$39:S47)&gt;0,MIN(S29,SUM(S$39:S47)*$D$48),0)</f>
        <v>0</v>
      </c>
      <c r="T48" s="1286">
        <f ca="1">-IF(SUM(T$39:T47)&gt;0,MIN(T29,SUM(T$39:T47)*$D$48),0)</f>
        <v>0</v>
      </c>
      <c r="U48" s="1287">
        <f ca="1">-IF(SUM(U$39:U47)&gt;0,MIN(U29,SUM(U$39:U47)*$D$48),0)</f>
        <v>0</v>
      </c>
      <c r="V48" s="1287">
        <f ca="1">-IF(SUM(V$39:V47)&gt;0,MIN(V29,SUM(V$39:V47)*$D$48),0)</f>
        <v>0</v>
      </c>
      <c r="W48" s="1287">
        <f ca="1">-IF(SUM(W$39:W47)&gt;0,MIN(W29,SUM(W$39:W47)*$D$48),0)</f>
        <v>0</v>
      </c>
      <c r="X48" s="1287">
        <f ca="1">-IF(SUM(X$39:X47)&gt;0,MIN(X29,SUM(X$39:X47)*$D$48),0)</f>
        <v>0</v>
      </c>
      <c r="Y48" s="1287">
        <f ca="1">-IF(SUM(Y$39:Y47)&gt;0,MIN(Y29,SUM(Y$39:Y47)*$D$48),0)</f>
        <v>0</v>
      </c>
    </row>
    <row r="49" spans="1:25" s="2" customFormat="1">
      <c r="B49" s="120" t="s">
        <v>47</v>
      </c>
      <c r="C49" s="12"/>
      <c r="D49" s="12"/>
      <c r="F49" s="52">
        <f t="shared" ref="F49:Y49" ca="1" si="23">SUM(F39:F48)</f>
        <v>8493450.7194294557</v>
      </c>
      <c r="G49" s="52">
        <f t="shared" ca="1" si="23"/>
        <v>22976.040486201207</v>
      </c>
      <c r="H49" s="52">
        <f t="shared" ca="1" si="23"/>
        <v>25253.780633305199</v>
      </c>
      <c r="I49" s="52">
        <f t="shared" ca="1" si="23"/>
        <v>27300.528539448816</v>
      </c>
      <c r="J49" s="52">
        <f t="shared" ca="1" si="23"/>
        <v>29103.367948496001</v>
      </c>
      <c r="K49" s="52">
        <f t="shared" ca="1" si="23"/>
        <v>30648.87538684874</v>
      </c>
      <c r="L49" s="52">
        <f t="shared" ca="1" si="23"/>
        <v>31923.102552326047</v>
      </c>
      <c r="M49" s="52">
        <f t="shared" ca="1" si="23"/>
        <v>32911.558126821852</v>
      </c>
      <c r="N49" s="52">
        <f t="shared" ca="1" si="23"/>
        <v>33599.188994487136</v>
      </c>
      <c r="O49" s="52">
        <f t="shared" ca="1" si="23"/>
        <v>33970.360846635886</v>
      </c>
      <c r="P49" s="52">
        <f t="shared" ca="1" si="23"/>
        <v>34008.838153971941</v>
      </c>
      <c r="Q49" s="52">
        <f t="shared" ca="1" si="23"/>
        <v>33697.763486143696</v>
      </c>
      <c r="R49" s="52">
        <f t="shared" ca="1" si="23"/>
        <v>33019.636158007634</v>
      </c>
      <c r="S49" s="52">
        <f t="shared" ca="1" si="23"/>
        <v>31956.290181349381</v>
      </c>
      <c r="T49" s="52">
        <f t="shared" ca="1" si="23"/>
        <v>30488.871500139852</v>
      </c>
      <c r="U49" s="138">
        <f t="shared" ca="1" si="23"/>
        <v>28597.81448673745</v>
      </c>
      <c r="V49" s="138">
        <f t="shared" ca="1" si="23"/>
        <v>26262.817675741855</v>
      </c>
      <c r="W49" s="138">
        <f t="shared" ca="1" si="23"/>
        <v>23462.818711480417</v>
      </c>
      <c r="X49" s="138">
        <f t="shared" ca="1" si="23"/>
        <v>20175.96848437679</v>
      </c>
      <c r="Y49" s="138">
        <f t="shared" ca="1" si="23"/>
        <v>16379.60443066791</v>
      </c>
    </row>
    <row r="50" spans="1:25" ht="15" customHeight="1">
      <c r="A50" s="15"/>
      <c r="B50" s="15"/>
      <c r="C50" s="15"/>
      <c r="D50" s="15"/>
      <c r="F50" s="49"/>
      <c r="U50" s="131"/>
      <c r="V50" s="131"/>
      <c r="W50" s="131"/>
      <c r="X50" s="131"/>
      <c r="Y50" s="131"/>
    </row>
    <row r="51" spans="1:25" ht="15" customHeight="1">
      <c r="A51" s="15"/>
      <c r="B51" s="15" t="s">
        <v>836</v>
      </c>
      <c r="C51" s="15"/>
      <c r="D51" s="15"/>
      <c r="F51" s="1568">
        <f t="shared" ref="F51:Y51" ca="1" si="24">F36/-SUM(F37:F38)</f>
        <v>1.2332213571957553</v>
      </c>
      <c r="G51" s="467">
        <f t="shared" ca="1" si="24"/>
        <v>1.2417288721416788</v>
      </c>
      <c r="H51" s="467">
        <f t="shared" ca="1" si="24"/>
        <v>1.2499218300205814</v>
      </c>
      <c r="I51" s="467">
        <f t="shared" ca="1" si="24"/>
        <v>1.2577793984701438</v>
      </c>
      <c r="J51" s="467">
        <f t="shared" ca="1" si="24"/>
        <v>1.2652798922441717</v>
      </c>
      <c r="K51" s="467">
        <f t="shared" ca="1" si="24"/>
        <v>1.2724007430678195</v>
      </c>
      <c r="L51" s="467">
        <f t="shared" ca="1" si="24"/>
        <v>1.2791184684973027</v>
      </c>
      <c r="M51" s="467">
        <f t="shared" ca="1" si="24"/>
        <v>1.28540863975242</v>
      </c>
      <c r="N51" s="467">
        <f t="shared" ca="1" si="24"/>
        <v>1.2912458484891942</v>
      </c>
      <c r="O51" s="467">
        <f t="shared" ca="1" si="24"/>
        <v>1.2966036724789554</v>
      </c>
      <c r="P51" s="467">
        <f t="shared" ca="1" si="24"/>
        <v>1.3014546401591112</v>
      </c>
      <c r="Q51" s="467">
        <f t="shared" ca="1" si="24"/>
        <v>1.3057701940197886</v>
      </c>
      <c r="R51" s="467">
        <f t="shared" ca="1" si="24"/>
        <v>1.3095206527894032</v>
      </c>
      <c r="S51" s="467">
        <f t="shared" ca="1" si="24"/>
        <v>1.3126751723810866</v>
      </c>
      <c r="T51" s="467">
        <f t="shared" ca="1" si="24"/>
        <v>1.3152017055606806</v>
      </c>
      <c r="U51" s="468">
        <f t="shared" ca="1" si="24"/>
        <v>1.3170669602958256</v>
      </c>
      <c r="V51" s="468">
        <f t="shared" ca="1" si="24"/>
        <v>1.3182363567443927</v>
      </c>
      <c r="W51" s="468">
        <f t="shared" ca="1" si="24"/>
        <v>1.3186739828392096</v>
      </c>
      <c r="X51" s="468">
        <f t="shared" ca="1" si="24"/>
        <v>1.3183425484247204</v>
      </c>
      <c r="Y51" s="468">
        <f t="shared" ca="1" si="24"/>
        <v>1.3172033378998045</v>
      </c>
    </row>
    <row r="52" spans="1:25" ht="15" customHeight="1">
      <c r="A52" s="15"/>
      <c r="B52" s="15" t="s">
        <v>201</v>
      </c>
      <c r="C52" s="15"/>
      <c r="D52" s="15"/>
      <c r="F52" s="469">
        <f t="shared" ref="F52:Y52" ca="1" si="25">-F36/SUM(F37+F38+F42+F47+F48)</f>
        <v>-0.16599980635760739</v>
      </c>
      <c r="G52" s="469">
        <f t="shared" ca="1" si="25"/>
        <v>1.2188936267417028</v>
      </c>
      <c r="H52" s="469">
        <f t="shared" ca="1" si="25"/>
        <v>1.2247031741071226</v>
      </c>
      <c r="I52" s="469">
        <f t="shared" ca="1" si="25"/>
        <v>1.2303902441459997</v>
      </c>
      <c r="J52" s="469">
        <f t="shared" ca="1" si="25"/>
        <v>1.2359501072966417</v>
      </c>
      <c r="K52" s="469">
        <f t="shared" ca="1" si="25"/>
        <v>1.241377785290749</v>
      </c>
      <c r="L52" s="469">
        <f t="shared" ca="1" si="25"/>
        <v>1.2466680274642055</v>
      </c>
      <c r="M52" s="469">
        <f t="shared" ca="1" si="25"/>
        <v>1.2518152845129904</v>
      </c>
      <c r="N52" s="469">
        <f t="shared" ca="1" si="25"/>
        <v>1.2568136793740996</v>
      </c>
      <c r="O52" s="469">
        <f t="shared" ca="1" si="25"/>
        <v>1.2616569748641628</v>
      </c>
      <c r="P52" s="469">
        <f t="shared" ca="1" si="25"/>
        <v>1.2663385376533085</v>
      </c>
      <c r="Q52" s="469">
        <f t="shared" ca="1" si="25"/>
        <v>1.2708512980871609</v>
      </c>
      <c r="R52" s="469">
        <f t="shared" ca="1" si="25"/>
        <v>1.2751877052938634</v>
      </c>
      <c r="S52" s="469">
        <f t="shared" ca="1" si="25"/>
        <v>1.2793396769234311</v>
      </c>
      <c r="T52" s="469">
        <f t="shared" ca="1" si="25"/>
        <v>1.2832985427607675</v>
      </c>
      <c r="U52" s="470">
        <f t="shared" ca="1" si="25"/>
        <v>1.2870549813279917</v>
      </c>
      <c r="V52" s="470">
        <f t="shared" ca="1" si="25"/>
        <v>1.2905989484421092</v>
      </c>
      <c r="W52" s="470">
        <f t="shared" ca="1" si="25"/>
        <v>1.293919596515352</v>
      </c>
      <c r="X52" s="470">
        <f t="shared" ca="1" si="25"/>
        <v>1.2970051831713345</v>
      </c>
      <c r="Y52" s="470">
        <f t="shared" ca="1" si="25"/>
        <v>1.2998429674924601</v>
      </c>
    </row>
    <row r="53" spans="1:25" ht="15" customHeight="1">
      <c r="A53" s="15"/>
      <c r="B53" s="15"/>
      <c r="C53" s="15"/>
      <c r="D53" s="15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4"/>
      <c r="V53" s="4"/>
      <c r="W53" s="4"/>
    </row>
    <row r="54" spans="1:25" ht="15" customHeight="1">
      <c r="A54" s="15"/>
      <c r="B54" s="15"/>
      <c r="C54" s="15">
        <f ca="1">SUM(F54:T54)</f>
        <v>0</v>
      </c>
      <c r="D54" s="15"/>
      <c r="F54">
        <f t="shared" ref="F54:T54" ca="1" si="26">IF(F63&gt;0,1,0)</f>
        <v>0</v>
      </c>
      <c r="G54">
        <f t="shared" ca="1" si="26"/>
        <v>0</v>
      </c>
      <c r="H54">
        <f t="shared" ca="1" si="26"/>
        <v>0</v>
      </c>
      <c r="I54">
        <f t="shared" ca="1" si="26"/>
        <v>0</v>
      </c>
      <c r="J54">
        <f t="shared" ca="1" si="26"/>
        <v>0</v>
      </c>
      <c r="K54">
        <f t="shared" ca="1" si="26"/>
        <v>0</v>
      </c>
      <c r="L54">
        <f t="shared" ca="1" si="26"/>
        <v>0</v>
      </c>
      <c r="M54">
        <f t="shared" ca="1" si="26"/>
        <v>0</v>
      </c>
      <c r="N54">
        <f t="shared" ca="1" si="26"/>
        <v>0</v>
      </c>
      <c r="O54">
        <f t="shared" ca="1" si="26"/>
        <v>0</v>
      </c>
      <c r="P54">
        <f t="shared" ca="1" si="26"/>
        <v>0</v>
      </c>
      <c r="Q54">
        <f t="shared" ca="1" si="26"/>
        <v>0</v>
      </c>
      <c r="R54">
        <f t="shared" ca="1" si="26"/>
        <v>0</v>
      </c>
      <c r="S54">
        <f t="shared" ca="1" si="26"/>
        <v>0</v>
      </c>
      <c r="T54">
        <f t="shared" ca="1" si="26"/>
        <v>0</v>
      </c>
    </row>
    <row r="55" spans="1:25" ht="15" hidden="1" customHeight="1">
      <c r="A55" s="145"/>
      <c r="B55" s="140" t="s">
        <v>96</v>
      </c>
      <c r="C55" s="141"/>
      <c r="D55" s="141"/>
      <c r="E55" s="113"/>
      <c r="F55" s="113" t="e">
        <f ca="1">-(#REF!+#REF!+#REF!+F42*0.25)+(F49*0)</f>
        <v>#REF!</v>
      </c>
      <c r="G55" s="113" t="e">
        <f ca="1">-(#REF!+#REF!+#REF!+G42*0.25)+(G49*0)</f>
        <v>#REF!</v>
      </c>
      <c r="H55" s="113" t="e">
        <f ca="1">-(#REF!+#REF!+#REF!+H42*0.25)+(H49*0)</f>
        <v>#REF!</v>
      </c>
      <c r="I55" s="113" t="e">
        <f ca="1">-(#REF!+#REF!+#REF!+I42*0.25)+(I49*0)</f>
        <v>#REF!</v>
      </c>
      <c r="J55" s="113" t="e">
        <f ca="1">-(#REF!+#REF!+#REF!+J42*0.25)+(J49*0)</f>
        <v>#REF!</v>
      </c>
      <c r="K55" s="113" t="e">
        <f ca="1">-(#REF!+#REF!+#REF!+K42*0.25)+(K49*0)</f>
        <v>#REF!</v>
      </c>
      <c r="L55" s="113" t="e">
        <f ca="1">-(#REF!+#REF!+#REF!+L42*0.25)+(L49*0)</f>
        <v>#REF!</v>
      </c>
      <c r="M55" s="113" t="e">
        <f ca="1">-(#REF!+#REF!+#REF!+M42*0.25)+(M49*0)</f>
        <v>#REF!</v>
      </c>
      <c r="N55" s="113" t="e">
        <f ca="1">-(#REF!+#REF!+#REF!+N42*0.25)+(N49*0)</f>
        <v>#REF!</v>
      </c>
      <c r="O55" s="113" t="e">
        <f ca="1">-(#REF!+#REF!+#REF!+O42*0.25)+(O49*0)</f>
        <v>#REF!</v>
      </c>
      <c r="P55" s="113" t="e">
        <f ca="1">-(#REF!+#REF!+#REF!+P42*0.25)+(P49*0)</f>
        <v>#REF!</v>
      </c>
      <c r="Q55" s="113" t="e">
        <f ca="1">-(#REF!+#REF!+#REF!+Q42*0.25)+(Q49*0)</f>
        <v>#REF!</v>
      </c>
      <c r="R55" s="113" t="e">
        <f ca="1">-(#REF!+#REF!+#REF!+R42*0.25)+(R49*0)</f>
        <v>#REF!</v>
      </c>
      <c r="S55" s="113" t="e">
        <f ca="1">-(#REF!+#REF!+#REF!+S42*0.25)+(S49*0)</f>
        <v>#REF!</v>
      </c>
      <c r="T55" s="113" t="e">
        <f ca="1">-(#REF!+#REF!+#REF!+T42*0.25)+(T49*0)</f>
        <v>#REF!</v>
      </c>
      <c r="U55" s="113" t="e">
        <f ca="1">-(#REF!+#REF!+#REF!+U42*0.25)+(U49*0)</f>
        <v>#REF!</v>
      </c>
      <c r="V55" s="113" t="e">
        <f ca="1">-(#REF!+#REF!+#REF!+V42*0.25)+(V49*0)</f>
        <v>#REF!</v>
      </c>
      <c r="W55" s="113" t="e">
        <f ca="1">-(#REF!+#REF!+#REF!+W42*0.25)+(W49*0)</f>
        <v>#REF!</v>
      </c>
      <c r="X55" s="113" t="e">
        <f ca="1">-(#REF!+#REF!+#REF!+X42*0.25)+(X49*0)</f>
        <v>#REF!</v>
      </c>
      <c r="Y55" s="114" t="e">
        <f ca="1">-(#REF!+#REF!+#REF!+Y42*0.25)+(Y49*0)</f>
        <v>#REF!</v>
      </c>
    </row>
    <row r="56" spans="1:25" s="17" customFormat="1" ht="15" hidden="1" customHeight="1">
      <c r="A56" s="146"/>
      <c r="B56" s="142" t="s">
        <v>93</v>
      </c>
      <c r="C56" s="143"/>
      <c r="D56" s="143"/>
      <c r="E56" s="143"/>
      <c r="F56" s="143" t="e">
        <f ca="1">SUM(F55:Y55)</f>
        <v>#REF!</v>
      </c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4"/>
    </row>
    <row r="57" spans="1:25" ht="15" hidden="1" customHeight="1">
      <c r="A57" s="15"/>
      <c r="B57" s="15"/>
      <c r="C57" s="15"/>
      <c r="D57" s="15"/>
      <c r="Y57" s="54"/>
    </row>
    <row r="58" spans="1:25" ht="15" hidden="1" customHeight="1">
      <c r="A58" s="145"/>
      <c r="B58" s="140" t="s">
        <v>110</v>
      </c>
      <c r="C58" s="141"/>
      <c r="D58" s="141"/>
      <c r="E58" s="113"/>
      <c r="F58" s="113" t="e">
        <f ca="1">-(F47+#REF!+F42*0.375)+(F52*0)</f>
        <v>#REF!</v>
      </c>
      <c r="G58" s="113" t="e">
        <f ca="1">-(G47+#REF!+G42*0.375)+(G52*0)</f>
        <v>#REF!</v>
      </c>
      <c r="H58" s="113" t="e">
        <f ca="1">-(H47+#REF!+H42*0.375)+(H52*0)</f>
        <v>#REF!</v>
      </c>
      <c r="I58" s="113" t="e">
        <f ca="1">-(I47+#REF!+I42*0.375)+(I52*0)</f>
        <v>#REF!</v>
      </c>
      <c r="J58" s="113" t="e">
        <f ca="1">-(J47+#REF!+J42*0.375)+(J52*0)</f>
        <v>#REF!</v>
      </c>
      <c r="K58" s="113" t="e">
        <f ca="1">-(K47+#REF!+K42*0.375)+(K52*0)</f>
        <v>#REF!</v>
      </c>
      <c r="L58" s="113" t="e">
        <f ca="1">-(L47+#REF!+L42*0.375)+(L52*0)</f>
        <v>#REF!</v>
      </c>
      <c r="M58" s="113" t="e">
        <f ca="1">-(M47+#REF!+M42*0.375)+(M52*0)</f>
        <v>#REF!</v>
      </c>
      <c r="N58" s="113" t="e">
        <f ca="1">-(N47+#REF!+N42*0.375)+(N52*0)</f>
        <v>#REF!</v>
      </c>
      <c r="O58" s="113" t="e">
        <f ca="1">-(O47+#REF!+O42*0.375)+(O52*0)</f>
        <v>#REF!</v>
      </c>
      <c r="P58" s="113" t="e">
        <f ca="1">-(P47+#REF!+P42*0.375)+(P52*0)</f>
        <v>#REF!</v>
      </c>
      <c r="Q58" s="113" t="e">
        <f ca="1">-(Q47+#REF!+Q42*0.375)+(Q52*0)</f>
        <v>#REF!</v>
      </c>
      <c r="R58" s="113" t="e">
        <f ca="1">-(R47+#REF!+R42*0.375)+(R52*0)</f>
        <v>#REF!</v>
      </c>
      <c r="S58" s="113" t="e">
        <f ca="1">-(S47+#REF!+S42*0.375)+(S52*0)</f>
        <v>#REF!</v>
      </c>
      <c r="T58" s="113" t="e">
        <f ca="1">-(T47+#REF!+T42*0.375)+(T52*0)</f>
        <v>#REF!</v>
      </c>
      <c r="U58" s="113" t="e">
        <f ca="1">-(U47+#REF!+U42*0.375)+(U52*0)</f>
        <v>#REF!</v>
      </c>
      <c r="V58" s="113" t="e">
        <f ca="1">-(V47+#REF!+V42*0.375)+(V52*0)</f>
        <v>#REF!</v>
      </c>
      <c r="W58" s="113" t="e">
        <f ca="1">-(W47+#REF!+W42*0.375)+(W52*0)</f>
        <v>#REF!</v>
      </c>
      <c r="X58" s="113" t="e">
        <f ca="1">-(X47+#REF!+X42*0.375)+(X52*0)</f>
        <v>#REF!</v>
      </c>
      <c r="Y58" s="114" t="e">
        <f ca="1">-(Y47+#REF!+Y42*0.375)+(Y52*0)</f>
        <v>#REF!</v>
      </c>
    </row>
    <row r="59" spans="1:25" s="17" customFormat="1" ht="15" hidden="1" customHeight="1">
      <c r="A59" s="146"/>
      <c r="B59" s="142" t="s">
        <v>93</v>
      </c>
      <c r="C59" s="143"/>
      <c r="D59" s="143"/>
      <c r="E59" s="143"/>
      <c r="F59" s="143" t="e">
        <f ca="1">SUM(F58:Y58)</f>
        <v>#REF!</v>
      </c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4"/>
    </row>
    <row r="60" spans="1:25" hidden="1">
      <c r="Y60" s="54"/>
    </row>
    <row r="61" spans="1:25" ht="15" hidden="1" customHeight="1">
      <c r="A61" s="145"/>
      <c r="B61" s="140" t="s">
        <v>96</v>
      </c>
      <c r="C61" s="141"/>
      <c r="D61" s="141"/>
      <c r="E61" s="113"/>
      <c r="F61" s="113" t="e">
        <f ca="1">-(#REF!+F42*0.375)+(F55*0)</f>
        <v>#REF!</v>
      </c>
      <c r="G61" s="113" t="e">
        <f ca="1">-(#REF!+G42*0.375)+(G55*0)</f>
        <v>#REF!</v>
      </c>
      <c r="H61" s="113" t="e">
        <f ca="1">-(#REF!+H42*0.375)+(H55*0)</f>
        <v>#REF!</v>
      </c>
      <c r="I61" s="113" t="e">
        <f ca="1">-(#REF!+I42*0.375)+(I55*0)</f>
        <v>#REF!</v>
      </c>
      <c r="J61" s="113" t="e">
        <f ca="1">-(#REF!+J42*0.375)+(J55*0)</f>
        <v>#REF!</v>
      </c>
      <c r="K61" s="113" t="e">
        <f ca="1">-(#REF!+K42*0.375)+(K55*0)</f>
        <v>#REF!</v>
      </c>
      <c r="L61" s="113" t="e">
        <f ca="1">-(#REF!+L42*0.375)+(L55*0)</f>
        <v>#REF!</v>
      </c>
      <c r="M61" s="113" t="e">
        <f ca="1">-(#REF!+M42*0.375)+(M55*0)</f>
        <v>#REF!</v>
      </c>
      <c r="N61" s="113" t="e">
        <f ca="1">-(#REF!+N42*0.375)+(N55*0)</f>
        <v>#REF!</v>
      </c>
      <c r="O61" s="113" t="e">
        <f ca="1">-(#REF!+O42*0.375)+(O55*0)</f>
        <v>#REF!</v>
      </c>
      <c r="P61" s="113" t="e">
        <f ca="1">-(#REF!+P42*0.375)+(P55*0)</f>
        <v>#REF!</v>
      </c>
      <c r="Q61" s="113" t="e">
        <f ca="1">-(#REF!+Q42*0.375)+(Q55*0)</f>
        <v>#REF!</v>
      </c>
      <c r="R61" s="113" t="e">
        <f ca="1">-(#REF!+R42*0.375)+(R55*0)</f>
        <v>#REF!</v>
      </c>
      <c r="S61" s="113" t="e">
        <f ca="1">-(#REF!+S42*0.375)+(S55*0)</f>
        <v>#REF!</v>
      </c>
      <c r="T61" s="113" t="e">
        <f ca="1">-(#REF!+T42*0.375)+(T55*0)</f>
        <v>#REF!</v>
      </c>
      <c r="U61" s="113" t="e">
        <f ca="1">-(#REF!+U42*0.375)+(U55*0)</f>
        <v>#REF!</v>
      </c>
      <c r="V61" s="113" t="e">
        <f ca="1">-(#REF!+V42*0.375)+(V55*0)</f>
        <v>#REF!</v>
      </c>
      <c r="W61" s="113" t="e">
        <f ca="1">-(#REF!+W42*0.375)+(W55*0)</f>
        <v>#REF!</v>
      </c>
      <c r="X61" s="113" t="e">
        <f ca="1">-(#REF!+X42*0.375)+(X55*0)</f>
        <v>#REF!</v>
      </c>
      <c r="Y61" s="114" t="e">
        <f ca="1">-(#REF!+Y42*0.375)+(Y55*0)</f>
        <v>#REF!</v>
      </c>
    </row>
    <row r="62" spans="1:25" s="17" customFormat="1" ht="15" hidden="1" customHeight="1">
      <c r="A62" s="146"/>
      <c r="B62" s="142" t="s">
        <v>93</v>
      </c>
      <c r="C62" s="143"/>
      <c r="D62" s="143"/>
      <c r="E62" s="143"/>
      <c r="F62" s="143" t="e">
        <f ca="1">SUM(F61:Y61)</f>
        <v>#REF!</v>
      </c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4"/>
    </row>
    <row r="63" spans="1:25">
      <c r="C63" s="556" t="s">
        <v>395</v>
      </c>
      <c r="D63" s="543"/>
      <c r="E63" s="543"/>
      <c r="F63" s="544">
        <f ca="1">'Summary Sources-Uses'!E17</f>
        <v>-18830916.735726323</v>
      </c>
      <c r="G63" s="544">
        <f t="shared" ref="G63:T63" ca="1" si="27">SUM(F63:F65)</f>
        <v>0</v>
      </c>
      <c r="H63" s="544">
        <f t="shared" ca="1" si="27"/>
        <v>0</v>
      </c>
      <c r="I63" s="544">
        <f t="shared" ca="1" si="27"/>
        <v>0</v>
      </c>
      <c r="J63" s="544">
        <f t="shared" ca="1" si="27"/>
        <v>0</v>
      </c>
      <c r="K63" s="544">
        <f t="shared" ca="1" si="27"/>
        <v>0</v>
      </c>
      <c r="L63" s="544">
        <f t="shared" ca="1" si="27"/>
        <v>0</v>
      </c>
      <c r="M63" s="544">
        <f t="shared" ca="1" si="27"/>
        <v>0</v>
      </c>
      <c r="N63" s="544">
        <f t="shared" ca="1" si="27"/>
        <v>0</v>
      </c>
      <c r="O63" s="544">
        <f t="shared" ca="1" si="27"/>
        <v>0</v>
      </c>
      <c r="P63" s="544">
        <f t="shared" ca="1" si="27"/>
        <v>0</v>
      </c>
      <c r="Q63" s="544">
        <f t="shared" ca="1" si="27"/>
        <v>0</v>
      </c>
      <c r="R63" s="544">
        <f t="shared" ca="1" si="27"/>
        <v>0</v>
      </c>
      <c r="S63" s="544">
        <f t="shared" ca="1" si="27"/>
        <v>0</v>
      </c>
      <c r="T63" s="545">
        <f t="shared" ca="1" si="27"/>
        <v>0</v>
      </c>
    </row>
    <row r="64" spans="1:25">
      <c r="C64" s="550" t="s">
        <v>261</v>
      </c>
      <c r="D64" s="80">
        <v>0</v>
      </c>
      <c r="F64" s="1">
        <f t="shared" ref="F64:T64" ca="1" si="28">F63*$D$64</f>
        <v>0</v>
      </c>
      <c r="G64" s="1">
        <f t="shared" ca="1" si="28"/>
        <v>0</v>
      </c>
      <c r="H64" s="1">
        <f t="shared" ca="1" si="28"/>
        <v>0</v>
      </c>
      <c r="I64" s="1">
        <f t="shared" ca="1" si="28"/>
        <v>0</v>
      </c>
      <c r="J64" s="1">
        <f t="shared" ca="1" si="28"/>
        <v>0</v>
      </c>
      <c r="K64" s="1">
        <f t="shared" ca="1" si="28"/>
        <v>0</v>
      </c>
      <c r="L64" s="1">
        <f t="shared" ca="1" si="28"/>
        <v>0</v>
      </c>
      <c r="M64" s="1">
        <f t="shared" ca="1" si="28"/>
        <v>0</v>
      </c>
      <c r="N64" s="1">
        <f t="shared" ca="1" si="28"/>
        <v>0</v>
      </c>
      <c r="O64" s="1">
        <f t="shared" ca="1" si="28"/>
        <v>0</v>
      </c>
      <c r="P64" s="1">
        <f t="shared" ca="1" si="28"/>
        <v>0</v>
      </c>
      <c r="Q64" s="1">
        <f t="shared" ca="1" si="28"/>
        <v>0</v>
      </c>
      <c r="R64" s="1">
        <f t="shared" ca="1" si="28"/>
        <v>0</v>
      </c>
      <c r="S64" s="1">
        <f t="shared" ca="1" si="28"/>
        <v>0</v>
      </c>
      <c r="T64" s="546">
        <f t="shared" ca="1" si="28"/>
        <v>0</v>
      </c>
    </row>
    <row r="65" spans="2:39">
      <c r="C65" s="551" t="s">
        <v>263</v>
      </c>
      <c r="D65" s="381"/>
      <c r="E65" s="547">
        <f ca="1">SUM(F65:T65)</f>
        <v>18830916.735726323</v>
      </c>
      <c r="F65" s="547">
        <f t="shared" ref="F65:T65" ca="1" si="29">-F33</f>
        <v>18830916.735726323</v>
      </c>
      <c r="G65" s="547">
        <f t="shared" ca="1" si="29"/>
        <v>0</v>
      </c>
      <c r="H65" s="547">
        <f t="shared" ca="1" si="29"/>
        <v>0</v>
      </c>
      <c r="I65" s="547">
        <f t="shared" ca="1" si="29"/>
        <v>0</v>
      </c>
      <c r="J65" s="547">
        <f t="shared" ca="1" si="29"/>
        <v>0</v>
      </c>
      <c r="K65" s="547">
        <f t="shared" ca="1" si="29"/>
        <v>0</v>
      </c>
      <c r="L65" s="547">
        <f t="shared" ca="1" si="29"/>
        <v>0</v>
      </c>
      <c r="M65" s="547">
        <f t="shared" ca="1" si="29"/>
        <v>0</v>
      </c>
      <c r="N65" s="547">
        <f t="shared" ca="1" si="29"/>
        <v>0</v>
      </c>
      <c r="O65" s="547">
        <f t="shared" ca="1" si="29"/>
        <v>0</v>
      </c>
      <c r="P65" s="547">
        <f t="shared" ca="1" si="29"/>
        <v>0</v>
      </c>
      <c r="Q65" s="547">
        <f t="shared" ca="1" si="29"/>
        <v>0</v>
      </c>
      <c r="R65" s="547">
        <f t="shared" ca="1" si="29"/>
        <v>0</v>
      </c>
      <c r="S65" s="547">
        <f t="shared" ca="1" si="29"/>
        <v>0</v>
      </c>
      <c r="T65" s="548">
        <f t="shared" ca="1" si="29"/>
        <v>0</v>
      </c>
    </row>
    <row r="66" spans="2:39">
      <c r="C66" s="11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</row>
    <row r="67" spans="2:39">
      <c r="C67" s="11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</row>
    <row r="68" spans="2:39">
      <c r="B68" s="549" t="s">
        <v>396</v>
      </c>
      <c r="C68" s="543"/>
      <c r="D68" s="543"/>
      <c r="E68" s="558">
        <f ca="1">('Summary Sources-Uses'!K20-'Summary Sources-Uses'!E17)*0.4</f>
        <v>10332366.69429053</v>
      </c>
    </row>
    <row r="69" spans="2:39">
      <c r="B69" s="550" t="s">
        <v>397</v>
      </c>
      <c r="E69" s="559">
        <f ca="1">SUM(F69:T69)</f>
        <v>-7532366.6942905299</v>
      </c>
      <c r="F69" s="562">
        <f ca="1">-F65*0.4</f>
        <v>-7532366.6942905299</v>
      </c>
      <c r="G69" s="562">
        <f ca="1">-G65*0.4</f>
        <v>0</v>
      </c>
      <c r="H69" s="562">
        <f ca="1">-H65*0.4</f>
        <v>0</v>
      </c>
      <c r="I69" s="562">
        <f t="shared" ref="I69:T69" ca="1" si="30">-I65*0.3</f>
        <v>0</v>
      </c>
      <c r="J69" s="562">
        <f t="shared" ca="1" si="30"/>
        <v>0</v>
      </c>
      <c r="K69" s="562">
        <f t="shared" ca="1" si="30"/>
        <v>0</v>
      </c>
      <c r="L69" s="562">
        <f t="shared" ca="1" si="30"/>
        <v>0</v>
      </c>
      <c r="M69" s="562">
        <f t="shared" ca="1" si="30"/>
        <v>0</v>
      </c>
      <c r="N69" s="562">
        <f t="shared" ca="1" si="30"/>
        <v>0</v>
      </c>
      <c r="O69" s="562">
        <f t="shared" ca="1" si="30"/>
        <v>0</v>
      </c>
      <c r="P69" s="562">
        <f t="shared" ca="1" si="30"/>
        <v>0</v>
      </c>
      <c r="Q69" s="562">
        <f t="shared" ca="1" si="30"/>
        <v>0</v>
      </c>
      <c r="R69" s="562">
        <f t="shared" ca="1" si="30"/>
        <v>0</v>
      </c>
      <c r="S69" s="562">
        <f t="shared" ca="1" si="30"/>
        <v>0</v>
      </c>
      <c r="T69" s="562">
        <f t="shared" ca="1" si="30"/>
        <v>0</v>
      </c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</row>
    <row r="70" spans="2:39">
      <c r="B70" s="550" t="s">
        <v>813</v>
      </c>
      <c r="E70" s="559">
        <f ca="1">SUM(F70:T70)</f>
        <v>8924308.9224236421</v>
      </c>
      <c r="F70" s="555">
        <f t="shared" ref="F70:Y71" ca="1" si="31">-F47</f>
        <v>8493450.7194294557</v>
      </c>
      <c r="G70" s="555">
        <f t="shared" ca="1" si="31"/>
        <v>22976.040486201207</v>
      </c>
      <c r="H70" s="555">
        <f t="shared" ca="1" si="31"/>
        <v>25253.780633305199</v>
      </c>
      <c r="I70" s="555">
        <f t="shared" ca="1" si="31"/>
        <v>27300.528539448816</v>
      </c>
      <c r="J70" s="555">
        <f t="shared" ca="1" si="31"/>
        <v>29103.367948496001</v>
      </c>
      <c r="K70" s="555">
        <f t="shared" ca="1" si="31"/>
        <v>30648.87538684874</v>
      </c>
      <c r="L70" s="555">
        <f t="shared" ca="1" si="31"/>
        <v>31923.102552326047</v>
      </c>
      <c r="M70" s="555">
        <f t="shared" ca="1" si="31"/>
        <v>32911.558126821852</v>
      </c>
      <c r="N70" s="555">
        <f t="shared" ca="1" si="31"/>
        <v>33599.188994487136</v>
      </c>
      <c r="O70" s="555">
        <f t="shared" ca="1" si="31"/>
        <v>33970.360846635886</v>
      </c>
      <c r="P70" s="555">
        <f t="shared" ca="1" si="31"/>
        <v>34008.838153971941</v>
      </c>
      <c r="Q70" s="555">
        <f t="shared" ca="1" si="31"/>
        <v>33697.763486143696</v>
      </c>
      <c r="R70" s="555">
        <f t="shared" ca="1" si="31"/>
        <v>33019.636158007634</v>
      </c>
      <c r="S70" s="555">
        <f t="shared" ca="1" si="31"/>
        <v>31956.290181349381</v>
      </c>
      <c r="T70" s="555">
        <f t="shared" ca="1" si="31"/>
        <v>30488.871500139852</v>
      </c>
      <c r="U70" s="555">
        <f t="shared" ca="1" si="31"/>
        <v>28597.81448673745</v>
      </c>
      <c r="V70" s="555">
        <f t="shared" ca="1" si="31"/>
        <v>26262.817675741855</v>
      </c>
      <c r="W70" s="555">
        <f t="shared" ca="1" si="31"/>
        <v>23462.818711480417</v>
      </c>
      <c r="X70" s="555">
        <f t="shared" ca="1" si="31"/>
        <v>20175.96848437679</v>
      </c>
      <c r="Y70" s="555">
        <f t="shared" ca="1" si="31"/>
        <v>16379.60443066791</v>
      </c>
      <c r="Z70" s="415">
        <f t="shared" ref="Z70:AI70" ca="1" si="32">Y70*(1+$H6)</f>
        <v>16870.992563587948</v>
      </c>
      <c r="AA70" s="415">
        <f t="shared" ca="1" si="32"/>
        <v>17377.122340495585</v>
      </c>
      <c r="AB70" s="415">
        <f t="shared" ca="1" si="32"/>
        <v>17898.436010710455</v>
      </c>
      <c r="AC70" s="415">
        <f t="shared" ca="1" si="32"/>
        <v>18435.389091031768</v>
      </c>
      <c r="AD70" s="415">
        <f t="shared" ca="1" si="32"/>
        <v>18988.450763762721</v>
      </c>
      <c r="AE70" s="415">
        <f t="shared" ca="1" si="32"/>
        <v>19558.104286675603</v>
      </c>
      <c r="AF70" s="415">
        <f t="shared" ca="1" si="32"/>
        <v>20144.847415275872</v>
      </c>
      <c r="AG70" s="415">
        <f t="shared" ca="1" si="32"/>
        <v>20749.19283773415</v>
      </c>
      <c r="AH70" s="415">
        <f t="shared" ca="1" si="32"/>
        <v>21371.668622866175</v>
      </c>
      <c r="AI70" s="415">
        <f t="shared" ca="1" si="32"/>
        <v>22012.818681552162</v>
      </c>
      <c r="AJ70" s="415"/>
      <c r="AK70" s="415"/>
      <c r="AL70" s="415"/>
      <c r="AM70" s="415"/>
    </row>
    <row r="71" spans="2:39">
      <c r="B71" s="550" t="s">
        <v>812</v>
      </c>
      <c r="E71" s="559">
        <f ca="1">SUM(F71:T71)</f>
        <v>0</v>
      </c>
      <c r="F71" s="555">
        <f t="shared" ca="1" si="31"/>
        <v>0</v>
      </c>
      <c r="G71" s="555">
        <f t="shared" ca="1" si="31"/>
        <v>0</v>
      </c>
      <c r="H71" s="555">
        <f t="shared" ca="1" si="31"/>
        <v>0</v>
      </c>
      <c r="I71" s="555">
        <f t="shared" ca="1" si="31"/>
        <v>0</v>
      </c>
      <c r="J71" s="555">
        <f t="shared" ca="1" si="31"/>
        <v>0</v>
      </c>
      <c r="K71" s="555">
        <f t="shared" ca="1" si="31"/>
        <v>0</v>
      </c>
      <c r="L71" s="555">
        <f t="shared" ca="1" si="31"/>
        <v>0</v>
      </c>
      <c r="M71" s="555">
        <f t="shared" ca="1" si="31"/>
        <v>0</v>
      </c>
      <c r="N71" s="555">
        <f t="shared" ca="1" si="31"/>
        <v>0</v>
      </c>
      <c r="O71" s="555">
        <f t="shared" ca="1" si="31"/>
        <v>0</v>
      </c>
      <c r="P71" s="555">
        <f t="shared" ca="1" si="31"/>
        <v>0</v>
      </c>
      <c r="Q71" s="555">
        <f t="shared" ca="1" si="31"/>
        <v>0</v>
      </c>
      <c r="R71" s="555">
        <f t="shared" ca="1" si="31"/>
        <v>0</v>
      </c>
      <c r="S71" s="555">
        <f t="shared" ca="1" si="31"/>
        <v>0</v>
      </c>
      <c r="T71" s="555">
        <f t="shared" ca="1" si="31"/>
        <v>0</v>
      </c>
      <c r="U71" s="555">
        <f t="shared" ca="1" si="31"/>
        <v>0</v>
      </c>
      <c r="V71" s="555">
        <f t="shared" ca="1" si="31"/>
        <v>0</v>
      </c>
      <c r="W71" s="555">
        <f t="shared" ca="1" si="31"/>
        <v>0</v>
      </c>
      <c r="X71" s="555">
        <f t="shared" ca="1" si="31"/>
        <v>0</v>
      </c>
      <c r="Y71" s="555">
        <f t="shared" ca="1" si="31"/>
        <v>0</v>
      </c>
      <c r="Z71" s="415">
        <f t="shared" ref="Z71:AI71" ca="1" si="33">Y71*(1+$H7)</f>
        <v>0</v>
      </c>
      <c r="AA71" s="415">
        <f t="shared" ca="1" si="33"/>
        <v>0</v>
      </c>
      <c r="AB71" s="415">
        <f t="shared" ca="1" si="33"/>
        <v>0</v>
      </c>
      <c r="AC71" s="415">
        <f t="shared" ca="1" si="33"/>
        <v>0</v>
      </c>
      <c r="AD71" s="415">
        <f t="shared" ca="1" si="33"/>
        <v>0</v>
      </c>
      <c r="AE71" s="415">
        <f t="shared" ca="1" si="33"/>
        <v>0</v>
      </c>
      <c r="AF71" s="415">
        <f t="shared" ca="1" si="33"/>
        <v>0</v>
      </c>
      <c r="AG71" s="415">
        <f t="shared" ca="1" si="33"/>
        <v>0</v>
      </c>
      <c r="AH71" s="415">
        <f t="shared" ca="1" si="33"/>
        <v>0</v>
      </c>
      <c r="AI71" s="415">
        <f t="shared" ca="1" si="33"/>
        <v>0</v>
      </c>
      <c r="AJ71" s="415"/>
      <c r="AK71" s="415"/>
      <c r="AL71" s="415"/>
      <c r="AM71" s="415"/>
    </row>
    <row r="72" spans="2:39">
      <c r="B72" s="550" t="s">
        <v>398</v>
      </c>
      <c r="E72" s="560">
        <f ca="1">SUM(F72:T72)</f>
        <v>3569723.5689694551</v>
      </c>
      <c r="F72" s="555">
        <f ca="1">0.4*F49</f>
        <v>3397380.2877717824</v>
      </c>
      <c r="G72" s="555">
        <f ca="1">0.4*G49</f>
        <v>9190.4161944804837</v>
      </c>
      <c r="H72" s="555">
        <f ca="1">0.4*H49</f>
        <v>10101.51225332208</v>
      </c>
      <c r="I72" s="555">
        <f t="shared" ref="I72:Y72" ca="1" si="34">0.4*I49</f>
        <v>10920.211415779528</v>
      </c>
      <c r="J72" s="555">
        <f t="shared" ca="1" si="34"/>
        <v>11641.347179398401</v>
      </c>
      <c r="K72" s="555">
        <f t="shared" ca="1" si="34"/>
        <v>12259.550154739496</v>
      </c>
      <c r="L72" s="555">
        <f t="shared" ca="1" si="34"/>
        <v>12769.24102093042</v>
      </c>
      <c r="M72" s="555">
        <f t="shared" ca="1" si="34"/>
        <v>13164.623250728742</v>
      </c>
      <c r="N72" s="555">
        <f t="shared" ca="1" si="34"/>
        <v>13439.675597794856</v>
      </c>
      <c r="O72" s="555">
        <f t="shared" ca="1" si="34"/>
        <v>13588.144338654354</v>
      </c>
      <c r="P72" s="555">
        <f t="shared" ca="1" si="34"/>
        <v>13603.535261588777</v>
      </c>
      <c r="Q72" s="555">
        <f t="shared" ca="1" si="34"/>
        <v>13479.10539445748</v>
      </c>
      <c r="R72" s="555">
        <f t="shared" ca="1" si="34"/>
        <v>13207.854463203053</v>
      </c>
      <c r="S72" s="555">
        <f t="shared" ca="1" si="34"/>
        <v>12782.516072539753</v>
      </c>
      <c r="T72" s="555">
        <f t="shared" ca="1" si="34"/>
        <v>12195.548600055941</v>
      </c>
      <c r="U72" s="555">
        <f t="shared" ca="1" si="34"/>
        <v>11439.125794694981</v>
      </c>
      <c r="V72" s="555">
        <f t="shared" ca="1" si="34"/>
        <v>10505.127070296743</v>
      </c>
      <c r="W72" s="555">
        <f t="shared" ca="1" si="34"/>
        <v>9385.1274845921671</v>
      </c>
      <c r="X72" s="555">
        <f t="shared" ca="1" si="34"/>
        <v>8070.387393750716</v>
      </c>
      <c r="Y72" s="555">
        <f t="shared" ca="1" si="34"/>
        <v>6551.8417722671647</v>
      </c>
      <c r="Z72" s="415">
        <f t="shared" ref="Z72:AI72" ca="1" si="35">Y72*(1+$H8)</f>
        <v>6551.8417722671647</v>
      </c>
      <c r="AA72" s="415">
        <f t="shared" ca="1" si="35"/>
        <v>6551.8417722671647</v>
      </c>
      <c r="AB72" s="415">
        <f t="shared" ca="1" si="35"/>
        <v>6551.8417722671647</v>
      </c>
      <c r="AC72" s="415">
        <f t="shared" ca="1" si="35"/>
        <v>6551.8417722671647</v>
      </c>
      <c r="AD72" s="415">
        <f t="shared" ca="1" si="35"/>
        <v>6551.8417722671647</v>
      </c>
      <c r="AE72" s="415">
        <f t="shared" ca="1" si="35"/>
        <v>6551.8417722671647</v>
      </c>
      <c r="AF72" s="415">
        <f t="shared" ca="1" si="35"/>
        <v>6551.8417722671647</v>
      </c>
      <c r="AG72" s="415">
        <f t="shared" ca="1" si="35"/>
        <v>6551.8417722671647</v>
      </c>
      <c r="AH72" s="415">
        <f t="shared" ca="1" si="35"/>
        <v>6551.8417722671647</v>
      </c>
      <c r="AI72" s="415">
        <f t="shared" ca="1" si="35"/>
        <v>6551.8417722671647</v>
      </c>
    </row>
    <row r="73" spans="2:39">
      <c r="B73" s="557" t="s">
        <v>535</v>
      </c>
      <c r="C73" s="381"/>
      <c r="D73" s="381"/>
      <c r="E73" s="561">
        <f ca="1">SUM(E68:E72)</f>
        <v>15294032.491393097</v>
      </c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</row>
    <row r="74" spans="2:39">
      <c r="B74" s="1275"/>
      <c r="E74" s="1276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</row>
    <row r="75" spans="2:39">
      <c r="C75" t="s">
        <v>533</v>
      </c>
      <c r="F75" s="1" t="s">
        <v>420</v>
      </c>
    </row>
    <row r="76" spans="2:39">
      <c r="D76" t="s">
        <v>531</v>
      </c>
      <c r="F76" s="1">
        <f>'Summary Sources-Uses'!K53+'Summary Sources-Uses'!K55</f>
        <v>0</v>
      </c>
      <c r="G76" s="1">
        <f ca="1">F79</f>
        <v>15746549.280570544</v>
      </c>
      <c r="H76" s="1">
        <f t="shared" ref="H76:Y76" ca="1" si="36">G79</f>
        <v>15963573.240084343</v>
      </c>
      <c r="I76" s="1">
        <f t="shared" ca="1" si="36"/>
        <v>16178319.459451038</v>
      </c>
      <c r="J76" s="1">
        <f t="shared" ca="1" si="36"/>
        <v>16391018.930911589</v>
      </c>
      <c r="K76" s="1">
        <f t="shared" ca="1" si="36"/>
        <v>16601915.562963093</v>
      </c>
      <c r="L76" s="1">
        <f t="shared" ca="1" si="36"/>
        <v>16811266.687576242</v>
      </c>
      <c r="M76" s="1">
        <f t="shared" ca="1" si="36"/>
        <v>17019343.585023917</v>
      </c>
      <c r="N76" s="1">
        <f t="shared" ca="1" si="36"/>
        <v>17226432.026897095</v>
      </c>
      <c r="O76" s="1">
        <f t="shared" ca="1" si="36"/>
        <v>17432832.837902609</v>
      </c>
      <c r="P76" s="1">
        <f t="shared" ca="1" si="36"/>
        <v>17638862.477055974</v>
      </c>
      <c r="Q76" s="1">
        <f t="shared" ca="1" si="36"/>
        <v>17844853.638902001</v>
      </c>
      <c r="R76" s="1">
        <f t="shared" ca="1" si="36"/>
        <v>18051155.875415858</v>
      </c>
      <c r="S76" s="1">
        <f t="shared" ca="1" si="36"/>
        <v>18258136.23925785</v>
      </c>
      <c r="T76" s="1">
        <f t="shared" ca="1" si="36"/>
        <v>18466179.9490765</v>
      </c>
      <c r="U76" s="1">
        <f t="shared" ca="1" si="36"/>
        <v>18675691.077576362</v>
      </c>
      <c r="V76" s="1">
        <f t="shared" ca="1" si="36"/>
        <v>18887093.263089623</v>
      </c>
      <c r="W76" s="1">
        <f t="shared" ca="1" si="36"/>
        <v>19100830.44541388</v>
      </c>
      <c r="X76" s="1">
        <f t="shared" ca="1" si="36"/>
        <v>19317367.626702398</v>
      </c>
      <c r="Y76" s="1">
        <f t="shared" ca="1" si="36"/>
        <v>19537191.658218022</v>
      </c>
    </row>
    <row r="77" spans="2:39">
      <c r="D77" t="s">
        <v>261</v>
      </c>
      <c r="F77" s="42">
        <f>'Summary Sources-Uses'!$L$53+'Summary Sources-Uses'!$H$55</f>
        <v>0</v>
      </c>
      <c r="G77" s="42">
        <f>'Summary Sources-Uses'!$L$53+'Summary Sources-Uses'!$H$55</f>
        <v>0</v>
      </c>
      <c r="H77" s="42">
        <f>'Summary Sources-Uses'!$L$53+'Summary Sources-Uses'!$H$55</f>
        <v>0</v>
      </c>
      <c r="I77" s="42">
        <f>'Summary Sources-Uses'!$L$53+'Summary Sources-Uses'!$H$55</f>
        <v>0</v>
      </c>
      <c r="J77" s="42">
        <f>'Summary Sources-Uses'!$L$53+'Summary Sources-Uses'!$H$55</f>
        <v>0</v>
      </c>
      <c r="K77" s="42">
        <f>'Summary Sources-Uses'!$L$53+'Summary Sources-Uses'!$H$55</f>
        <v>0</v>
      </c>
      <c r="L77" s="42">
        <f>'Summary Sources-Uses'!$L$53+'Summary Sources-Uses'!$H$55</f>
        <v>0</v>
      </c>
      <c r="M77" s="42">
        <f>'Summary Sources-Uses'!$L$53+'Summary Sources-Uses'!$H$55</f>
        <v>0</v>
      </c>
      <c r="N77" s="42">
        <f>'Summary Sources-Uses'!$L$53+'Summary Sources-Uses'!$H$55</f>
        <v>0</v>
      </c>
      <c r="O77" s="42">
        <f>'Summary Sources-Uses'!$L$53+'Summary Sources-Uses'!$H$55</f>
        <v>0</v>
      </c>
      <c r="P77" s="42">
        <f>'Summary Sources-Uses'!$L$53+'Summary Sources-Uses'!$H$55</f>
        <v>0</v>
      </c>
      <c r="Q77" s="42">
        <f>'Summary Sources-Uses'!$L$53+'Summary Sources-Uses'!$H$55</f>
        <v>0</v>
      </c>
      <c r="R77" s="42">
        <f>'Summary Sources-Uses'!$L$53+'Summary Sources-Uses'!$H$55</f>
        <v>0</v>
      </c>
      <c r="S77" s="42">
        <f>'Summary Sources-Uses'!$L$53+'Summary Sources-Uses'!$H$55</f>
        <v>0</v>
      </c>
      <c r="T77" s="42">
        <f>'Summary Sources-Uses'!$L$53+'Summary Sources-Uses'!$H$55</f>
        <v>0</v>
      </c>
      <c r="U77" s="42">
        <f>'Summary Sources-Uses'!$L$53+'Summary Sources-Uses'!$H$55</f>
        <v>0</v>
      </c>
      <c r="V77" s="42">
        <f>'Summary Sources-Uses'!$L$53+'Summary Sources-Uses'!$H$55</f>
        <v>0</v>
      </c>
      <c r="W77" s="42">
        <f>'Summary Sources-Uses'!$L$53+'Summary Sources-Uses'!$H$55</f>
        <v>0</v>
      </c>
      <c r="X77" s="42">
        <f>'Summary Sources-Uses'!$L$53+'Summary Sources-Uses'!$H$55</f>
        <v>0</v>
      </c>
      <c r="Y77" s="42">
        <f>'Summary Sources-Uses'!$L$53+'Summary Sources-Uses'!$H$55</f>
        <v>0</v>
      </c>
    </row>
    <row r="78" spans="2:39" ht="16" thickBot="1">
      <c r="D78" t="s">
        <v>263</v>
      </c>
      <c r="F78" s="875">
        <f t="shared" ref="F78:Y78" ca="1" si="37">F47+F48</f>
        <v>-8493450.7194294557</v>
      </c>
      <c r="G78" s="875">
        <f t="shared" ca="1" si="37"/>
        <v>-22976.040486201207</v>
      </c>
      <c r="H78" s="875">
        <f t="shared" ca="1" si="37"/>
        <v>-25253.780633305199</v>
      </c>
      <c r="I78" s="875">
        <f t="shared" ca="1" si="37"/>
        <v>-27300.528539448816</v>
      </c>
      <c r="J78" s="875">
        <f t="shared" ca="1" si="37"/>
        <v>-29103.367948496001</v>
      </c>
      <c r="K78" s="875">
        <f t="shared" ca="1" si="37"/>
        <v>-30648.87538684874</v>
      </c>
      <c r="L78" s="875">
        <f t="shared" ca="1" si="37"/>
        <v>-31923.102552326047</v>
      </c>
      <c r="M78" s="875">
        <f t="shared" ca="1" si="37"/>
        <v>-32911.558126821852</v>
      </c>
      <c r="N78" s="875">
        <f t="shared" ca="1" si="37"/>
        <v>-33599.188994487136</v>
      </c>
      <c r="O78" s="875">
        <f t="shared" ca="1" si="37"/>
        <v>-33970.360846635886</v>
      </c>
      <c r="P78" s="875">
        <f t="shared" ca="1" si="37"/>
        <v>-34008.838153971941</v>
      </c>
      <c r="Q78" s="875">
        <f t="shared" ca="1" si="37"/>
        <v>-33697.763486143696</v>
      </c>
      <c r="R78" s="875">
        <f t="shared" ca="1" si="37"/>
        <v>-33019.636158007634</v>
      </c>
      <c r="S78" s="875">
        <f t="shared" ca="1" si="37"/>
        <v>-31956.290181349381</v>
      </c>
      <c r="T78" s="875">
        <f t="shared" ca="1" si="37"/>
        <v>-30488.871500139852</v>
      </c>
      <c r="U78" s="875">
        <f t="shared" ca="1" si="37"/>
        <v>-28597.81448673745</v>
      </c>
      <c r="V78" s="875">
        <f t="shared" ca="1" si="37"/>
        <v>-26262.817675741855</v>
      </c>
      <c r="W78" s="875">
        <f t="shared" ca="1" si="37"/>
        <v>-23462.818711480417</v>
      </c>
      <c r="X78" s="875">
        <f t="shared" ca="1" si="37"/>
        <v>-20175.96848437679</v>
      </c>
      <c r="Y78" s="875">
        <f t="shared" ca="1" si="37"/>
        <v>-16379.60443066791</v>
      </c>
    </row>
    <row r="79" spans="2:39">
      <c r="D79" t="s">
        <v>532</v>
      </c>
      <c r="F79" s="1">
        <f ca="1">SUM(F76:F78)</f>
        <v>15746549.280570544</v>
      </c>
      <c r="G79" s="1">
        <f ca="1">SUM(G76:G78)</f>
        <v>15963573.240084343</v>
      </c>
      <c r="H79" s="1">
        <f t="shared" ref="H79:Y79" ca="1" si="38">SUM(H76:H78)</f>
        <v>16178319.459451038</v>
      </c>
      <c r="I79" s="1">
        <f t="shared" ca="1" si="38"/>
        <v>16391018.930911589</v>
      </c>
      <c r="J79" s="1">
        <f t="shared" ca="1" si="38"/>
        <v>16601915.562963093</v>
      </c>
      <c r="K79" s="1">
        <f t="shared" ca="1" si="38"/>
        <v>16811266.687576242</v>
      </c>
      <c r="L79" s="1">
        <f t="shared" ca="1" si="38"/>
        <v>17019343.585023917</v>
      </c>
      <c r="M79" s="1">
        <f t="shared" ca="1" si="38"/>
        <v>17226432.026897095</v>
      </c>
      <c r="N79" s="1">
        <f t="shared" ca="1" si="38"/>
        <v>17432832.837902609</v>
      </c>
      <c r="O79" s="1">
        <f t="shared" ca="1" si="38"/>
        <v>17638862.477055974</v>
      </c>
      <c r="P79" s="1">
        <f t="shared" ca="1" si="38"/>
        <v>17844853.638902001</v>
      </c>
      <c r="Q79" s="1">
        <f t="shared" ca="1" si="38"/>
        <v>18051155.875415858</v>
      </c>
      <c r="R79" s="1">
        <f t="shared" ca="1" si="38"/>
        <v>18258136.23925785</v>
      </c>
      <c r="S79" s="1">
        <f t="shared" ca="1" si="38"/>
        <v>18466179.9490765</v>
      </c>
      <c r="T79" s="1">
        <f t="shared" ca="1" si="38"/>
        <v>18675691.077576362</v>
      </c>
      <c r="U79" s="1">
        <f t="shared" ca="1" si="38"/>
        <v>18887093.263089623</v>
      </c>
      <c r="V79" s="1">
        <f t="shared" ca="1" si="38"/>
        <v>19100830.44541388</v>
      </c>
      <c r="W79" s="1">
        <f t="shared" ca="1" si="38"/>
        <v>19317367.626702398</v>
      </c>
      <c r="X79" s="1">
        <f t="shared" ca="1" si="38"/>
        <v>19537191.658218022</v>
      </c>
      <c r="Y79" s="1">
        <f t="shared" ca="1" si="38"/>
        <v>19760812.053787354</v>
      </c>
    </row>
    <row r="81" spans="2:25">
      <c r="B81" t="s">
        <v>591</v>
      </c>
    </row>
    <row r="82" spans="2:25">
      <c r="C82" s="110" t="s">
        <v>116</v>
      </c>
      <c r="D82" s="4"/>
      <c r="E82" s="982">
        <v>8500</v>
      </c>
      <c r="F82" s="49">
        <f>E82</f>
        <v>8500</v>
      </c>
      <c r="G82" s="49">
        <f t="shared" ref="G82:T82" si="39">F82*(1+$H6)</f>
        <v>8755</v>
      </c>
      <c r="H82" s="49">
        <f t="shared" si="39"/>
        <v>9017.65</v>
      </c>
      <c r="I82" s="49">
        <f t="shared" si="39"/>
        <v>9288.1795000000002</v>
      </c>
      <c r="J82" s="49">
        <f t="shared" si="39"/>
        <v>9566.824885</v>
      </c>
      <c r="K82" s="49">
        <f t="shared" si="39"/>
        <v>9853.8296315500011</v>
      </c>
      <c r="L82" s="49">
        <f t="shared" si="39"/>
        <v>10149.444520496501</v>
      </c>
      <c r="M82" s="49">
        <f t="shared" si="39"/>
        <v>10453.927856111397</v>
      </c>
      <c r="N82" s="49">
        <f t="shared" si="39"/>
        <v>10767.545691794739</v>
      </c>
      <c r="O82" s="49">
        <f t="shared" si="39"/>
        <v>11090.572062548583</v>
      </c>
      <c r="P82" s="49">
        <f t="shared" si="39"/>
        <v>11423.28922442504</v>
      </c>
      <c r="Q82" s="49">
        <f t="shared" si="39"/>
        <v>11765.98790115779</v>
      </c>
      <c r="R82" s="49">
        <f t="shared" si="39"/>
        <v>12118.967538192524</v>
      </c>
      <c r="S82" s="49">
        <f t="shared" si="39"/>
        <v>12482.536564338301</v>
      </c>
      <c r="T82" s="49">
        <f t="shared" si="39"/>
        <v>12857.012661268451</v>
      </c>
      <c r="U82" s="49"/>
      <c r="V82" s="49"/>
      <c r="W82" s="49"/>
      <c r="X82" s="49"/>
      <c r="Y82" s="49"/>
    </row>
    <row r="83" spans="2:25">
      <c r="C83" s="110" t="s">
        <v>549</v>
      </c>
      <c r="D83" s="4"/>
      <c r="E83" s="982">
        <v>8500</v>
      </c>
      <c r="F83" s="49">
        <f>E83</f>
        <v>8500</v>
      </c>
      <c r="G83" s="49">
        <f>F83*(1+$H$6)</f>
        <v>8755</v>
      </c>
      <c r="H83" s="49">
        <f>G83*(1+$H$6)</f>
        <v>9017.65</v>
      </c>
      <c r="I83" s="49">
        <f t="shared" ref="I83:Y83" si="40">H83*(1+$H$6)</f>
        <v>9288.1795000000002</v>
      </c>
      <c r="J83" s="49">
        <f t="shared" si="40"/>
        <v>9566.824885</v>
      </c>
      <c r="K83" s="49">
        <f t="shared" si="40"/>
        <v>9853.8296315500011</v>
      </c>
      <c r="L83" s="49">
        <f t="shared" si="40"/>
        <v>10149.444520496501</v>
      </c>
      <c r="M83" s="49">
        <f t="shared" si="40"/>
        <v>10453.927856111397</v>
      </c>
      <c r="N83" s="49">
        <f t="shared" si="40"/>
        <v>10767.545691794739</v>
      </c>
      <c r="O83" s="49">
        <f t="shared" si="40"/>
        <v>11090.572062548583</v>
      </c>
      <c r="P83" s="49">
        <f t="shared" si="40"/>
        <v>11423.28922442504</v>
      </c>
      <c r="Q83" s="49">
        <f t="shared" si="40"/>
        <v>11765.98790115779</v>
      </c>
      <c r="R83" s="49">
        <f t="shared" si="40"/>
        <v>12118.967538192524</v>
      </c>
      <c r="S83" s="49">
        <f t="shared" si="40"/>
        <v>12482.536564338301</v>
      </c>
      <c r="T83" s="49">
        <f t="shared" si="40"/>
        <v>12857.012661268451</v>
      </c>
      <c r="U83" s="49">
        <f t="shared" si="40"/>
        <v>13242.723041106505</v>
      </c>
      <c r="V83" s="49">
        <f t="shared" si="40"/>
        <v>13640.004732339701</v>
      </c>
      <c r="W83" s="49">
        <f t="shared" si="40"/>
        <v>14049.204874309893</v>
      </c>
      <c r="X83" s="49">
        <f t="shared" si="40"/>
        <v>14470.68102053919</v>
      </c>
      <c r="Y83" s="49">
        <f t="shared" si="40"/>
        <v>14904.801451155367</v>
      </c>
    </row>
    <row r="86" spans="2:25">
      <c r="B86" t="s">
        <v>678</v>
      </c>
      <c r="C86" s="2"/>
      <c r="D86" s="1277"/>
      <c r="E86" s="2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 spans="2:25">
      <c r="B87" s="1280" t="s">
        <v>679</v>
      </c>
      <c r="D87" s="1279">
        <v>0.9</v>
      </c>
      <c r="F87" s="386">
        <f t="shared" ref="F87:Y87" ca="1" si="41">IF(SUM(F39:F45)&gt;0,-SUM(F39:F45)*$D$87,0)*-1</f>
        <v>15469233.616493024</v>
      </c>
      <c r="G87" s="386">
        <f t="shared" ca="1" si="41"/>
        <v>225923.14082556215</v>
      </c>
      <c r="H87" s="386">
        <f t="shared" ca="1" si="41"/>
        <v>233635.60344935735</v>
      </c>
      <c r="I87" s="386">
        <f t="shared" ca="1" si="41"/>
        <v>241002.16679660403</v>
      </c>
      <c r="J87" s="386">
        <f t="shared" ca="1" si="41"/>
        <v>248000.90842590088</v>
      </c>
      <c r="K87" s="386">
        <f t="shared" ca="1" si="41"/>
        <v>254609.01731334298</v>
      </c>
      <c r="L87" s="386">
        <f t="shared" ca="1" si="41"/>
        <v>260802.76257685851</v>
      </c>
      <c r="M87" s="386">
        <f t="shared" ca="1" si="41"/>
        <v>266557.46116991993</v>
      </c>
      <c r="N87" s="386">
        <f t="shared" ca="1" si="41"/>
        <v>271847.4445118453</v>
      </c>
      <c r="O87" s="386">
        <f t="shared" ca="1" si="41"/>
        <v>276646.02402092231</v>
      </c>
      <c r="P87" s="386">
        <f t="shared" ca="1" si="41"/>
        <v>280925.45551550377</v>
      </c>
      <c r="Q87" s="386">
        <f t="shared" ca="1" si="41"/>
        <v>284656.90244716022</v>
      </c>
      <c r="R87" s="386">
        <f t="shared" ca="1" si="41"/>
        <v>287810.39792884688</v>
      </c>
      <c r="S87" s="386">
        <f t="shared" ca="1" si="41"/>
        <v>290354.80551990692</v>
      </c>
      <c r="T87" s="386">
        <f t="shared" ca="1" si="41"/>
        <v>292257.77872852026</v>
      </c>
      <c r="U87" s="386">
        <f t="shared" ca="1" si="41"/>
        <v>293485.71919100988</v>
      </c>
      <c r="V87" s="386">
        <f t="shared" ca="1" si="41"/>
        <v>294003.73348614556</v>
      </c>
      <c r="W87" s="386">
        <f t="shared" ca="1" si="41"/>
        <v>293775.58854128013</v>
      </c>
      <c r="X87" s="386">
        <f t="shared" ca="1" si="41"/>
        <v>292763.66558583704</v>
      </c>
      <c r="Y87" s="386">
        <f t="shared" ca="1" si="41"/>
        <v>290928.91260625556</v>
      </c>
    </row>
    <row r="88" spans="2:25">
      <c r="B88" s="1280" t="s">
        <v>681</v>
      </c>
      <c r="D88" s="1281"/>
      <c r="F88" s="386">
        <f t="shared" ref="F88:Y88" si="42">F19*0.12</f>
        <v>419271.82559999998</v>
      </c>
      <c r="G88" s="386">
        <f t="shared" si="42"/>
        <v>427657.26211199997</v>
      </c>
      <c r="H88" s="386">
        <f t="shared" si="42"/>
        <v>436210.40735424001</v>
      </c>
      <c r="I88" s="386">
        <f t="shared" si="42"/>
        <v>444934.61550132482</v>
      </c>
      <c r="J88" s="386">
        <f t="shared" si="42"/>
        <v>453833.30781135132</v>
      </c>
      <c r="K88" s="386">
        <f t="shared" si="42"/>
        <v>462909.97396757832</v>
      </c>
      <c r="L88" s="386">
        <f t="shared" si="42"/>
        <v>472168.1734469299</v>
      </c>
      <c r="M88" s="386">
        <f t="shared" si="42"/>
        <v>481611.53691586858</v>
      </c>
      <c r="N88" s="386">
        <f t="shared" si="42"/>
        <v>491243.767654186</v>
      </c>
      <c r="O88" s="386">
        <f t="shared" si="42"/>
        <v>501068.64300726965</v>
      </c>
      <c r="P88" s="386">
        <f t="shared" si="42"/>
        <v>511090.01586741506</v>
      </c>
      <c r="Q88" s="386">
        <f t="shared" si="42"/>
        <v>521311.81618476345</v>
      </c>
      <c r="R88" s="386">
        <f t="shared" si="42"/>
        <v>531738.05250845861</v>
      </c>
      <c r="S88" s="386">
        <f t="shared" si="42"/>
        <v>542372.81355862773</v>
      </c>
      <c r="T88" s="386">
        <f t="shared" si="42"/>
        <v>553220.26982980035</v>
      </c>
      <c r="U88" s="386">
        <f t="shared" si="42"/>
        <v>564284.6752263963</v>
      </c>
      <c r="V88" s="386">
        <f t="shared" si="42"/>
        <v>575570.36873092433</v>
      </c>
      <c r="W88" s="386">
        <f t="shared" si="42"/>
        <v>587081.77610554278</v>
      </c>
      <c r="X88" s="386">
        <f t="shared" si="42"/>
        <v>598823.41162765364</v>
      </c>
      <c r="Y88" s="386">
        <f t="shared" si="42"/>
        <v>610799.87986020686</v>
      </c>
    </row>
    <row r="89" spans="2:25">
      <c r="B89" s="1280" t="s">
        <v>677</v>
      </c>
      <c r="D89" s="1278"/>
      <c r="F89" s="59">
        <f ca="1">IF(F95&gt;0,F87,F87+F95)</f>
        <v>201135.91280000098</v>
      </c>
      <c r="G89" s="59">
        <f t="shared" ref="G89:Y89" ca="1" si="43">IF(G95&gt;0,G87,G87+G95)</f>
        <v>205073.63105599998</v>
      </c>
      <c r="H89" s="59">
        <f t="shared" ca="1" si="43"/>
        <v>209087.55367711998</v>
      </c>
      <c r="I89" s="59">
        <f t="shared" ca="1" si="43"/>
        <v>213179.12825066238</v>
      </c>
      <c r="J89" s="59">
        <f t="shared" ca="1" si="43"/>
        <v>217349.82902067565</v>
      </c>
      <c r="K89" s="59">
        <f t="shared" ca="1" si="43"/>
        <v>221601.15735223916</v>
      </c>
      <c r="L89" s="59">
        <f t="shared" ca="1" si="43"/>
        <v>225934.64220296848</v>
      </c>
      <c r="M89" s="59">
        <f t="shared" ca="1" si="43"/>
        <v>230351.84060182289</v>
      </c>
      <c r="N89" s="59">
        <f t="shared" ca="1" si="43"/>
        <v>234854.33813529828</v>
      </c>
      <c r="O89" s="59">
        <f t="shared" ca="1" si="43"/>
        <v>239443.74944108631</v>
      </c>
      <c r="P89" s="59">
        <f t="shared" ca="1" si="43"/>
        <v>244121.71870928252</v>
      </c>
      <c r="Q89" s="59">
        <f t="shared" ca="1" si="43"/>
        <v>248889.92019122397</v>
      </c>
      <c r="R89" s="59">
        <f t="shared" ca="1" si="43"/>
        <v>253750.05871603684</v>
      </c>
      <c r="S89" s="59">
        <f t="shared" ca="1" si="43"/>
        <v>258703.87021497556</v>
      </c>
      <c r="T89" s="59">
        <f t="shared" ca="1" si="43"/>
        <v>263753.12225363171</v>
      </c>
      <c r="U89" s="59">
        <f t="shared" ca="1" si="43"/>
        <v>268899.61457209161</v>
      </c>
      <c r="V89" s="59">
        <f t="shared" ca="1" si="43"/>
        <v>274145.17963312246</v>
      </c>
      <c r="W89" s="59">
        <f t="shared" ca="1" si="43"/>
        <v>279491.68317846151</v>
      </c>
      <c r="X89" s="59">
        <f t="shared" ca="1" si="43"/>
        <v>284941.02479328756</v>
      </c>
      <c r="Y89" s="59">
        <f t="shared" ca="1" si="43"/>
        <v>290495.13847894809</v>
      </c>
    </row>
    <row r="90" spans="2:25">
      <c r="B90" s="1280"/>
      <c r="C90" s="64" t="s">
        <v>680</v>
      </c>
      <c r="D90" s="1278"/>
    </row>
    <row r="91" spans="2:25">
      <c r="B91" s="1280"/>
      <c r="D91" s="1278" t="s">
        <v>683</v>
      </c>
      <c r="F91" s="1282">
        <f t="shared" ref="F91:Y91" si="44">F19*0.06</f>
        <v>209635.91279999999</v>
      </c>
      <c r="G91" s="1282">
        <f t="shared" si="44"/>
        <v>213828.63105599998</v>
      </c>
      <c r="H91" s="1282">
        <f t="shared" si="44"/>
        <v>218105.20367712001</v>
      </c>
      <c r="I91" s="1282">
        <f t="shared" si="44"/>
        <v>222467.30775066241</v>
      </c>
      <c r="J91" s="1282">
        <f t="shared" si="44"/>
        <v>226916.65390567566</v>
      </c>
      <c r="K91" s="1282">
        <f t="shared" si="44"/>
        <v>231454.98698378916</v>
      </c>
      <c r="L91" s="1282">
        <f t="shared" si="44"/>
        <v>236084.08672346495</v>
      </c>
      <c r="M91" s="1282">
        <f t="shared" si="44"/>
        <v>240805.76845793429</v>
      </c>
      <c r="N91" s="1282">
        <f t="shared" si="44"/>
        <v>245621.883827093</v>
      </c>
      <c r="O91" s="1282">
        <f t="shared" si="44"/>
        <v>250534.32150363483</v>
      </c>
      <c r="P91" s="1282">
        <f t="shared" si="44"/>
        <v>255545.00793370753</v>
      </c>
      <c r="Q91" s="1282">
        <f t="shared" si="44"/>
        <v>260655.90809238172</v>
      </c>
      <c r="R91" s="1282">
        <f t="shared" si="44"/>
        <v>265869.02625422931</v>
      </c>
      <c r="S91" s="1282">
        <f t="shared" si="44"/>
        <v>271186.40677931387</v>
      </c>
      <c r="T91" s="1282">
        <f t="shared" si="44"/>
        <v>276610.13491490018</v>
      </c>
      <c r="U91" s="1282">
        <f t="shared" si="44"/>
        <v>282142.33761319815</v>
      </c>
      <c r="V91" s="1282">
        <f t="shared" si="44"/>
        <v>287785.18436546216</v>
      </c>
      <c r="W91" s="1282">
        <f t="shared" si="44"/>
        <v>293540.88805277139</v>
      </c>
      <c r="X91" s="1282">
        <f t="shared" si="44"/>
        <v>299411.70581382682</v>
      </c>
      <c r="Y91" s="1282">
        <f t="shared" si="44"/>
        <v>305399.93993010343</v>
      </c>
    </row>
    <row r="92" spans="2:25">
      <c r="D92" s="17" t="s">
        <v>682</v>
      </c>
      <c r="F92" s="1282">
        <f>F83</f>
        <v>8500</v>
      </c>
      <c r="G92" s="1282">
        <f t="shared" ref="G92:Y92" si="45">G83</f>
        <v>8755</v>
      </c>
      <c r="H92" s="1282">
        <f t="shared" si="45"/>
        <v>9017.65</v>
      </c>
      <c r="I92" s="1282">
        <f t="shared" si="45"/>
        <v>9288.1795000000002</v>
      </c>
      <c r="J92" s="1282">
        <f t="shared" si="45"/>
        <v>9566.824885</v>
      </c>
      <c r="K92" s="1282">
        <f t="shared" si="45"/>
        <v>9853.8296315500011</v>
      </c>
      <c r="L92" s="1282">
        <f t="shared" si="45"/>
        <v>10149.444520496501</v>
      </c>
      <c r="M92" s="1282">
        <f t="shared" si="45"/>
        <v>10453.927856111397</v>
      </c>
      <c r="N92" s="1282">
        <f t="shared" si="45"/>
        <v>10767.545691794739</v>
      </c>
      <c r="O92" s="1282">
        <f t="shared" si="45"/>
        <v>11090.572062548583</v>
      </c>
      <c r="P92" s="1282">
        <f t="shared" si="45"/>
        <v>11423.28922442504</v>
      </c>
      <c r="Q92" s="1282">
        <f t="shared" si="45"/>
        <v>11765.98790115779</v>
      </c>
      <c r="R92" s="1282">
        <f t="shared" si="45"/>
        <v>12118.967538192524</v>
      </c>
      <c r="S92" s="1282">
        <f t="shared" si="45"/>
        <v>12482.536564338301</v>
      </c>
      <c r="T92" s="1282">
        <f t="shared" si="45"/>
        <v>12857.012661268451</v>
      </c>
      <c r="U92" s="1282">
        <f t="shared" si="45"/>
        <v>13242.723041106505</v>
      </c>
      <c r="V92" s="1282">
        <f t="shared" si="45"/>
        <v>13640.004732339701</v>
      </c>
      <c r="W92" s="1282">
        <f t="shared" si="45"/>
        <v>14049.204874309893</v>
      </c>
      <c r="X92" s="1282">
        <f t="shared" si="45"/>
        <v>14470.68102053919</v>
      </c>
      <c r="Y92" s="1282">
        <f t="shared" si="45"/>
        <v>14904.801451155367</v>
      </c>
    </row>
    <row r="93" spans="2:25">
      <c r="D93" s="1283" t="s">
        <v>684</v>
      </c>
      <c r="E93" s="1284"/>
      <c r="F93" s="1285">
        <f ca="1">F87</f>
        <v>15469233.616493024</v>
      </c>
      <c r="G93" s="1285">
        <f t="shared" ref="G93:Y93" ca="1" si="46">G87</f>
        <v>225923.14082556215</v>
      </c>
      <c r="H93" s="1285">
        <f t="shared" ca="1" si="46"/>
        <v>233635.60344935735</v>
      </c>
      <c r="I93" s="1285">
        <f t="shared" ca="1" si="46"/>
        <v>241002.16679660403</v>
      </c>
      <c r="J93" s="1285">
        <f t="shared" ca="1" si="46"/>
        <v>248000.90842590088</v>
      </c>
      <c r="K93" s="1285">
        <f t="shared" ca="1" si="46"/>
        <v>254609.01731334298</v>
      </c>
      <c r="L93" s="1285">
        <f t="shared" ca="1" si="46"/>
        <v>260802.76257685851</v>
      </c>
      <c r="M93" s="1285">
        <f t="shared" ca="1" si="46"/>
        <v>266557.46116991993</v>
      </c>
      <c r="N93" s="1285">
        <f t="shared" ca="1" si="46"/>
        <v>271847.4445118453</v>
      </c>
      <c r="O93" s="1285">
        <f t="shared" ca="1" si="46"/>
        <v>276646.02402092231</v>
      </c>
      <c r="P93" s="1285">
        <f t="shared" ca="1" si="46"/>
        <v>280925.45551550377</v>
      </c>
      <c r="Q93" s="1285">
        <f t="shared" ca="1" si="46"/>
        <v>284656.90244716022</v>
      </c>
      <c r="R93" s="1285">
        <f t="shared" ca="1" si="46"/>
        <v>287810.39792884688</v>
      </c>
      <c r="S93" s="1285">
        <f t="shared" ca="1" si="46"/>
        <v>290354.80551990692</v>
      </c>
      <c r="T93" s="1285">
        <f t="shared" ca="1" si="46"/>
        <v>292257.77872852026</v>
      </c>
      <c r="U93" s="1285">
        <f t="shared" ca="1" si="46"/>
        <v>293485.71919100988</v>
      </c>
      <c r="V93" s="1285">
        <f t="shared" ca="1" si="46"/>
        <v>294003.73348614556</v>
      </c>
      <c r="W93" s="1285">
        <f t="shared" ca="1" si="46"/>
        <v>293775.58854128013</v>
      </c>
      <c r="X93" s="1285">
        <f t="shared" ca="1" si="46"/>
        <v>292763.66558583704</v>
      </c>
      <c r="Y93" s="1285">
        <f t="shared" ca="1" si="46"/>
        <v>290928.91260625556</v>
      </c>
    </row>
    <row r="94" spans="2:25">
      <c r="D94" s="1278" t="s">
        <v>685</v>
      </c>
      <c r="F94" s="1282">
        <f ca="1">SUM(F91:F93)</f>
        <v>15687369.529293023</v>
      </c>
      <c r="G94" s="1282">
        <f t="shared" ref="G94:Y94" ca="1" si="47">SUM(G91:G93)</f>
        <v>448506.77188156213</v>
      </c>
      <c r="H94" s="1282">
        <f t="shared" ca="1" si="47"/>
        <v>460758.45712647738</v>
      </c>
      <c r="I94" s="1282">
        <f ca="1">SUM(I91:I93)</f>
        <v>472757.65404726646</v>
      </c>
      <c r="J94" s="1282">
        <f t="shared" ca="1" si="47"/>
        <v>484484.38721657655</v>
      </c>
      <c r="K94" s="1282">
        <f t="shared" ca="1" si="47"/>
        <v>495917.83392868214</v>
      </c>
      <c r="L94" s="1282">
        <f t="shared" ca="1" si="47"/>
        <v>507036.29382081993</v>
      </c>
      <c r="M94" s="1282">
        <f t="shared" ca="1" si="47"/>
        <v>517817.15748396562</v>
      </c>
      <c r="N94" s="1282">
        <f t="shared" ca="1" si="47"/>
        <v>528236.87403073302</v>
      </c>
      <c r="O94" s="1282">
        <f t="shared" ca="1" si="47"/>
        <v>538270.91758710565</v>
      </c>
      <c r="P94" s="1282">
        <f t="shared" ca="1" si="47"/>
        <v>547893.75267363631</v>
      </c>
      <c r="Q94" s="1282">
        <f t="shared" ca="1" si="47"/>
        <v>557078.7984406997</v>
      </c>
      <c r="R94" s="1282">
        <f t="shared" ca="1" si="47"/>
        <v>565798.39172126865</v>
      </c>
      <c r="S94" s="1282">
        <f t="shared" ca="1" si="47"/>
        <v>574023.7488635591</v>
      </c>
      <c r="T94" s="1282">
        <f t="shared" ca="1" si="47"/>
        <v>581724.92630468891</v>
      </c>
      <c r="U94" s="1282">
        <f t="shared" ca="1" si="47"/>
        <v>588870.77984531457</v>
      </c>
      <c r="V94" s="1282">
        <f t="shared" ca="1" si="47"/>
        <v>595428.92258394742</v>
      </c>
      <c r="W94" s="1282">
        <f t="shared" ca="1" si="47"/>
        <v>601365.68146836141</v>
      </c>
      <c r="X94" s="1282">
        <f t="shared" ca="1" si="47"/>
        <v>606646.05242020311</v>
      </c>
      <c r="Y94" s="1282">
        <f t="shared" ca="1" si="47"/>
        <v>611233.65398751432</v>
      </c>
    </row>
    <row r="95" spans="2:25">
      <c r="D95" s="1278" t="s">
        <v>686</v>
      </c>
      <c r="F95" s="1282">
        <f ca="1">F88-F94</f>
        <v>-15268097.703693023</v>
      </c>
      <c r="G95" s="1282">
        <f t="shared" ref="G95:Y95" ca="1" si="48">G88-G94</f>
        <v>-20849.509769562166</v>
      </c>
      <c r="H95" s="1282">
        <f t="shared" ca="1" si="48"/>
        <v>-24548.049772237369</v>
      </c>
      <c r="I95" s="1282">
        <f t="shared" ca="1" si="48"/>
        <v>-27823.038545941643</v>
      </c>
      <c r="J95" s="1282">
        <f t="shared" ca="1" si="48"/>
        <v>-30651.079405225231</v>
      </c>
      <c r="K95" s="1282">
        <f t="shared" ca="1" si="48"/>
        <v>-33007.859961103823</v>
      </c>
      <c r="L95" s="1282">
        <f t="shared" ca="1" si="48"/>
        <v>-34868.120373890037</v>
      </c>
      <c r="M95" s="1282">
        <f t="shared" ca="1" si="48"/>
        <v>-36205.620568097045</v>
      </c>
      <c r="N95" s="1282">
        <f t="shared" ca="1" si="48"/>
        <v>-36993.106376547017</v>
      </c>
      <c r="O95" s="1282">
        <f t="shared" ca="1" si="48"/>
        <v>-37202.274579835997</v>
      </c>
      <c r="P95" s="1282">
        <f t="shared" ca="1" si="48"/>
        <v>-36803.736806221248</v>
      </c>
      <c r="Q95" s="1282">
        <f t="shared" ca="1" si="48"/>
        <v>-35766.982255936251</v>
      </c>
      <c r="R95" s="1282">
        <f t="shared" ca="1" si="48"/>
        <v>-34060.339212810039</v>
      </c>
      <c r="S95" s="1282">
        <f t="shared" ca="1" si="48"/>
        <v>-31650.935304931365</v>
      </c>
      <c r="T95" s="1282">
        <f t="shared" ca="1" si="48"/>
        <v>-28504.656474888558</v>
      </c>
      <c r="U95" s="1282">
        <f t="shared" ca="1" si="48"/>
        <v>-24586.104618918267</v>
      </c>
      <c r="V95" s="1282">
        <f t="shared" ca="1" si="48"/>
        <v>-19858.553853023099</v>
      </c>
      <c r="W95" s="1282">
        <f t="shared" ca="1" si="48"/>
        <v>-14283.905362818623</v>
      </c>
      <c r="X95" s="1282">
        <f t="shared" ca="1" si="48"/>
        <v>-7822.6407925494714</v>
      </c>
      <c r="Y95" s="1282">
        <f t="shared" ca="1" si="48"/>
        <v>-433.77412730746437</v>
      </c>
    </row>
    <row r="96" spans="2:25">
      <c r="I96" s="49"/>
    </row>
  </sheetData>
  <mergeCells count="4">
    <mergeCell ref="F2:J2"/>
    <mergeCell ref="C4:D4"/>
    <mergeCell ref="N2:R2"/>
    <mergeCell ref="D1:E1"/>
  </mergeCells>
  <pageMargins left="0.45" right="0.2" top="0.75" bottom="0.25" header="0.3" footer="0.3"/>
  <pageSetup scale="69" fitToWidth="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fitToPage="1"/>
  </sheetPr>
  <dimension ref="B1:AJ74"/>
  <sheetViews>
    <sheetView showGridLines="0" topLeftCell="A24" zoomScale="80" zoomScaleNormal="80" workbookViewId="0">
      <selection activeCell="D38" sqref="D38"/>
    </sheetView>
  </sheetViews>
  <sheetFormatPr baseColWidth="10" defaultColWidth="8.83203125" defaultRowHeight="15"/>
  <cols>
    <col min="1" max="1" width="2.5" customWidth="1"/>
    <col min="2" max="2" width="11.5" customWidth="1"/>
    <col min="6" max="6" width="13.1640625" customWidth="1"/>
    <col min="7" max="7" width="14" customWidth="1"/>
    <col min="8" max="8" width="10.5" style="1302" customWidth="1"/>
    <col min="10" max="10" width="11.1640625" customWidth="1"/>
    <col min="12" max="12" width="18.5" customWidth="1"/>
    <col min="14" max="14" width="12.83203125" bestFit="1" customWidth="1"/>
    <col min="15" max="17" width="12.5" customWidth="1"/>
    <col min="18" max="18" width="2.5" customWidth="1"/>
    <col min="19" max="19" width="10.5" customWidth="1"/>
    <col min="22" max="22" width="10.5" style="17" bestFit="1" customWidth="1"/>
    <col min="23" max="23" width="8.5" style="17" bestFit="1" customWidth="1"/>
  </cols>
  <sheetData>
    <row r="1" spans="2:23" ht="19">
      <c r="B1" s="171" t="str">
        <f>'Summary Sources-Uses'!A2</f>
        <v>Project Name</v>
      </c>
      <c r="C1" s="167"/>
      <c r="D1" s="167"/>
      <c r="E1" s="167"/>
      <c r="F1" s="167"/>
      <c r="G1" s="554">
        <f>'Summary Sources-Uses'!L2</f>
        <v>0</v>
      </c>
      <c r="H1" s="1298"/>
      <c r="I1" s="167"/>
      <c r="J1" s="167"/>
      <c r="K1" s="167"/>
      <c r="L1" s="998"/>
      <c r="M1" s="625"/>
      <c r="N1" s="167"/>
      <c r="O1" s="167"/>
      <c r="P1" s="167"/>
      <c r="Q1" s="854">
        <f>'Summary Sources-Uses'!L1</f>
        <v>45960</v>
      </c>
      <c r="R1" s="167"/>
      <c r="S1" s="167"/>
      <c r="T1" s="167"/>
    </row>
    <row r="2" spans="2:23" ht="19">
      <c r="B2" s="171"/>
      <c r="C2" s="167"/>
      <c r="D2" s="167"/>
      <c r="E2" s="167"/>
      <c r="F2" s="167"/>
      <c r="G2" s="167"/>
      <c r="H2" s="1299"/>
      <c r="I2" s="167"/>
      <c r="N2" s="847" t="s">
        <v>420</v>
      </c>
      <c r="O2" s="848"/>
      <c r="P2" s="848"/>
      <c r="Q2" s="848"/>
      <c r="R2" s="167"/>
      <c r="S2" s="167"/>
      <c r="T2" s="167"/>
    </row>
    <row r="3" spans="2:23">
      <c r="B3" s="167"/>
      <c r="C3" s="167" t="s">
        <v>170</v>
      </c>
      <c r="D3" s="167"/>
      <c r="E3" s="167"/>
      <c r="F3" s="172">
        <f ca="1">'Summary Sources-Uses'!E37</f>
        <v>946178.12291159155</v>
      </c>
      <c r="G3" s="167"/>
      <c r="H3" s="1299"/>
      <c r="I3" s="167"/>
      <c r="J3" s="167" t="s">
        <v>171</v>
      </c>
      <c r="K3" s="167"/>
      <c r="L3" s="167"/>
      <c r="M3" s="167"/>
      <c r="N3" s="173">
        <f ca="1">F3</f>
        <v>946178.12291159155</v>
      </c>
      <c r="O3" s="173"/>
      <c r="P3" s="1022" t="s">
        <v>199</v>
      </c>
      <c r="Q3" s="998">
        <f>'Flow of Funds'!H3</f>
        <v>46447</v>
      </c>
      <c r="R3" s="167"/>
      <c r="S3" s="167"/>
      <c r="T3" s="167"/>
    </row>
    <row r="4" spans="2:23">
      <c r="B4" s="167"/>
      <c r="C4" s="167" t="s">
        <v>172</v>
      </c>
      <c r="D4" s="167"/>
      <c r="E4" s="167"/>
      <c r="F4" s="174">
        <f>TotalUnitCount</f>
        <v>221</v>
      </c>
      <c r="G4" s="167"/>
      <c r="H4" s="1299"/>
      <c r="I4" s="167"/>
      <c r="J4" s="167" t="s">
        <v>173</v>
      </c>
      <c r="K4" s="167"/>
      <c r="L4" s="167"/>
      <c r="M4" s="167"/>
      <c r="N4" s="170">
        <v>0.99990000000000001</v>
      </c>
      <c r="O4" s="170"/>
      <c r="P4" s="1023" t="s">
        <v>593</v>
      </c>
      <c r="Q4" s="167">
        <v>22</v>
      </c>
      <c r="R4" s="167"/>
      <c r="S4" s="167"/>
      <c r="T4" s="167"/>
    </row>
    <row r="5" spans="2:23">
      <c r="B5" s="167"/>
      <c r="C5" s="167" t="s">
        <v>174</v>
      </c>
      <c r="D5" s="167"/>
      <c r="E5" s="167"/>
      <c r="F5" s="175">
        <v>212</v>
      </c>
      <c r="G5" s="167"/>
      <c r="H5" s="1299"/>
      <c r="I5" s="167"/>
      <c r="J5" s="167" t="s">
        <v>175</v>
      </c>
      <c r="K5" s="167"/>
      <c r="L5" s="167"/>
      <c r="M5" s="167"/>
      <c r="N5" s="203">
        <f>'Summary Sources-Uses'!D38</f>
        <v>0.87</v>
      </c>
      <c r="O5" s="538"/>
      <c r="P5" s="1024" t="s">
        <v>255</v>
      </c>
      <c r="Q5" s="998">
        <f>EDATE(Q3,Q4)</f>
        <v>47119</v>
      </c>
      <c r="R5" s="167"/>
      <c r="S5" s="167"/>
      <c r="T5" s="167"/>
    </row>
    <row r="6" spans="2:23">
      <c r="B6" s="167"/>
      <c r="C6" s="167" t="s">
        <v>391</v>
      </c>
      <c r="D6" s="167"/>
      <c r="E6" s="167"/>
      <c r="F6" s="539">
        <f ca="1">(F3/F5)/12*N4</f>
        <v>371.88817024343564</v>
      </c>
      <c r="G6" s="167"/>
      <c r="H6" s="1299"/>
      <c r="I6" s="167"/>
      <c r="J6" s="167"/>
      <c r="K6" s="167"/>
      <c r="L6" s="167"/>
      <c r="M6" s="167"/>
      <c r="N6" s="167"/>
      <c r="O6" s="167"/>
      <c r="P6" s="1025"/>
      <c r="Q6" s="167"/>
      <c r="R6" s="167"/>
      <c r="S6" s="167"/>
      <c r="T6" s="167"/>
    </row>
    <row r="7" spans="2:23" ht="16" thickBot="1">
      <c r="B7" s="167"/>
      <c r="C7" s="167"/>
      <c r="D7" s="167"/>
      <c r="E7" s="167"/>
      <c r="F7" s="167"/>
      <c r="G7" s="167"/>
      <c r="H7" s="1299"/>
      <c r="I7" s="167"/>
      <c r="J7" s="176"/>
      <c r="K7" s="177" t="s">
        <v>176</v>
      </c>
      <c r="L7" s="177"/>
      <c r="M7" s="177"/>
      <c r="N7" s="178">
        <f ca="1">'Summary Sources-Uses'!E39</f>
        <v>8230926.4943639124</v>
      </c>
      <c r="O7" s="537"/>
      <c r="P7" s="1026" t="s">
        <v>689</v>
      </c>
      <c r="Q7" s="167">
        <v>25</v>
      </c>
      <c r="R7" s="167"/>
      <c r="S7" s="167"/>
      <c r="T7" s="167"/>
    </row>
    <row r="8" spans="2:23" ht="16" thickBot="1">
      <c r="B8" s="179" t="s">
        <v>177</v>
      </c>
      <c r="C8" s="180"/>
      <c r="D8" s="180"/>
      <c r="E8" s="181"/>
      <c r="F8" s="182"/>
      <c r="G8" s="167"/>
      <c r="H8" s="1299"/>
      <c r="I8" s="167"/>
      <c r="J8" s="167"/>
      <c r="K8" s="167"/>
      <c r="L8" s="167"/>
      <c r="M8" s="167"/>
      <c r="N8" s="173"/>
      <c r="O8" s="173"/>
      <c r="P8" s="1022"/>
      <c r="Q8" s="167"/>
      <c r="R8" s="167"/>
      <c r="S8" s="167"/>
      <c r="T8" s="167"/>
    </row>
    <row r="9" spans="2:23">
      <c r="B9" s="167"/>
      <c r="C9" s="183" t="s">
        <v>178</v>
      </c>
      <c r="D9" s="167"/>
      <c r="E9" s="167"/>
      <c r="F9" s="167"/>
      <c r="G9" s="167"/>
      <c r="H9" s="1299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</row>
    <row r="10" spans="2:23">
      <c r="B10" s="184" t="s">
        <v>24</v>
      </c>
      <c r="C10" s="184" t="s">
        <v>179</v>
      </c>
      <c r="D10" s="184" t="s">
        <v>180</v>
      </c>
      <c r="E10" s="184" t="s">
        <v>181</v>
      </c>
      <c r="F10" s="184" t="s">
        <v>10</v>
      </c>
      <c r="G10" s="167"/>
      <c r="H10" s="1299"/>
      <c r="I10" s="391" t="s">
        <v>182</v>
      </c>
      <c r="J10" s="392"/>
      <c r="K10" s="392"/>
      <c r="L10" s="392"/>
      <c r="M10" s="392"/>
      <c r="N10" s="392"/>
      <c r="O10" s="392"/>
      <c r="P10" s="392"/>
      <c r="Q10" s="396"/>
      <c r="R10" s="167"/>
      <c r="S10" s="167"/>
      <c r="T10" s="167"/>
    </row>
    <row r="11" spans="2:23" ht="16" thickBot="1">
      <c r="B11" s="185">
        <f>YEAR(Q5)</f>
        <v>2029</v>
      </c>
      <c r="C11" s="186" t="s">
        <v>183</v>
      </c>
      <c r="D11" s="186" t="s">
        <v>184</v>
      </c>
      <c r="E11" s="186" t="s">
        <v>185</v>
      </c>
      <c r="F11" s="186" t="s">
        <v>186</v>
      </c>
      <c r="G11" s="167"/>
      <c r="H11" s="1299"/>
      <c r="I11" s="389"/>
      <c r="J11" s="390"/>
      <c r="K11" s="393" t="s">
        <v>328</v>
      </c>
      <c r="L11" s="395" t="s">
        <v>331</v>
      </c>
      <c r="M11" s="394" t="s">
        <v>332</v>
      </c>
      <c r="N11" s="393" t="s">
        <v>329</v>
      </c>
      <c r="O11" s="394" t="s">
        <v>330</v>
      </c>
      <c r="P11" s="397" t="s">
        <v>59</v>
      </c>
      <c r="Q11" s="394" t="s">
        <v>394</v>
      </c>
      <c r="R11" s="167"/>
      <c r="S11" s="167"/>
      <c r="T11" s="167"/>
    </row>
    <row r="12" spans="2:23" ht="16" thickTop="1">
      <c r="B12" s="187" t="s">
        <v>188</v>
      </c>
      <c r="C12" s="188">
        <v>0</v>
      </c>
      <c r="D12" s="169">
        <f>C12</f>
        <v>0</v>
      </c>
      <c r="E12" s="189">
        <v>0</v>
      </c>
      <c r="F12" s="204">
        <f>D12*E12</f>
        <v>0</v>
      </c>
      <c r="G12" s="167"/>
      <c r="H12" s="1300">
        <f>DATE(I12,1,1)</f>
        <v>45658</v>
      </c>
      <c r="I12" s="877">
        <v>2025</v>
      </c>
      <c r="J12" s="883" t="s">
        <v>188</v>
      </c>
      <c r="K12" s="881"/>
      <c r="L12" s="881"/>
      <c r="M12" s="871"/>
      <c r="N12" s="864"/>
      <c r="O12" s="864"/>
      <c r="P12" s="865"/>
      <c r="Q12" s="871"/>
      <c r="R12" s="167"/>
      <c r="S12" s="167"/>
      <c r="T12" s="167"/>
    </row>
    <row r="13" spans="2:23">
      <c r="B13" s="187" t="s">
        <v>190</v>
      </c>
      <c r="C13" s="188">
        <v>0</v>
      </c>
      <c r="D13" s="169">
        <f>D12+C13</f>
        <v>0</v>
      </c>
      <c r="E13" s="189">
        <v>0</v>
      </c>
      <c r="F13" s="204">
        <f t="shared" ref="F13:F22" si="0">D13*E13</f>
        <v>0</v>
      </c>
      <c r="G13" s="167"/>
      <c r="H13" s="1300">
        <f t="shared" ref="H13:H59" si="1">EDATE(H12,1)</f>
        <v>45689</v>
      </c>
      <c r="I13" s="553"/>
      <c r="J13" s="884" t="s">
        <v>190</v>
      </c>
      <c r="K13" s="309"/>
      <c r="L13" s="309"/>
      <c r="M13" s="398"/>
      <c r="P13" s="399"/>
      <c r="Q13" s="398"/>
      <c r="R13" s="167"/>
      <c r="S13" s="202"/>
    </row>
    <row r="14" spans="2:23">
      <c r="B14" s="187" t="s">
        <v>192</v>
      </c>
      <c r="C14" s="188">
        <v>0</v>
      </c>
      <c r="D14" s="169">
        <f t="shared" ref="D14:D23" si="2">D13+C14</f>
        <v>0</v>
      </c>
      <c r="E14" s="189">
        <v>0</v>
      </c>
      <c r="F14" s="204">
        <f t="shared" si="0"/>
        <v>0</v>
      </c>
      <c r="G14" s="167"/>
      <c r="H14" s="1300">
        <f t="shared" si="1"/>
        <v>45717</v>
      </c>
      <c r="I14" s="553"/>
      <c r="J14" s="884" t="s">
        <v>192</v>
      </c>
      <c r="K14" s="993"/>
      <c r="L14" s="992"/>
      <c r="N14" s="992"/>
      <c r="P14" s="993"/>
      <c r="Q14" s="993"/>
      <c r="R14" s="167"/>
      <c r="S14" s="167"/>
      <c r="T14" s="167"/>
      <c r="V14" s="534"/>
      <c r="W14" s="534"/>
    </row>
    <row r="15" spans="2:23">
      <c r="B15" s="187" t="s">
        <v>194</v>
      </c>
      <c r="C15" s="188">
        <v>0</v>
      </c>
      <c r="D15" s="169">
        <f t="shared" si="2"/>
        <v>0</v>
      </c>
      <c r="E15" s="189">
        <v>0</v>
      </c>
      <c r="F15" s="204">
        <f t="shared" si="0"/>
        <v>0</v>
      </c>
      <c r="G15" s="167"/>
      <c r="H15" s="1300">
        <f t="shared" si="1"/>
        <v>45748</v>
      </c>
      <c r="I15" s="553"/>
      <c r="J15" s="999" t="s">
        <v>537</v>
      </c>
      <c r="K15" s="1000"/>
      <c r="L15" s="992"/>
      <c r="M15" s="1002"/>
      <c r="N15" s="1003"/>
      <c r="O15" s="419"/>
      <c r="P15" s="1004"/>
      <c r="Q15" s="1005"/>
      <c r="R15" s="167"/>
      <c r="S15" s="167"/>
      <c r="T15" s="167"/>
      <c r="V15" s="534"/>
      <c r="W15" s="534"/>
    </row>
    <row r="16" spans="2:23">
      <c r="B16" s="187" t="s">
        <v>196</v>
      </c>
      <c r="C16" s="188">
        <v>0</v>
      </c>
      <c r="D16" s="169">
        <f t="shared" si="2"/>
        <v>0</v>
      </c>
      <c r="E16" s="189">
        <v>0</v>
      </c>
      <c r="F16" s="204">
        <f t="shared" si="0"/>
        <v>0</v>
      </c>
      <c r="G16" s="167"/>
      <c r="H16" s="1300">
        <f t="shared" si="1"/>
        <v>45778</v>
      </c>
      <c r="I16" s="553"/>
      <c r="J16" s="884" t="s">
        <v>538</v>
      </c>
      <c r="K16" s="309"/>
      <c r="L16" s="898"/>
      <c r="M16" s="398"/>
      <c r="P16" s="399"/>
      <c r="Q16" s="398"/>
      <c r="R16" s="167"/>
      <c r="S16" s="167"/>
      <c r="T16" s="167"/>
      <c r="V16" s="534"/>
      <c r="W16" s="534"/>
    </row>
    <row r="17" spans="2:36">
      <c r="B17" s="187" t="s">
        <v>198</v>
      </c>
      <c r="C17" s="188">
        <v>0</v>
      </c>
      <c r="D17" s="169">
        <f t="shared" si="2"/>
        <v>0</v>
      </c>
      <c r="E17" s="189">
        <v>0</v>
      </c>
      <c r="F17" s="204">
        <f t="shared" si="0"/>
        <v>0</v>
      </c>
      <c r="G17" s="167"/>
      <c r="H17" s="1300">
        <f t="shared" si="1"/>
        <v>45809</v>
      </c>
      <c r="I17" s="553"/>
      <c r="J17" s="884" t="s">
        <v>198</v>
      </c>
      <c r="K17" s="309"/>
      <c r="L17" s="309"/>
      <c r="M17" s="398"/>
      <c r="P17" s="399"/>
      <c r="Q17" s="398"/>
      <c r="R17" s="167"/>
      <c r="S17" s="167"/>
      <c r="T17" s="167"/>
      <c r="V17" s="534"/>
      <c r="W17" s="534"/>
    </row>
    <row r="18" spans="2:36">
      <c r="B18" s="187" t="s">
        <v>187</v>
      </c>
      <c r="C18" s="188">
        <v>0</v>
      </c>
      <c r="D18" s="169">
        <f t="shared" si="2"/>
        <v>0</v>
      </c>
      <c r="E18" s="189">
        <v>0</v>
      </c>
      <c r="F18" s="204">
        <f t="shared" si="0"/>
        <v>0</v>
      </c>
      <c r="G18" s="167"/>
      <c r="H18" s="1300">
        <f t="shared" si="1"/>
        <v>45839</v>
      </c>
      <c r="I18" s="878"/>
      <c r="J18" s="876" t="s">
        <v>187</v>
      </c>
      <c r="K18" s="309"/>
      <c r="L18" s="309"/>
      <c r="M18" s="398"/>
      <c r="P18" s="399"/>
      <c r="Q18" s="399"/>
      <c r="R18" s="167"/>
      <c r="S18" s="205"/>
      <c r="T18" s="202"/>
      <c r="V18" s="534"/>
      <c r="W18" s="534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8"/>
      <c r="AJ18" s="190"/>
    </row>
    <row r="19" spans="2:36">
      <c r="B19" s="187" t="s">
        <v>189</v>
      </c>
      <c r="C19" s="188">
        <v>0</v>
      </c>
      <c r="D19" s="169">
        <f t="shared" si="2"/>
        <v>0</v>
      </c>
      <c r="E19" s="189">
        <v>0</v>
      </c>
      <c r="F19" s="204">
        <f t="shared" si="0"/>
        <v>0</v>
      </c>
      <c r="G19" s="167"/>
      <c r="H19" s="1300">
        <f t="shared" si="1"/>
        <v>45870</v>
      </c>
      <c r="I19" s="553"/>
      <c r="J19" s="876" t="s">
        <v>536</v>
      </c>
      <c r="K19" s="309"/>
      <c r="L19" s="896"/>
      <c r="M19" s="398"/>
      <c r="N19" s="1535"/>
      <c r="P19" s="399"/>
      <c r="Q19" s="811"/>
      <c r="R19" s="167"/>
      <c r="S19" s="1242"/>
      <c r="T19" s="167"/>
      <c r="U19" s="167"/>
      <c r="V19" s="534"/>
      <c r="W19" s="534"/>
      <c r="X19" s="167"/>
      <c r="Y19" s="167"/>
      <c r="Z19" s="167"/>
      <c r="AA19" s="167"/>
      <c r="AB19" s="167"/>
      <c r="AC19" s="167"/>
      <c r="AD19" s="167"/>
      <c r="AE19" s="167"/>
      <c r="AF19" s="167"/>
      <c r="AG19" s="167"/>
      <c r="AH19" s="167"/>
      <c r="AI19" s="168"/>
      <c r="AJ19" s="190"/>
    </row>
    <row r="20" spans="2:36">
      <c r="B20" s="187" t="s">
        <v>191</v>
      </c>
      <c r="C20" s="188">
        <v>6</v>
      </c>
      <c r="D20" s="169">
        <f t="shared" si="2"/>
        <v>6</v>
      </c>
      <c r="E20" s="189">
        <v>0</v>
      </c>
      <c r="F20" s="204">
        <f t="shared" si="0"/>
        <v>0</v>
      </c>
      <c r="G20" s="167"/>
      <c r="H20" s="1300">
        <f t="shared" si="1"/>
        <v>45901</v>
      </c>
      <c r="I20" s="553"/>
      <c r="J20" s="876" t="s">
        <v>191</v>
      </c>
      <c r="K20" s="309"/>
      <c r="L20" s="896"/>
      <c r="M20" s="398"/>
      <c r="N20" s="1535"/>
      <c r="P20" s="399"/>
      <c r="Q20" s="811"/>
      <c r="R20" s="167"/>
      <c r="S20" s="1547"/>
      <c r="T20" s="167"/>
      <c r="U20" s="167"/>
      <c r="V20" s="534"/>
      <c r="W20" s="534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8"/>
      <c r="AJ20" s="190"/>
    </row>
    <row r="21" spans="2:36">
      <c r="B21" s="187" t="s">
        <v>193</v>
      </c>
      <c r="C21" s="188">
        <v>10</v>
      </c>
      <c r="D21" s="169">
        <f t="shared" si="2"/>
        <v>16</v>
      </c>
      <c r="E21" s="189">
        <v>0</v>
      </c>
      <c r="F21" s="204">
        <f t="shared" si="0"/>
        <v>0</v>
      </c>
      <c r="G21" s="167"/>
      <c r="H21" s="1300">
        <f t="shared" si="1"/>
        <v>45931</v>
      </c>
      <c r="I21" s="553"/>
      <c r="J21" s="876" t="s">
        <v>193</v>
      </c>
      <c r="K21" s="309"/>
      <c r="L21" s="896"/>
      <c r="M21" s="398"/>
      <c r="N21" s="1535"/>
      <c r="P21" s="399"/>
      <c r="Q21" s="811"/>
      <c r="R21" s="167"/>
      <c r="T21" s="167"/>
      <c r="U21" s="167"/>
      <c r="V21" s="534"/>
      <c r="W21" s="534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8"/>
      <c r="AJ21" s="190"/>
    </row>
    <row r="22" spans="2:36">
      <c r="B22" s="187" t="s">
        <v>195</v>
      </c>
      <c r="C22" s="188">
        <v>15</v>
      </c>
      <c r="D22" s="169">
        <f t="shared" si="2"/>
        <v>31</v>
      </c>
      <c r="E22" s="189">
        <v>0</v>
      </c>
      <c r="F22" s="204">
        <f t="shared" si="0"/>
        <v>0</v>
      </c>
      <c r="G22" s="191"/>
      <c r="H22" s="1301">
        <f t="shared" si="1"/>
        <v>45962</v>
      </c>
      <c r="I22" s="1616"/>
      <c r="J22" s="1594" t="s">
        <v>195</v>
      </c>
      <c r="K22" s="1595">
        <v>0</v>
      </c>
      <c r="L22" s="895" t="s">
        <v>481</v>
      </c>
      <c r="M22" s="1617"/>
      <c r="N22" s="962">
        <f ca="1">$N$7*Q22</f>
        <v>823092.64943639131</v>
      </c>
      <c r="O22" s="1618"/>
      <c r="P22" s="1619"/>
      <c r="Q22" s="971">
        <v>0.1</v>
      </c>
      <c r="R22" s="167"/>
      <c r="S22" s="1242">
        <v>0.1</v>
      </c>
      <c r="T22" s="167"/>
      <c r="U22" s="167"/>
      <c r="V22" s="534"/>
      <c r="W22" s="534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8"/>
      <c r="AJ22" s="190"/>
    </row>
    <row r="23" spans="2:36" ht="16" thickBot="1">
      <c r="B23" s="192" t="s">
        <v>197</v>
      </c>
      <c r="C23" s="193">
        <v>20</v>
      </c>
      <c r="D23" s="169">
        <f t="shared" si="2"/>
        <v>51</v>
      </c>
      <c r="E23" s="195">
        <v>0</v>
      </c>
      <c r="F23" s="196">
        <f>D23*E23</f>
        <v>0</v>
      </c>
      <c r="G23" s="167"/>
      <c r="H23" s="1300">
        <f t="shared" si="1"/>
        <v>45992</v>
      </c>
      <c r="I23" s="879"/>
      <c r="J23" s="876" t="s">
        <v>197</v>
      </c>
      <c r="K23" s="969">
        <f t="shared" ref="K23:K59" si="3">K22+1</f>
        <v>1</v>
      </c>
      <c r="L23" s="970"/>
      <c r="M23" s="964"/>
      <c r="N23" s="965"/>
      <c r="O23" s="966"/>
      <c r="P23" s="967"/>
      <c r="Q23" s="968"/>
      <c r="R23" s="167"/>
      <c r="S23" s="205"/>
      <c r="T23" s="167"/>
      <c r="U23" s="167"/>
      <c r="V23" s="534"/>
      <c r="W23" s="534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8"/>
      <c r="AJ23" s="190"/>
    </row>
    <row r="24" spans="2:36" ht="16" thickTop="1">
      <c r="B24" s="197" t="s">
        <v>200</v>
      </c>
      <c r="C24" s="198">
        <f>SUM(C12:C23)</f>
        <v>51</v>
      </c>
      <c r="D24" s="974">
        <f>D23</f>
        <v>51</v>
      </c>
      <c r="E24" s="200"/>
      <c r="F24" s="201">
        <f>SUM(F20:F23)</f>
        <v>0</v>
      </c>
      <c r="G24" s="167"/>
      <c r="H24" s="1300">
        <f t="shared" si="1"/>
        <v>46023</v>
      </c>
      <c r="I24" s="877">
        <f>I12+1</f>
        <v>2026</v>
      </c>
      <c r="J24" s="1011" t="s">
        <v>188</v>
      </c>
      <c r="K24" s="1012">
        <f t="shared" si="3"/>
        <v>2</v>
      </c>
      <c r="L24" s="1001"/>
      <c r="M24" s="1015"/>
      <c r="N24" s="1016"/>
      <c r="O24" s="1017"/>
      <c r="P24" s="419"/>
      <c r="Q24" s="1018"/>
      <c r="R24" s="167"/>
      <c r="S24" s="205"/>
      <c r="T24" s="167"/>
      <c r="U24" s="167"/>
      <c r="V24" s="534"/>
      <c r="W24" s="534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8"/>
      <c r="AJ24" s="190"/>
    </row>
    <row r="25" spans="2:36">
      <c r="B25" s="167"/>
      <c r="C25" s="167"/>
      <c r="D25" s="167"/>
      <c r="E25" s="167"/>
      <c r="F25" s="167"/>
      <c r="G25" s="167"/>
      <c r="H25" s="1300">
        <f t="shared" si="1"/>
        <v>46054</v>
      </c>
      <c r="I25" s="553"/>
      <c r="J25" s="876" t="s">
        <v>190</v>
      </c>
      <c r="K25" s="399">
        <f t="shared" si="3"/>
        <v>3</v>
      </c>
      <c r="N25" s="309"/>
      <c r="O25" s="398"/>
      <c r="Q25" s="399"/>
      <c r="R25" s="167"/>
      <c r="S25" s="205"/>
      <c r="T25" s="167"/>
      <c r="U25" s="167"/>
      <c r="V25" s="534"/>
      <c r="W25" s="534"/>
      <c r="X25" s="167"/>
      <c r="Y25" s="167"/>
      <c r="Z25" s="167"/>
      <c r="AA25" s="167"/>
      <c r="AB25" s="167"/>
      <c r="AC25" s="167"/>
      <c r="AD25" s="167"/>
      <c r="AE25" s="167"/>
      <c r="AF25" s="167"/>
      <c r="AG25" s="167"/>
      <c r="AH25" s="167"/>
      <c r="AI25" s="168"/>
      <c r="AJ25" s="190"/>
    </row>
    <row r="26" spans="2:36">
      <c r="B26" s="167"/>
      <c r="C26" s="167"/>
      <c r="D26" s="167"/>
      <c r="E26" s="167"/>
      <c r="F26" s="167"/>
      <c r="G26" s="167"/>
      <c r="H26" s="1300">
        <f t="shared" si="1"/>
        <v>46082</v>
      </c>
      <c r="I26" s="553"/>
      <c r="J26" s="876" t="s">
        <v>192</v>
      </c>
      <c r="K26" s="399">
        <f t="shared" si="3"/>
        <v>4</v>
      </c>
      <c r="L26" s="309"/>
      <c r="M26" s="973"/>
      <c r="N26" s="309"/>
      <c r="O26" s="882"/>
      <c r="P26" s="213"/>
      <c r="Q26" s="399"/>
      <c r="R26" s="167"/>
      <c r="S26" s="205"/>
      <c r="T26" s="167"/>
      <c r="U26" s="167"/>
      <c r="V26" s="534"/>
      <c r="W26" s="534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8"/>
      <c r="AJ26" s="190"/>
    </row>
    <row r="27" spans="2:36">
      <c r="B27" s="184" t="s">
        <v>24</v>
      </c>
      <c r="C27" s="184" t="s">
        <v>179</v>
      </c>
      <c r="D27" s="184" t="s">
        <v>180</v>
      </c>
      <c r="E27" s="184" t="s">
        <v>181</v>
      </c>
      <c r="F27" s="184" t="s">
        <v>10</v>
      </c>
      <c r="G27" s="167"/>
      <c r="H27" s="1300">
        <f t="shared" si="1"/>
        <v>46113</v>
      </c>
      <c r="I27" s="553"/>
      <c r="J27" s="876" t="s">
        <v>537</v>
      </c>
      <c r="K27" s="399">
        <f t="shared" si="3"/>
        <v>5</v>
      </c>
      <c r="L27" s="1001"/>
      <c r="M27" s="419"/>
      <c r="N27" s="1013"/>
      <c r="O27" s="1002"/>
      <c r="P27" s="419"/>
      <c r="Q27" s="1014"/>
      <c r="R27" s="167"/>
      <c r="S27" s="202"/>
      <c r="T27" s="167"/>
      <c r="U27" s="167"/>
      <c r="V27" s="534"/>
      <c r="W27" s="534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8"/>
      <c r="AJ27" s="190"/>
    </row>
    <row r="28" spans="2:36" ht="16" thickBot="1">
      <c r="B28" s="185">
        <f>B11+1</f>
        <v>2030</v>
      </c>
      <c r="C28" s="186" t="s">
        <v>183</v>
      </c>
      <c r="D28" s="186" t="s">
        <v>184</v>
      </c>
      <c r="E28" s="186" t="s">
        <v>185</v>
      </c>
      <c r="F28" s="186" t="s">
        <v>186</v>
      </c>
      <c r="G28" s="167"/>
      <c r="H28" s="1300">
        <f t="shared" si="1"/>
        <v>46143</v>
      </c>
      <c r="I28" s="553"/>
      <c r="J28" s="876" t="s">
        <v>538</v>
      </c>
      <c r="K28" s="399">
        <f t="shared" si="3"/>
        <v>6</v>
      </c>
      <c r="L28" s="309"/>
      <c r="N28" s="309"/>
      <c r="O28" s="388"/>
      <c r="P28" s="169"/>
      <c r="Q28" s="399"/>
      <c r="R28" s="167"/>
      <c r="S28" s="205"/>
      <c r="T28" s="167"/>
      <c r="U28" s="167"/>
      <c r="V28" s="534"/>
      <c r="W28" s="534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8"/>
      <c r="AJ28" s="190"/>
    </row>
    <row r="29" spans="2:36" ht="16" thickTop="1">
      <c r="B29" s="187" t="s">
        <v>188</v>
      </c>
      <c r="C29" s="188">
        <v>20</v>
      </c>
      <c r="D29" s="169">
        <f>D23+C29</f>
        <v>71</v>
      </c>
      <c r="E29" s="189">
        <f ca="1">F$6</f>
        <v>371.88817024343564</v>
      </c>
      <c r="F29" s="204">
        <f ca="1">D29*E29</f>
        <v>26404.060087283931</v>
      </c>
      <c r="G29" s="167"/>
      <c r="H29" s="1300">
        <f t="shared" si="1"/>
        <v>46174</v>
      </c>
      <c r="I29" s="553"/>
      <c r="J29" s="876" t="s">
        <v>198</v>
      </c>
      <c r="K29" s="399">
        <f t="shared" si="3"/>
        <v>7</v>
      </c>
      <c r="L29" s="896"/>
      <c r="N29" s="1288"/>
      <c r="O29" s="398"/>
      <c r="Q29" s="528"/>
      <c r="S29" s="205"/>
      <c r="T29" s="167"/>
      <c r="U29" s="167"/>
      <c r="V29" s="534"/>
      <c r="W29" s="534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8"/>
      <c r="AJ29" s="190"/>
    </row>
    <row r="30" spans="2:36">
      <c r="B30" s="1305" t="s">
        <v>190</v>
      </c>
      <c r="C30" s="1233">
        <v>25</v>
      </c>
      <c r="D30" s="169">
        <f>D29+C30</f>
        <v>96</v>
      </c>
      <c r="E30" s="1234">
        <f t="shared" ref="E30:E40" ca="1" si="4">F$6</f>
        <v>371.88817024343564</v>
      </c>
      <c r="F30" s="1235">
        <f t="shared" ref="F30:F39" ca="1" si="5">D30*E30</f>
        <v>35701.264343369825</v>
      </c>
      <c r="G30" s="167"/>
      <c r="H30" s="1300">
        <f t="shared" si="1"/>
        <v>46204</v>
      </c>
      <c r="I30" s="878"/>
      <c r="J30" s="876" t="s">
        <v>187</v>
      </c>
      <c r="K30" s="399">
        <f t="shared" si="3"/>
        <v>8</v>
      </c>
      <c r="L30" s="896"/>
      <c r="N30" s="1288"/>
      <c r="O30" s="398"/>
      <c r="Q30" s="528"/>
      <c r="R30" s="167"/>
      <c r="S30" s="205"/>
      <c r="T30" s="167"/>
      <c r="U30" s="167"/>
      <c r="V30" s="534"/>
      <c r="W30" s="534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8"/>
      <c r="AJ30" s="190"/>
    </row>
    <row r="31" spans="2:36">
      <c r="B31" s="1305" t="s">
        <v>192</v>
      </c>
      <c r="C31" s="1233">
        <f>MIN($F$5-SUM($C$24,$C$29:C30),$Q$7)</f>
        <v>25</v>
      </c>
      <c r="D31" s="169">
        <f>D30+C31</f>
        <v>121</v>
      </c>
      <c r="E31" s="1234">
        <f t="shared" ca="1" si="4"/>
        <v>371.88817024343564</v>
      </c>
      <c r="F31" s="1235">
        <f t="shared" ca="1" si="5"/>
        <v>44998.468599455715</v>
      </c>
      <c r="G31" s="167"/>
      <c r="H31" s="1300">
        <f t="shared" si="1"/>
        <v>46235</v>
      </c>
      <c r="I31" s="553"/>
      <c r="J31" s="876" t="s">
        <v>536</v>
      </c>
      <c r="K31" s="399">
        <f t="shared" si="3"/>
        <v>9</v>
      </c>
      <c r="L31" s="896"/>
      <c r="N31" s="1288"/>
      <c r="O31" s="398"/>
      <c r="Q31" s="528"/>
      <c r="R31" s="167"/>
      <c r="S31" s="205"/>
      <c r="T31" s="167"/>
      <c r="U31" s="167"/>
      <c r="V31" s="534"/>
      <c r="W31" s="534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8"/>
      <c r="AJ31" s="190"/>
    </row>
    <row r="32" spans="2:36">
      <c r="B32" s="1305" t="s">
        <v>194</v>
      </c>
      <c r="C32" s="1233">
        <f>MIN($F$5-SUM($C$24,$C$29:C31),$Q$7)</f>
        <v>25</v>
      </c>
      <c r="D32" s="169">
        <f>D31+C32</f>
        <v>146</v>
      </c>
      <c r="E32" s="1234">
        <f t="shared" ca="1" si="4"/>
        <v>371.88817024343564</v>
      </c>
      <c r="F32" s="1235">
        <f t="shared" ca="1" si="5"/>
        <v>54295.672855541605</v>
      </c>
      <c r="G32" s="167"/>
      <c r="H32" s="1300">
        <f t="shared" si="1"/>
        <v>46266</v>
      </c>
      <c r="I32" s="553"/>
      <c r="J32" s="876" t="s">
        <v>191</v>
      </c>
      <c r="K32" s="399">
        <f t="shared" si="3"/>
        <v>10</v>
      </c>
      <c r="L32" s="309"/>
      <c r="M32" s="973"/>
      <c r="N32" s="309"/>
      <c r="O32" s="882"/>
      <c r="P32" s="213"/>
      <c r="Q32" s="399"/>
      <c r="R32" s="167"/>
      <c r="S32" s="205"/>
      <c r="T32" s="205"/>
      <c r="U32" s="167"/>
      <c r="V32" s="534"/>
      <c r="W32" s="534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8"/>
      <c r="AJ32" s="190"/>
    </row>
    <row r="33" spans="2:36">
      <c r="B33" s="1305" t="s">
        <v>196</v>
      </c>
      <c r="C33" s="1233">
        <f>MIN($F$5-SUM($C$24,$C$29:C32),$Q$7)</f>
        <v>25</v>
      </c>
      <c r="D33" s="169">
        <f>D32+C33</f>
        <v>171</v>
      </c>
      <c r="E33" s="1234">
        <f t="shared" ca="1" si="4"/>
        <v>371.88817024343564</v>
      </c>
      <c r="F33" s="1235">
        <f t="shared" ca="1" si="5"/>
        <v>63592.877111627495</v>
      </c>
      <c r="G33" s="167"/>
      <c r="H33" s="1300">
        <f t="shared" si="1"/>
        <v>46296</v>
      </c>
      <c r="I33" s="1620"/>
      <c r="J33" s="1621" t="s">
        <v>193</v>
      </c>
      <c r="K33" s="652">
        <f t="shared" si="3"/>
        <v>11</v>
      </c>
      <c r="L33" s="895" t="s">
        <v>594</v>
      </c>
      <c r="M33" s="507"/>
      <c r="N33" s="890">
        <f>N10*Q33</f>
        <v>0</v>
      </c>
      <c r="O33" s="894"/>
      <c r="P33" s="507"/>
      <c r="Q33" s="880">
        <v>0</v>
      </c>
      <c r="R33" s="167"/>
      <c r="S33" s="205"/>
      <c r="T33" s="205"/>
      <c r="U33" s="167"/>
      <c r="V33" s="534"/>
      <c r="W33" s="534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8"/>
      <c r="AJ33" s="190"/>
    </row>
    <row r="34" spans="2:36">
      <c r="B34" s="187" t="s">
        <v>198</v>
      </c>
      <c r="C34" s="1027">
        <v>25</v>
      </c>
      <c r="D34" s="169">
        <f t="shared" ref="D34:D40" si="6">D33+C34</f>
        <v>196</v>
      </c>
      <c r="E34" s="189">
        <f t="shared" ca="1" si="4"/>
        <v>371.88817024343564</v>
      </c>
      <c r="F34" s="204">
        <f t="shared" ca="1" si="5"/>
        <v>72890.081367713385</v>
      </c>
      <c r="G34" s="167"/>
      <c r="H34" s="1300">
        <f t="shared" si="1"/>
        <v>46327</v>
      </c>
      <c r="I34" s="861"/>
      <c r="J34" s="876" t="s">
        <v>195</v>
      </c>
      <c r="K34" s="399">
        <f t="shared" si="3"/>
        <v>12</v>
      </c>
      <c r="M34" s="973"/>
      <c r="N34" s="309"/>
      <c r="O34" s="388"/>
      <c r="P34" s="169"/>
      <c r="Q34" s="399"/>
      <c r="U34" s="167"/>
      <c r="V34" s="534"/>
      <c r="W34" s="534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8"/>
      <c r="AJ34" s="190"/>
    </row>
    <row r="35" spans="2:36" ht="16" thickBot="1">
      <c r="B35" s="1232" t="s">
        <v>187</v>
      </c>
      <c r="C35" s="1233">
        <v>25</v>
      </c>
      <c r="D35" s="169">
        <f t="shared" si="6"/>
        <v>221</v>
      </c>
      <c r="E35" s="1234">
        <f t="shared" ca="1" si="4"/>
        <v>371.88817024343564</v>
      </c>
      <c r="F35" s="1235">
        <f t="shared" ca="1" si="5"/>
        <v>82187.285623799282</v>
      </c>
      <c r="G35" s="167"/>
      <c r="H35" s="1300">
        <f t="shared" si="1"/>
        <v>46357</v>
      </c>
      <c r="I35" s="862"/>
      <c r="J35" s="876" t="s">
        <v>197</v>
      </c>
      <c r="K35" s="536">
        <f t="shared" si="3"/>
        <v>13</v>
      </c>
      <c r="L35" s="1006"/>
      <c r="M35" s="1007"/>
      <c r="N35" s="1008"/>
      <c r="O35" s="1009"/>
      <c r="P35" s="1007"/>
      <c r="Q35" s="1010"/>
      <c r="R35" s="167"/>
      <c r="S35" s="205"/>
      <c r="T35" s="167"/>
      <c r="U35" s="167"/>
      <c r="V35" s="534"/>
      <c r="W35" s="534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67"/>
      <c r="AI35" s="168"/>
      <c r="AJ35" s="190"/>
    </row>
    <row r="36" spans="2:36">
      <c r="B36" s="1623" t="s">
        <v>189</v>
      </c>
      <c r="C36" s="1624">
        <v>0</v>
      </c>
      <c r="D36" s="1625">
        <f t="shared" si="6"/>
        <v>221</v>
      </c>
      <c r="E36" s="1626">
        <f t="shared" ca="1" si="4"/>
        <v>371.88817024343564</v>
      </c>
      <c r="F36" s="1627">
        <f t="shared" ca="1" si="5"/>
        <v>82187.285623799282</v>
      </c>
      <c r="G36" s="167"/>
      <c r="H36" s="1300">
        <f t="shared" si="1"/>
        <v>46388</v>
      </c>
      <c r="I36" s="877">
        <f>I24+1</f>
        <v>2027</v>
      </c>
      <c r="J36" s="883" t="s">
        <v>188</v>
      </c>
      <c r="K36" s="865">
        <f t="shared" si="3"/>
        <v>14</v>
      </c>
      <c r="N36" s="309"/>
      <c r="O36" s="398"/>
      <c r="Q36" s="399"/>
      <c r="R36" s="167"/>
      <c r="S36" s="202"/>
      <c r="T36" s="167"/>
      <c r="U36" s="167"/>
      <c r="V36" s="534"/>
      <c r="W36" s="534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8"/>
      <c r="AJ36" s="190"/>
    </row>
    <row r="37" spans="2:36">
      <c r="B37" s="1305" t="s">
        <v>191</v>
      </c>
      <c r="C37" s="1233">
        <v>0</v>
      </c>
      <c r="D37" s="169">
        <f t="shared" si="6"/>
        <v>221</v>
      </c>
      <c r="E37" s="1234">
        <f t="shared" ca="1" si="4"/>
        <v>371.88817024343564</v>
      </c>
      <c r="F37" s="1235">
        <f t="shared" ca="1" si="5"/>
        <v>82187.285623799282</v>
      </c>
      <c r="G37" s="167"/>
      <c r="H37" s="1300">
        <f t="shared" si="1"/>
        <v>46419</v>
      </c>
      <c r="I37" s="863"/>
      <c r="J37" s="884" t="s">
        <v>190</v>
      </c>
      <c r="K37" s="399">
        <f t="shared" si="3"/>
        <v>15</v>
      </c>
      <c r="L37" s="309"/>
      <c r="M37" s="973"/>
      <c r="N37" s="309"/>
      <c r="O37" s="882"/>
      <c r="P37" s="213"/>
      <c r="Q37" s="399"/>
      <c r="R37" s="167"/>
      <c r="S37" s="205"/>
      <c r="T37" s="167"/>
      <c r="U37" s="167"/>
      <c r="V37" s="534"/>
      <c r="W37" s="534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8"/>
      <c r="AJ37" s="190"/>
    </row>
    <row r="38" spans="2:36" ht="16" thickBot="1">
      <c r="B38" s="1306" t="s">
        <v>193</v>
      </c>
      <c r="C38" s="1307">
        <v>0</v>
      </c>
      <c r="D38" s="1308">
        <f t="shared" si="6"/>
        <v>221</v>
      </c>
      <c r="E38" s="1309">
        <f t="shared" ca="1" si="4"/>
        <v>371.88817024343564</v>
      </c>
      <c r="F38" s="1310">
        <f t="shared" ca="1" si="5"/>
        <v>82187.285623799282</v>
      </c>
      <c r="G38" s="167"/>
      <c r="H38" s="1300">
        <f t="shared" si="1"/>
        <v>46447</v>
      </c>
      <c r="I38" s="863"/>
      <c r="J38" s="884" t="s">
        <v>192</v>
      </c>
      <c r="K38" s="399">
        <f t="shared" si="3"/>
        <v>16</v>
      </c>
      <c r="L38" s="309"/>
      <c r="M38" s="985"/>
      <c r="N38" s="899"/>
      <c r="O38" s="388"/>
      <c r="P38" s="169"/>
      <c r="Q38" s="528"/>
      <c r="R38" s="167"/>
      <c r="S38" s="205"/>
      <c r="T38" s="167"/>
      <c r="U38" s="167"/>
      <c r="V38" s="534"/>
      <c r="W38" s="534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8"/>
      <c r="AJ38" s="190"/>
    </row>
    <row r="39" spans="2:36">
      <c r="B39" s="187" t="s">
        <v>195</v>
      </c>
      <c r="C39" s="1027">
        <v>0</v>
      </c>
      <c r="D39" s="169">
        <f t="shared" si="6"/>
        <v>221</v>
      </c>
      <c r="E39" s="189">
        <f t="shared" ca="1" si="4"/>
        <v>371.88817024343564</v>
      </c>
      <c r="F39" s="204">
        <f t="shared" ca="1" si="5"/>
        <v>82187.285623799282</v>
      </c>
      <c r="G39" s="167"/>
      <c r="H39" s="1300">
        <f t="shared" si="1"/>
        <v>46478</v>
      </c>
      <c r="I39" s="863"/>
      <c r="J39" s="884" t="s">
        <v>537</v>
      </c>
      <c r="K39" s="399">
        <f t="shared" si="3"/>
        <v>17</v>
      </c>
      <c r="L39" s="1021"/>
      <c r="N39" s="1289"/>
      <c r="O39" s="398"/>
      <c r="Q39" s="1536"/>
      <c r="R39" s="167"/>
      <c r="S39" s="205"/>
      <c r="T39" s="167"/>
      <c r="U39" s="167"/>
      <c r="V39" s="534"/>
      <c r="W39" s="534"/>
      <c r="X39" s="167"/>
      <c r="Y39" s="167"/>
      <c r="Z39" s="167"/>
      <c r="AA39" s="167"/>
      <c r="AB39" s="167"/>
      <c r="AC39" s="167"/>
      <c r="AD39" s="167"/>
      <c r="AE39" s="167"/>
      <c r="AF39" s="167"/>
      <c r="AG39" s="167"/>
      <c r="AH39" s="167"/>
      <c r="AI39" s="168"/>
      <c r="AJ39" s="190"/>
    </row>
    <row r="40" spans="2:36" ht="16" thickBot="1">
      <c r="B40" s="192" t="s">
        <v>197</v>
      </c>
      <c r="C40" s="1028">
        <v>0</v>
      </c>
      <c r="D40" s="194">
        <f t="shared" si="6"/>
        <v>221</v>
      </c>
      <c r="E40" s="195">
        <f t="shared" ca="1" si="4"/>
        <v>371.88817024343564</v>
      </c>
      <c r="F40" s="196">
        <f ca="1">D40*E40</f>
        <v>82187.285623799282</v>
      </c>
      <c r="G40" s="167"/>
      <c r="H40" s="1300">
        <f t="shared" si="1"/>
        <v>46508</v>
      </c>
      <c r="I40" s="863"/>
      <c r="J40" s="884" t="s">
        <v>538</v>
      </c>
      <c r="K40" s="399">
        <f t="shared" si="3"/>
        <v>18</v>
      </c>
      <c r="L40" s="1021"/>
      <c r="N40" s="1289"/>
      <c r="O40" s="398"/>
      <c r="Q40" s="1536"/>
      <c r="R40" s="167"/>
      <c r="S40" s="202"/>
      <c r="T40" s="167"/>
      <c r="U40" s="167"/>
      <c r="V40" s="534"/>
      <c r="W40" s="534"/>
      <c r="X40" s="167"/>
      <c r="Y40" s="167"/>
      <c r="Z40" s="167"/>
      <c r="AA40" s="167"/>
      <c r="AB40" s="167"/>
      <c r="AC40" s="167"/>
      <c r="AD40" s="167"/>
      <c r="AE40" s="167"/>
      <c r="AF40" s="167"/>
      <c r="AG40" s="167"/>
      <c r="AH40" s="167"/>
      <c r="AI40" s="168"/>
      <c r="AJ40" s="190"/>
    </row>
    <row r="41" spans="2:36" ht="16" thickTop="1">
      <c r="B41" s="197" t="s">
        <v>200</v>
      </c>
      <c r="C41" s="198">
        <f>SUM(C29:C40)</f>
        <v>170</v>
      </c>
      <c r="D41" s="199">
        <f>D40</f>
        <v>221</v>
      </c>
      <c r="E41" s="200"/>
      <c r="F41" s="201">
        <f ca="1">SUM(F29:F40)</f>
        <v>791006.13810778782</v>
      </c>
      <c r="G41" s="167"/>
      <c r="H41" s="1300">
        <f t="shared" si="1"/>
        <v>46539</v>
      </c>
      <c r="I41" s="863"/>
      <c r="J41" s="884" t="s">
        <v>198</v>
      </c>
      <c r="K41" s="399">
        <f t="shared" si="3"/>
        <v>19</v>
      </c>
      <c r="L41" s="1021"/>
      <c r="N41" s="1289"/>
      <c r="O41" s="398"/>
      <c r="Q41" s="1536"/>
      <c r="R41" s="167"/>
      <c r="S41" s="205"/>
      <c r="T41" s="167"/>
      <c r="U41" s="167"/>
      <c r="V41" s="534"/>
      <c r="W41" s="534"/>
      <c r="X41" s="167"/>
      <c r="Y41" s="167"/>
      <c r="Z41" s="167"/>
      <c r="AA41" s="167"/>
      <c r="AB41" s="167"/>
      <c r="AC41" s="167"/>
      <c r="AD41" s="167"/>
      <c r="AE41" s="167"/>
      <c r="AF41" s="167"/>
      <c r="AG41" s="167"/>
      <c r="AH41" s="167"/>
      <c r="AI41" s="168"/>
      <c r="AJ41" s="190"/>
    </row>
    <row r="42" spans="2:36">
      <c r="B42" s="167"/>
      <c r="C42" s="167"/>
      <c r="D42" s="167"/>
      <c r="E42" s="167"/>
      <c r="F42" s="167"/>
      <c r="G42" s="167"/>
      <c r="H42" s="1300">
        <f t="shared" si="1"/>
        <v>46569</v>
      </c>
      <c r="I42" s="878"/>
      <c r="J42" s="884" t="s">
        <v>187</v>
      </c>
      <c r="K42" s="399">
        <f t="shared" si="3"/>
        <v>20</v>
      </c>
      <c r="L42" s="896" t="s">
        <v>420</v>
      </c>
      <c r="M42" s="985"/>
      <c r="N42" s="309"/>
      <c r="O42" s="398"/>
      <c r="Q42" s="528"/>
      <c r="R42" s="167"/>
      <c r="S42" s="205"/>
      <c r="T42" s="167"/>
      <c r="U42" s="167"/>
      <c r="V42" s="534"/>
      <c r="W42" s="534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8"/>
      <c r="AJ42" s="190"/>
    </row>
    <row r="43" spans="2:36">
      <c r="B43" s="167"/>
      <c r="C43" s="167"/>
      <c r="D43" s="167"/>
      <c r="E43" s="167"/>
      <c r="F43" s="167"/>
      <c r="G43" s="167"/>
      <c r="H43" s="1300">
        <f t="shared" si="1"/>
        <v>46600</v>
      </c>
      <c r="I43" s="553"/>
      <c r="J43" s="884" t="s">
        <v>536</v>
      </c>
      <c r="K43" s="399">
        <f t="shared" si="3"/>
        <v>21</v>
      </c>
      <c r="L43" s="1021"/>
      <c r="N43" s="1289"/>
      <c r="O43" s="398"/>
      <c r="Q43" s="1290"/>
      <c r="R43" s="167"/>
      <c r="S43" s="205"/>
      <c r="T43" s="167"/>
      <c r="U43" s="167"/>
      <c r="V43" s="534"/>
      <c r="W43" s="534"/>
      <c r="X43" s="167"/>
      <c r="Y43" s="167"/>
      <c r="Z43" s="167"/>
      <c r="AA43" s="167"/>
      <c r="AB43" s="167"/>
      <c r="AC43" s="167"/>
      <c r="AD43" s="167"/>
      <c r="AE43" s="167"/>
      <c r="AF43" s="167"/>
      <c r="AG43" s="167"/>
      <c r="AH43" s="167"/>
      <c r="AI43" s="168"/>
      <c r="AJ43" s="167"/>
    </row>
    <row r="44" spans="2:36">
      <c r="B44" s="184" t="s">
        <v>24</v>
      </c>
      <c r="C44" s="184" t="s">
        <v>179</v>
      </c>
      <c r="D44" s="184" t="s">
        <v>180</v>
      </c>
      <c r="E44" s="184" t="s">
        <v>181</v>
      </c>
      <c r="F44" s="184" t="s">
        <v>10</v>
      </c>
      <c r="G44" s="167"/>
      <c r="H44" s="1300">
        <f t="shared" si="1"/>
        <v>46631</v>
      </c>
      <c r="I44" s="1616"/>
      <c r="J44" s="1592" t="s">
        <v>191</v>
      </c>
      <c r="K44" s="1593">
        <f t="shared" si="3"/>
        <v>22</v>
      </c>
      <c r="L44" s="1019" t="s">
        <v>554</v>
      </c>
      <c r="M44" s="1589"/>
      <c r="N44" s="1020">
        <f ca="1">$N$7*Q44</f>
        <v>4446346.492255386</v>
      </c>
      <c r="O44" s="1590"/>
      <c r="P44" s="1591"/>
      <c r="Q44" s="1291">
        <v>0.54020000000000001</v>
      </c>
      <c r="R44" s="167"/>
      <c r="S44" s="205" t="s">
        <v>814</v>
      </c>
      <c r="T44" s="167"/>
      <c r="U44" s="167"/>
      <c r="V44" s="534"/>
      <c r="W44" s="534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8"/>
      <c r="AJ44" s="167"/>
    </row>
    <row r="45" spans="2:36" ht="16" thickBot="1">
      <c r="B45" s="185">
        <f>B28+1</f>
        <v>2031</v>
      </c>
      <c r="C45" s="186" t="s">
        <v>183</v>
      </c>
      <c r="D45" s="186" t="s">
        <v>184</v>
      </c>
      <c r="E45" s="186" t="s">
        <v>185</v>
      </c>
      <c r="F45" s="186" t="s">
        <v>186</v>
      </c>
      <c r="G45" s="167"/>
      <c r="H45" s="1300">
        <f t="shared" si="1"/>
        <v>46661</v>
      </c>
      <c r="I45" s="861"/>
      <c r="J45" s="884" t="s">
        <v>193</v>
      </c>
      <c r="K45" s="399">
        <f t="shared" si="3"/>
        <v>23</v>
      </c>
      <c r="L45" s="897"/>
      <c r="M45" s="169"/>
      <c r="N45" s="899"/>
      <c r="O45" s="388"/>
      <c r="P45" s="169"/>
      <c r="Q45" s="528"/>
      <c r="R45" s="167"/>
      <c r="S45" s="205"/>
      <c r="T45" s="202"/>
      <c r="U45" s="167" t="s">
        <v>688</v>
      </c>
      <c r="V45" s="534"/>
      <c r="W45" s="534"/>
      <c r="X45" s="167"/>
      <c r="Y45" s="167"/>
      <c r="Z45" s="167"/>
      <c r="AA45" s="167"/>
      <c r="AB45" s="167"/>
      <c r="AC45" s="167"/>
      <c r="AD45" s="167"/>
      <c r="AE45" s="167"/>
      <c r="AF45" s="167"/>
      <c r="AG45" s="167"/>
      <c r="AH45" s="167"/>
      <c r="AI45" s="168"/>
      <c r="AJ45" s="167"/>
    </row>
    <row r="46" spans="2:36" ht="16" thickTop="1">
      <c r="B46" s="187" t="s">
        <v>188</v>
      </c>
      <c r="C46" s="188">
        <v>0</v>
      </c>
      <c r="D46" s="169">
        <f>D40+C46</f>
        <v>221</v>
      </c>
      <c r="E46" s="189">
        <f ca="1">F$6</f>
        <v>371.88817024343564</v>
      </c>
      <c r="F46" s="204">
        <f ca="1">D46*E46</f>
        <v>82187.285623799282</v>
      </c>
      <c r="G46" s="167"/>
      <c r="H46" s="1300">
        <f t="shared" si="1"/>
        <v>46692</v>
      </c>
      <c r="I46" s="861"/>
      <c r="J46" s="884" t="s">
        <v>195</v>
      </c>
      <c r="K46" s="399">
        <f t="shared" si="3"/>
        <v>24</v>
      </c>
      <c r="L46" s="897"/>
      <c r="M46" s="169"/>
      <c r="N46" s="986"/>
      <c r="O46" s="885"/>
      <c r="P46" s="987"/>
      <c r="Q46" s="528"/>
      <c r="R46" s="167"/>
      <c r="S46" s="205"/>
      <c r="T46" s="167"/>
      <c r="U46" s="167"/>
      <c r="V46" s="534"/>
      <c r="W46" s="534"/>
      <c r="X46" s="167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  <c r="AI46" s="168"/>
      <c r="AJ46" s="167"/>
    </row>
    <row r="47" spans="2:36">
      <c r="B47" s="187" t="s">
        <v>190</v>
      </c>
      <c r="C47" s="188">
        <v>0</v>
      </c>
      <c r="D47" s="169">
        <f>D46+C47</f>
        <v>221</v>
      </c>
      <c r="E47" s="189">
        <f t="shared" ref="E47:E57" ca="1" si="7">F$6</f>
        <v>371.88817024343564</v>
      </c>
      <c r="F47" s="204">
        <f t="shared" ref="F47:F56" ca="1" si="8">D47*E47</f>
        <v>82187.285623799282</v>
      </c>
      <c r="G47" s="167"/>
      <c r="H47" s="1300">
        <f t="shared" si="1"/>
        <v>46722</v>
      </c>
      <c r="I47" s="972"/>
      <c r="J47" s="963" t="s">
        <v>197</v>
      </c>
      <c r="K47" s="536">
        <f t="shared" si="3"/>
        <v>25</v>
      </c>
      <c r="L47" s="969"/>
      <c r="M47" s="381"/>
      <c r="N47" s="969"/>
      <c r="O47" s="994"/>
      <c r="P47" s="381"/>
      <c r="Q47" s="536"/>
      <c r="R47" s="167"/>
      <c r="S47" s="205"/>
      <c r="T47" s="167"/>
      <c r="U47" s="167"/>
      <c r="V47" s="534"/>
      <c r="W47" s="534"/>
      <c r="X47" s="167"/>
      <c r="Y47" s="167"/>
      <c r="Z47" s="167"/>
      <c r="AA47" s="167"/>
      <c r="AB47" s="167"/>
      <c r="AC47" s="167"/>
      <c r="AD47" s="167"/>
      <c r="AE47" s="167"/>
      <c r="AF47" s="167"/>
      <c r="AG47" s="167"/>
      <c r="AH47" s="168"/>
      <c r="AI47" s="168"/>
      <c r="AJ47" s="190"/>
    </row>
    <row r="48" spans="2:36">
      <c r="B48" s="187" t="s">
        <v>192</v>
      </c>
      <c r="C48" s="188">
        <v>0</v>
      </c>
      <c r="D48" s="169">
        <f t="shared" ref="D48:D57" si="9">D47+C48</f>
        <v>221</v>
      </c>
      <c r="E48" s="189">
        <f t="shared" ca="1" si="7"/>
        <v>371.88817024343564</v>
      </c>
      <c r="F48" s="204">
        <f t="shared" ca="1" si="8"/>
        <v>82187.285623799282</v>
      </c>
      <c r="G48" s="167"/>
      <c r="H48" s="1300">
        <f t="shared" si="1"/>
        <v>46753</v>
      </c>
      <c r="I48" s="1236">
        <f>I36+1</f>
        <v>2028</v>
      </c>
      <c r="J48" s="1237" t="s">
        <v>188</v>
      </c>
      <c r="K48" s="1037">
        <f t="shared" si="3"/>
        <v>26</v>
      </c>
      <c r="L48" s="1238"/>
      <c r="M48" s="1238"/>
      <c r="N48" s="1035"/>
      <c r="O48" s="1036"/>
      <c r="P48" s="1238"/>
      <c r="Q48" s="1037"/>
      <c r="R48" s="167"/>
      <c r="S48" s="205"/>
      <c r="T48" s="202"/>
      <c r="U48" s="167"/>
      <c r="V48" s="534"/>
      <c r="W48" s="534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8"/>
      <c r="AJ48" s="167"/>
    </row>
    <row r="49" spans="2:36">
      <c r="B49" s="187" t="s">
        <v>194</v>
      </c>
      <c r="C49" s="188">
        <v>0</v>
      </c>
      <c r="D49" s="169">
        <f t="shared" si="9"/>
        <v>221</v>
      </c>
      <c r="E49" s="189">
        <f t="shared" ca="1" si="7"/>
        <v>371.88817024343564</v>
      </c>
      <c r="F49" s="204">
        <f t="shared" ca="1" si="8"/>
        <v>82187.285623799282</v>
      </c>
      <c r="G49" s="167"/>
      <c r="H49" s="1300">
        <f t="shared" si="1"/>
        <v>46784</v>
      </c>
      <c r="I49" s="1031"/>
      <c r="J49" s="884" t="s">
        <v>190</v>
      </c>
      <c r="K49" s="993">
        <f t="shared" si="3"/>
        <v>27</v>
      </c>
      <c r="L49" s="992"/>
      <c r="N49" s="992"/>
      <c r="O49" s="398"/>
      <c r="Q49" s="993"/>
      <c r="R49" s="167"/>
      <c r="S49" s="167"/>
      <c r="T49" s="167"/>
      <c r="U49" s="167"/>
      <c r="V49" s="535"/>
      <c r="W49" s="535"/>
      <c r="X49" s="167"/>
      <c r="Y49" s="167"/>
      <c r="Z49" s="167"/>
      <c r="AA49" s="167"/>
      <c r="AB49" s="167"/>
      <c r="AC49" s="167"/>
      <c r="AD49" s="167"/>
      <c r="AE49" s="167"/>
      <c r="AF49" s="167"/>
      <c r="AG49" s="167"/>
      <c r="AH49" s="167"/>
      <c r="AI49" s="168"/>
      <c r="AJ49" s="167"/>
    </row>
    <row r="50" spans="2:36">
      <c r="B50" s="187" t="s">
        <v>196</v>
      </c>
      <c r="C50" s="188">
        <v>0</v>
      </c>
      <c r="D50" s="169">
        <f t="shared" si="9"/>
        <v>221</v>
      </c>
      <c r="E50" s="189">
        <f t="shared" ca="1" si="7"/>
        <v>371.88817024343564</v>
      </c>
      <c r="F50" s="204">
        <f t="shared" ca="1" si="8"/>
        <v>82187.285623799282</v>
      </c>
      <c r="G50" s="167"/>
      <c r="H50" s="1300">
        <f t="shared" si="1"/>
        <v>46813</v>
      </c>
      <c r="I50" s="1031"/>
      <c r="J50" s="884" t="s">
        <v>192</v>
      </c>
      <c r="K50" s="993">
        <f t="shared" si="3"/>
        <v>28</v>
      </c>
      <c r="N50" s="992"/>
      <c r="O50" s="398"/>
      <c r="Q50" s="993"/>
      <c r="R50" s="167"/>
      <c r="S50" s="167"/>
      <c r="T50" s="167"/>
      <c r="U50" s="167"/>
      <c r="V50" s="535"/>
      <c r="W50" s="535"/>
      <c r="X50" s="167"/>
      <c r="Y50" s="167"/>
      <c r="Z50" s="167"/>
      <c r="AA50" s="167"/>
      <c r="AB50" s="167"/>
      <c r="AC50" s="167"/>
      <c r="AD50" s="167"/>
      <c r="AE50" s="167"/>
      <c r="AF50" s="167"/>
      <c r="AG50" s="167"/>
      <c r="AH50" s="167"/>
      <c r="AI50" s="168"/>
    </row>
    <row r="51" spans="2:36">
      <c r="B51" s="187" t="s">
        <v>198</v>
      </c>
      <c r="C51" s="188">
        <v>0</v>
      </c>
      <c r="D51" s="169">
        <f t="shared" si="9"/>
        <v>221</v>
      </c>
      <c r="E51" s="189">
        <f t="shared" ca="1" si="7"/>
        <v>371.88817024343564</v>
      </c>
      <c r="F51" s="204">
        <f t="shared" ca="1" si="8"/>
        <v>82187.285623799282</v>
      </c>
      <c r="G51" s="167"/>
      <c r="H51" s="1300">
        <f t="shared" si="1"/>
        <v>46844</v>
      </c>
      <c r="I51" s="1031"/>
      <c r="J51" s="999" t="s">
        <v>537</v>
      </c>
      <c r="K51" s="1032">
        <f t="shared" si="3"/>
        <v>29</v>
      </c>
      <c r="L51" s="1033"/>
      <c r="M51" s="419"/>
      <c r="N51" s="1029"/>
      <c r="O51" s="1002"/>
      <c r="P51" s="419"/>
      <c r="Q51" s="1030"/>
      <c r="R51" s="167"/>
      <c r="S51" s="167"/>
      <c r="T51" s="167"/>
      <c r="U51" s="167"/>
      <c r="V51" s="535"/>
      <c r="W51" s="535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7"/>
      <c r="AI51" s="168"/>
    </row>
    <row r="52" spans="2:36">
      <c r="B52" s="187" t="s">
        <v>187</v>
      </c>
      <c r="C52" s="188">
        <v>0</v>
      </c>
      <c r="D52" s="169">
        <f t="shared" si="9"/>
        <v>221</v>
      </c>
      <c r="E52" s="189">
        <f t="shared" ca="1" si="7"/>
        <v>371.88817024343564</v>
      </c>
      <c r="F52" s="204">
        <f t="shared" ca="1" si="8"/>
        <v>82187.285623799282</v>
      </c>
      <c r="G52" s="167"/>
      <c r="H52" s="1300">
        <f t="shared" si="1"/>
        <v>46874</v>
      </c>
      <c r="I52" s="1031"/>
      <c r="J52" s="884" t="s">
        <v>538</v>
      </c>
      <c r="K52" s="993">
        <f t="shared" si="3"/>
        <v>30</v>
      </c>
      <c r="L52" s="1311"/>
      <c r="M52" s="419"/>
      <c r="N52" s="1312"/>
      <c r="O52" s="1002"/>
      <c r="P52" s="419"/>
      <c r="Q52" s="1313"/>
      <c r="R52" s="167"/>
      <c r="S52" s="167"/>
      <c r="T52" s="167"/>
      <c r="U52" s="167"/>
      <c r="V52" s="535"/>
      <c r="W52" s="535"/>
      <c r="X52" s="167"/>
      <c r="Y52" s="167"/>
      <c r="Z52" s="167"/>
      <c r="AA52" s="167"/>
      <c r="AB52" s="167"/>
      <c r="AC52" s="167"/>
      <c r="AD52" s="167"/>
      <c r="AE52" s="167"/>
      <c r="AF52" s="167"/>
      <c r="AG52" s="167"/>
      <c r="AH52" s="167"/>
      <c r="AI52" s="167"/>
    </row>
    <row r="53" spans="2:36">
      <c r="B53" s="187" t="s">
        <v>189</v>
      </c>
      <c r="C53" s="188">
        <v>0</v>
      </c>
      <c r="D53" s="169">
        <f t="shared" si="9"/>
        <v>221</v>
      </c>
      <c r="E53" s="189">
        <f t="shared" ca="1" si="7"/>
        <v>371.88817024343564</v>
      </c>
      <c r="F53" s="204">
        <f t="shared" ca="1" si="8"/>
        <v>82187.285623799282</v>
      </c>
      <c r="G53" s="167"/>
      <c r="H53" s="1300">
        <f t="shared" si="1"/>
        <v>46905</v>
      </c>
      <c r="I53" s="1031"/>
      <c r="J53" s="999" t="s">
        <v>198</v>
      </c>
      <c r="K53" s="1032">
        <f t="shared" si="3"/>
        <v>31</v>
      </c>
      <c r="L53" s="1537"/>
      <c r="N53" s="1538"/>
      <c r="O53" s="398"/>
      <c r="Q53" s="1290"/>
      <c r="R53" s="167"/>
      <c r="S53" s="167"/>
      <c r="T53" s="167"/>
      <c r="U53" s="167"/>
      <c r="V53" s="535"/>
      <c r="W53" s="535"/>
      <c r="X53" s="167"/>
      <c r="Y53" s="167"/>
      <c r="Z53" s="167"/>
      <c r="AA53" s="167"/>
      <c r="AB53" s="167"/>
      <c r="AC53" s="167"/>
      <c r="AD53" s="167"/>
      <c r="AE53" s="167"/>
      <c r="AF53" s="167"/>
      <c r="AG53" s="167"/>
      <c r="AH53" s="167"/>
      <c r="AI53" s="167"/>
    </row>
    <row r="54" spans="2:36">
      <c r="B54" s="187" t="s">
        <v>191</v>
      </c>
      <c r="C54" s="188">
        <v>0</v>
      </c>
      <c r="D54" s="169">
        <f t="shared" si="9"/>
        <v>221</v>
      </c>
      <c r="E54" s="189">
        <f t="shared" ca="1" si="7"/>
        <v>371.88817024343564</v>
      </c>
      <c r="F54" s="204">
        <f t="shared" ca="1" si="8"/>
        <v>82187.285623799282</v>
      </c>
      <c r="G54" s="167"/>
      <c r="H54" s="1300">
        <f t="shared" si="1"/>
        <v>46935</v>
      </c>
      <c r="I54" s="1031"/>
      <c r="J54" s="999" t="s">
        <v>187</v>
      </c>
      <c r="K54" s="1032">
        <f t="shared" si="3"/>
        <v>32</v>
      </c>
      <c r="L54" s="1033"/>
      <c r="M54" s="419"/>
      <c r="N54" s="1029"/>
      <c r="O54" s="1002"/>
      <c r="P54" s="419"/>
      <c r="Q54" s="1030"/>
      <c r="R54" s="167"/>
      <c r="S54" s="167"/>
      <c r="T54" s="167"/>
      <c r="U54" s="167"/>
      <c r="V54" s="535"/>
      <c r="W54" s="535"/>
      <c r="X54" s="167"/>
      <c r="Y54" s="167"/>
      <c r="Z54" s="167"/>
      <c r="AA54" s="167"/>
      <c r="AB54" s="167"/>
      <c r="AC54" s="167"/>
      <c r="AD54" s="167"/>
      <c r="AE54" s="167"/>
      <c r="AF54" s="167"/>
      <c r="AG54" s="167"/>
      <c r="AH54" s="167"/>
      <c r="AI54" s="167"/>
    </row>
    <row r="55" spans="2:36">
      <c r="B55" s="187" t="s">
        <v>193</v>
      </c>
      <c r="C55" s="188">
        <v>0</v>
      </c>
      <c r="D55" s="169">
        <f t="shared" si="9"/>
        <v>221</v>
      </c>
      <c r="E55" s="189">
        <f t="shared" ca="1" si="7"/>
        <v>371.88817024343564</v>
      </c>
      <c r="F55" s="204">
        <f t="shared" ca="1" si="8"/>
        <v>82187.285623799282</v>
      </c>
      <c r="G55" s="167"/>
      <c r="H55" s="1300">
        <f t="shared" si="1"/>
        <v>46966</v>
      </c>
      <c r="I55" s="1628"/>
      <c r="J55" s="884" t="s">
        <v>189</v>
      </c>
      <c r="K55" s="993">
        <f t="shared" si="3"/>
        <v>33</v>
      </c>
      <c r="L55" s="1629"/>
      <c r="N55" s="1630"/>
      <c r="O55" s="398"/>
      <c r="Q55" s="1631"/>
      <c r="R55" s="167"/>
      <c r="S55" s="206"/>
      <c r="T55" s="167"/>
      <c r="U55" s="167"/>
      <c r="V55" s="535"/>
      <c r="W55" s="535"/>
      <c r="X55" s="167"/>
      <c r="Y55" s="167"/>
      <c r="Z55" s="167"/>
      <c r="AA55" s="167"/>
      <c r="AB55" s="167"/>
      <c r="AC55" s="167"/>
      <c r="AD55" s="167"/>
      <c r="AE55" s="167"/>
      <c r="AF55" s="167"/>
      <c r="AG55" s="167"/>
      <c r="AH55" s="167"/>
      <c r="AI55" s="167"/>
    </row>
    <row r="56" spans="2:36">
      <c r="B56" s="187" t="s">
        <v>195</v>
      </c>
      <c r="C56" s="188">
        <v>0</v>
      </c>
      <c r="D56" s="169">
        <f t="shared" si="9"/>
        <v>221</v>
      </c>
      <c r="E56" s="189">
        <f t="shared" ca="1" si="7"/>
        <v>371.88817024343564</v>
      </c>
      <c r="F56" s="204">
        <f t="shared" ca="1" si="8"/>
        <v>82187.285623799282</v>
      </c>
      <c r="G56" s="167"/>
      <c r="H56" s="1300">
        <f t="shared" si="1"/>
        <v>46997</v>
      </c>
      <c r="I56" s="1031"/>
      <c r="J56" s="999" t="s">
        <v>191</v>
      </c>
      <c r="K56" s="1032">
        <f t="shared" si="3"/>
        <v>34</v>
      </c>
      <c r="L56" s="1537"/>
      <c r="N56" s="1538"/>
      <c r="O56" s="398"/>
      <c r="Q56" s="1290"/>
      <c r="R56" s="167"/>
      <c r="S56" s="167"/>
      <c r="T56" s="167"/>
      <c r="U56" s="167"/>
      <c r="W56" s="535"/>
      <c r="X56" s="167"/>
      <c r="Y56" s="167"/>
      <c r="Z56" s="167"/>
      <c r="AA56" s="167"/>
      <c r="AB56" s="167"/>
      <c r="AC56" s="167"/>
      <c r="AD56" s="167"/>
      <c r="AE56" s="167"/>
      <c r="AF56" s="167"/>
      <c r="AG56" s="167"/>
      <c r="AH56" s="167"/>
      <c r="AI56" s="167"/>
    </row>
    <row r="57" spans="2:36" ht="16" thickBot="1">
      <c r="B57" s="192" t="s">
        <v>197</v>
      </c>
      <c r="C57" s="193">
        <v>0</v>
      </c>
      <c r="D57" s="194">
        <f t="shared" si="9"/>
        <v>221</v>
      </c>
      <c r="E57" s="195">
        <f t="shared" ca="1" si="7"/>
        <v>371.88817024343564</v>
      </c>
      <c r="F57" s="196">
        <f ca="1">D57*E57</f>
        <v>82187.285623799282</v>
      </c>
      <c r="G57" s="167"/>
      <c r="H57" s="1300">
        <f t="shared" si="1"/>
        <v>47027</v>
      </c>
      <c r="I57" s="1031"/>
      <c r="J57" s="884" t="s">
        <v>193</v>
      </c>
      <c r="K57" s="993">
        <f>K56+1</f>
        <v>35</v>
      </c>
      <c r="L57" s="1537"/>
      <c r="N57" s="1538"/>
      <c r="O57" s="398"/>
      <c r="Q57" s="1290"/>
      <c r="R57" s="167"/>
      <c r="S57" s="167"/>
      <c r="T57" s="167"/>
      <c r="U57" s="167"/>
      <c r="V57" s="535"/>
      <c r="W57" s="535"/>
      <c r="X57" s="167"/>
      <c r="Y57" s="167"/>
      <c r="Z57" s="167"/>
      <c r="AA57" s="167"/>
      <c r="AB57" s="167"/>
      <c r="AC57" s="167"/>
      <c r="AD57" s="167"/>
      <c r="AE57" s="167"/>
      <c r="AF57" s="167"/>
      <c r="AG57" s="167"/>
      <c r="AH57" s="167"/>
      <c r="AI57" s="167"/>
    </row>
    <row r="58" spans="2:36" ht="16" thickTop="1">
      <c r="B58" s="197" t="s">
        <v>200</v>
      </c>
      <c r="C58" s="198">
        <v>0</v>
      </c>
      <c r="D58" s="199">
        <f>D57</f>
        <v>221</v>
      </c>
      <c r="E58" s="200"/>
      <c r="F58" s="201">
        <f ca="1">SUM(F46:F57)</f>
        <v>986247.42748559162</v>
      </c>
      <c r="G58" s="167"/>
      <c r="H58" s="1300">
        <f t="shared" si="1"/>
        <v>47058</v>
      </c>
      <c r="I58" s="1622"/>
      <c r="J58" s="1632" t="s">
        <v>195</v>
      </c>
      <c r="K58" s="1633">
        <f t="shared" si="3"/>
        <v>36</v>
      </c>
      <c r="L58" s="1296" t="s">
        <v>257</v>
      </c>
      <c r="M58" s="507"/>
      <c r="N58" s="1297">
        <f ca="1">N7*$Q$58</f>
        <v>2961487.3526721359</v>
      </c>
      <c r="O58" s="894"/>
      <c r="P58" s="507"/>
      <c r="Q58" s="1291">
        <f>1-SUM(Q14:Q57)</f>
        <v>0.35980000000000001</v>
      </c>
      <c r="R58" s="167"/>
      <c r="S58" s="167"/>
      <c r="T58" s="167"/>
      <c r="U58" s="167"/>
      <c r="V58" s="535"/>
      <c r="W58" s="535"/>
      <c r="X58" s="167"/>
      <c r="Y58" s="167"/>
      <c r="Z58" s="167"/>
      <c r="AA58" s="167"/>
      <c r="AB58" s="167"/>
      <c r="AC58" s="167"/>
      <c r="AD58" s="167"/>
      <c r="AE58" s="167"/>
      <c r="AF58" s="167"/>
      <c r="AG58" s="167"/>
      <c r="AH58" s="167"/>
      <c r="AI58" s="167"/>
    </row>
    <row r="59" spans="2:36">
      <c r="H59" s="1300">
        <f t="shared" si="1"/>
        <v>47088</v>
      </c>
      <c r="I59" s="1239"/>
      <c r="J59" s="1240" t="s">
        <v>197</v>
      </c>
      <c r="K59" s="1241">
        <f t="shared" si="3"/>
        <v>37</v>
      </c>
      <c r="L59" s="1293"/>
      <c r="M59" s="381"/>
      <c r="N59" s="1294"/>
      <c r="O59" s="994"/>
      <c r="P59" s="381"/>
      <c r="Q59" s="1295"/>
      <c r="R59" s="167"/>
      <c r="S59" s="167"/>
      <c r="T59" s="167"/>
      <c r="U59" s="167"/>
      <c r="V59" s="535"/>
      <c r="W59" s="535"/>
    </row>
    <row r="60" spans="2:36">
      <c r="K60" t="s">
        <v>539</v>
      </c>
      <c r="N60" s="42">
        <f ca="1">SUM(N15:N59)</f>
        <v>8230926.4943639133</v>
      </c>
      <c r="Q60" s="273">
        <f>SUM(Q15:Q59)</f>
        <v>1</v>
      </c>
      <c r="R60" s="167"/>
      <c r="S60" s="167"/>
      <c r="T60" s="167"/>
      <c r="U60" s="167"/>
      <c r="V60" s="535"/>
      <c r="W60" s="535"/>
    </row>
    <row r="61" spans="2:36">
      <c r="N61" s="1292">
        <f ca="1">N60-'Summary Sources-Uses'!E15</f>
        <v>0</v>
      </c>
    </row>
    <row r="67" spans="7:20">
      <c r="G67" s="167"/>
      <c r="H67" s="1299"/>
      <c r="I67" s="167"/>
      <c r="J67" s="167"/>
      <c r="K67" s="167"/>
      <c r="L67" s="167"/>
      <c r="M67" s="167"/>
      <c r="N67" s="167"/>
      <c r="O67" s="167"/>
      <c r="P67" s="167"/>
      <c r="Q67" s="167"/>
    </row>
    <row r="68" spans="7:20">
      <c r="G68" s="167"/>
      <c r="H68" s="1299"/>
      <c r="I68" s="167"/>
      <c r="J68" s="167"/>
      <c r="K68" s="167"/>
      <c r="L68" s="167"/>
      <c r="M68" s="167"/>
      <c r="N68" s="167"/>
      <c r="O68" s="167"/>
      <c r="P68" s="167"/>
      <c r="Q68" s="167"/>
      <c r="R68" s="167"/>
      <c r="S68" s="167"/>
      <c r="T68" s="167"/>
    </row>
    <row r="69" spans="7:20">
      <c r="G69" s="167"/>
      <c r="H69" s="1299"/>
      <c r="I69" s="167"/>
      <c r="J69" s="167"/>
      <c r="K69" s="167"/>
      <c r="L69" s="167"/>
      <c r="M69" s="167"/>
      <c r="N69" s="167"/>
      <c r="O69" s="167"/>
      <c r="P69" s="167"/>
      <c r="Q69" s="167"/>
      <c r="R69" s="167"/>
      <c r="S69" s="167"/>
      <c r="T69" s="167"/>
    </row>
    <row r="70" spans="7:20">
      <c r="R70" s="167"/>
      <c r="S70" s="167"/>
      <c r="T70" s="167"/>
    </row>
    <row r="72" spans="7:20">
      <c r="G72" s="191"/>
      <c r="H72" s="1303"/>
      <c r="I72" s="191"/>
      <c r="J72" s="191"/>
      <c r="K72" s="191"/>
      <c r="L72" s="191"/>
      <c r="M72" s="191"/>
      <c r="N72" s="191"/>
      <c r="O72" s="191"/>
      <c r="P72" s="191"/>
      <c r="Q72" s="191"/>
    </row>
    <row r="73" spans="7:20">
      <c r="G73" s="169"/>
      <c r="H73" s="1304"/>
      <c r="I73" s="167"/>
      <c r="J73" s="167"/>
      <c r="K73" s="167"/>
      <c r="L73" s="167"/>
      <c r="M73" s="167"/>
      <c r="N73" s="167"/>
      <c r="O73" s="167"/>
      <c r="P73" s="167"/>
      <c r="Q73" s="167"/>
      <c r="R73" s="191"/>
      <c r="S73" s="207"/>
      <c r="T73" s="207"/>
    </row>
    <row r="74" spans="7:20">
      <c r="R74" s="167"/>
      <c r="S74" s="167"/>
      <c r="T74" s="167"/>
    </row>
  </sheetData>
  <phoneticPr fontId="168" type="noConversion"/>
  <pageMargins left="0.45" right="0.2" top="0.75" bottom="0.25" header="0.3" footer="0.3"/>
  <pageSetup scale="59" fitToWidth="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21C32-58E3-42EE-A71D-4C8A39E80E4F}">
  <sheetPr>
    <tabColor theme="9" tint="0.79998168889431442"/>
    <pageSetUpPr fitToPage="1"/>
  </sheetPr>
  <dimension ref="A1:CA160"/>
  <sheetViews>
    <sheetView showGridLines="0" zoomScale="90" zoomScaleNormal="90" workbookViewId="0">
      <pane xSplit="7" ySplit="5" topLeftCell="S6" activePane="bottomRight" state="frozen"/>
      <selection activeCell="L2" sqref="L2"/>
      <selection pane="topRight" activeCell="L2" sqref="L2"/>
      <selection pane="bottomLeft" activeCell="L2" sqref="L2"/>
      <selection pane="bottomRight" activeCell="F6" sqref="F6"/>
    </sheetView>
  </sheetViews>
  <sheetFormatPr baseColWidth="10" defaultColWidth="8.5" defaultRowHeight="14"/>
  <cols>
    <col min="1" max="1" width="4.5" style="710" customWidth="1"/>
    <col min="2" max="2" width="10.5" style="710" customWidth="1"/>
    <col min="3" max="3" width="19.5" style="710" customWidth="1"/>
    <col min="4" max="4" width="10.5" style="710" customWidth="1"/>
    <col min="5" max="5" width="9.5" style="710" bestFit="1" customWidth="1"/>
    <col min="6" max="6" width="14.5" style="710" customWidth="1"/>
    <col min="7" max="7" width="14" style="710" customWidth="1"/>
    <col min="8" max="19" width="14.5" style="710" customWidth="1"/>
    <col min="20" max="20" width="17.5" style="710" customWidth="1"/>
    <col min="21" max="24" width="14.5" style="710" customWidth="1"/>
    <col min="25" max="25" width="16.5" style="710" customWidth="1"/>
    <col min="26" max="26" width="14.5" style="710" customWidth="1"/>
    <col min="27" max="27" width="16.5" style="710" customWidth="1"/>
    <col min="28" max="28" width="19.5" style="710" customWidth="1"/>
    <col min="29" max="29" width="14.5" style="710" customWidth="1"/>
    <col min="30" max="30" width="16.5" style="710" customWidth="1"/>
    <col min="31" max="31" width="21.5" style="710" customWidth="1"/>
    <col min="32" max="39" width="14.5" style="710" customWidth="1"/>
    <col min="40" max="40" width="15.5" style="710" customWidth="1"/>
    <col min="41" max="41" width="18.1640625" style="710" customWidth="1"/>
    <col min="42" max="42" width="17.5" style="710" customWidth="1"/>
    <col min="43" max="43" width="20.5" style="710" customWidth="1"/>
    <col min="44" max="46" width="18" style="710" customWidth="1"/>
    <col min="47" max="47" width="14.5" style="710" customWidth="1"/>
    <col min="48" max="49" width="18.5" style="710" customWidth="1"/>
    <col min="50" max="50" width="4.5" style="710" customWidth="1"/>
    <col min="51" max="51" width="8.5" style="710"/>
    <col min="52" max="52" width="11.5" style="710" bestFit="1" customWidth="1"/>
    <col min="53" max="53" width="12.5" style="710" bestFit="1" customWidth="1"/>
    <col min="54" max="16384" width="8.5" style="710"/>
  </cols>
  <sheetData>
    <row r="1" spans="1:79" ht="22" thickTop="1">
      <c r="A1" s="705"/>
      <c r="B1" s="706" t="s">
        <v>478</v>
      </c>
      <c r="C1" s="705"/>
      <c r="D1" s="705"/>
      <c r="E1" s="705"/>
      <c r="F1" s="707">
        <f>'Summary Sources-Uses'!L1</f>
        <v>45960</v>
      </c>
      <c r="G1" s="805">
        <f>'Summary Sources-Uses'!L2</f>
        <v>0</v>
      </c>
      <c r="H1" s="705"/>
      <c r="I1" s="705"/>
      <c r="J1" s="705"/>
      <c r="K1" s="705"/>
      <c r="L1" s="705"/>
      <c r="M1" s="705"/>
      <c r="N1" s="705"/>
      <c r="O1" s="705"/>
      <c r="P1" s="705"/>
      <c r="Q1" s="705"/>
      <c r="R1" s="705"/>
      <c r="S1" s="705"/>
      <c r="T1" s="705"/>
      <c r="U1" s="705"/>
      <c r="V1" s="705"/>
      <c r="W1" s="705"/>
      <c r="X1" s="705"/>
      <c r="Y1" s="705"/>
      <c r="Z1" s="705"/>
      <c r="AA1" s="705"/>
      <c r="AB1" s="705"/>
      <c r="AC1" s="705"/>
      <c r="AD1" s="705"/>
      <c r="AE1" s="705"/>
      <c r="AF1" s="705"/>
      <c r="AG1" s="705"/>
      <c r="AH1" s="705"/>
      <c r="AI1" s="705"/>
      <c r="AJ1" s="705"/>
      <c r="AK1" s="705"/>
      <c r="AL1" s="705"/>
      <c r="AM1" s="705"/>
      <c r="AN1" s="705"/>
      <c r="AO1" s="705"/>
      <c r="AP1" s="705"/>
      <c r="AQ1" s="705"/>
      <c r="AR1" s="705"/>
      <c r="AS1" s="1596"/>
      <c r="AT1" s="705"/>
      <c r="AU1" s="705"/>
      <c r="AV1" s="705"/>
      <c r="AW1" s="705"/>
      <c r="AX1" s="708"/>
      <c r="AY1" s="709"/>
      <c r="AZ1" s="709"/>
      <c r="BA1" s="709"/>
      <c r="BB1" s="709"/>
      <c r="BC1" s="709"/>
      <c r="BD1" s="709"/>
      <c r="BE1" s="709"/>
      <c r="BF1" s="709"/>
      <c r="BG1" s="709"/>
      <c r="BH1" s="709"/>
      <c r="BI1" s="709"/>
      <c r="BJ1" s="709"/>
      <c r="BK1" s="709"/>
      <c r="BL1" s="709"/>
      <c r="BM1" s="709"/>
      <c r="BN1" s="709"/>
      <c r="BO1" s="709"/>
      <c r="BP1" s="709"/>
      <c r="BQ1" s="709"/>
      <c r="BR1" s="709"/>
      <c r="BS1" s="709"/>
      <c r="BT1" s="709"/>
      <c r="BU1" s="709"/>
      <c r="BV1" s="709"/>
      <c r="BW1" s="709"/>
      <c r="BX1" s="709"/>
      <c r="BY1" s="709"/>
      <c r="BZ1" s="709"/>
      <c r="CA1" s="709"/>
    </row>
    <row r="2" spans="1:79" ht="18">
      <c r="A2" s="711"/>
      <c r="B2" s="712" t="str">
        <f>'Summary Sources-Uses'!A2</f>
        <v>Project Name</v>
      </c>
      <c r="C2" s="711"/>
      <c r="D2" s="711"/>
      <c r="E2" s="711"/>
      <c r="F2" s="911"/>
      <c r="G2" s="711"/>
      <c r="H2" s="711">
        <v>0</v>
      </c>
      <c r="I2" s="711">
        <v>1</v>
      </c>
      <c r="J2" s="711">
        <f>I2+1</f>
        <v>2</v>
      </c>
      <c r="K2" s="711">
        <f t="shared" ref="K2:AP2" si="0">J2+1</f>
        <v>3</v>
      </c>
      <c r="L2" s="711">
        <f t="shared" si="0"/>
        <v>4</v>
      </c>
      <c r="M2" s="711">
        <f t="shared" si="0"/>
        <v>5</v>
      </c>
      <c r="N2" s="711">
        <f t="shared" si="0"/>
        <v>6</v>
      </c>
      <c r="O2" s="711">
        <f t="shared" si="0"/>
        <v>7</v>
      </c>
      <c r="P2" s="711">
        <f t="shared" si="0"/>
        <v>8</v>
      </c>
      <c r="Q2" s="711">
        <f t="shared" si="0"/>
        <v>9</v>
      </c>
      <c r="R2" s="711">
        <f t="shared" si="0"/>
        <v>10</v>
      </c>
      <c r="S2" s="711">
        <f t="shared" si="0"/>
        <v>11</v>
      </c>
      <c r="T2" s="711">
        <f t="shared" si="0"/>
        <v>12</v>
      </c>
      <c r="U2" s="711">
        <f t="shared" si="0"/>
        <v>13</v>
      </c>
      <c r="V2" s="711">
        <f t="shared" si="0"/>
        <v>14</v>
      </c>
      <c r="W2" s="711">
        <f t="shared" si="0"/>
        <v>15</v>
      </c>
      <c r="X2" s="711">
        <f t="shared" si="0"/>
        <v>16</v>
      </c>
      <c r="Y2" s="711">
        <f t="shared" si="0"/>
        <v>17</v>
      </c>
      <c r="Z2" s="711">
        <f t="shared" si="0"/>
        <v>18</v>
      </c>
      <c r="AA2" s="711">
        <f t="shared" si="0"/>
        <v>19</v>
      </c>
      <c r="AB2" s="711">
        <f t="shared" si="0"/>
        <v>20</v>
      </c>
      <c r="AC2" s="711">
        <f t="shared" si="0"/>
        <v>21</v>
      </c>
      <c r="AD2" s="711">
        <f t="shared" si="0"/>
        <v>22</v>
      </c>
      <c r="AE2" s="711">
        <f t="shared" si="0"/>
        <v>23</v>
      </c>
      <c r="AF2" s="711">
        <f t="shared" si="0"/>
        <v>24</v>
      </c>
      <c r="AG2" s="711">
        <f t="shared" si="0"/>
        <v>25</v>
      </c>
      <c r="AH2" s="711">
        <f t="shared" si="0"/>
        <v>26</v>
      </c>
      <c r="AI2" s="711">
        <f t="shared" si="0"/>
        <v>27</v>
      </c>
      <c r="AJ2" s="711">
        <f t="shared" si="0"/>
        <v>28</v>
      </c>
      <c r="AK2" s="711">
        <f t="shared" si="0"/>
        <v>29</v>
      </c>
      <c r="AL2" s="711">
        <f t="shared" si="0"/>
        <v>30</v>
      </c>
      <c r="AM2" s="711">
        <f t="shared" si="0"/>
        <v>31</v>
      </c>
      <c r="AN2" s="711">
        <f t="shared" si="0"/>
        <v>32</v>
      </c>
      <c r="AO2" s="711">
        <f t="shared" si="0"/>
        <v>33</v>
      </c>
      <c r="AP2" s="711">
        <f t="shared" si="0"/>
        <v>34</v>
      </c>
      <c r="AQ2" s="711">
        <f>AP2+1</f>
        <v>35</v>
      </c>
      <c r="AR2" s="711">
        <f>AQ2+1</f>
        <v>36</v>
      </c>
      <c r="AS2" s="711">
        <f>AR2+1</f>
        <v>37</v>
      </c>
      <c r="AT2" s="711">
        <f>AS2+1</f>
        <v>38</v>
      </c>
      <c r="AU2" s="711">
        <f>AT2+1</f>
        <v>39</v>
      </c>
      <c r="AV2" s="713"/>
      <c r="AW2" s="713"/>
      <c r="AX2" s="714"/>
      <c r="AY2" s="711"/>
      <c r="AZ2" s="711"/>
      <c r="BA2" s="711"/>
      <c r="BB2" s="711"/>
      <c r="BC2" s="711"/>
      <c r="BD2" s="711"/>
      <c r="BE2" s="711"/>
      <c r="BF2" s="711"/>
      <c r="BG2" s="711"/>
      <c r="BH2" s="711"/>
      <c r="BI2" s="711"/>
      <c r="BJ2" s="711"/>
      <c r="BK2" s="711"/>
      <c r="BL2" s="711"/>
      <c r="BM2" s="711"/>
      <c r="BN2" s="711"/>
      <c r="BO2" s="711"/>
      <c r="BP2" s="711"/>
      <c r="BQ2" s="711"/>
      <c r="BR2" s="711"/>
      <c r="BS2" s="711"/>
      <c r="BT2" s="711"/>
      <c r="BU2" s="711"/>
      <c r="BV2" s="711"/>
      <c r="BW2" s="711"/>
      <c r="BX2" s="711"/>
      <c r="BY2" s="711"/>
      <c r="BZ2" s="711"/>
      <c r="CA2" s="711"/>
    </row>
    <row r="3" spans="1:79" s="721" customFormat="1" ht="16.5" customHeight="1">
      <c r="A3" s="715"/>
      <c r="B3" s="716" t="str">
        <f>'Summary Sources-Uses'!L3</f>
        <v>0 Family Units</v>
      </c>
      <c r="C3" s="715"/>
      <c r="D3" s="715"/>
      <c r="E3" s="715"/>
      <c r="F3" s="804"/>
      <c r="G3" s="717"/>
      <c r="H3" s="717">
        <v>46447</v>
      </c>
      <c r="I3" s="717">
        <f t="shared" ref="I3:AP3" si="1">EDATE(H3,1)</f>
        <v>46478</v>
      </c>
      <c r="J3" s="717">
        <f t="shared" si="1"/>
        <v>46508</v>
      </c>
      <c r="K3" s="717">
        <f t="shared" si="1"/>
        <v>46539</v>
      </c>
      <c r="L3" s="717">
        <f t="shared" si="1"/>
        <v>46569</v>
      </c>
      <c r="M3" s="717">
        <f t="shared" si="1"/>
        <v>46600</v>
      </c>
      <c r="N3" s="717">
        <f t="shared" si="1"/>
        <v>46631</v>
      </c>
      <c r="O3" s="717">
        <f t="shared" si="1"/>
        <v>46661</v>
      </c>
      <c r="P3" s="717">
        <f t="shared" si="1"/>
        <v>46692</v>
      </c>
      <c r="Q3" s="717">
        <f t="shared" si="1"/>
        <v>46722</v>
      </c>
      <c r="R3" s="717">
        <f t="shared" si="1"/>
        <v>46753</v>
      </c>
      <c r="S3" s="717">
        <f t="shared" si="1"/>
        <v>46784</v>
      </c>
      <c r="T3" s="717">
        <f t="shared" si="1"/>
        <v>46813</v>
      </c>
      <c r="U3" s="717">
        <f t="shared" si="1"/>
        <v>46844</v>
      </c>
      <c r="V3" s="717">
        <f t="shared" si="1"/>
        <v>46874</v>
      </c>
      <c r="W3" s="717">
        <f t="shared" si="1"/>
        <v>46905</v>
      </c>
      <c r="X3" s="717">
        <f t="shared" si="1"/>
        <v>46935</v>
      </c>
      <c r="Y3" s="717">
        <f t="shared" si="1"/>
        <v>46966</v>
      </c>
      <c r="Z3" s="717">
        <f t="shared" si="1"/>
        <v>46997</v>
      </c>
      <c r="AA3" s="717">
        <f t="shared" si="1"/>
        <v>47027</v>
      </c>
      <c r="AB3" s="717">
        <f t="shared" si="1"/>
        <v>47058</v>
      </c>
      <c r="AC3" s="717">
        <f t="shared" si="1"/>
        <v>47088</v>
      </c>
      <c r="AD3" s="717">
        <f t="shared" si="1"/>
        <v>47119</v>
      </c>
      <c r="AE3" s="717">
        <f t="shared" si="1"/>
        <v>47150</v>
      </c>
      <c r="AF3" s="717">
        <f t="shared" si="1"/>
        <v>47178</v>
      </c>
      <c r="AG3" s="717">
        <f t="shared" si="1"/>
        <v>47209</v>
      </c>
      <c r="AH3" s="717">
        <f t="shared" si="1"/>
        <v>47239</v>
      </c>
      <c r="AI3" s="717">
        <f t="shared" si="1"/>
        <v>47270</v>
      </c>
      <c r="AJ3" s="717">
        <f t="shared" si="1"/>
        <v>47300</v>
      </c>
      <c r="AK3" s="717">
        <f t="shared" si="1"/>
        <v>47331</v>
      </c>
      <c r="AL3" s="717">
        <f t="shared" si="1"/>
        <v>47362</v>
      </c>
      <c r="AM3" s="717">
        <f t="shared" si="1"/>
        <v>47392</v>
      </c>
      <c r="AN3" s="717">
        <f t="shared" si="1"/>
        <v>47423</v>
      </c>
      <c r="AO3" s="717">
        <f t="shared" si="1"/>
        <v>47453</v>
      </c>
      <c r="AP3" s="717">
        <f t="shared" si="1"/>
        <v>47484</v>
      </c>
      <c r="AQ3" s="717">
        <f>EDATE(AP3,1)</f>
        <v>47515</v>
      </c>
      <c r="AR3" s="717">
        <f>EDATE(AQ3,1)</f>
        <v>47543</v>
      </c>
      <c r="AS3" s="717">
        <f>EDATE(AR3,1)</f>
        <v>47574</v>
      </c>
      <c r="AT3" s="717">
        <f>EDATE(AS3,1)</f>
        <v>47604</v>
      </c>
      <c r="AU3" s="717">
        <f>EDATE(AT3,1)</f>
        <v>47635</v>
      </c>
      <c r="AV3" s="718"/>
      <c r="AW3" s="718"/>
      <c r="AX3" s="719"/>
      <c r="AY3" s="720"/>
      <c r="AZ3" s="715"/>
      <c r="BA3" s="715"/>
      <c r="BB3" s="715"/>
      <c r="BC3" s="715"/>
      <c r="BD3" s="715"/>
      <c r="BE3" s="715"/>
      <c r="BF3" s="715"/>
      <c r="BG3" s="715"/>
      <c r="BH3" s="715"/>
      <c r="BI3" s="715"/>
      <c r="BJ3" s="715"/>
      <c r="BK3" s="715"/>
      <c r="BL3" s="715"/>
      <c r="BM3" s="715"/>
      <c r="BN3" s="715"/>
      <c r="BO3" s="715"/>
      <c r="BP3" s="715"/>
      <c r="BQ3" s="715"/>
      <c r="BR3" s="715"/>
      <c r="BS3" s="715"/>
      <c r="BT3" s="715"/>
      <c r="BU3" s="715"/>
      <c r="BV3" s="715"/>
      <c r="BW3" s="715"/>
      <c r="BX3" s="715"/>
      <c r="BY3" s="715"/>
      <c r="BZ3" s="715"/>
      <c r="CA3" s="715"/>
    </row>
    <row r="4" spans="1:79" ht="18" customHeight="1">
      <c r="A4" s="722"/>
      <c r="B4" s="709"/>
      <c r="C4" s="709"/>
      <c r="D4" s="709"/>
      <c r="E4" s="723"/>
      <c r="F4" s="724" t="s">
        <v>16</v>
      </c>
      <c r="G4" s="724" t="s">
        <v>757</v>
      </c>
      <c r="H4" s="1377" t="s">
        <v>199</v>
      </c>
      <c r="I4" s="727" t="s">
        <v>479</v>
      </c>
      <c r="J4" s="724"/>
      <c r="K4" s="725"/>
      <c r="L4" s="725"/>
      <c r="M4" s="725"/>
      <c r="N4" s="725"/>
      <c r="O4" s="725"/>
      <c r="P4" s="725"/>
      <c r="Q4" s="1411"/>
      <c r="R4" s="1411"/>
      <c r="S4" s="1411" t="s">
        <v>498</v>
      </c>
      <c r="T4" s="1411"/>
      <c r="U4" s="725"/>
      <c r="V4" s="725"/>
      <c r="W4" s="726"/>
      <c r="X4" s="725"/>
      <c r="Y4" s="726"/>
      <c r="Z4" s="725"/>
      <c r="AA4" s="1411"/>
      <c r="AB4" s="1610"/>
      <c r="AC4" s="725"/>
      <c r="AD4" s="1411" t="s">
        <v>499</v>
      </c>
      <c r="AE4" s="1412" t="s">
        <v>759</v>
      </c>
      <c r="AF4" s="725"/>
      <c r="AG4" s="725"/>
      <c r="AH4" s="725"/>
      <c r="AI4" s="725"/>
      <c r="AJ4" s="725"/>
      <c r="AK4" s="725"/>
      <c r="AL4" s="726"/>
      <c r="AM4" s="725"/>
      <c r="AN4" s="726"/>
      <c r="AO4" s="726"/>
      <c r="AP4" s="726"/>
      <c r="AQ4" s="726"/>
      <c r="AR4" s="1634" t="s">
        <v>257</v>
      </c>
      <c r="AS4" s="1597"/>
      <c r="AT4" s="726"/>
      <c r="AU4" s="725"/>
      <c r="AV4" s="1445" t="s">
        <v>761</v>
      </c>
      <c r="AW4" s="1449" t="s">
        <v>239</v>
      </c>
      <c r="AX4" s="714"/>
      <c r="AY4" s="711"/>
      <c r="AZ4" s="711"/>
      <c r="BA4" s="709"/>
      <c r="BB4" s="709"/>
      <c r="BC4" s="709"/>
      <c r="BD4" s="709"/>
      <c r="BE4" s="709"/>
      <c r="BF4" s="709"/>
      <c r="BG4" s="709"/>
      <c r="BH4" s="709"/>
      <c r="BI4" s="709"/>
      <c r="BJ4" s="709"/>
      <c r="BK4" s="709"/>
      <c r="BL4" s="709"/>
      <c r="BM4" s="709"/>
      <c r="BN4" s="709"/>
      <c r="BO4" s="709"/>
      <c r="BP4" s="709"/>
      <c r="BQ4" s="709"/>
      <c r="BR4" s="709"/>
      <c r="BS4" s="709"/>
      <c r="BT4" s="709"/>
      <c r="BU4" s="709"/>
      <c r="BV4" s="709"/>
      <c r="BW4" s="709"/>
      <c r="BX4" s="709"/>
      <c r="BY4" s="709"/>
      <c r="BZ4" s="709"/>
      <c r="CA4" s="709"/>
    </row>
    <row r="5" spans="1:79" ht="16">
      <c r="A5" s="729" t="s">
        <v>480</v>
      </c>
      <c r="B5" s="709"/>
      <c r="C5" s="709"/>
      <c r="D5" s="709"/>
      <c r="E5" s="723"/>
      <c r="F5" s="1373"/>
      <c r="G5" s="728"/>
      <c r="H5" s="1378"/>
      <c r="I5" s="728"/>
      <c r="J5" s="728"/>
      <c r="K5" s="728"/>
      <c r="L5" s="728"/>
      <c r="M5" s="728"/>
      <c r="N5" s="728"/>
      <c r="O5" s="728"/>
      <c r="P5" s="728"/>
      <c r="Q5" s="1410"/>
      <c r="R5" s="728"/>
      <c r="S5" s="731"/>
      <c r="T5" s="728"/>
      <c r="U5" s="728"/>
      <c r="V5" s="731"/>
      <c r="W5" s="731"/>
      <c r="X5" s="731"/>
      <c r="Y5" s="731"/>
      <c r="Z5" s="732"/>
      <c r="AA5" s="1410"/>
      <c r="AB5" s="1611"/>
      <c r="AC5" s="732"/>
      <c r="AD5" s="732" t="s">
        <v>758</v>
      </c>
      <c r="AE5" s="1413" t="s">
        <v>758</v>
      </c>
      <c r="AF5" s="732"/>
      <c r="AG5" s="732"/>
      <c r="AH5" s="732"/>
      <c r="AI5" s="732"/>
      <c r="AJ5" s="732"/>
      <c r="AK5" s="732"/>
      <c r="AL5" s="731"/>
      <c r="AM5" s="732"/>
      <c r="AN5" s="731"/>
      <c r="AO5" s="731"/>
      <c r="AP5" s="731"/>
      <c r="AQ5" s="731"/>
      <c r="AR5" s="1635" t="s">
        <v>760</v>
      </c>
      <c r="AS5" s="1609"/>
      <c r="AT5" s="731"/>
      <c r="AU5" s="732"/>
      <c r="AV5" s="1446"/>
      <c r="AW5" s="1448"/>
      <c r="AX5" s="714"/>
      <c r="AY5" s="711"/>
      <c r="AZ5" s="711"/>
      <c r="BA5" s="709"/>
      <c r="BB5" s="709"/>
      <c r="BC5" s="709"/>
      <c r="BD5" s="709"/>
      <c r="BE5" s="709"/>
      <c r="BF5" s="709"/>
      <c r="BG5" s="709"/>
      <c r="BH5" s="709"/>
      <c r="BI5" s="709"/>
      <c r="BJ5" s="709"/>
      <c r="BK5" s="709"/>
      <c r="BL5" s="709"/>
      <c r="BM5" s="709"/>
      <c r="BN5" s="709"/>
      <c r="BO5" s="709"/>
      <c r="BP5" s="709"/>
      <c r="BQ5" s="709"/>
      <c r="BR5" s="709"/>
      <c r="BS5" s="709"/>
      <c r="BT5" s="709"/>
      <c r="BU5" s="709"/>
      <c r="BV5" s="709"/>
      <c r="BW5" s="709"/>
      <c r="BX5" s="709"/>
      <c r="BY5" s="709"/>
      <c r="BZ5" s="709"/>
      <c r="CA5" s="709"/>
    </row>
    <row r="6" spans="1:79" ht="16">
      <c r="A6" s="716"/>
      <c r="B6" s="1482" t="s">
        <v>780</v>
      </c>
      <c r="C6" s="1482"/>
      <c r="D6" s="1482"/>
      <c r="E6" s="1483"/>
      <c r="F6" s="1492">
        <f ca="1">'Summary Sources-Uses'!K67</f>
        <v>13562258.35376226</v>
      </c>
      <c r="G6" s="1484"/>
      <c r="H6" s="1614">
        <f ca="1">F6</f>
        <v>13562258.35376226</v>
      </c>
      <c r="I6" s="1484"/>
      <c r="J6" s="1484"/>
      <c r="K6" s="1484"/>
      <c r="L6" s="1484"/>
      <c r="M6" s="1484"/>
      <c r="N6" s="1484"/>
      <c r="O6" s="1484"/>
      <c r="P6" s="1484"/>
      <c r="Q6" s="1488"/>
      <c r="R6" s="1484"/>
      <c r="S6" s="1489"/>
      <c r="T6" s="1484"/>
      <c r="U6" s="1484"/>
      <c r="V6" s="1489"/>
      <c r="W6" s="1489"/>
      <c r="X6" s="1489"/>
      <c r="Y6" s="1489"/>
      <c r="Z6" s="1490"/>
      <c r="AA6" s="1488"/>
      <c r="AB6" s="1488"/>
      <c r="AC6" s="1490"/>
      <c r="AD6" s="1490"/>
      <c r="AE6" s="1613"/>
      <c r="AF6" s="1490"/>
      <c r="AG6" s="1490"/>
      <c r="AH6" s="1490"/>
      <c r="AI6" s="1490"/>
      <c r="AJ6" s="1490"/>
      <c r="AK6" s="1490"/>
      <c r="AL6" s="1489"/>
      <c r="AM6" s="1490"/>
      <c r="AN6" s="1489"/>
      <c r="AO6" s="1489"/>
      <c r="AP6" s="1489"/>
      <c r="AQ6" s="1489"/>
      <c r="AR6" s="1582"/>
      <c r="AS6" s="1489"/>
      <c r="AT6" s="1489"/>
      <c r="AU6" s="1490"/>
      <c r="AV6" s="1446"/>
      <c r="AW6" s="1448"/>
      <c r="AX6" s="714"/>
      <c r="AY6" s="711"/>
      <c r="AZ6" s="711"/>
      <c r="BA6" s="709"/>
      <c r="BB6" s="709"/>
      <c r="BC6" s="709"/>
      <c r="BD6" s="709"/>
      <c r="BE6" s="709"/>
      <c r="BF6" s="709"/>
      <c r="BG6" s="709"/>
      <c r="BH6" s="709"/>
      <c r="BI6" s="709"/>
      <c r="BJ6" s="709"/>
      <c r="BK6" s="709"/>
      <c r="BL6" s="709"/>
      <c r="BM6" s="709"/>
      <c r="BN6" s="709"/>
      <c r="BO6" s="709"/>
      <c r="BP6" s="709"/>
      <c r="BQ6" s="709"/>
      <c r="BR6" s="709"/>
      <c r="BS6" s="709"/>
      <c r="BT6" s="709"/>
      <c r="BU6" s="709"/>
      <c r="BV6" s="709"/>
      <c r="BW6" s="709"/>
      <c r="BX6" s="709"/>
      <c r="BY6" s="709"/>
      <c r="BZ6" s="709"/>
      <c r="CA6" s="709"/>
    </row>
    <row r="7" spans="1:79" s="736" customFormat="1" ht="16.25" customHeight="1">
      <c r="A7" s="733"/>
      <c r="B7" s="1485" t="str">
        <f>'Summary Sources-Uses'!E68</f>
        <v>Construction Loan (Taxable)</v>
      </c>
      <c r="C7" s="1486"/>
      <c r="D7" s="1486"/>
      <c r="E7" s="1487"/>
      <c r="F7" s="1493">
        <f ca="1">'Summary Sources-Uses'!K68</f>
        <v>-1762837.8860331019</v>
      </c>
      <c r="G7" s="1372"/>
      <c r="H7" s="1576">
        <f ca="1">H103-H10-H11</f>
        <v>2364554.3878781055</v>
      </c>
      <c r="I7" s="1491">
        <f ca="1">I103-I13</f>
        <v>-103667.1610444704</v>
      </c>
      <c r="J7" s="1491">
        <v>0</v>
      </c>
      <c r="K7" s="1491">
        <v>0</v>
      </c>
      <c r="L7" s="1491">
        <v>0</v>
      </c>
      <c r="M7" s="1491">
        <f ca="1">M103-M10-M13</f>
        <v>300377.80366456456</v>
      </c>
      <c r="N7" s="1491">
        <f ca="1">N103-N13</f>
        <v>834406.43222324015</v>
      </c>
      <c r="O7" s="1491">
        <f ca="1">O103-O10-O13</f>
        <v>668617.86393590341</v>
      </c>
      <c r="P7" s="1491">
        <v>0</v>
      </c>
      <c r="Q7" s="1491">
        <f ca="1">Q103-Q10-Q13</f>
        <v>737699.63920965232</v>
      </c>
      <c r="R7" s="1491">
        <f ca="1">R103-R9-R13</f>
        <v>991730.4138677686</v>
      </c>
      <c r="S7" s="1491"/>
      <c r="T7" s="1491">
        <f ca="1">T103-T10-T13</f>
        <v>209939.80921066151</v>
      </c>
      <c r="U7" s="1491">
        <f t="shared" ref="U7:AA7" ca="1" si="2">U103-U13</f>
        <v>975839.6000947</v>
      </c>
      <c r="V7" s="1491">
        <f ca="1">V103-V10-V13</f>
        <v>691434.96122900909</v>
      </c>
      <c r="W7" s="1491"/>
      <c r="X7" s="1491">
        <f ca="1">X103-X10-X13</f>
        <v>-16927969.944740985</v>
      </c>
      <c r="Y7" s="1491">
        <f t="shared" ca="1" si="2"/>
        <v>859741.88057480473</v>
      </c>
      <c r="Z7" s="1491">
        <f t="shared" ca="1" si="2"/>
        <v>854470.46091796621</v>
      </c>
      <c r="AA7" s="1491">
        <f t="shared" ca="1" si="2"/>
        <v>922170.04845301504</v>
      </c>
      <c r="AB7" s="1491">
        <f ca="1">AB103-AB13</f>
        <v>812241.98371950653</v>
      </c>
      <c r="AC7" s="1491">
        <f ca="1">AC103-AC13</f>
        <v>766709.31462996383</v>
      </c>
      <c r="AD7" s="1491">
        <f ca="1">AD103-AD13</f>
        <v>3278864.6201434899</v>
      </c>
      <c r="AE7" s="1581">
        <f ca="1">(AE103-AE11-AE13)</f>
        <v>10379008.380272057</v>
      </c>
      <c r="AF7" s="1491"/>
      <c r="AG7" s="1491"/>
      <c r="AH7" s="1491"/>
      <c r="AI7" s="1491"/>
      <c r="AJ7" s="1491"/>
      <c r="AK7" s="1491"/>
      <c r="AL7" s="1491"/>
      <c r="AM7" s="1491"/>
      <c r="AN7" s="1491"/>
      <c r="AO7" s="1491">
        <f ca="1">AO103-AO11-AO13</f>
        <v>47388.93771831425</v>
      </c>
      <c r="AP7" s="1491">
        <f ca="1">AP103-AP11-AP13</f>
        <v>47649.576875764978</v>
      </c>
      <c r="AQ7" s="1491">
        <f ca="1">AQ103-AQ11-AQ13</f>
        <v>47911.649548581685</v>
      </c>
      <c r="AR7" s="1581">
        <f ca="1">-SUM(H7:AQ7)</f>
        <v>-8759120.6583816148</v>
      </c>
      <c r="AS7" s="1598"/>
      <c r="AT7" s="1491"/>
      <c r="AU7" s="1491"/>
      <c r="AV7" s="1447">
        <f t="shared" ref="AV7:AV16" ca="1" si="3">SUM(H7:AU7)</f>
        <v>0</v>
      </c>
      <c r="AW7" s="1455">
        <f t="shared" ref="AW7:AW16" ca="1" si="4">F7-AV7</f>
        <v>-1762837.8860331019</v>
      </c>
      <c r="AX7" s="734"/>
      <c r="AY7" s="735"/>
      <c r="AZ7" s="735"/>
      <c r="BA7" s="735"/>
      <c r="BB7" s="735"/>
      <c r="BC7" s="735"/>
      <c r="BD7" s="735"/>
      <c r="BE7" s="735"/>
      <c r="BF7" s="735"/>
      <c r="BG7" s="735"/>
      <c r="BH7" s="735"/>
      <c r="BI7" s="735"/>
      <c r="BJ7" s="735"/>
      <c r="BK7" s="735"/>
      <c r="BL7" s="735"/>
      <c r="BM7" s="735"/>
      <c r="BN7" s="735"/>
      <c r="BO7" s="735"/>
      <c r="BP7" s="735"/>
      <c r="BQ7" s="735"/>
      <c r="BR7" s="735"/>
      <c r="BS7" s="735"/>
      <c r="BT7" s="735"/>
      <c r="BU7" s="735"/>
      <c r="BV7" s="735"/>
      <c r="BW7" s="735"/>
      <c r="BX7" s="735"/>
      <c r="BY7" s="735"/>
      <c r="BZ7" s="735"/>
      <c r="CA7" s="735"/>
    </row>
    <row r="8" spans="1:79" ht="14.5" customHeight="1">
      <c r="A8" s="709"/>
      <c r="B8" s="1351" t="s">
        <v>781</v>
      </c>
      <c r="C8" s="709"/>
      <c r="D8" s="737">
        <f t="shared" ref="D8:D15" ca="1" si="5">F8/F$16</f>
        <v>0.46441928024867246</v>
      </c>
      <c r="E8" s="709"/>
      <c r="F8" s="764">
        <f>'Summary Sources-Uses'!E8</f>
        <v>0</v>
      </c>
      <c r="G8" s="764"/>
      <c r="H8" s="739"/>
      <c r="I8" s="1392"/>
      <c r="J8" s="1392"/>
      <c r="K8" s="1392"/>
      <c r="L8" s="1392"/>
      <c r="M8" s="1392"/>
      <c r="N8" s="1392"/>
      <c r="O8" s="1392"/>
      <c r="P8" s="1392"/>
      <c r="Q8" s="1392"/>
      <c r="R8" s="1392"/>
      <c r="S8" s="1392"/>
      <c r="T8" s="1392"/>
      <c r="U8" s="1392"/>
      <c r="V8" s="1392"/>
      <c r="W8" s="1392"/>
      <c r="X8" s="1392"/>
      <c r="Y8" s="1392"/>
      <c r="Z8" s="1392"/>
      <c r="AA8" s="1392"/>
      <c r="AB8" s="1392"/>
      <c r="AC8" s="1392"/>
      <c r="AD8" s="1392"/>
      <c r="AE8" s="739"/>
      <c r="AF8" s="1392"/>
      <c r="AG8" s="1392"/>
      <c r="AH8" s="1392"/>
      <c r="AI8" s="1392"/>
      <c r="AJ8" s="1392"/>
      <c r="AK8" s="1392"/>
      <c r="AL8" s="1392"/>
      <c r="AM8" s="1392"/>
      <c r="AN8" s="1393"/>
      <c r="AO8" s="1393"/>
      <c r="AP8" s="1393"/>
      <c r="AQ8" s="1392"/>
      <c r="AR8" s="901">
        <f>F8</f>
        <v>0</v>
      </c>
      <c r="AS8" s="1574"/>
      <c r="AT8" s="1393"/>
      <c r="AU8" s="1392"/>
      <c r="AV8" s="1447">
        <f t="shared" si="3"/>
        <v>0</v>
      </c>
      <c r="AW8" s="1455">
        <f t="shared" si="4"/>
        <v>0</v>
      </c>
      <c r="AX8" s="740"/>
      <c r="AY8" s="709"/>
      <c r="AZ8" s="709"/>
      <c r="BA8" s="709"/>
      <c r="BB8" s="709"/>
      <c r="BC8" s="709"/>
      <c r="BD8" s="709"/>
      <c r="BE8" s="709"/>
      <c r="BF8" s="709"/>
      <c r="BG8" s="709"/>
      <c r="BH8" s="709"/>
      <c r="BI8" s="709"/>
      <c r="BJ8" s="709"/>
      <c r="BK8" s="709"/>
      <c r="BL8" s="709"/>
      <c r="BM8" s="709"/>
      <c r="BN8" s="709"/>
      <c r="BO8" s="709"/>
      <c r="BP8" s="709"/>
      <c r="BQ8" s="709"/>
      <c r="BR8" s="709"/>
      <c r="BS8" s="709"/>
      <c r="BT8" s="709"/>
      <c r="BU8" s="709"/>
      <c r="BV8" s="709"/>
      <c r="BW8" s="709"/>
      <c r="BX8" s="709"/>
      <c r="BY8" s="709"/>
      <c r="BZ8" s="709"/>
      <c r="CA8" s="709"/>
    </row>
    <row r="9" spans="1:79" s="736" customFormat="1" ht="14.5" customHeight="1">
      <c r="A9" s="733"/>
      <c r="B9" s="1350" t="s">
        <v>756</v>
      </c>
      <c r="C9" s="733"/>
      <c r="D9" s="741">
        <f t="shared" ca="1" si="5"/>
        <v>9.1361169884984744E-2</v>
      </c>
      <c r="E9" s="733"/>
      <c r="F9" s="1369">
        <f>'Summary Sources-Uses'!E9</f>
        <v>0</v>
      </c>
      <c r="G9" s="1369"/>
      <c r="H9" s="1500"/>
      <c r="I9" s="1395"/>
      <c r="J9" s="1395"/>
      <c r="K9" s="1395"/>
      <c r="L9" s="1395"/>
      <c r="M9" s="1395"/>
      <c r="N9" s="1395"/>
      <c r="O9" s="1395"/>
      <c r="P9" s="1395"/>
      <c r="Q9" s="1395"/>
      <c r="R9" s="1395"/>
      <c r="S9" s="1395"/>
      <c r="T9" s="1395"/>
      <c r="U9" s="1395"/>
      <c r="V9" s="1395"/>
      <c r="W9" s="1395"/>
      <c r="X9" s="1395"/>
      <c r="Y9" s="1395"/>
      <c r="Z9" s="1395"/>
      <c r="AA9" s="1395"/>
      <c r="AB9" s="1395"/>
      <c r="AC9" s="1395"/>
      <c r="AD9" s="1395"/>
      <c r="AE9" s="1317"/>
      <c r="AF9" s="1395"/>
      <c r="AG9" s="1395"/>
      <c r="AH9" s="1395"/>
      <c r="AI9" s="1395"/>
      <c r="AJ9" s="1395"/>
      <c r="AK9" s="1395"/>
      <c r="AL9" s="1395"/>
      <c r="AM9" s="1395"/>
      <c r="AN9" s="1395"/>
      <c r="AO9" s="1395"/>
      <c r="AP9" s="1395"/>
      <c r="AQ9" s="1395"/>
      <c r="AR9" s="1415"/>
      <c r="AS9" s="1599"/>
      <c r="AT9" s="1395"/>
      <c r="AU9" s="1395"/>
      <c r="AV9" s="1447">
        <f t="shared" si="3"/>
        <v>0</v>
      </c>
      <c r="AW9" s="1455">
        <f t="shared" si="4"/>
        <v>0</v>
      </c>
      <c r="AX9" s="734"/>
      <c r="AY9" s="735"/>
      <c r="AZ9" s="735"/>
      <c r="BA9" s="735"/>
      <c r="BB9" s="735"/>
      <c r="BC9" s="735"/>
      <c r="BD9" s="735"/>
      <c r="BE9" s="735"/>
      <c r="BF9" s="735"/>
      <c r="BG9" s="735"/>
      <c r="BH9" s="735"/>
      <c r="BI9" s="735"/>
      <c r="BJ9" s="735"/>
      <c r="BK9" s="735"/>
      <c r="BL9" s="735"/>
      <c r="BM9" s="735"/>
      <c r="BN9" s="735"/>
      <c r="BO9" s="735"/>
      <c r="BP9" s="735"/>
      <c r="BQ9" s="735"/>
      <c r="BR9" s="735"/>
      <c r="BS9" s="735"/>
      <c r="BT9" s="735"/>
      <c r="BU9" s="735"/>
      <c r="BV9" s="735"/>
      <c r="BW9" s="735"/>
      <c r="BX9" s="735"/>
      <c r="BY9" s="735"/>
      <c r="BZ9" s="735"/>
      <c r="CA9" s="735"/>
    </row>
    <row r="10" spans="1:79" ht="13.25" customHeight="1">
      <c r="A10" s="709"/>
      <c r="B10" s="709" t="s">
        <v>596</v>
      </c>
      <c r="C10" s="709"/>
      <c r="D10" s="737">
        <f t="shared" ca="1" si="5"/>
        <v>0.73088935907987795</v>
      </c>
      <c r="E10" s="742"/>
      <c r="F10" s="764">
        <f>'Summary Sources-Uses'!E10</f>
        <v>0</v>
      </c>
      <c r="G10" s="764"/>
      <c r="H10" s="1317">
        <f>1714964.59</f>
        <v>1714964.59</v>
      </c>
      <c r="I10" s="1395"/>
      <c r="J10" s="1395">
        <f ca="1">J103-J13</f>
        <v>578426.56448088516</v>
      </c>
      <c r="K10" s="1395">
        <f ca="1">K103-K13</f>
        <v>875422.40684753517</v>
      </c>
      <c r="L10" s="1395">
        <f ca="1">L103-L13</f>
        <v>957754.35430308525</v>
      </c>
      <c r="M10" s="1395">
        <f ca="1">(H7+I7+H11)-(J10+K10+L10)</f>
        <v>672376.55063852062</v>
      </c>
      <c r="N10" s="1395"/>
      <c r="O10" s="1395">
        <f ca="1">M7</f>
        <v>300377.80366456456</v>
      </c>
      <c r="P10" s="1395">
        <f ca="1">P103-P13</f>
        <v>967673.06585211563</v>
      </c>
      <c r="Q10" s="1395">
        <f ca="1">(N7+O7)-(O10+P10)</f>
        <v>234973.42664246331</v>
      </c>
      <c r="R10" s="1396"/>
      <c r="S10" s="1398">
        <f ca="1">S103-S13</f>
        <v>967184.93114404124</v>
      </c>
      <c r="T10" s="1398">
        <f ca="1">(Q7+R7)-(S10)</f>
        <v>762245.12193337968</v>
      </c>
      <c r="U10" s="1397"/>
      <c r="V10" s="1398">
        <f ca="1">T7</f>
        <v>209939.80921066151</v>
      </c>
      <c r="W10" s="1398">
        <f ca="1">W103-W13</f>
        <v>892845.71527088014</v>
      </c>
      <c r="X10" s="1398">
        <f ca="1">(F9+F10)-SUM(H10:W10)</f>
        <v>17865815.660011865</v>
      </c>
      <c r="Y10" s="1398"/>
      <c r="Z10" s="1398"/>
      <c r="AA10" s="1398"/>
      <c r="AB10" s="1398"/>
      <c r="AC10" s="1398"/>
      <c r="AD10" s="1398"/>
      <c r="AE10" s="1414"/>
      <c r="AF10" s="1398"/>
      <c r="AG10" s="1398"/>
      <c r="AH10" s="1398"/>
      <c r="AI10" s="1398"/>
      <c r="AJ10" s="1398"/>
      <c r="AK10" s="1398"/>
      <c r="AL10" s="1398"/>
      <c r="AM10" s="1398"/>
      <c r="AN10" s="1399"/>
      <c r="AO10" s="1399"/>
      <c r="AP10" s="1399"/>
      <c r="AQ10" s="1399"/>
      <c r="AR10" s="1416"/>
      <c r="AS10" s="1600"/>
      <c r="AT10" s="1399"/>
      <c r="AU10" s="1398"/>
      <c r="AV10" s="1447">
        <f t="shared" ca="1" si="3"/>
        <v>27000000</v>
      </c>
      <c r="AW10" s="1455">
        <f t="shared" ca="1" si="4"/>
        <v>-3000000</v>
      </c>
      <c r="AX10" s="740"/>
      <c r="AY10" s="709"/>
      <c r="AZ10" s="709"/>
      <c r="BA10" s="709"/>
      <c r="BB10" s="709"/>
      <c r="BC10" s="709"/>
      <c r="BD10" s="709"/>
      <c r="BE10" s="709"/>
      <c r="BF10" s="709"/>
      <c r="BG10" s="709"/>
      <c r="BH10" s="709"/>
      <c r="BI10" s="709"/>
      <c r="BJ10" s="709"/>
      <c r="BK10" s="709"/>
      <c r="BL10" s="709"/>
      <c r="BM10" s="709"/>
      <c r="BN10" s="709"/>
      <c r="BO10" s="709"/>
      <c r="BP10" s="709"/>
      <c r="BQ10" s="709"/>
      <c r="BR10" s="709"/>
      <c r="BS10" s="709"/>
      <c r="BT10" s="709"/>
      <c r="BU10" s="709"/>
      <c r="BV10" s="709"/>
      <c r="BW10" s="709"/>
      <c r="BX10" s="709"/>
      <c r="BY10" s="709"/>
      <c r="BZ10" s="709"/>
      <c r="CA10" s="709"/>
    </row>
    <row r="11" spans="1:79" ht="12.5" customHeight="1">
      <c r="A11" s="709"/>
      <c r="B11" s="709" t="s">
        <v>482</v>
      </c>
      <c r="C11" s="709"/>
      <c r="D11" s="737">
        <f t="shared" ca="1" si="5"/>
        <v>0.2506623579208011</v>
      </c>
      <c r="E11" s="742"/>
      <c r="F11" s="764">
        <f ca="1">'Credit Delivery &amp; Pay-Ins'!N7</f>
        <v>8230926.4943639124</v>
      </c>
      <c r="G11" s="744"/>
      <c r="H11" s="739">
        <f ca="1">'Credit Delivery &amp; Pay-Ins'!N22</f>
        <v>823092.64943639131</v>
      </c>
      <c r="I11" s="1393"/>
      <c r="J11" s="1393"/>
      <c r="K11" s="1393"/>
      <c r="L11" s="1393"/>
      <c r="M11" s="1393"/>
      <c r="N11" s="1393"/>
      <c r="O11" s="1393"/>
      <c r="P11" s="1393"/>
      <c r="Q11" s="1400"/>
      <c r="R11" s="1400"/>
      <c r="S11" s="1401"/>
      <c r="T11" s="1401"/>
      <c r="U11" s="1401"/>
      <c r="V11" s="1401"/>
      <c r="W11" s="1401"/>
      <c r="X11" s="1401"/>
      <c r="Y11" s="1401"/>
      <c r="Z11" s="1401"/>
      <c r="AA11" s="1401"/>
      <c r="AB11" s="1612"/>
      <c r="AC11" s="1401"/>
      <c r="AD11" s="1612"/>
      <c r="AE11" s="1388">
        <f ca="1">('Credit Delivery &amp; Pay-Ins'!N44)-(SUM(AF11:AN11))</f>
        <v>3768179.386123891</v>
      </c>
      <c r="AF11" s="1612">
        <f ca="1">AF103-AF13</f>
        <v>105722.27105164758</v>
      </c>
      <c r="AG11" s="1612">
        <f t="shared" ref="AG11:AN11" ca="1" si="6">AG103-AG13</f>
        <v>105722.27105164758</v>
      </c>
      <c r="AH11" s="1612">
        <f t="shared" ca="1" si="6"/>
        <v>105722.27105164758</v>
      </c>
      <c r="AI11" s="1612">
        <f t="shared" ca="1" si="6"/>
        <v>105722.27105164758</v>
      </c>
      <c r="AJ11" s="1612">
        <f t="shared" ca="1" si="6"/>
        <v>65722.271051647578</v>
      </c>
      <c r="AK11" s="1612">
        <f t="shared" ca="1" si="6"/>
        <v>47388.93771831425</v>
      </c>
      <c r="AL11" s="1612">
        <f t="shared" ca="1" si="6"/>
        <v>47388.93771831425</v>
      </c>
      <c r="AM11" s="1612">
        <f t="shared" ca="1" si="6"/>
        <v>47388.93771831425</v>
      </c>
      <c r="AN11" s="1612">
        <f t="shared" ca="1" si="6"/>
        <v>47388.93771831425</v>
      </c>
      <c r="AO11" s="1612"/>
      <c r="AP11" s="1583">
        <v>0</v>
      </c>
      <c r="AQ11" s="1583">
        <v>0</v>
      </c>
      <c r="AR11" s="1388">
        <f ca="1">'Credit Delivery &amp; Pay-Ins'!N58</f>
        <v>2961487.3526721359</v>
      </c>
      <c r="AS11" s="1601"/>
      <c r="AT11" s="1422"/>
      <c r="AU11" s="1401"/>
      <c r="AV11" s="1447">
        <f t="shared" ca="1" si="3"/>
        <v>8230926.4943639096</v>
      </c>
      <c r="AW11" s="1455">
        <f t="shared" ca="1" si="4"/>
        <v>0</v>
      </c>
      <c r="AX11" s="740"/>
      <c r="AY11" s="709"/>
      <c r="AZ11" s="709"/>
      <c r="BA11" s="709"/>
      <c r="BB11" s="709"/>
      <c r="BC11" s="709"/>
      <c r="BD11" s="709"/>
      <c r="BE11" s="709"/>
      <c r="BF11" s="709"/>
      <c r="BG11" s="709"/>
      <c r="BH11" s="709"/>
      <c r="BI11" s="709"/>
      <c r="BJ11" s="709"/>
      <c r="BK11" s="709"/>
      <c r="BL11" s="709"/>
      <c r="BM11" s="709"/>
      <c r="BN11" s="709"/>
      <c r="BO11" s="709"/>
      <c r="BP11" s="709"/>
      <c r="BQ11" s="709"/>
      <c r="BR11" s="709"/>
      <c r="BS11" s="709"/>
      <c r="BT11" s="709"/>
      <c r="BU11" s="709"/>
      <c r="BV11" s="709"/>
      <c r="BW11" s="709"/>
      <c r="BX11" s="709"/>
      <c r="BY11" s="709"/>
      <c r="BZ11" s="709"/>
      <c r="CA11" s="709"/>
    </row>
    <row r="12" spans="1:79">
      <c r="A12" s="709"/>
      <c r="B12" s="709" t="s">
        <v>556</v>
      </c>
      <c r="C12" s="709"/>
      <c r="D12" s="737">
        <f t="shared" ca="1" si="5"/>
        <v>0</v>
      </c>
      <c r="E12" s="742"/>
      <c r="F12" s="1370">
        <f>'Summary Sources-Uses'!E12</f>
        <v>0</v>
      </c>
      <c r="G12" s="900"/>
      <c r="H12" s="901"/>
      <c r="I12" s="1403"/>
      <c r="J12" s="1403"/>
      <c r="K12" s="1403"/>
      <c r="L12" s="1403"/>
      <c r="M12" s="1403"/>
      <c r="N12" s="1403"/>
      <c r="O12" s="1403"/>
      <c r="P12" s="1403"/>
      <c r="Q12" s="1400"/>
      <c r="R12" s="1400"/>
      <c r="S12" s="1401"/>
      <c r="T12" s="1401"/>
      <c r="U12" s="1401"/>
      <c r="V12" s="1401"/>
      <c r="W12" s="1401"/>
      <c r="X12" s="1401"/>
      <c r="Y12" s="1401"/>
      <c r="Z12" s="1401"/>
      <c r="AA12" s="1401"/>
      <c r="AB12" s="1401"/>
      <c r="AC12" s="1401"/>
      <c r="AD12" s="1401"/>
      <c r="AE12" s="1383"/>
      <c r="AF12" s="1401"/>
      <c r="AG12" s="1401"/>
      <c r="AH12" s="1401"/>
      <c r="AI12" s="1401"/>
      <c r="AJ12" s="1401"/>
      <c r="AK12" s="1401"/>
      <c r="AL12" s="1401"/>
      <c r="AM12" s="1401"/>
      <c r="AN12" s="1402"/>
      <c r="AO12" s="1402"/>
      <c r="AP12" s="1402"/>
      <c r="AQ12" s="1402"/>
      <c r="AR12" s="1383"/>
      <c r="AS12" s="1602"/>
      <c r="AT12" s="1402"/>
      <c r="AU12" s="1401"/>
      <c r="AV12" s="1447">
        <f t="shared" si="3"/>
        <v>0</v>
      </c>
      <c r="AW12" s="1455">
        <f t="shared" si="4"/>
        <v>0</v>
      </c>
      <c r="AX12" s="740"/>
      <c r="AY12" s="709"/>
      <c r="AZ12" s="709"/>
      <c r="BA12" s="709"/>
      <c r="BB12" s="709"/>
      <c r="BC12" s="709"/>
      <c r="BD12" s="709"/>
      <c r="BE12" s="709"/>
      <c r="BF12" s="709"/>
      <c r="BG12" s="709"/>
      <c r="BH12" s="709"/>
      <c r="BI12" s="709"/>
      <c r="BJ12" s="709"/>
      <c r="BK12" s="709"/>
      <c r="BL12" s="709"/>
      <c r="BM12" s="709"/>
      <c r="BN12" s="709"/>
      <c r="BO12" s="709"/>
      <c r="BP12" s="709"/>
      <c r="BQ12" s="709"/>
      <c r="BR12" s="709"/>
      <c r="BS12" s="709"/>
      <c r="BT12" s="709"/>
      <c r="BU12" s="709"/>
      <c r="BV12" s="709"/>
      <c r="BW12" s="709"/>
      <c r="BX12" s="709"/>
      <c r="BY12" s="709"/>
      <c r="BZ12" s="709"/>
      <c r="CA12" s="709"/>
    </row>
    <row r="13" spans="1:79" ht="15" customHeight="1">
      <c r="A13" s="709"/>
      <c r="B13" s="709" t="s">
        <v>557</v>
      </c>
      <c r="C13" s="709"/>
      <c r="D13" s="737">
        <f t="shared" ca="1" si="5"/>
        <v>3.6139360526562012E-2</v>
      </c>
      <c r="E13" s="709"/>
      <c r="F13" s="764">
        <f ca="1">'Summary Sources-Uses'!E18</f>
        <v>1186697.6059541965</v>
      </c>
      <c r="G13" s="764"/>
      <c r="H13" s="739">
        <f>H115</f>
        <v>0</v>
      </c>
      <c r="I13" s="1392">
        <f t="shared" ref="I13:AN13" ca="1" si="7">I115</f>
        <v>33905.645884405647</v>
      </c>
      <c r="J13" s="1392">
        <f t="shared" ca="1" si="7"/>
        <v>33905.645884405647</v>
      </c>
      <c r="K13" s="1392">
        <f t="shared" ca="1" si="7"/>
        <v>33905.645884405647</v>
      </c>
      <c r="L13" s="1392">
        <f t="shared" ca="1" si="7"/>
        <v>33905.645884405647</v>
      </c>
      <c r="M13" s="1392">
        <f t="shared" ca="1" si="7"/>
        <v>33905.645884405647</v>
      </c>
      <c r="N13" s="1392">
        <f t="shared" ca="1" si="7"/>
        <v>33905.645884405647</v>
      </c>
      <c r="O13" s="1392">
        <f t="shared" ca="1" si="7"/>
        <v>33905.645884405647</v>
      </c>
      <c r="P13" s="1392">
        <f t="shared" ca="1" si="7"/>
        <v>33905.645884405647</v>
      </c>
      <c r="Q13" s="1392">
        <f t="shared" ca="1" si="7"/>
        <v>33905.645884405647</v>
      </c>
      <c r="R13" s="1392">
        <f t="shared" ca="1" si="7"/>
        <v>33905.645884405647</v>
      </c>
      <c r="S13" s="1392">
        <f t="shared" ca="1" si="7"/>
        <v>33905.645884405647</v>
      </c>
      <c r="T13" s="1392">
        <f t="shared" ca="1" si="7"/>
        <v>33905.645884405647</v>
      </c>
      <c r="U13" s="1392">
        <f t="shared" ca="1" si="7"/>
        <v>33905.645884405647</v>
      </c>
      <c r="V13" s="1392">
        <f t="shared" ca="1" si="7"/>
        <v>33905.645884405647</v>
      </c>
      <c r="W13" s="1392">
        <f t="shared" ca="1" si="7"/>
        <v>33905.645884405647</v>
      </c>
      <c r="X13" s="1392">
        <f t="shared" ca="1" si="7"/>
        <v>33905.645884405647</v>
      </c>
      <c r="Y13" s="1392">
        <f t="shared" ca="1" si="7"/>
        <v>33905.645884405647</v>
      </c>
      <c r="Z13" s="1392">
        <f t="shared" ca="1" si="7"/>
        <v>33905.645884405647</v>
      </c>
      <c r="AA13" s="1392">
        <f t="shared" ca="1" si="7"/>
        <v>33905.645884405647</v>
      </c>
      <c r="AB13" s="1392">
        <f t="shared" ca="1" si="7"/>
        <v>33905.645884405647</v>
      </c>
      <c r="AC13" s="1392">
        <f t="shared" ca="1" si="7"/>
        <v>33905.645884405647</v>
      </c>
      <c r="AD13" s="1392">
        <f t="shared" ca="1" si="7"/>
        <v>33905.645884405647</v>
      </c>
      <c r="AE13" s="739">
        <f t="shared" ca="1" si="7"/>
        <v>33905.645884405647</v>
      </c>
      <c r="AF13" s="1392">
        <f t="shared" ca="1" si="7"/>
        <v>33905.645884405647</v>
      </c>
      <c r="AG13" s="1392">
        <f t="shared" ca="1" si="7"/>
        <v>33905.645884405647</v>
      </c>
      <c r="AH13" s="1392">
        <f t="shared" ca="1" si="7"/>
        <v>33905.645884405647</v>
      </c>
      <c r="AI13" s="1392">
        <f t="shared" ca="1" si="7"/>
        <v>33905.645884405647</v>
      </c>
      <c r="AJ13" s="1392">
        <f t="shared" ca="1" si="7"/>
        <v>33905.645884405647</v>
      </c>
      <c r="AK13" s="1392">
        <f t="shared" ca="1" si="7"/>
        <v>33905.645884405647</v>
      </c>
      <c r="AL13" s="1392">
        <f t="shared" ca="1" si="7"/>
        <v>33905.645884405647</v>
      </c>
      <c r="AM13" s="1392">
        <f t="shared" ca="1" si="7"/>
        <v>33905.645884405647</v>
      </c>
      <c r="AN13" s="1392">
        <f t="shared" ca="1" si="7"/>
        <v>33905.645884405647</v>
      </c>
      <c r="AO13" s="1392">
        <f ca="1">AO115</f>
        <v>33905.645884405647</v>
      </c>
      <c r="AP13" s="1392">
        <f ca="1">AP115</f>
        <v>33905.645884405647</v>
      </c>
      <c r="AQ13" s="1392">
        <f ca="1">AQ115</f>
        <v>33905.645884405647</v>
      </c>
      <c r="AR13" s="739"/>
      <c r="AS13" s="1569"/>
      <c r="AT13" s="1392"/>
      <c r="AU13" s="1392"/>
      <c r="AV13" s="1447">
        <f t="shared" ca="1" si="3"/>
        <v>1186697.6059541965</v>
      </c>
      <c r="AW13" s="1455">
        <f t="shared" ca="1" si="4"/>
        <v>0</v>
      </c>
      <c r="AX13" s="740"/>
      <c r="AY13" s="709"/>
      <c r="AZ13" s="709"/>
      <c r="BA13" s="709"/>
      <c r="BB13" s="709"/>
      <c r="BC13" s="709"/>
      <c r="BD13" s="709"/>
      <c r="BE13" s="709"/>
      <c r="BF13" s="709"/>
      <c r="BG13" s="709"/>
      <c r="BH13" s="709"/>
      <c r="BI13" s="709"/>
      <c r="BJ13" s="709"/>
      <c r="BK13" s="709"/>
      <c r="BL13" s="709"/>
      <c r="BM13" s="709"/>
      <c r="BN13" s="709"/>
      <c r="BO13" s="709"/>
      <c r="BP13" s="709"/>
      <c r="BQ13" s="709"/>
      <c r="BR13" s="709"/>
      <c r="BS13" s="709"/>
      <c r="BT13" s="709"/>
      <c r="BU13" s="709"/>
      <c r="BV13" s="709"/>
      <c r="BW13" s="709"/>
      <c r="BX13" s="709"/>
      <c r="BY13" s="709"/>
      <c r="BZ13" s="709"/>
      <c r="CA13" s="709"/>
    </row>
    <row r="14" spans="1:79" ht="14.5" customHeight="1">
      <c r="A14" s="709"/>
      <c r="B14" s="709" t="s">
        <v>553</v>
      </c>
      <c r="C14" s="709"/>
      <c r="D14" s="737">
        <f t="shared" ca="1" si="5"/>
        <v>0</v>
      </c>
      <c r="E14" s="709"/>
      <c r="F14" s="1370">
        <f>'Summary Sources-Uses'!E13</f>
        <v>0</v>
      </c>
      <c r="G14" s="1370"/>
      <c r="H14" s="901"/>
      <c r="I14" s="1394"/>
      <c r="J14" s="1394"/>
      <c r="K14" s="1394"/>
      <c r="L14" s="1394"/>
      <c r="M14" s="1394"/>
      <c r="N14" s="1394"/>
      <c r="O14" s="1394"/>
      <c r="P14" s="1394"/>
      <c r="Q14" s="1394"/>
      <c r="R14" s="1394"/>
      <c r="S14" s="1394"/>
      <c r="T14" s="1394"/>
      <c r="U14" s="1394"/>
      <c r="V14" s="1394"/>
      <c r="W14" s="1394"/>
      <c r="X14" s="1394"/>
      <c r="Y14" s="1394"/>
      <c r="Z14" s="1394"/>
      <c r="AA14" s="1394"/>
      <c r="AB14" s="1394"/>
      <c r="AC14" s="1394"/>
      <c r="AD14" s="1394"/>
      <c r="AE14" s="901"/>
      <c r="AF14" s="1394"/>
      <c r="AG14" s="1394"/>
      <c r="AH14" s="1394"/>
      <c r="AI14" s="1394"/>
      <c r="AJ14" s="1394"/>
      <c r="AK14" s="1394"/>
      <c r="AL14" s="1394"/>
      <c r="AM14" s="1394"/>
      <c r="AN14" s="1394"/>
      <c r="AO14" s="1394"/>
      <c r="AP14" s="1394"/>
      <c r="AQ14" s="1394"/>
      <c r="AR14" s="1417"/>
      <c r="AS14" s="1569"/>
      <c r="AT14" s="1394"/>
      <c r="AU14" s="1394"/>
      <c r="AV14" s="1447">
        <f t="shared" si="3"/>
        <v>0</v>
      </c>
      <c r="AW14" s="1455">
        <f t="shared" si="4"/>
        <v>0</v>
      </c>
      <c r="AX14" s="740"/>
      <c r="AY14" s="709"/>
      <c r="AZ14" s="709"/>
      <c r="BA14" s="709"/>
      <c r="BB14" s="709"/>
      <c r="BC14" s="709"/>
      <c r="BD14" s="709"/>
      <c r="BE14" s="709"/>
      <c r="BF14" s="709"/>
      <c r="BG14" s="709"/>
      <c r="BH14" s="709"/>
      <c r="BI14" s="709"/>
      <c r="BJ14" s="709"/>
      <c r="BK14" s="709"/>
      <c r="BL14" s="709"/>
      <c r="BM14" s="709"/>
      <c r="BN14" s="709"/>
      <c r="BO14" s="709"/>
      <c r="BP14" s="709"/>
      <c r="BQ14" s="709"/>
      <c r="BR14" s="709"/>
      <c r="BS14" s="709"/>
      <c r="BT14" s="709"/>
      <c r="BU14" s="709"/>
      <c r="BV14" s="709"/>
      <c r="BW14" s="709"/>
      <c r="BX14" s="709"/>
      <c r="BY14" s="709"/>
      <c r="BZ14" s="709"/>
      <c r="CA14" s="709"/>
    </row>
    <row r="15" spans="1:79">
      <c r="A15" s="709"/>
      <c r="B15" s="722" t="s">
        <v>483</v>
      </c>
      <c r="C15" s="709"/>
      <c r="D15" s="737">
        <f t="shared" ca="1" si="5"/>
        <v>-0.57347152766089826</v>
      </c>
      <c r="E15" s="709"/>
      <c r="F15" s="1371">
        <f ca="1">'Summary Sources-Uses'!E17</f>
        <v>-18830916.735726323</v>
      </c>
      <c r="G15" s="764"/>
      <c r="H15" s="739"/>
      <c r="I15" s="1392"/>
      <c r="J15" s="1392"/>
      <c r="K15" s="1392"/>
      <c r="L15" s="1392"/>
      <c r="M15" s="1392"/>
      <c r="N15" s="1392"/>
      <c r="O15" s="1392"/>
      <c r="P15" s="1392"/>
      <c r="Q15" s="1392"/>
      <c r="R15" s="1392"/>
      <c r="S15" s="1392"/>
      <c r="T15" s="1392"/>
      <c r="U15" s="1392"/>
      <c r="V15" s="1392"/>
      <c r="W15" s="1392"/>
      <c r="X15" s="1392"/>
      <c r="Y15" s="1392"/>
      <c r="Z15" s="1392"/>
      <c r="AA15" s="1392"/>
      <c r="AB15" s="1392"/>
      <c r="AC15" s="1392"/>
      <c r="AD15" s="1392"/>
      <c r="AE15" s="739"/>
      <c r="AF15" s="1392"/>
      <c r="AG15" s="1392"/>
      <c r="AH15" s="1392"/>
      <c r="AI15" s="1392"/>
      <c r="AJ15" s="1392"/>
      <c r="AK15" s="1392"/>
      <c r="AL15" s="1392"/>
      <c r="AM15" s="1392"/>
      <c r="AN15" s="1392"/>
      <c r="AO15" s="1392"/>
      <c r="AP15" s="1392"/>
      <c r="AQ15" s="1392"/>
      <c r="AR15" s="1417"/>
      <c r="AS15" s="1569"/>
      <c r="AT15" s="1392"/>
      <c r="AU15" s="1392"/>
      <c r="AV15" s="1447">
        <f t="shared" si="3"/>
        <v>0</v>
      </c>
      <c r="AW15" s="1455">
        <f t="shared" ca="1" si="4"/>
        <v>-18830916.735726323</v>
      </c>
      <c r="AX15" s="740"/>
      <c r="AY15" s="709"/>
      <c r="AZ15" s="709"/>
      <c r="BA15" s="709"/>
      <c r="BB15" s="709"/>
      <c r="BC15" s="709"/>
      <c r="BD15" s="709"/>
      <c r="BE15" s="709"/>
      <c r="BF15" s="709"/>
      <c r="BG15" s="709"/>
      <c r="BH15" s="709"/>
      <c r="BI15" s="709"/>
      <c r="BJ15" s="709"/>
      <c r="BK15" s="709"/>
      <c r="BL15" s="709"/>
      <c r="BM15" s="709"/>
      <c r="BN15" s="709"/>
      <c r="BO15" s="709"/>
      <c r="BP15" s="709"/>
      <c r="BQ15" s="709"/>
      <c r="BR15" s="709"/>
      <c r="BS15" s="709"/>
      <c r="BT15" s="709"/>
      <c r="BU15" s="709"/>
      <c r="BV15" s="709"/>
      <c r="BW15" s="709"/>
      <c r="BX15" s="709"/>
      <c r="BY15" s="709"/>
      <c r="BZ15" s="709"/>
      <c r="CA15" s="709"/>
    </row>
    <row r="16" spans="1:79">
      <c r="A16" s="709"/>
      <c r="B16" s="709"/>
      <c r="C16" s="1405" t="s">
        <v>1</v>
      </c>
      <c r="D16" s="1406"/>
      <c r="E16" s="1406"/>
      <c r="F16" s="1407">
        <f ca="1">SUM(F8:F15)</f>
        <v>32836707.364591789</v>
      </c>
      <c r="G16" s="1408">
        <f t="shared" ref="G16:AU16" si="8">SUM(G7:G15)</f>
        <v>0</v>
      </c>
      <c r="H16" s="1407">
        <f t="shared" ca="1" si="8"/>
        <v>4902611.6273144968</v>
      </c>
      <c r="I16" s="1407">
        <f t="shared" ca="1" si="8"/>
        <v>-69761.515160064751</v>
      </c>
      <c r="J16" s="1407">
        <f t="shared" ca="1" si="8"/>
        <v>612332.21036529075</v>
      </c>
      <c r="K16" s="1407">
        <f t="shared" ca="1" si="8"/>
        <v>909328.05273194076</v>
      </c>
      <c r="L16" s="1407">
        <f t="shared" ca="1" si="8"/>
        <v>991660.00018749083</v>
      </c>
      <c r="M16" s="1407">
        <f t="shared" ca="1" si="8"/>
        <v>1006660.0001874908</v>
      </c>
      <c r="N16" s="1407">
        <f t="shared" ca="1" si="8"/>
        <v>868312.07810764574</v>
      </c>
      <c r="O16" s="1407">
        <f t="shared" ca="1" si="8"/>
        <v>1002901.3134848736</v>
      </c>
      <c r="P16" s="1407">
        <f t="shared" ca="1" si="8"/>
        <v>1001578.7117365212</v>
      </c>
      <c r="Q16" s="1407">
        <f t="shared" ca="1" si="8"/>
        <v>1006578.7117365212</v>
      </c>
      <c r="R16" s="1407">
        <f t="shared" ca="1" si="8"/>
        <v>1025636.0597521742</v>
      </c>
      <c r="S16" s="1407">
        <f t="shared" ca="1" si="8"/>
        <v>1001090.5770284468</v>
      </c>
      <c r="T16" s="1407">
        <f t="shared" ca="1" si="8"/>
        <v>1006090.5770284468</v>
      </c>
      <c r="U16" s="1407">
        <f t="shared" ca="1" si="8"/>
        <v>1009745.2459791056</v>
      </c>
      <c r="V16" s="1407">
        <f t="shared" ca="1" si="8"/>
        <v>935280.41632407624</v>
      </c>
      <c r="W16" s="1407">
        <f t="shared" ca="1" si="8"/>
        <v>926751.36115528573</v>
      </c>
      <c r="X16" s="1407">
        <f t="shared" ca="1" si="8"/>
        <v>971751.3611552862</v>
      </c>
      <c r="Y16" s="1407">
        <f t="shared" ca="1" si="8"/>
        <v>893647.52645921032</v>
      </c>
      <c r="Z16" s="1407">
        <f t="shared" ca="1" si="8"/>
        <v>888376.1068023718</v>
      </c>
      <c r="AA16" s="1407">
        <f t="shared" ca="1" si="8"/>
        <v>956075.69433742063</v>
      </c>
      <c r="AB16" s="1407">
        <f t="shared" ca="1" si="8"/>
        <v>846147.62960391212</v>
      </c>
      <c r="AC16" s="1407">
        <f t="shared" ca="1" si="8"/>
        <v>800614.96051436942</v>
      </c>
      <c r="AD16" s="1407">
        <f t="shared" ca="1" si="8"/>
        <v>3312770.2660278957</v>
      </c>
      <c r="AE16" s="1407">
        <f t="shared" ca="1" si="8"/>
        <v>14181093.412280355</v>
      </c>
      <c r="AF16" s="1407">
        <f t="shared" ca="1" si="8"/>
        <v>139627.91693605323</v>
      </c>
      <c r="AG16" s="1407">
        <f t="shared" ca="1" si="8"/>
        <v>139627.91693605323</v>
      </c>
      <c r="AH16" s="1407">
        <f t="shared" ca="1" si="8"/>
        <v>139627.91693605323</v>
      </c>
      <c r="AI16" s="1407">
        <f t="shared" ca="1" si="8"/>
        <v>139627.91693605323</v>
      </c>
      <c r="AJ16" s="1407">
        <f t="shared" ca="1" si="8"/>
        <v>99627.916936053225</v>
      </c>
      <c r="AK16" s="1407">
        <f t="shared" ca="1" si="8"/>
        <v>81294.583602719897</v>
      </c>
      <c r="AL16" s="1407">
        <f t="shared" ca="1" si="8"/>
        <v>81294.583602719897</v>
      </c>
      <c r="AM16" s="1407">
        <f t="shared" ca="1" si="8"/>
        <v>81294.583602719897</v>
      </c>
      <c r="AN16" s="1407">
        <f t="shared" ca="1" si="8"/>
        <v>81294.583602719897</v>
      </c>
      <c r="AO16" s="1407">
        <f ca="1">SUM(AO7:AO15)</f>
        <v>81294.583602719897</v>
      </c>
      <c r="AP16" s="1407">
        <f ca="1">SUM(AP7:AP15)</f>
        <v>81555.222760170625</v>
      </c>
      <c r="AQ16" s="1407">
        <f t="shared" ca="1" si="8"/>
        <v>81817.295432987332</v>
      </c>
      <c r="AR16" s="1407">
        <f t="shared" ca="1" si="8"/>
        <v>9452366.6942905206</v>
      </c>
      <c r="AS16" s="1407"/>
      <c r="AT16" s="1407">
        <f>SUM(AT7:AT15)</f>
        <v>0</v>
      </c>
      <c r="AU16" s="1407">
        <f t="shared" si="8"/>
        <v>0</v>
      </c>
      <c r="AV16" s="1447">
        <f t="shared" ca="1" si="3"/>
        <v>51667624.100318097</v>
      </c>
      <c r="AW16" s="1455">
        <f t="shared" ca="1" si="4"/>
        <v>-18830916.735726308</v>
      </c>
      <c r="AX16" s="740"/>
      <c r="AY16" s="709"/>
      <c r="AZ16" s="709"/>
      <c r="BA16" s="910"/>
      <c r="BB16" s="709"/>
      <c r="BC16" s="709"/>
      <c r="BD16" s="709"/>
      <c r="BE16" s="709"/>
      <c r="BF16" s="709"/>
      <c r="BG16" s="709"/>
      <c r="BH16" s="709"/>
      <c r="BI16" s="709"/>
      <c r="BJ16" s="709"/>
      <c r="BK16" s="709"/>
      <c r="BL16" s="709"/>
      <c r="BM16" s="709"/>
      <c r="BN16" s="709"/>
      <c r="BO16" s="709"/>
      <c r="BP16" s="709"/>
      <c r="BQ16" s="709"/>
      <c r="BR16" s="709"/>
      <c r="BS16" s="709"/>
      <c r="BT16" s="709"/>
      <c r="BU16" s="709"/>
      <c r="BV16" s="709"/>
      <c r="BW16" s="709"/>
      <c r="BX16" s="709"/>
      <c r="BY16" s="709"/>
      <c r="BZ16" s="709"/>
      <c r="CA16" s="709"/>
    </row>
    <row r="17" spans="1:79">
      <c r="A17" s="709"/>
      <c r="B17" s="709"/>
      <c r="C17" s="709"/>
      <c r="D17" s="709"/>
      <c r="E17" s="1694" t="s">
        <v>484</v>
      </c>
      <c r="F17" s="1694"/>
      <c r="G17" s="1409">
        <f ca="1">G11/$F11</f>
        <v>0</v>
      </c>
      <c r="H17" s="1409">
        <f ca="1">H11/$F11</f>
        <v>0.1</v>
      </c>
      <c r="I17" s="1409">
        <f t="shared" ref="I17:AU17" ca="1" si="9">I11/$F11</f>
        <v>0</v>
      </c>
      <c r="J17" s="1409">
        <f t="shared" ca="1" si="9"/>
        <v>0</v>
      </c>
      <c r="K17" s="1409">
        <f t="shared" ca="1" si="9"/>
        <v>0</v>
      </c>
      <c r="L17" s="1409">
        <f t="shared" ca="1" si="9"/>
        <v>0</v>
      </c>
      <c r="M17" s="1409">
        <f t="shared" ca="1" si="9"/>
        <v>0</v>
      </c>
      <c r="N17" s="1409">
        <f t="shared" ca="1" si="9"/>
        <v>0</v>
      </c>
      <c r="O17" s="1409">
        <f t="shared" ca="1" si="9"/>
        <v>0</v>
      </c>
      <c r="P17" s="1409">
        <f t="shared" ca="1" si="9"/>
        <v>0</v>
      </c>
      <c r="Q17" s="1409">
        <f ca="1">Q11/$F11</f>
        <v>0</v>
      </c>
      <c r="R17" s="1409">
        <f t="shared" ca="1" si="9"/>
        <v>0</v>
      </c>
      <c r="S17" s="1409">
        <f t="shared" ca="1" si="9"/>
        <v>0</v>
      </c>
      <c r="T17" s="1409">
        <f t="shared" ca="1" si="9"/>
        <v>0</v>
      </c>
      <c r="U17" s="1409">
        <f t="shared" ca="1" si="9"/>
        <v>0</v>
      </c>
      <c r="V17" s="1409">
        <f t="shared" ca="1" si="9"/>
        <v>0</v>
      </c>
      <c r="W17" s="1409">
        <f t="shared" ca="1" si="9"/>
        <v>0</v>
      </c>
      <c r="X17" s="1409">
        <f t="shared" ca="1" si="9"/>
        <v>0</v>
      </c>
      <c r="Y17" s="1409">
        <f t="shared" ca="1" si="9"/>
        <v>0</v>
      </c>
      <c r="Z17" s="1409">
        <f t="shared" ca="1" si="9"/>
        <v>0</v>
      </c>
      <c r="AA17" s="1409">
        <f t="shared" ca="1" si="9"/>
        <v>0</v>
      </c>
      <c r="AB17" s="1409">
        <f t="shared" ca="1" si="9"/>
        <v>0</v>
      </c>
      <c r="AC17" s="1409">
        <f t="shared" ca="1" si="9"/>
        <v>0</v>
      </c>
      <c r="AD17" s="1409">
        <f t="shared" ca="1" si="9"/>
        <v>0</v>
      </c>
      <c r="AE17" s="1615">
        <f t="shared" ca="1" si="9"/>
        <v>0.45780743986769096</v>
      </c>
      <c r="AF17" s="1409">
        <f t="shared" ca="1" si="9"/>
        <v>1.284451648596794E-2</v>
      </c>
      <c r="AG17" s="1409">
        <f t="shared" ca="1" si="9"/>
        <v>1.284451648596794E-2</v>
      </c>
      <c r="AH17" s="1409">
        <f t="shared" ca="1" si="9"/>
        <v>1.284451648596794E-2</v>
      </c>
      <c r="AI17" s="1409">
        <f t="shared" ca="1" si="9"/>
        <v>1.284451648596794E-2</v>
      </c>
      <c r="AJ17" s="1409">
        <f t="shared" ca="1" si="9"/>
        <v>7.984796255518815E-3</v>
      </c>
      <c r="AK17" s="1409">
        <f t="shared" ca="1" si="9"/>
        <v>5.757424483229634E-3</v>
      </c>
      <c r="AL17" s="1409">
        <f t="shared" ca="1" si="9"/>
        <v>5.757424483229634E-3</v>
      </c>
      <c r="AM17" s="1409">
        <f t="shared" ca="1" si="9"/>
        <v>5.757424483229634E-3</v>
      </c>
      <c r="AN17" s="1409">
        <f t="shared" ca="1" si="9"/>
        <v>5.757424483229634E-3</v>
      </c>
      <c r="AO17" s="1409">
        <f ca="1">AO11/$F11</f>
        <v>0</v>
      </c>
      <c r="AP17" s="1409">
        <f ca="1">AP11/$F11</f>
        <v>0</v>
      </c>
      <c r="AQ17" s="1409">
        <f t="shared" ca="1" si="9"/>
        <v>0</v>
      </c>
      <c r="AR17" s="1409">
        <f t="shared" ca="1" si="9"/>
        <v>0.35980000000000001</v>
      </c>
      <c r="AS17" s="1409"/>
      <c r="AT17" s="1409">
        <f ca="1">AT11/$F11</f>
        <v>0</v>
      </c>
      <c r="AU17" s="1409">
        <f t="shared" ca="1" si="9"/>
        <v>0</v>
      </c>
      <c r="AV17" s="1424">
        <f ca="1">SUM(H17:AR17)</f>
        <v>1.0000000000000004</v>
      </c>
      <c r="AW17" s="1424"/>
      <c r="AX17" s="740"/>
      <c r="AY17" s="709"/>
      <c r="AZ17" s="709"/>
      <c r="BA17" s="709"/>
      <c r="BB17" s="709"/>
      <c r="BC17" s="709"/>
      <c r="BD17" s="709"/>
      <c r="BE17" s="709"/>
      <c r="BF17" s="709"/>
      <c r="BG17" s="709"/>
      <c r="BH17" s="709"/>
      <c r="BI17" s="709"/>
      <c r="BJ17" s="709"/>
      <c r="BK17" s="709"/>
      <c r="BL17" s="709"/>
      <c r="BM17" s="709"/>
      <c r="BN17" s="709"/>
      <c r="BO17" s="709"/>
      <c r="BP17" s="709"/>
      <c r="BQ17" s="709"/>
      <c r="BR17" s="709"/>
      <c r="BS17" s="709"/>
      <c r="BT17" s="709"/>
      <c r="BU17" s="709"/>
      <c r="BV17" s="709"/>
      <c r="BW17" s="709"/>
      <c r="BX17" s="709"/>
      <c r="BY17" s="709"/>
      <c r="BZ17" s="709"/>
      <c r="CA17" s="709"/>
    </row>
    <row r="18" spans="1:79">
      <c r="A18" s="709"/>
      <c r="B18" s="709"/>
      <c r="C18" s="709"/>
      <c r="D18" s="709"/>
      <c r="E18" s="746"/>
      <c r="F18" s="746"/>
      <c r="G18" s="747"/>
      <c r="H18" s="747"/>
      <c r="I18" s="747"/>
      <c r="J18" s="747"/>
      <c r="K18" s="747"/>
      <c r="L18" s="747"/>
      <c r="M18" s="747"/>
      <c r="N18" s="747"/>
      <c r="O18" s="747"/>
      <c r="P18" s="747"/>
      <c r="Q18" s="747"/>
      <c r="R18" s="747"/>
      <c r="S18" s="747"/>
      <c r="T18" s="747"/>
      <c r="U18" s="747"/>
      <c r="V18" s="747"/>
      <c r="W18" s="747"/>
      <c r="X18" s="747"/>
      <c r="Y18" s="747"/>
      <c r="Z18" s="747"/>
      <c r="AA18" s="747"/>
      <c r="AB18" s="747"/>
      <c r="AC18" s="747"/>
      <c r="AD18" s="747"/>
      <c r="AE18" s="747"/>
      <c r="AF18" s="747"/>
      <c r="AG18" s="747"/>
      <c r="AH18" s="747"/>
      <c r="AI18" s="747"/>
      <c r="AJ18" s="747"/>
      <c r="AK18" s="747"/>
      <c r="AL18" s="747"/>
      <c r="AM18" s="747"/>
      <c r="AN18" s="747"/>
      <c r="AO18" s="747"/>
      <c r="AP18" s="747"/>
      <c r="AQ18" s="747"/>
      <c r="AR18" s="747"/>
      <c r="AS18" s="747"/>
      <c r="AT18" s="747"/>
      <c r="AU18" s="747"/>
      <c r="AV18" s="709"/>
      <c r="AW18" s="709"/>
      <c r="AX18" s="709"/>
      <c r="AY18" s="709"/>
      <c r="AZ18" s="709"/>
      <c r="BA18" s="709"/>
      <c r="BB18" s="709"/>
      <c r="BC18" s="709"/>
      <c r="BD18" s="709"/>
      <c r="BE18" s="709"/>
      <c r="BF18" s="709"/>
      <c r="BG18" s="709"/>
      <c r="BH18" s="709"/>
      <c r="BI18" s="709"/>
      <c r="BJ18" s="709"/>
      <c r="BK18" s="709"/>
      <c r="BL18" s="709"/>
      <c r="BM18" s="709"/>
      <c r="BN18" s="709"/>
      <c r="BO18" s="709"/>
      <c r="BP18" s="709"/>
      <c r="BQ18" s="709"/>
      <c r="BR18" s="709"/>
      <c r="BS18" s="709"/>
      <c r="BT18" s="709"/>
      <c r="BU18" s="709"/>
      <c r="BV18" s="709"/>
      <c r="BW18" s="709"/>
      <c r="BX18" s="709"/>
      <c r="BY18" s="709"/>
      <c r="BZ18" s="709"/>
      <c r="CA18" s="709"/>
    </row>
    <row r="19" spans="1:79" ht="16">
      <c r="A19" s="729" t="s">
        <v>485</v>
      </c>
      <c r="B19" s="730"/>
      <c r="C19" s="730"/>
      <c r="D19" s="730"/>
      <c r="E19" s="722"/>
      <c r="F19" s="711">
        <f ca="1">H103-H11</f>
        <v>4079518.9778781054</v>
      </c>
      <c r="G19" s="711"/>
      <c r="H19" s="717">
        <f t="shared" ref="H19:AN19" si="10">H3</f>
        <v>46447</v>
      </c>
      <c r="I19" s="717">
        <f t="shared" si="10"/>
        <v>46478</v>
      </c>
      <c r="J19" s="717">
        <f t="shared" si="10"/>
        <v>46508</v>
      </c>
      <c r="K19" s="717">
        <f t="shared" si="10"/>
        <v>46539</v>
      </c>
      <c r="L19" s="717">
        <f t="shared" si="10"/>
        <v>46569</v>
      </c>
      <c r="M19" s="717">
        <f t="shared" si="10"/>
        <v>46600</v>
      </c>
      <c r="N19" s="717">
        <f t="shared" si="10"/>
        <v>46631</v>
      </c>
      <c r="O19" s="717">
        <f t="shared" si="10"/>
        <v>46661</v>
      </c>
      <c r="P19" s="717">
        <f t="shared" si="10"/>
        <v>46692</v>
      </c>
      <c r="Q19" s="717">
        <f t="shared" si="10"/>
        <v>46722</v>
      </c>
      <c r="R19" s="717">
        <f t="shared" si="10"/>
        <v>46753</v>
      </c>
      <c r="S19" s="717">
        <f t="shared" si="10"/>
        <v>46784</v>
      </c>
      <c r="T19" s="717">
        <f t="shared" si="10"/>
        <v>46813</v>
      </c>
      <c r="U19" s="717">
        <f t="shared" si="10"/>
        <v>46844</v>
      </c>
      <c r="V19" s="717">
        <f t="shared" si="10"/>
        <v>46874</v>
      </c>
      <c r="W19" s="717">
        <f t="shared" si="10"/>
        <v>46905</v>
      </c>
      <c r="X19" s="717">
        <f t="shared" si="10"/>
        <v>46935</v>
      </c>
      <c r="Y19" s="717">
        <f t="shared" si="10"/>
        <v>46966</v>
      </c>
      <c r="Z19" s="717">
        <f t="shared" si="10"/>
        <v>46997</v>
      </c>
      <c r="AA19" s="717">
        <f t="shared" si="10"/>
        <v>47027</v>
      </c>
      <c r="AB19" s="717">
        <f t="shared" si="10"/>
        <v>47058</v>
      </c>
      <c r="AC19" s="717">
        <f t="shared" si="10"/>
        <v>47088</v>
      </c>
      <c r="AD19" s="717">
        <f t="shared" si="10"/>
        <v>47119</v>
      </c>
      <c r="AE19" s="717">
        <f t="shared" si="10"/>
        <v>47150</v>
      </c>
      <c r="AF19" s="717">
        <f t="shared" si="10"/>
        <v>47178</v>
      </c>
      <c r="AG19" s="717">
        <f t="shared" si="10"/>
        <v>47209</v>
      </c>
      <c r="AH19" s="717">
        <f t="shared" si="10"/>
        <v>47239</v>
      </c>
      <c r="AI19" s="717">
        <f t="shared" si="10"/>
        <v>47270</v>
      </c>
      <c r="AJ19" s="717">
        <f t="shared" si="10"/>
        <v>47300</v>
      </c>
      <c r="AK19" s="717">
        <f t="shared" si="10"/>
        <v>47331</v>
      </c>
      <c r="AL19" s="717">
        <f t="shared" si="10"/>
        <v>47362</v>
      </c>
      <c r="AM19" s="717">
        <f t="shared" si="10"/>
        <v>47392</v>
      </c>
      <c r="AN19" s="717">
        <f t="shared" si="10"/>
        <v>47423</v>
      </c>
      <c r="AO19" s="717">
        <f t="shared" ref="AO19:AU19" si="11">AO3</f>
        <v>47453</v>
      </c>
      <c r="AP19" s="717">
        <f t="shared" si="11"/>
        <v>47484</v>
      </c>
      <c r="AQ19" s="717">
        <f t="shared" si="11"/>
        <v>47515</v>
      </c>
      <c r="AR19" s="717">
        <f t="shared" si="11"/>
        <v>47543</v>
      </c>
      <c r="AS19" s="717"/>
      <c r="AT19" s="717">
        <f>AT3</f>
        <v>47604</v>
      </c>
      <c r="AU19" s="717">
        <f t="shared" si="11"/>
        <v>47635</v>
      </c>
      <c r="AV19" s="748"/>
      <c r="AW19" s="748"/>
      <c r="AX19" s="749"/>
      <c r="AY19" s="748"/>
      <c r="AZ19" s="709"/>
      <c r="BA19" s="709"/>
      <c r="BB19" s="709"/>
      <c r="BC19" s="709"/>
      <c r="BD19" s="709"/>
      <c r="BE19" s="709"/>
      <c r="BF19" s="709"/>
      <c r="BG19" s="709"/>
      <c r="BH19" s="709"/>
      <c r="BI19" s="709"/>
      <c r="BJ19" s="709"/>
      <c r="BK19" s="709"/>
      <c r="BL19" s="709"/>
      <c r="BM19" s="709"/>
      <c r="BN19" s="709"/>
      <c r="BO19" s="709"/>
      <c r="BP19" s="709"/>
      <c r="BQ19" s="709"/>
      <c r="BR19" s="709"/>
      <c r="BS19" s="709"/>
      <c r="BT19" s="709"/>
      <c r="BU19" s="709"/>
      <c r="BV19" s="709"/>
      <c r="BW19" s="709"/>
      <c r="BX19" s="709"/>
      <c r="BY19" s="709"/>
      <c r="BZ19" s="709"/>
      <c r="CA19" s="709"/>
    </row>
    <row r="20" spans="1:79">
      <c r="A20" s="750" t="s">
        <v>121</v>
      </c>
      <c r="B20" s="722"/>
      <c r="C20" s="709"/>
      <c r="D20" s="709"/>
      <c r="E20" s="751" t="s">
        <v>5</v>
      </c>
      <c r="F20" s="752"/>
      <c r="G20" s="752"/>
      <c r="H20" s="753"/>
      <c r="I20" s="753"/>
      <c r="J20" s="753"/>
      <c r="K20" s="753"/>
      <c r="L20" s="753"/>
      <c r="M20" s="753"/>
      <c r="N20" s="753"/>
      <c r="O20" s="753"/>
      <c r="P20" s="753"/>
      <c r="Q20" s="753"/>
      <c r="R20" s="753"/>
      <c r="S20" s="753"/>
      <c r="T20" s="753"/>
      <c r="U20" s="753"/>
      <c r="V20" s="753"/>
      <c r="W20" s="753"/>
      <c r="X20" s="753"/>
      <c r="Y20" s="753"/>
      <c r="Z20" s="753"/>
      <c r="AA20" s="753"/>
      <c r="AB20" s="753"/>
      <c r="AC20" s="753"/>
      <c r="AD20" s="753"/>
      <c r="AE20" s="753"/>
      <c r="AF20" s="753"/>
      <c r="AG20" s="753"/>
      <c r="AH20" s="753"/>
      <c r="AI20" s="753"/>
      <c r="AJ20" s="753"/>
      <c r="AK20" s="753"/>
      <c r="AL20" s="753"/>
      <c r="AM20" s="753"/>
      <c r="AN20" s="753"/>
      <c r="AO20" s="753"/>
      <c r="AP20" s="753"/>
      <c r="AQ20" s="753"/>
      <c r="AR20" s="753"/>
      <c r="AS20" s="753"/>
      <c r="AT20" s="753"/>
      <c r="AU20" s="753"/>
      <c r="AV20" s="753"/>
      <c r="AW20" s="753"/>
      <c r="AX20" s="740"/>
      <c r="AY20" s="709"/>
      <c r="AZ20" s="709"/>
      <c r="BA20" s="709"/>
      <c r="BB20" s="709"/>
      <c r="BC20" s="709"/>
      <c r="BD20" s="709"/>
      <c r="BE20" s="709"/>
      <c r="BF20" s="709"/>
      <c r="BG20" s="709"/>
      <c r="BH20" s="709"/>
      <c r="BI20" s="709"/>
      <c r="BJ20" s="709"/>
      <c r="BK20" s="709"/>
      <c r="BL20" s="709"/>
      <c r="BM20" s="709"/>
      <c r="BN20" s="709"/>
      <c r="BO20" s="709"/>
      <c r="BP20" s="709"/>
      <c r="BQ20" s="709"/>
      <c r="BR20" s="709"/>
      <c r="BS20" s="709"/>
      <c r="BT20" s="709"/>
      <c r="BU20" s="709"/>
      <c r="BV20" s="709"/>
      <c r="BW20" s="709"/>
      <c r="BX20" s="709"/>
      <c r="BY20" s="709"/>
      <c r="BZ20" s="709"/>
      <c r="CA20" s="709"/>
    </row>
    <row r="21" spans="1:79">
      <c r="A21" s="722"/>
      <c r="B21" s="722" t="str">
        <f>'Development Budget'!C9</f>
        <v>Land/Ground Lease Prepayment</v>
      </c>
      <c r="C21" s="709"/>
      <c r="D21" s="709"/>
      <c r="E21" s="754">
        <f>F21/'Rent Schedule'!$D$26</f>
        <v>0</v>
      </c>
      <c r="F21" s="755">
        <f>'Development Budget'!G9</f>
        <v>0</v>
      </c>
      <c r="G21" s="764"/>
      <c r="H21" s="739">
        <f>F21</f>
        <v>0</v>
      </c>
      <c r="I21" s="1392"/>
      <c r="J21" s="1392"/>
      <c r="K21" s="1392"/>
      <c r="L21" s="1392"/>
      <c r="M21" s="1392"/>
      <c r="N21" s="1392"/>
      <c r="O21" s="1392"/>
      <c r="P21" s="1392"/>
      <c r="Q21" s="1392"/>
      <c r="R21" s="1392"/>
      <c r="S21" s="1392"/>
      <c r="T21" s="1392"/>
      <c r="U21" s="1392"/>
      <c r="V21" s="1392"/>
      <c r="W21" s="1392"/>
      <c r="X21" s="1392"/>
      <c r="Y21" s="1392"/>
      <c r="Z21" s="1392"/>
      <c r="AA21" s="1392"/>
      <c r="AB21" s="1392"/>
      <c r="AC21" s="1392"/>
      <c r="AD21" s="1392"/>
      <c r="AE21" s="739"/>
      <c r="AF21" s="1392"/>
      <c r="AG21" s="1392"/>
      <c r="AH21" s="1392"/>
      <c r="AI21" s="1392"/>
      <c r="AJ21" s="1392"/>
      <c r="AK21" s="1392"/>
      <c r="AL21" s="1392"/>
      <c r="AM21" s="1392"/>
      <c r="AN21" s="1392"/>
      <c r="AO21" s="739"/>
      <c r="AP21" s="1392"/>
      <c r="AQ21" s="1394"/>
      <c r="AR21" s="1569"/>
      <c r="AS21" s="1569"/>
      <c r="AT21" s="1569"/>
      <c r="AU21" s="1392"/>
      <c r="AV21" s="1452">
        <f>SUM(H21:AQ21)</f>
        <v>0</v>
      </c>
      <c r="AW21" s="1450">
        <f>F21-AV21</f>
        <v>0</v>
      </c>
      <c r="AX21" s="740"/>
      <c r="AY21" s="709"/>
      <c r="AZ21" s="709"/>
      <c r="BA21" s="709"/>
      <c r="BB21" s="709"/>
      <c r="BC21" s="709"/>
      <c r="BD21" s="709"/>
      <c r="BE21" s="709"/>
      <c r="BF21" s="709"/>
      <c r="BG21" s="709"/>
      <c r="BH21" s="709"/>
      <c r="BI21" s="709"/>
      <c r="BJ21" s="709"/>
      <c r="BK21" s="709"/>
      <c r="BL21" s="709"/>
      <c r="BM21" s="709"/>
      <c r="BN21" s="709"/>
      <c r="BO21" s="709"/>
      <c r="BP21" s="709"/>
      <c r="BQ21" s="709"/>
      <c r="BR21" s="709"/>
      <c r="BS21" s="709"/>
      <c r="BT21" s="709"/>
      <c r="BU21" s="709"/>
      <c r="BV21" s="709"/>
      <c r="BW21" s="709"/>
      <c r="BX21" s="709"/>
      <c r="BY21" s="709"/>
      <c r="BZ21" s="709"/>
      <c r="CA21" s="709"/>
    </row>
    <row r="22" spans="1:79">
      <c r="A22" s="722"/>
      <c r="B22" s="722"/>
      <c r="C22" s="709"/>
      <c r="D22" s="709"/>
      <c r="E22" s="754">
        <f>F22/[6]Rent_Schedule!$E$25</f>
        <v>0</v>
      </c>
      <c r="F22" s="756"/>
      <c r="G22" s="756"/>
      <c r="H22" s="743"/>
      <c r="I22" s="757"/>
      <c r="J22" s="756"/>
      <c r="K22" s="756"/>
      <c r="L22" s="756"/>
      <c r="M22" s="756"/>
      <c r="N22" s="756"/>
      <c r="O22" s="756"/>
      <c r="P22" s="756"/>
      <c r="Q22" s="756"/>
      <c r="R22" s="756"/>
      <c r="S22" s="756"/>
      <c r="T22" s="756"/>
      <c r="U22" s="756"/>
      <c r="V22" s="756"/>
      <c r="W22" s="756"/>
      <c r="X22" s="756"/>
      <c r="Y22" s="756"/>
      <c r="Z22" s="756"/>
      <c r="AA22" s="756"/>
      <c r="AB22" s="756"/>
      <c r="AC22" s="756"/>
      <c r="AD22" s="756"/>
      <c r="AE22" s="756"/>
      <c r="AF22" s="756"/>
      <c r="AG22" s="756"/>
      <c r="AH22" s="756"/>
      <c r="AI22" s="756"/>
      <c r="AJ22" s="756"/>
      <c r="AK22" s="756"/>
      <c r="AL22" s="756"/>
      <c r="AM22" s="756"/>
      <c r="AN22" s="756"/>
      <c r="AO22" s="756"/>
      <c r="AP22" s="756"/>
      <c r="AQ22" s="756"/>
      <c r="AR22" s="756"/>
      <c r="AS22" s="756"/>
      <c r="AT22" s="756"/>
      <c r="AU22" s="756"/>
      <c r="AV22" s="756"/>
      <c r="AW22" s="756"/>
      <c r="AX22" s="740"/>
      <c r="AY22" s="709"/>
      <c r="AZ22" s="709"/>
      <c r="BA22" s="709"/>
      <c r="BB22" s="709"/>
      <c r="BC22" s="709"/>
      <c r="BD22" s="709"/>
      <c r="BE22" s="709"/>
      <c r="BF22" s="709"/>
      <c r="BG22" s="709"/>
      <c r="BH22" s="709"/>
      <c r="BI22" s="709"/>
      <c r="BJ22" s="709"/>
      <c r="BK22" s="709"/>
      <c r="BL22" s="709"/>
      <c r="BM22" s="709"/>
      <c r="BN22" s="709"/>
      <c r="BO22" s="709"/>
      <c r="BP22" s="709"/>
      <c r="BQ22" s="709"/>
      <c r="BR22" s="709"/>
      <c r="BS22" s="709"/>
      <c r="BT22" s="709"/>
      <c r="BU22" s="709"/>
      <c r="BV22" s="709"/>
      <c r="BW22" s="709"/>
      <c r="BX22" s="709"/>
      <c r="BY22" s="709"/>
      <c r="BZ22" s="709"/>
      <c r="CA22" s="709"/>
    </row>
    <row r="23" spans="1:79">
      <c r="A23" s="750" t="s">
        <v>123</v>
      </c>
      <c r="B23" s="722"/>
      <c r="C23" s="709"/>
      <c r="D23" s="709"/>
      <c r="E23" s="754"/>
      <c r="F23" s="1379" t="s">
        <v>486</v>
      </c>
      <c r="G23" s="1380"/>
      <c r="H23" s="1381"/>
      <c r="I23" s="1382">
        <v>0.02</v>
      </c>
      <c r="J23" s="1382">
        <v>0.03</v>
      </c>
      <c r="K23" s="1382">
        <v>4.4999999999999998E-2</v>
      </c>
      <c r="L23" s="1382">
        <v>0.05</v>
      </c>
      <c r="M23" s="1382">
        <v>0.05</v>
      </c>
      <c r="N23" s="1382">
        <v>0.05</v>
      </c>
      <c r="O23" s="1382">
        <v>0.05</v>
      </c>
      <c r="P23" s="1382">
        <v>0.05</v>
      </c>
      <c r="Q23" s="1382">
        <v>0.05</v>
      </c>
      <c r="R23" s="1382">
        <v>0.05</v>
      </c>
      <c r="S23" s="1382">
        <v>0.05</v>
      </c>
      <c r="T23" s="1382">
        <v>0.05</v>
      </c>
      <c r="U23" s="1382">
        <v>0.05</v>
      </c>
      <c r="V23" s="1382">
        <v>4.4999999999999998E-2</v>
      </c>
      <c r="W23" s="1382">
        <v>0.04</v>
      </c>
      <c r="X23" s="1382">
        <v>0.04</v>
      </c>
      <c r="Y23" s="1382">
        <v>0.04</v>
      </c>
      <c r="Z23" s="1382">
        <v>0.04</v>
      </c>
      <c r="AA23" s="1382">
        <v>0.04</v>
      </c>
      <c r="AB23" s="1382">
        <v>0.04</v>
      </c>
      <c r="AC23" s="1382">
        <v>0.04</v>
      </c>
      <c r="AD23" s="1382">
        <v>0.08</v>
      </c>
      <c r="AE23" s="1382">
        <v>0</v>
      </c>
      <c r="AF23" s="1382">
        <v>0</v>
      </c>
      <c r="AG23" s="1382">
        <v>0</v>
      </c>
      <c r="AH23" s="1382">
        <v>0</v>
      </c>
      <c r="AI23" s="1382">
        <v>0</v>
      </c>
      <c r="AJ23" s="1382">
        <v>0</v>
      </c>
      <c r="AK23" s="1382">
        <v>0</v>
      </c>
      <c r="AL23" s="1382">
        <v>0</v>
      </c>
      <c r="AM23" s="1382">
        <v>0</v>
      </c>
      <c r="AN23" s="1382">
        <v>0</v>
      </c>
      <c r="AO23" s="1382">
        <v>0</v>
      </c>
      <c r="AP23" s="1382">
        <v>0</v>
      </c>
      <c r="AQ23" s="1418">
        <v>0</v>
      </c>
      <c r="AR23" s="1419">
        <v>0</v>
      </c>
      <c r="AS23" s="1419"/>
      <c r="AT23" s="1419">
        <v>0</v>
      </c>
      <c r="AU23" s="1420">
        <v>0</v>
      </c>
      <c r="AV23" s="1421">
        <f>SUM(G23:AQ23)</f>
        <v>1.0000000000000002</v>
      </c>
      <c r="AW23" s="1444"/>
      <c r="AX23" s="740"/>
      <c r="AY23" s="709"/>
      <c r="AZ23" s="709"/>
      <c r="BA23" s="709"/>
      <c r="BB23" s="709"/>
      <c r="BC23" s="709"/>
      <c r="BD23" s="709"/>
      <c r="BE23" s="709"/>
      <c r="BF23" s="709"/>
      <c r="BG23" s="709"/>
      <c r="BH23" s="709"/>
      <c r="BI23" s="709"/>
      <c r="BJ23" s="709"/>
      <c r="BK23" s="709"/>
      <c r="BL23" s="709"/>
      <c r="BM23" s="709"/>
      <c r="BN23" s="709"/>
      <c r="BO23" s="709"/>
      <c r="BP23" s="709"/>
      <c r="BQ23" s="709"/>
      <c r="BR23" s="709"/>
      <c r="BS23" s="709"/>
      <c r="BT23" s="709"/>
      <c r="BU23" s="709"/>
      <c r="BV23" s="709"/>
      <c r="BW23" s="709"/>
      <c r="BX23" s="709"/>
      <c r="BY23" s="709"/>
      <c r="BZ23" s="709"/>
      <c r="CA23" s="709"/>
    </row>
    <row r="24" spans="1:79">
      <c r="A24" s="722"/>
      <c r="B24" s="722" t="str">
        <f>'Development Budget'!C12</f>
        <v xml:space="preserve">Hard Costs </v>
      </c>
      <c r="C24" s="709"/>
      <c r="D24" s="758">
        <f>SUM(I23:AN23)</f>
        <v>1.0000000000000002</v>
      </c>
      <c r="E24" s="754">
        <f>F24/'Rent Schedule'!$D$26</f>
        <v>0</v>
      </c>
      <c r="F24" s="763">
        <f>'Development Budget'!G12</f>
        <v>0</v>
      </c>
      <c r="G24" s="763"/>
      <c r="H24" s="759">
        <v>0</v>
      </c>
      <c r="I24" s="1425">
        <f>$F$24*I23-H24</f>
        <v>0</v>
      </c>
      <c r="J24" s="1425">
        <f>$F$24*J23</f>
        <v>0</v>
      </c>
      <c r="K24" s="1425">
        <f>$F$24*K23</f>
        <v>0</v>
      </c>
      <c r="L24" s="1425">
        <f>$F$24*L23</f>
        <v>0</v>
      </c>
      <c r="M24" s="1425">
        <f>$F$24*M23-H24</f>
        <v>0</v>
      </c>
      <c r="N24" s="1425">
        <f t="shared" ref="N24:AN24" si="12">$F$24*N23</f>
        <v>0</v>
      </c>
      <c r="O24" s="1425">
        <f t="shared" si="12"/>
        <v>0</v>
      </c>
      <c r="P24" s="1425">
        <f>$F$24*P23</f>
        <v>0</v>
      </c>
      <c r="Q24" s="1425">
        <f>$F$24*Q23</f>
        <v>0</v>
      </c>
      <c r="R24" s="1425">
        <f t="shared" si="12"/>
        <v>0</v>
      </c>
      <c r="S24" s="1425">
        <f t="shared" si="12"/>
        <v>0</v>
      </c>
      <c r="T24" s="1425">
        <f t="shared" si="12"/>
        <v>0</v>
      </c>
      <c r="U24" s="1425">
        <f t="shared" si="12"/>
        <v>0</v>
      </c>
      <c r="V24" s="1425">
        <f t="shared" si="12"/>
        <v>0</v>
      </c>
      <c r="W24" s="1425">
        <f t="shared" si="12"/>
        <v>0</v>
      </c>
      <c r="X24" s="1425">
        <f t="shared" si="12"/>
        <v>0</v>
      </c>
      <c r="Y24" s="1425">
        <f t="shared" si="12"/>
        <v>0</v>
      </c>
      <c r="Z24" s="1425">
        <f t="shared" si="12"/>
        <v>0</v>
      </c>
      <c r="AA24" s="1425">
        <f>$F$24*AA23</f>
        <v>0</v>
      </c>
      <c r="AB24" s="1425">
        <f t="shared" si="12"/>
        <v>0</v>
      </c>
      <c r="AC24" s="1425">
        <f>$F$24*AC23</f>
        <v>0</v>
      </c>
      <c r="AD24" s="1425">
        <f>$F$24*AD23</f>
        <v>0</v>
      </c>
      <c r="AE24" s="1440">
        <f>$F$24*AE23</f>
        <v>0</v>
      </c>
      <c r="AF24" s="1425">
        <f>$F$24*AF23</f>
        <v>0</v>
      </c>
      <c r="AG24" s="1425">
        <f t="shared" si="12"/>
        <v>0</v>
      </c>
      <c r="AH24" s="1425">
        <f t="shared" si="12"/>
        <v>0</v>
      </c>
      <c r="AI24" s="1425">
        <f t="shared" si="12"/>
        <v>0</v>
      </c>
      <c r="AJ24" s="1425">
        <f t="shared" si="12"/>
        <v>0</v>
      </c>
      <c r="AK24" s="1425">
        <f t="shared" si="12"/>
        <v>0</v>
      </c>
      <c r="AL24" s="1425"/>
      <c r="AM24" s="1425"/>
      <c r="AN24" s="1425">
        <f t="shared" si="12"/>
        <v>0</v>
      </c>
      <c r="AO24" s="1440">
        <f>$F$24*AO23</f>
        <v>0</v>
      </c>
      <c r="AP24" s="1425">
        <f>$F$24*AP23</f>
        <v>0</v>
      </c>
      <c r="AQ24" s="1425"/>
      <c r="AR24" s="1425"/>
      <c r="AS24" s="1603"/>
      <c r="AT24" s="1425"/>
      <c r="AU24" s="1425"/>
      <c r="AV24" s="1454">
        <f t="shared" ref="AV24:AV32" si="13">SUM(G24:AU24)</f>
        <v>0</v>
      </c>
      <c r="AW24" s="1450">
        <f t="shared" ref="AW24:AW32" si="14">F24-AV24</f>
        <v>0</v>
      </c>
      <c r="AX24" s="740"/>
      <c r="AY24" s="709"/>
      <c r="AZ24" s="709"/>
      <c r="BA24" s="709"/>
      <c r="BB24" s="709"/>
      <c r="BC24" s="709"/>
      <c r="BD24" s="709"/>
      <c r="BE24" s="709"/>
      <c r="BF24" s="709"/>
      <c r="BG24" s="709"/>
      <c r="BH24" s="709"/>
      <c r="BI24" s="709"/>
      <c r="BJ24" s="709"/>
      <c r="BK24" s="709"/>
      <c r="BL24" s="709"/>
      <c r="BM24" s="709"/>
      <c r="BN24" s="709"/>
      <c r="BO24" s="709"/>
      <c r="BP24" s="709"/>
      <c r="BQ24" s="709"/>
      <c r="BR24" s="709"/>
      <c r="BS24" s="709"/>
      <c r="BT24" s="709"/>
      <c r="BU24" s="709"/>
      <c r="BV24" s="709"/>
      <c r="BW24" s="709"/>
      <c r="BX24" s="709"/>
      <c r="BY24" s="709"/>
      <c r="BZ24" s="709"/>
      <c r="CA24" s="709"/>
    </row>
    <row r="25" spans="1:79">
      <c r="A25" s="722"/>
      <c r="B25" s="722" t="str">
        <f>'Development Budget'!C13</f>
        <v>Sitework &amp; Related Fees</v>
      </c>
      <c r="C25" s="709"/>
      <c r="D25" s="709"/>
      <c r="E25" s="754">
        <f>F25/'Rent Schedule'!$D$26</f>
        <v>0</v>
      </c>
      <c r="F25" s="763">
        <f>'Development Budget'!G13</f>
        <v>0</v>
      </c>
      <c r="G25" s="764"/>
      <c r="H25" s="759">
        <v>0</v>
      </c>
      <c r="I25" s="1425">
        <f>$F$25*I23-H25</f>
        <v>0</v>
      </c>
      <c r="J25" s="1425">
        <f>$F$25*J23</f>
        <v>0</v>
      </c>
      <c r="K25" s="1425">
        <f t="shared" ref="K25:AK25" si="15">$F$25*K23</f>
        <v>0</v>
      </c>
      <c r="L25" s="1425">
        <f t="shared" si="15"/>
        <v>0</v>
      </c>
      <c r="M25" s="1425">
        <f t="shared" si="15"/>
        <v>0</v>
      </c>
      <c r="N25" s="1425">
        <f t="shared" si="15"/>
        <v>0</v>
      </c>
      <c r="O25" s="1425">
        <f t="shared" si="15"/>
        <v>0</v>
      </c>
      <c r="P25" s="1425">
        <f>$F$25*P23</f>
        <v>0</v>
      </c>
      <c r="Q25" s="1425">
        <f>$F$25*Q23</f>
        <v>0</v>
      </c>
      <c r="R25" s="1425">
        <f t="shared" si="15"/>
        <v>0</v>
      </c>
      <c r="S25" s="1425">
        <f t="shared" si="15"/>
        <v>0</v>
      </c>
      <c r="T25" s="1425">
        <f t="shared" si="15"/>
        <v>0</v>
      </c>
      <c r="U25" s="1425">
        <f t="shared" si="15"/>
        <v>0</v>
      </c>
      <c r="V25" s="1425">
        <f t="shared" si="15"/>
        <v>0</v>
      </c>
      <c r="W25" s="1425">
        <f t="shared" si="15"/>
        <v>0</v>
      </c>
      <c r="X25" s="1425">
        <f t="shared" si="15"/>
        <v>0</v>
      </c>
      <c r="Y25" s="1425">
        <f t="shared" si="15"/>
        <v>0</v>
      </c>
      <c r="Z25" s="1425">
        <f t="shared" si="15"/>
        <v>0</v>
      </c>
      <c r="AA25" s="1425">
        <f>$F$25*AA23</f>
        <v>0</v>
      </c>
      <c r="AB25" s="1425">
        <f t="shared" si="15"/>
        <v>0</v>
      </c>
      <c r="AC25" s="1425">
        <f t="shared" si="15"/>
        <v>0</v>
      </c>
      <c r="AD25" s="1425">
        <f t="shared" si="15"/>
        <v>0</v>
      </c>
      <c r="AE25" s="1440">
        <f t="shared" si="15"/>
        <v>0</v>
      </c>
      <c r="AF25" s="1425">
        <f t="shared" si="15"/>
        <v>0</v>
      </c>
      <c r="AG25" s="1425">
        <f t="shared" si="15"/>
        <v>0</v>
      </c>
      <c r="AH25" s="1425">
        <f t="shared" si="15"/>
        <v>0</v>
      </c>
      <c r="AI25" s="1425">
        <f t="shared" si="15"/>
        <v>0</v>
      </c>
      <c r="AJ25" s="1425">
        <f t="shared" si="15"/>
        <v>0</v>
      </c>
      <c r="AK25" s="1425">
        <f t="shared" si="15"/>
        <v>0</v>
      </c>
      <c r="AL25" s="1425"/>
      <c r="AM25" s="1425"/>
      <c r="AN25" s="1404"/>
      <c r="AO25" s="759"/>
      <c r="AP25" s="1404"/>
      <c r="AQ25" s="1404"/>
      <c r="AR25" s="1404"/>
      <c r="AS25" s="1604"/>
      <c r="AT25" s="1404"/>
      <c r="AU25" s="1425"/>
      <c r="AV25" s="1454">
        <f t="shared" si="13"/>
        <v>0</v>
      </c>
      <c r="AW25" s="1450">
        <f t="shared" si="14"/>
        <v>0</v>
      </c>
      <c r="AX25" s="740"/>
      <c r="AY25" s="709"/>
      <c r="AZ25" s="709"/>
      <c r="BA25" s="709"/>
      <c r="BB25" s="709"/>
      <c r="BC25" s="709"/>
      <c r="BD25" s="709"/>
      <c r="BE25" s="709"/>
      <c r="BF25" s="709"/>
      <c r="BG25" s="709"/>
      <c r="BH25" s="709"/>
      <c r="BI25" s="709"/>
      <c r="BJ25" s="709"/>
      <c r="BK25" s="709"/>
      <c r="BL25" s="709"/>
      <c r="BM25" s="709"/>
      <c r="BN25" s="709"/>
      <c r="BO25" s="709"/>
      <c r="BP25" s="709"/>
      <c r="BQ25" s="709"/>
      <c r="BR25" s="709"/>
      <c r="BS25" s="709"/>
      <c r="BT25" s="709"/>
      <c r="BU25" s="709"/>
      <c r="BV25" s="709"/>
      <c r="BW25" s="709"/>
      <c r="BX25" s="709"/>
      <c r="BY25" s="709"/>
      <c r="BZ25" s="709"/>
      <c r="CA25" s="709"/>
    </row>
    <row r="26" spans="1:79">
      <c r="A26" s="722"/>
      <c r="B26" s="722" t="str">
        <f>'Development Budget'!C14</f>
        <v>Structured Parking</v>
      </c>
      <c r="C26" s="709"/>
      <c r="D26" s="709"/>
      <c r="E26" s="754">
        <f>F26/'Rent Schedule'!$D$26</f>
        <v>0</v>
      </c>
      <c r="F26" s="763">
        <f>'Development Budget'!G14</f>
        <v>0</v>
      </c>
      <c r="G26" s="1370"/>
      <c r="H26" s="759">
        <v>500000</v>
      </c>
      <c r="I26" s="1425">
        <f>MIN($F$26/8,$F$26-SUM($G$26:H26))</f>
        <v>-500000</v>
      </c>
      <c r="J26" s="1425">
        <f>MIN($F$26/8,$F$26-SUM($G$26:I26))</f>
        <v>0</v>
      </c>
      <c r="K26" s="1425">
        <f>MIN($F$26/8,$F$26-SUM($G$26:J26))</f>
        <v>0</v>
      </c>
      <c r="L26" s="1425">
        <f>MIN($F$26/8,$F$26-SUM($G$26:K26))</f>
        <v>0</v>
      </c>
      <c r="M26" s="1425">
        <f>MIN($F$26/8,$F$26-SUM($G$26:L26))</f>
        <v>0</v>
      </c>
      <c r="N26" s="1425">
        <f>MIN($F$26/8,$F$26-SUM($G$26:M26))</f>
        <v>0</v>
      </c>
      <c r="O26" s="1425">
        <f>MIN($F$26/8,$F$26-SUM($G$26:N26))</f>
        <v>0</v>
      </c>
      <c r="P26" s="1425">
        <f>MIN($F$26/8,$F$26-SUM($G$26:O26))</f>
        <v>0</v>
      </c>
      <c r="Q26" s="1425">
        <f>MIN($F$26/8,$F$26-SUM($G$26:P26))</f>
        <v>0</v>
      </c>
      <c r="R26" s="1425">
        <f>MIN($F$26/8,$F$26-SUM($G$26:Q26))</f>
        <v>0</v>
      </c>
      <c r="S26" s="1425">
        <f>MIN(P26/8,$F$26-SUM($G$26:R26))</f>
        <v>0</v>
      </c>
      <c r="T26" s="1425"/>
      <c r="U26" s="1425">
        <v>0</v>
      </c>
      <c r="V26" s="1425"/>
      <c r="W26" s="1425">
        <v>0</v>
      </c>
      <c r="X26" s="1425"/>
      <c r="Y26" s="1425"/>
      <c r="Z26" s="1425"/>
      <c r="AA26" s="1425">
        <v>0</v>
      </c>
      <c r="AB26" s="1425">
        <v>0</v>
      </c>
      <c r="AC26" s="1425"/>
      <c r="AD26" s="1425"/>
      <c r="AE26" s="1440"/>
      <c r="AF26" s="1425"/>
      <c r="AG26" s="1425"/>
      <c r="AH26" s="1425"/>
      <c r="AI26" s="1425"/>
      <c r="AJ26" s="1425"/>
      <c r="AK26" s="1425"/>
      <c r="AL26" s="1425"/>
      <c r="AM26" s="1425"/>
      <c r="AN26" s="1404"/>
      <c r="AO26" s="759"/>
      <c r="AP26" s="1404"/>
      <c r="AQ26" s="1404"/>
      <c r="AR26" s="1404"/>
      <c r="AS26" s="1604"/>
      <c r="AT26" s="1404"/>
      <c r="AU26" s="1425"/>
      <c r="AV26" s="1454">
        <f t="shared" si="13"/>
        <v>0</v>
      </c>
      <c r="AW26" s="1450">
        <f t="shared" si="14"/>
        <v>0</v>
      </c>
      <c r="AX26" s="740"/>
      <c r="AY26" s="709"/>
      <c r="AZ26" s="709"/>
      <c r="BA26" s="709"/>
      <c r="BB26" s="709"/>
      <c r="BC26" s="709"/>
      <c r="BD26" s="709"/>
      <c r="BE26" s="709"/>
      <c r="BF26" s="709"/>
      <c r="BG26" s="709"/>
      <c r="BH26" s="709"/>
      <c r="BI26" s="709"/>
      <c r="BJ26" s="709"/>
      <c r="BK26" s="709"/>
      <c r="BL26" s="709"/>
      <c r="BM26" s="709"/>
      <c r="BN26" s="709"/>
      <c r="BO26" s="709"/>
      <c r="BP26" s="709"/>
      <c r="BQ26" s="709"/>
      <c r="BR26" s="709"/>
      <c r="BS26" s="709"/>
      <c r="BT26" s="709"/>
      <c r="BU26" s="709"/>
      <c r="BV26" s="709"/>
      <c r="BW26" s="709"/>
      <c r="BX26" s="709"/>
      <c r="BY26" s="709"/>
      <c r="BZ26" s="709"/>
      <c r="CA26" s="709"/>
    </row>
    <row r="27" spans="1:79">
      <c r="A27" s="722"/>
      <c r="B27" s="722" t="str">
        <f>'Development Budget'!C15</f>
        <v xml:space="preserve">General Conditions </v>
      </c>
      <c r="C27" s="709"/>
      <c r="D27" s="709"/>
      <c r="E27" s="754">
        <f>F27/'Rent Schedule'!$D$26</f>
        <v>0</v>
      </c>
      <c r="F27" s="763">
        <f>'Development Budget'!G15</f>
        <v>0</v>
      </c>
      <c r="G27" s="764"/>
      <c r="H27" s="762">
        <v>0</v>
      </c>
      <c r="I27" s="1425">
        <f>$F$27*I23-H27</f>
        <v>0</v>
      </c>
      <c r="J27" s="1425">
        <f>$F$27*J23</f>
        <v>0</v>
      </c>
      <c r="K27" s="1425">
        <f t="shared" ref="K27:AK27" si="16">$F$27*K23</f>
        <v>0</v>
      </c>
      <c r="L27" s="1425">
        <f t="shared" si="16"/>
        <v>0</v>
      </c>
      <c r="M27" s="1425">
        <f t="shared" si="16"/>
        <v>0</v>
      </c>
      <c r="N27" s="1425">
        <f t="shared" si="16"/>
        <v>0</v>
      </c>
      <c r="O27" s="1425">
        <f t="shared" si="16"/>
        <v>0</v>
      </c>
      <c r="P27" s="1425">
        <f>$F$27*P23</f>
        <v>0</v>
      </c>
      <c r="Q27" s="1425">
        <f>$F$27*Q23</f>
        <v>0</v>
      </c>
      <c r="R27" s="1425">
        <f t="shared" si="16"/>
        <v>0</v>
      </c>
      <c r="S27" s="1425">
        <f t="shared" si="16"/>
        <v>0</v>
      </c>
      <c r="T27" s="1425">
        <f t="shared" si="16"/>
        <v>0</v>
      </c>
      <c r="U27" s="1425">
        <f t="shared" si="16"/>
        <v>0</v>
      </c>
      <c r="V27" s="1425">
        <f t="shared" si="16"/>
        <v>0</v>
      </c>
      <c r="W27" s="1425">
        <f t="shared" si="16"/>
        <v>0</v>
      </c>
      <c r="X27" s="1425">
        <f t="shared" si="16"/>
        <v>0</v>
      </c>
      <c r="Y27" s="1425">
        <f t="shared" si="16"/>
        <v>0</v>
      </c>
      <c r="Z27" s="1425">
        <f t="shared" si="16"/>
        <v>0</v>
      </c>
      <c r="AA27" s="1425">
        <f>$F$27*AA23</f>
        <v>0</v>
      </c>
      <c r="AB27" s="1425">
        <f t="shared" si="16"/>
        <v>0</v>
      </c>
      <c r="AC27" s="1425">
        <f>$F$27*AC23</f>
        <v>0</v>
      </c>
      <c r="AD27" s="1425">
        <f>$F$27*AD23</f>
        <v>0</v>
      </c>
      <c r="AE27" s="1440">
        <f t="shared" si="16"/>
        <v>0</v>
      </c>
      <c r="AF27" s="1425">
        <f t="shared" si="16"/>
        <v>0</v>
      </c>
      <c r="AG27" s="1425">
        <f t="shared" si="16"/>
        <v>0</v>
      </c>
      <c r="AH27" s="1425">
        <f t="shared" si="16"/>
        <v>0</v>
      </c>
      <c r="AI27" s="1425">
        <f t="shared" si="16"/>
        <v>0</v>
      </c>
      <c r="AJ27" s="1425">
        <f t="shared" si="16"/>
        <v>0</v>
      </c>
      <c r="AK27" s="1425">
        <f t="shared" si="16"/>
        <v>0</v>
      </c>
      <c r="AL27" s="1425"/>
      <c r="AM27" s="1425"/>
      <c r="AN27" s="1404">
        <v>0</v>
      </c>
      <c r="AO27" s="759">
        <v>0</v>
      </c>
      <c r="AP27" s="1404">
        <v>0</v>
      </c>
      <c r="AQ27" s="1404"/>
      <c r="AR27" s="1404"/>
      <c r="AS27" s="1604"/>
      <c r="AT27" s="1404"/>
      <c r="AU27" s="1425"/>
      <c r="AV27" s="1454">
        <f t="shared" si="13"/>
        <v>0</v>
      </c>
      <c r="AW27" s="1450">
        <f t="shared" si="14"/>
        <v>0</v>
      </c>
      <c r="AX27" s="740"/>
      <c r="AY27" s="709"/>
      <c r="AZ27" s="709"/>
      <c r="BA27" s="709"/>
      <c r="BB27" s="709"/>
      <c r="BC27" s="709"/>
      <c r="BD27" s="709"/>
      <c r="BE27" s="709"/>
      <c r="BF27" s="709"/>
      <c r="BG27" s="709"/>
      <c r="BH27" s="709"/>
      <c r="BI27" s="709"/>
      <c r="BJ27" s="709"/>
      <c r="BK27" s="709"/>
      <c r="BL27" s="709"/>
      <c r="BM27" s="709"/>
      <c r="BN27" s="709"/>
      <c r="BO27" s="709"/>
      <c r="BP27" s="709"/>
      <c r="BQ27" s="709"/>
      <c r="BR27" s="709"/>
      <c r="BS27" s="709"/>
      <c r="BT27" s="709"/>
      <c r="BU27" s="709"/>
      <c r="BV27" s="709"/>
      <c r="BW27" s="709"/>
      <c r="BX27" s="709"/>
      <c r="BY27" s="709"/>
      <c r="BZ27" s="709"/>
      <c r="CA27" s="709"/>
    </row>
    <row r="28" spans="1:79">
      <c r="A28" s="722"/>
      <c r="B28" s="722" t="str">
        <f>'Development Budget'!C16</f>
        <v>GC Overhead</v>
      </c>
      <c r="C28" s="709"/>
      <c r="D28" s="709"/>
      <c r="E28" s="754">
        <f>F28/'Rent Schedule'!$D$26</f>
        <v>0</v>
      </c>
      <c r="F28" s="763">
        <f>'Development Budget'!G16</f>
        <v>0</v>
      </c>
      <c r="G28" s="764"/>
      <c r="H28" s="762">
        <v>0</v>
      </c>
      <c r="I28" s="1425">
        <f>$F$28*I23-H28</f>
        <v>0</v>
      </c>
      <c r="J28" s="1425">
        <f>$F$28*J23</f>
        <v>0</v>
      </c>
      <c r="K28" s="1425">
        <f t="shared" ref="K28:AK28" si="17">$F$28*K23</f>
        <v>0</v>
      </c>
      <c r="L28" s="1425">
        <f t="shared" si="17"/>
        <v>0</v>
      </c>
      <c r="M28" s="1425">
        <f t="shared" si="17"/>
        <v>0</v>
      </c>
      <c r="N28" s="1425">
        <f t="shared" si="17"/>
        <v>0</v>
      </c>
      <c r="O28" s="1425">
        <f t="shared" si="17"/>
        <v>0</v>
      </c>
      <c r="P28" s="1425">
        <f>$F$28*P23</f>
        <v>0</v>
      </c>
      <c r="Q28" s="1425">
        <f>$F$28*Q23</f>
        <v>0</v>
      </c>
      <c r="R28" s="1425">
        <f t="shared" si="17"/>
        <v>0</v>
      </c>
      <c r="S28" s="1425">
        <f t="shared" si="17"/>
        <v>0</v>
      </c>
      <c r="T28" s="1425">
        <f t="shared" si="17"/>
        <v>0</v>
      </c>
      <c r="U28" s="1425">
        <f t="shared" si="17"/>
        <v>0</v>
      </c>
      <c r="V28" s="1425">
        <f t="shared" si="17"/>
        <v>0</v>
      </c>
      <c r="W28" s="1425">
        <f t="shared" si="17"/>
        <v>0</v>
      </c>
      <c r="X28" s="1425">
        <f t="shared" si="17"/>
        <v>0</v>
      </c>
      <c r="Y28" s="1425">
        <f t="shared" si="17"/>
        <v>0</v>
      </c>
      <c r="Z28" s="1425">
        <f t="shared" si="17"/>
        <v>0</v>
      </c>
      <c r="AA28" s="1425">
        <f>$F$28*AA23</f>
        <v>0</v>
      </c>
      <c r="AB28" s="1425">
        <f t="shared" si="17"/>
        <v>0</v>
      </c>
      <c r="AC28" s="1425">
        <f>$F$28*AC23</f>
        <v>0</v>
      </c>
      <c r="AD28" s="1425">
        <f>$F$28*AD23</f>
        <v>0</v>
      </c>
      <c r="AE28" s="1440">
        <f t="shared" si="17"/>
        <v>0</v>
      </c>
      <c r="AF28" s="1425">
        <f t="shared" si="17"/>
        <v>0</v>
      </c>
      <c r="AG28" s="1425">
        <f t="shared" si="17"/>
        <v>0</v>
      </c>
      <c r="AH28" s="1425">
        <f t="shared" si="17"/>
        <v>0</v>
      </c>
      <c r="AI28" s="1425">
        <f t="shared" si="17"/>
        <v>0</v>
      </c>
      <c r="AJ28" s="1425">
        <f t="shared" si="17"/>
        <v>0</v>
      </c>
      <c r="AK28" s="1425">
        <f t="shared" si="17"/>
        <v>0</v>
      </c>
      <c r="AL28" s="1425"/>
      <c r="AM28" s="1425"/>
      <c r="AN28" s="1404">
        <v>0</v>
      </c>
      <c r="AO28" s="759">
        <v>0</v>
      </c>
      <c r="AP28" s="1404">
        <v>0</v>
      </c>
      <c r="AQ28" s="1404"/>
      <c r="AR28" s="1404"/>
      <c r="AS28" s="1604"/>
      <c r="AT28" s="1404"/>
      <c r="AU28" s="1425"/>
      <c r="AV28" s="1454">
        <f t="shared" si="13"/>
        <v>0</v>
      </c>
      <c r="AW28" s="1450">
        <f t="shared" si="14"/>
        <v>0</v>
      </c>
      <c r="AX28" s="740"/>
      <c r="AY28" s="709"/>
      <c r="AZ28" s="709"/>
      <c r="BA28" s="709"/>
      <c r="BB28" s="709"/>
      <c r="BC28" s="709"/>
      <c r="BD28" s="709"/>
      <c r="BE28" s="709"/>
      <c r="BF28" s="709"/>
      <c r="BG28" s="709"/>
      <c r="BH28" s="709"/>
      <c r="BI28" s="709"/>
      <c r="BJ28" s="709"/>
      <c r="BK28" s="709"/>
      <c r="BL28" s="709"/>
      <c r="BM28" s="709"/>
      <c r="BN28" s="709"/>
      <c r="BO28" s="709"/>
      <c r="BP28" s="709"/>
      <c r="BQ28" s="709"/>
      <c r="BR28" s="709"/>
      <c r="BS28" s="709"/>
      <c r="BT28" s="709"/>
      <c r="BU28" s="709"/>
      <c r="BV28" s="709"/>
      <c r="BW28" s="709"/>
      <c r="BX28" s="709"/>
      <c r="BY28" s="709"/>
      <c r="BZ28" s="709"/>
      <c r="CA28" s="709"/>
    </row>
    <row r="29" spans="1:79">
      <c r="A29" s="722"/>
      <c r="B29" s="722" t="str">
        <f>'Development Budget'!C17</f>
        <v>GC Profit</v>
      </c>
      <c r="C29" s="709"/>
      <c r="D29" s="709"/>
      <c r="E29" s="754">
        <f>F29/'Rent Schedule'!$D$26</f>
        <v>0</v>
      </c>
      <c r="F29" s="763">
        <f>'Development Budget'!G17</f>
        <v>0</v>
      </c>
      <c r="G29" s="764"/>
      <c r="H29" s="762">
        <v>0</v>
      </c>
      <c r="I29" s="1425">
        <f>$F$29*I23-H29</f>
        <v>0</v>
      </c>
      <c r="J29" s="1425">
        <f>$F$29*J23</f>
        <v>0</v>
      </c>
      <c r="K29" s="1425">
        <f t="shared" ref="K29:AK29" si="18">$F$29*K23</f>
        <v>0</v>
      </c>
      <c r="L29" s="1425">
        <f t="shared" si="18"/>
        <v>0</v>
      </c>
      <c r="M29" s="1425">
        <f t="shared" si="18"/>
        <v>0</v>
      </c>
      <c r="N29" s="1425">
        <f t="shared" si="18"/>
        <v>0</v>
      </c>
      <c r="O29" s="1425">
        <f t="shared" si="18"/>
        <v>0</v>
      </c>
      <c r="P29" s="1425">
        <f>$F$29*P23</f>
        <v>0</v>
      </c>
      <c r="Q29" s="1425">
        <f>$F$29*Q23</f>
        <v>0</v>
      </c>
      <c r="R29" s="1425">
        <f t="shared" si="18"/>
        <v>0</v>
      </c>
      <c r="S29" s="1425">
        <f t="shared" si="18"/>
        <v>0</v>
      </c>
      <c r="T29" s="1425">
        <f t="shared" si="18"/>
        <v>0</v>
      </c>
      <c r="U29" s="1425">
        <f t="shared" si="18"/>
        <v>0</v>
      </c>
      <c r="V29" s="1425">
        <f t="shared" si="18"/>
        <v>0</v>
      </c>
      <c r="W29" s="1425">
        <f t="shared" si="18"/>
        <v>0</v>
      </c>
      <c r="X29" s="1425">
        <f t="shared" si="18"/>
        <v>0</v>
      </c>
      <c r="Y29" s="1425">
        <f t="shared" si="18"/>
        <v>0</v>
      </c>
      <c r="Z29" s="1425">
        <f t="shared" si="18"/>
        <v>0</v>
      </c>
      <c r="AA29" s="1425">
        <f>$F$29*AA23</f>
        <v>0</v>
      </c>
      <c r="AB29" s="1425">
        <f t="shared" si="18"/>
        <v>0</v>
      </c>
      <c r="AC29" s="1425">
        <f>$F$29*AC23</f>
        <v>0</v>
      </c>
      <c r="AD29" s="1425">
        <f>$F$29*AD23</f>
        <v>0</v>
      </c>
      <c r="AE29" s="1440">
        <f t="shared" si="18"/>
        <v>0</v>
      </c>
      <c r="AF29" s="1425">
        <f t="shared" si="18"/>
        <v>0</v>
      </c>
      <c r="AG29" s="1425">
        <f t="shared" si="18"/>
        <v>0</v>
      </c>
      <c r="AH29" s="1425">
        <f t="shared" si="18"/>
        <v>0</v>
      </c>
      <c r="AI29" s="1425">
        <f t="shared" si="18"/>
        <v>0</v>
      </c>
      <c r="AJ29" s="1425">
        <f t="shared" si="18"/>
        <v>0</v>
      </c>
      <c r="AK29" s="1425">
        <f t="shared" si="18"/>
        <v>0</v>
      </c>
      <c r="AL29" s="1425"/>
      <c r="AM29" s="1425"/>
      <c r="AN29" s="1404">
        <v>0</v>
      </c>
      <c r="AO29" s="759">
        <v>0</v>
      </c>
      <c r="AP29" s="1404">
        <v>0</v>
      </c>
      <c r="AQ29" s="1404"/>
      <c r="AR29" s="1404"/>
      <c r="AS29" s="1604"/>
      <c r="AT29" s="1404"/>
      <c r="AU29" s="1425"/>
      <c r="AV29" s="1454">
        <f t="shared" si="13"/>
        <v>0</v>
      </c>
      <c r="AW29" s="1450">
        <f t="shared" si="14"/>
        <v>0</v>
      </c>
      <c r="AX29" s="740"/>
      <c r="AY29" s="709"/>
      <c r="AZ29" s="709"/>
      <c r="BA29" s="709"/>
      <c r="BB29" s="709"/>
      <c r="BC29" s="709"/>
      <c r="BD29" s="709"/>
      <c r="BE29" s="709"/>
      <c r="BF29" s="709"/>
      <c r="BG29" s="709"/>
      <c r="BH29" s="709"/>
      <c r="BI29" s="709"/>
      <c r="BJ29" s="709"/>
      <c r="BK29" s="709"/>
      <c r="BL29" s="709"/>
      <c r="BM29" s="709"/>
      <c r="BN29" s="709"/>
      <c r="BO29" s="709"/>
      <c r="BP29" s="709"/>
      <c r="BQ29" s="709"/>
      <c r="BR29" s="709"/>
      <c r="BS29" s="709"/>
      <c r="BT29" s="709"/>
      <c r="BU29" s="709"/>
      <c r="BV29" s="709"/>
      <c r="BW29" s="709"/>
      <c r="BX29" s="709"/>
      <c r="BY29" s="709"/>
      <c r="BZ29" s="709"/>
      <c r="CA29" s="709"/>
    </row>
    <row r="30" spans="1:79">
      <c r="A30" s="722"/>
      <c r="B30" s="722" t="str">
        <f>'Development Budget'!C18</f>
        <v>Builders Risk Insurance</v>
      </c>
      <c r="C30" s="709"/>
      <c r="D30" s="709"/>
      <c r="E30" s="754">
        <f>F30/'Rent Schedule'!$D$26</f>
        <v>0</v>
      </c>
      <c r="F30" s="763">
        <f>'Development Budget'!G18</f>
        <v>0</v>
      </c>
      <c r="G30" s="764"/>
      <c r="H30" s="759">
        <f>F30</f>
        <v>0</v>
      </c>
      <c r="I30" s="1404"/>
      <c r="J30" s="1404"/>
      <c r="K30" s="1404"/>
      <c r="L30" s="1404"/>
      <c r="M30" s="1404"/>
      <c r="N30" s="1404"/>
      <c r="O30" s="1404"/>
      <c r="P30" s="1404"/>
      <c r="Q30" s="1404"/>
      <c r="R30" s="1404"/>
      <c r="S30" s="1404"/>
      <c r="T30" s="1404"/>
      <c r="U30" s="1404"/>
      <c r="V30" s="1404"/>
      <c r="W30" s="1404"/>
      <c r="X30" s="1404"/>
      <c r="Y30" s="1404"/>
      <c r="Z30" s="1404"/>
      <c r="AA30" s="1404"/>
      <c r="AB30" s="1404"/>
      <c r="AC30" s="1404"/>
      <c r="AD30" s="1404"/>
      <c r="AE30" s="759"/>
      <c r="AF30" s="1404"/>
      <c r="AG30" s="1404"/>
      <c r="AH30" s="1404"/>
      <c r="AI30" s="1404"/>
      <c r="AJ30" s="1404"/>
      <c r="AK30" s="1404"/>
      <c r="AL30" s="1404"/>
      <c r="AM30" s="1404"/>
      <c r="AN30" s="1404"/>
      <c r="AO30" s="759"/>
      <c r="AP30" s="1404"/>
      <c r="AQ30" s="1404"/>
      <c r="AR30" s="1404"/>
      <c r="AS30" s="1604"/>
      <c r="AT30" s="1404"/>
      <c r="AU30" s="1404"/>
      <c r="AV30" s="1454">
        <f t="shared" si="13"/>
        <v>0</v>
      </c>
      <c r="AW30" s="1450">
        <f t="shared" si="14"/>
        <v>0</v>
      </c>
      <c r="AX30" s="740"/>
      <c r="AY30" s="709"/>
      <c r="AZ30" s="709"/>
      <c r="BA30" s="709"/>
      <c r="BB30" s="709"/>
      <c r="BC30" s="709"/>
      <c r="BD30" s="709"/>
      <c r="BE30" s="709"/>
      <c r="BF30" s="709"/>
      <c r="BG30" s="709"/>
      <c r="BH30" s="709"/>
      <c r="BI30" s="709"/>
      <c r="BJ30" s="709"/>
      <c r="BK30" s="709"/>
      <c r="BL30" s="709"/>
      <c r="BM30" s="709"/>
      <c r="BN30" s="709"/>
      <c r="BO30" s="709"/>
      <c r="BP30" s="709"/>
      <c r="BQ30" s="709"/>
      <c r="BR30" s="709"/>
      <c r="BS30" s="709"/>
      <c r="BT30" s="709"/>
      <c r="BU30" s="709"/>
      <c r="BV30" s="709"/>
      <c r="BW30" s="709"/>
      <c r="BX30" s="709"/>
      <c r="BY30" s="709"/>
      <c r="BZ30" s="709"/>
      <c r="CA30" s="709"/>
    </row>
    <row r="31" spans="1:79">
      <c r="A31" s="722"/>
      <c r="B31" s="722" t="str">
        <f>'Development Budget'!C19</f>
        <v>Payment and Performance Bond</v>
      </c>
      <c r="C31" s="709"/>
      <c r="D31" s="709"/>
      <c r="E31" s="754">
        <f>F31/'Rent Schedule'!$D$26</f>
        <v>0</v>
      </c>
      <c r="F31" s="763">
        <f>'Development Budget'!G19</f>
        <v>0</v>
      </c>
      <c r="G31" s="764"/>
      <c r="H31" s="739">
        <f>F31</f>
        <v>0</v>
      </c>
      <c r="I31" s="1392"/>
      <c r="J31" s="1392"/>
      <c r="K31" s="1392"/>
      <c r="L31" s="1392"/>
      <c r="M31" s="1392"/>
      <c r="N31" s="1392"/>
      <c r="O31" s="1392"/>
      <c r="P31" s="1392"/>
      <c r="Q31" s="1392"/>
      <c r="R31" s="1392"/>
      <c r="S31" s="1392"/>
      <c r="T31" s="1392"/>
      <c r="U31" s="1392"/>
      <c r="V31" s="1392"/>
      <c r="W31" s="1392"/>
      <c r="X31" s="1392"/>
      <c r="Y31" s="1392"/>
      <c r="Z31" s="1392"/>
      <c r="AA31" s="1392"/>
      <c r="AB31" s="1392"/>
      <c r="AC31" s="1392"/>
      <c r="AD31" s="1392"/>
      <c r="AE31" s="739"/>
      <c r="AF31" s="1392"/>
      <c r="AG31" s="1392"/>
      <c r="AH31" s="1392"/>
      <c r="AI31" s="1392"/>
      <c r="AJ31" s="1392"/>
      <c r="AK31" s="1392"/>
      <c r="AL31" s="1392"/>
      <c r="AM31" s="1392"/>
      <c r="AN31" s="1392"/>
      <c r="AO31" s="739"/>
      <c r="AP31" s="1392"/>
      <c r="AQ31" s="1394"/>
      <c r="AR31" s="1569"/>
      <c r="AS31" s="1569"/>
      <c r="AT31" s="1569"/>
      <c r="AU31" s="1392"/>
      <c r="AV31" s="1454">
        <f t="shared" si="13"/>
        <v>0</v>
      </c>
      <c r="AW31" s="1450">
        <f t="shared" si="14"/>
        <v>0</v>
      </c>
      <c r="AX31" s="740"/>
      <c r="AY31" s="709"/>
      <c r="AZ31" s="709"/>
      <c r="BA31" s="709"/>
      <c r="BB31" s="709"/>
      <c r="BC31" s="709"/>
      <c r="BD31" s="709"/>
      <c r="BE31" s="709"/>
      <c r="BF31" s="709"/>
      <c r="BG31" s="709"/>
      <c r="BH31" s="709"/>
      <c r="BI31" s="709"/>
      <c r="BJ31" s="709"/>
      <c r="BK31" s="709"/>
      <c r="BL31" s="709"/>
      <c r="BM31" s="709"/>
      <c r="BN31" s="709"/>
      <c r="BO31" s="709"/>
      <c r="BP31" s="709"/>
      <c r="BQ31" s="709"/>
      <c r="BR31" s="709"/>
      <c r="BS31" s="709"/>
      <c r="BT31" s="709"/>
      <c r="BU31" s="709"/>
      <c r="BV31" s="709"/>
      <c r="BW31" s="709"/>
      <c r="BX31" s="709"/>
      <c r="BY31" s="709"/>
      <c r="BZ31" s="709"/>
      <c r="CA31" s="709"/>
    </row>
    <row r="32" spans="1:79">
      <c r="A32" s="722"/>
      <c r="B32" s="722" t="str">
        <f>'Development Budget'!C20</f>
        <v>Construction Contingency  (5%)</v>
      </c>
      <c r="C32" s="709"/>
      <c r="D32" s="758" t="e">
        <f>F32/F24</f>
        <v>#DIV/0!</v>
      </c>
      <c r="E32" s="754">
        <f>F32/'Rent Schedule'!$D$26</f>
        <v>0</v>
      </c>
      <c r="F32" s="763">
        <f>'Development Budget'!G20</f>
        <v>0</v>
      </c>
      <c r="G32" s="764"/>
      <c r="H32" s="762">
        <v>0</v>
      </c>
      <c r="I32" s="1425">
        <f>$F$32*I23</f>
        <v>0</v>
      </c>
      <c r="J32" s="1425">
        <f>$F$32*J23</f>
        <v>0</v>
      </c>
      <c r="K32" s="1425">
        <f t="shared" ref="K32:AN32" si="19">$F$32*K23</f>
        <v>0</v>
      </c>
      <c r="L32" s="1425">
        <f t="shared" si="19"/>
        <v>0</v>
      </c>
      <c r="M32" s="1425">
        <f t="shared" si="19"/>
        <v>0</v>
      </c>
      <c r="N32" s="1425">
        <f t="shared" si="19"/>
        <v>0</v>
      </c>
      <c r="O32" s="1425">
        <f t="shared" si="19"/>
        <v>0</v>
      </c>
      <c r="P32" s="1425">
        <f>$F$32*P23</f>
        <v>0</v>
      </c>
      <c r="Q32" s="1425">
        <f>$F$32*Q23</f>
        <v>0</v>
      </c>
      <c r="R32" s="1425">
        <f t="shared" si="19"/>
        <v>0</v>
      </c>
      <c r="S32" s="1425">
        <f t="shared" si="19"/>
        <v>0</v>
      </c>
      <c r="T32" s="1425">
        <f t="shared" si="19"/>
        <v>0</v>
      </c>
      <c r="U32" s="1425">
        <f t="shared" si="19"/>
        <v>0</v>
      </c>
      <c r="V32" s="1425">
        <f t="shared" si="19"/>
        <v>0</v>
      </c>
      <c r="W32" s="1425">
        <f t="shared" si="19"/>
        <v>0</v>
      </c>
      <c r="X32" s="1425">
        <f t="shared" si="19"/>
        <v>0</v>
      </c>
      <c r="Y32" s="1425">
        <f t="shared" si="19"/>
        <v>0</v>
      </c>
      <c r="Z32" s="1425">
        <f t="shared" si="19"/>
        <v>0</v>
      </c>
      <c r="AA32" s="1425">
        <f>$F$32*AA23</f>
        <v>0</v>
      </c>
      <c r="AB32" s="1425">
        <f t="shared" si="19"/>
        <v>0</v>
      </c>
      <c r="AC32" s="1425">
        <f>$F$32*AC23</f>
        <v>0</v>
      </c>
      <c r="AD32" s="1425">
        <f>$F$32*AD23</f>
        <v>0</v>
      </c>
      <c r="AE32" s="1440">
        <f t="shared" si="19"/>
        <v>0</v>
      </c>
      <c r="AF32" s="1425">
        <f t="shared" si="19"/>
        <v>0</v>
      </c>
      <c r="AG32" s="1425">
        <f t="shared" si="19"/>
        <v>0</v>
      </c>
      <c r="AH32" s="1425">
        <f t="shared" si="19"/>
        <v>0</v>
      </c>
      <c r="AI32" s="1425">
        <f t="shared" si="19"/>
        <v>0</v>
      </c>
      <c r="AJ32" s="1425">
        <f t="shared" si="19"/>
        <v>0</v>
      </c>
      <c r="AK32" s="1425">
        <f t="shared" si="19"/>
        <v>0</v>
      </c>
      <c r="AL32" s="1425"/>
      <c r="AM32" s="1425"/>
      <c r="AN32" s="1425">
        <f t="shared" si="19"/>
        <v>0</v>
      </c>
      <c r="AO32" s="1440">
        <f>$F$32*AO23</f>
        <v>0</v>
      </c>
      <c r="AP32" s="1425">
        <f>$F$32*AP23</f>
        <v>0</v>
      </c>
      <c r="AQ32" s="1425"/>
      <c r="AR32" s="1425"/>
      <c r="AS32" s="1603"/>
      <c r="AT32" s="1425"/>
      <c r="AU32" s="1425"/>
      <c r="AV32" s="1454">
        <f t="shared" si="13"/>
        <v>0</v>
      </c>
      <c r="AW32" s="1450">
        <f t="shared" si="14"/>
        <v>0</v>
      </c>
      <c r="AX32" s="740"/>
      <c r="AY32" s="709"/>
      <c r="AZ32" s="709"/>
      <c r="BA32" s="709"/>
      <c r="BB32" s="709"/>
      <c r="BC32" s="709"/>
      <c r="BD32" s="709"/>
      <c r="BE32" s="709"/>
      <c r="BF32" s="709"/>
      <c r="BG32" s="709"/>
      <c r="BH32" s="709"/>
      <c r="BI32" s="709"/>
      <c r="BJ32" s="709"/>
      <c r="BK32" s="709"/>
      <c r="BL32" s="709"/>
      <c r="BM32" s="709"/>
      <c r="BN32" s="709"/>
      <c r="BO32" s="709"/>
      <c r="BP32" s="709"/>
      <c r="BQ32" s="709"/>
      <c r="BR32" s="709"/>
      <c r="BS32" s="709"/>
      <c r="BT32" s="709"/>
      <c r="BU32" s="709"/>
      <c r="BV32" s="709"/>
      <c r="BW32" s="709"/>
      <c r="BX32" s="709"/>
      <c r="BY32" s="709"/>
      <c r="BZ32" s="709"/>
      <c r="CA32" s="709"/>
    </row>
    <row r="33" spans="1:79" hidden="1">
      <c r="A33" s="722"/>
      <c r="B33" s="722" t="s">
        <v>487</v>
      </c>
      <c r="C33" s="709"/>
      <c r="D33" s="709"/>
      <c r="E33" s="754">
        <f>F33/[6]Rent_Schedule!$E$25</f>
        <v>0</v>
      </c>
      <c r="F33" s="755">
        <v>0</v>
      </c>
      <c r="G33" s="738"/>
      <c r="H33" s="765"/>
      <c r="I33" s="761"/>
      <c r="J33" s="761"/>
      <c r="K33" s="761"/>
      <c r="L33" s="760"/>
      <c r="M33" s="761"/>
      <c r="N33" s="761"/>
      <c r="O33" s="761"/>
      <c r="P33" s="761"/>
      <c r="Q33" s="761"/>
      <c r="R33" s="761"/>
      <c r="S33" s="761"/>
      <c r="T33" s="761"/>
      <c r="U33" s="761"/>
      <c r="V33" s="761"/>
      <c r="W33" s="761"/>
      <c r="X33" s="761"/>
      <c r="Y33" s="761"/>
      <c r="Z33" s="761"/>
      <c r="AA33" s="761"/>
      <c r="AB33" s="761"/>
      <c r="AC33" s="761"/>
      <c r="AD33" s="761"/>
      <c r="AE33" s="761"/>
      <c r="AF33" s="761"/>
      <c r="AG33" s="761"/>
      <c r="AH33" s="761"/>
      <c r="AI33" s="761"/>
      <c r="AJ33" s="761"/>
      <c r="AK33" s="761"/>
      <c r="AL33" s="761"/>
      <c r="AM33" s="761"/>
      <c r="AN33" s="760"/>
      <c r="AO33" s="760"/>
      <c r="AP33" s="760"/>
      <c r="AQ33" s="760"/>
      <c r="AR33" s="760"/>
      <c r="AS33" s="1605"/>
      <c r="AT33" s="760"/>
      <c r="AU33" s="761"/>
      <c r="AV33" s="755">
        <f>F33-SUM(G33:AB33)</f>
        <v>0</v>
      </c>
      <c r="AW33" s="756"/>
      <c r="AX33" s="740"/>
      <c r="AY33" s="709"/>
      <c r="AZ33" s="709"/>
      <c r="BA33" s="709"/>
      <c r="BB33" s="709"/>
      <c r="BC33" s="709"/>
      <c r="BD33" s="709"/>
      <c r="BE33" s="709"/>
      <c r="BF33" s="709"/>
      <c r="BG33" s="709"/>
      <c r="BH33" s="709"/>
      <c r="BI33" s="709"/>
      <c r="BJ33" s="709"/>
      <c r="BK33" s="709"/>
      <c r="BL33" s="709"/>
      <c r="BM33" s="709"/>
      <c r="BN33" s="709"/>
      <c r="BO33" s="709"/>
      <c r="BP33" s="709"/>
      <c r="BQ33" s="709"/>
      <c r="BR33" s="709"/>
      <c r="BS33" s="709"/>
      <c r="BT33" s="709"/>
      <c r="BU33" s="709"/>
      <c r="BV33" s="709"/>
      <c r="BW33" s="709"/>
      <c r="BX33" s="709"/>
      <c r="BY33" s="709"/>
      <c r="BZ33" s="709"/>
      <c r="CA33" s="709"/>
    </row>
    <row r="34" spans="1:79" hidden="1">
      <c r="A34" s="722"/>
      <c r="B34" s="722" t="s">
        <v>488</v>
      </c>
      <c r="C34" s="709"/>
      <c r="D34" s="709"/>
      <c r="E34" s="754">
        <f>F34/[6]Rent_Schedule!$E$25</f>
        <v>0</v>
      </c>
      <c r="F34" s="755">
        <v>0</v>
      </c>
      <c r="G34" s="738"/>
      <c r="H34" s="762"/>
      <c r="I34" s="761"/>
      <c r="J34" s="761"/>
      <c r="K34" s="761"/>
      <c r="L34" s="760"/>
      <c r="M34" s="761"/>
      <c r="N34" s="761"/>
      <c r="O34" s="761"/>
      <c r="P34" s="761"/>
      <c r="Q34" s="761"/>
      <c r="R34" s="761"/>
      <c r="S34" s="761"/>
      <c r="T34" s="761"/>
      <c r="U34" s="761"/>
      <c r="V34" s="761"/>
      <c r="W34" s="761"/>
      <c r="X34" s="761"/>
      <c r="Y34" s="761"/>
      <c r="Z34" s="761"/>
      <c r="AA34" s="761"/>
      <c r="AB34" s="761"/>
      <c r="AC34" s="761"/>
      <c r="AD34" s="761"/>
      <c r="AE34" s="761"/>
      <c r="AF34" s="761"/>
      <c r="AG34" s="761"/>
      <c r="AH34" s="761"/>
      <c r="AI34" s="761"/>
      <c r="AJ34" s="761"/>
      <c r="AK34" s="761"/>
      <c r="AL34" s="761"/>
      <c r="AM34" s="761"/>
      <c r="AN34" s="760"/>
      <c r="AO34" s="760"/>
      <c r="AP34" s="760"/>
      <c r="AQ34" s="760"/>
      <c r="AR34" s="760"/>
      <c r="AS34" s="1605"/>
      <c r="AT34" s="760"/>
      <c r="AU34" s="761"/>
      <c r="AV34" s="755">
        <f>F34-SUM(G34:AB34)</f>
        <v>0</v>
      </c>
      <c r="AW34" s="756"/>
      <c r="AX34" s="740"/>
      <c r="AY34" s="709"/>
      <c r="AZ34" s="709"/>
      <c r="BA34" s="709"/>
      <c r="BB34" s="709"/>
      <c r="BC34" s="709"/>
      <c r="BD34" s="709"/>
      <c r="BE34" s="709"/>
      <c r="BF34" s="709"/>
      <c r="BG34" s="709"/>
      <c r="BH34" s="709"/>
      <c r="BI34" s="709"/>
      <c r="BJ34" s="709"/>
      <c r="BK34" s="709"/>
      <c r="BL34" s="709"/>
      <c r="BM34" s="709"/>
      <c r="BN34" s="709"/>
      <c r="BO34" s="709"/>
      <c r="BP34" s="709"/>
      <c r="BQ34" s="709"/>
      <c r="BR34" s="709"/>
      <c r="BS34" s="709"/>
      <c r="BT34" s="709"/>
      <c r="BU34" s="709"/>
      <c r="BV34" s="709"/>
      <c r="BW34" s="709"/>
      <c r="BX34" s="709"/>
      <c r="BY34" s="709"/>
      <c r="BZ34" s="709"/>
      <c r="CA34" s="709"/>
    </row>
    <row r="35" spans="1:79" hidden="1">
      <c r="A35" s="722"/>
      <c r="B35" s="722" t="s">
        <v>489</v>
      </c>
      <c r="C35" s="709"/>
      <c r="D35" s="742"/>
      <c r="E35" s="754">
        <f>F35/[6]Rent_Schedule!$E$25</f>
        <v>0</v>
      </c>
      <c r="F35" s="755">
        <v>0</v>
      </c>
      <c r="G35" s="738"/>
      <c r="H35" s="759"/>
      <c r="I35" s="761"/>
      <c r="J35" s="761"/>
      <c r="K35" s="761"/>
      <c r="L35" s="760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Y35" s="761"/>
      <c r="Z35" s="761"/>
      <c r="AA35" s="761"/>
      <c r="AB35" s="761"/>
      <c r="AC35" s="761"/>
      <c r="AD35" s="761"/>
      <c r="AE35" s="761"/>
      <c r="AF35" s="761"/>
      <c r="AG35" s="761"/>
      <c r="AH35" s="761"/>
      <c r="AI35" s="761"/>
      <c r="AJ35" s="761"/>
      <c r="AK35" s="761"/>
      <c r="AL35" s="761"/>
      <c r="AM35" s="761"/>
      <c r="AN35" s="760"/>
      <c r="AO35" s="760"/>
      <c r="AP35" s="760"/>
      <c r="AQ35" s="760"/>
      <c r="AR35" s="760"/>
      <c r="AS35" s="1605"/>
      <c r="AT35" s="760"/>
      <c r="AU35" s="761"/>
      <c r="AV35" s="755">
        <f>F35-SUM(G35:AB35)</f>
        <v>0</v>
      </c>
      <c r="AW35" s="756"/>
      <c r="AX35" s="740"/>
      <c r="AY35" s="709"/>
      <c r="AZ35" s="709"/>
      <c r="BA35" s="709"/>
      <c r="BB35" s="709"/>
      <c r="BC35" s="709"/>
      <c r="BD35" s="709"/>
      <c r="BE35" s="709"/>
      <c r="BF35" s="709"/>
      <c r="BG35" s="709"/>
      <c r="BH35" s="709"/>
      <c r="BI35" s="709"/>
      <c r="BJ35" s="709"/>
      <c r="BK35" s="709"/>
      <c r="BL35" s="709"/>
      <c r="BM35" s="709"/>
      <c r="BN35" s="709"/>
      <c r="BO35" s="709"/>
      <c r="BP35" s="709"/>
      <c r="BQ35" s="709"/>
      <c r="BR35" s="709"/>
      <c r="BS35" s="709"/>
      <c r="BT35" s="709"/>
      <c r="BU35" s="709"/>
      <c r="BV35" s="709"/>
      <c r="BW35" s="709"/>
      <c r="BX35" s="709"/>
      <c r="BY35" s="709"/>
      <c r="BZ35" s="709"/>
      <c r="CA35" s="709"/>
    </row>
    <row r="36" spans="1:79">
      <c r="A36" s="722"/>
      <c r="B36" s="722"/>
      <c r="C36" s="709"/>
      <c r="D36" s="742"/>
      <c r="E36" s="754">
        <f>F36/[6]Rent_Schedule!$E$25</f>
        <v>0</v>
      </c>
      <c r="F36" s="756"/>
      <c r="G36" s="756"/>
      <c r="H36" s="756"/>
      <c r="I36" s="756"/>
      <c r="J36" s="756"/>
      <c r="K36" s="756"/>
      <c r="L36" s="756"/>
      <c r="M36" s="756"/>
      <c r="N36" s="756"/>
      <c r="O36" s="756"/>
      <c r="P36" s="756"/>
      <c r="Q36" s="756"/>
      <c r="R36" s="756"/>
      <c r="S36" s="756"/>
      <c r="T36" s="756"/>
      <c r="U36" s="756"/>
      <c r="V36" s="756"/>
      <c r="W36" s="756"/>
      <c r="X36" s="756"/>
      <c r="Y36" s="756"/>
      <c r="Z36" s="756"/>
      <c r="AA36" s="756"/>
      <c r="AB36" s="756"/>
      <c r="AC36" s="756"/>
      <c r="AD36" s="756"/>
      <c r="AE36" s="756"/>
      <c r="AF36" s="756"/>
      <c r="AG36" s="756"/>
      <c r="AH36" s="756"/>
      <c r="AI36" s="756"/>
      <c r="AJ36" s="756"/>
      <c r="AK36" s="756"/>
      <c r="AL36" s="756"/>
      <c r="AM36" s="756"/>
      <c r="AN36" s="756"/>
      <c r="AO36" s="756"/>
      <c r="AP36" s="756"/>
      <c r="AQ36" s="756"/>
      <c r="AR36" s="756"/>
      <c r="AS36" s="756"/>
      <c r="AT36" s="756"/>
      <c r="AU36" s="756"/>
      <c r="AV36" s="905"/>
      <c r="AW36" s="756"/>
      <c r="AX36" s="740"/>
      <c r="AY36" s="709"/>
      <c r="AZ36" s="709"/>
      <c r="BA36" s="709"/>
      <c r="BB36" s="709"/>
      <c r="BC36" s="709"/>
      <c r="BD36" s="709"/>
      <c r="BE36" s="709"/>
      <c r="BF36" s="709"/>
      <c r="BG36" s="709"/>
      <c r="BH36" s="709"/>
      <c r="BI36" s="709"/>
      <c r="BJ36" s="709"/>
      <c r="BK36" s="709"/>
      <c r="BL36" s="709"/>
      <c r="BM36" s="709"/>
      <c r="BN36" s="709"/>
      <c r="BO36" s="709"/>
      <c r="BP36" s="709"/>
      <c r="BQ36" s="709"/>
      <c r="BR36" s="709"/>
      <c r="BS36" s="709"/>
      <c r="BT36" s="709"/>
      <c r="BU36" s="709"/>
      <c r="BV36" s="709"/>
      <c r="BW36" s="709"/>
      <c r="BX36" s="709"/>
      <c r="BY36" s="709"/>
      <c r="BZ36" s="709"/>
      <c r="CA36" s="709"/>
    </row>
    <row r="37" spans="1:79" s="769" customFormat="1">
      <c r="A37" s="750"/>
      <c r="B37" s="750"/>
      <c r="C37" s="750"/>
      <c r="D37" s="766" t="s">
        <v>490</v>
      </c>
      <c r="E37" s="754">
        <f>F37/'Rent Schedule'!$D$26</f>
        <v>0</v>
      </c>
      <c r="F37" s="743">
        <f>SUM(F24:F32)+F21</f>
        <v>0</v>
      </c>
      <c r="G37" s="743">
        <v>0</v>
      </c>
      <c r="H37" s="743">
        <f>SUM(H24:H35)+H21</f>
        <v>500000</v>
      </c>
      <c r="I37" s="743">
        <f>SUM(I24:I35)</f>
        <v>-500000</v>
      </c>
      <c r="J37" s="743">
        <f t="shared" ref="J37:Z37" si="20">SUM(J24:J35)</f>
        <v>0</v>
      </c>
      <c r="K37" s="743">
        <f t="shared" si="20"/>
        <v>0</v>
      </c>
      <c r="L37" s="743">
        <f t="shared" si="20"/>
        <v>0</v>
      </c>
      <c r="M37" s="743">
        <f t="shared" si="20"/>
        <v>0</v>
      </c>
      <c r="N37" s="743">
        <f t="shared" si="20"/>
        <v>0</v>
      </c>
      <c r="O37" s="743">
        <f t="shared" si="20"/>
        <v>0</v>
      </c>
      <c r="P37" s="743">
        <f>SUM(P24:P35)</f>
        <v>0</v>
      </c>
      <c r="Q37" s="743">
        <f>SUM(Q24:Q35)</f>
        <v>0</v>
      </c>
      <c r="R37" s="743">
        <f t="shared" si="20"/>
        <v>0</v>
      </c>
      <c r="S37" s="743">
        <f t="shared" si="20"/>
        <v>0</v>
      </c>
      <c r="T37" s="743">
        <f t="shared" si="20"/>
        <v>0</v>
      </c>
      <c r="U37" s="743">
        <f t="shared" si="20"/>
        <v>0</v>
      </c>
      <c r="V37" s="743">
        <f t="shared" si="20"/>
        <v>0</v>
      </c>
      <c r="W37" s="743">
        <f t="shared" si="20"/>
        <v>0</v>
      </c>
      <c r="X37" s="743">
        <f t="shared" si="20"/>
        <v>0</v>
      </c>
      <c r="Y37" s="743">
        <f t="shared" si="20"/>
        <v>0</v>
      </c>
      <c r="Z37" s="743">
        <f t="shared" si="20"/>
        <v>0</v>
      </c>
      <c r="AA37" s="743">
        <f t="shared" ref="AA37:AQ37" si="21">SUM(AA24:AA35)</f>
        <v>0</v>
      </c>
      <c r="AB37" s="743">
        <f t="shared" si="21"/>
        <v>0</v>
      </c>
      <c r="AC37" s="743">
        <f>SUM(AC24:AC35)</f>
        <v>0</v>
      </c>
      <c r="AD37" s="743">
        <f t="shared" si="21"/>
        <v>0</v>
      </c>
      <c r="AE37" s="743">
        <f t="shared" si="21"/>
        <v>0</v>
      </c>
      <c r="AF37" s="743">
        <f t="shared" si="21"/>
        <v>0</v>
      </c>
      <c r="AG37" s="743">
        <f t="shared" si="21"/>
        <v>0</v>
      </c>
      <c r="AH37" s="743">
        <f t="shared" si="21"/>
        <v>0</v>
      </c>
      <c r="AI37" s="743">
        <f t="shared" si="21"/>
        <v>0</v>
      </c>
      <c r="AJ37" s="743">
        <f t="shared" si="21"/>
        <v>0</v>
      </c>
      <c r="AK37" s="743">
        <f t="shared" si="21"/>
        <v>0</v>
      </c>
      <c r="AL37" s="743">
        <f t="shared" si="21"/>
        <v>0</v>
      </c>
      <c r="AM37" s="743">
        <f t="shared" si="21"/>
        <v>0</v>
      </c>
      <c r="AN37" s="743">
        <f t="shared" si="21"/>
        <v>0</v>
      </c>
      <c r="AO37" s="743">
        <f>SUM(AO24:AO35)</f>
        <v>0</v>
      </c>
      <c r="AP37" s="743">
        <f>SUM(AP24:AP35)</f>
        <v>0</v>
      </c>
      <c r="AQ37" s="743">
        <f t="shared" si="21"/>
        <v>0</v>
      </c>
      <c r="AR37" s="743"/>
      <c r="AS37" s="743"/>
      <c r="AT37" s="743"/>
      <c r="AU37" s="743">
        <f>SUM(AU24:AU35)</f>
        <v>0</v>
      </c>
      <c r="AV37" s="1452">
        <f>SUM(G37:AQ37)</f>
        <v>0</v>
      </c>
      <c r="AW37" s="1453">
        <f>F37-AV37</f>
        <v>0</v>
      </c>
      <c r="AX37" s="767"/>
      <c r="AY37" s="768"/>
      <c r="AZ37" s="768"/>
      <c r="BA37" s="768"/>
      <c r="BB37" s="768"/>
      <c r="BC37" s="768"/>
      <c r="BD37" s="768"/>
      <c r="BE37" s="768"/>
      <c r="BF37" s="768"/>
      <c r="BG37" s="768"/>
      <c r="BH37" s="768"/>
      <c r="BI37" s="768"/>
      <c r="BJ37" s="768"/>
      <c r="BK37" s="768"/>
      <c r="BL37" s="768"/>
      <c r="BM37" s="768"/>
      <c r="BN37" s="768"/>
      <c r="BO37" s="768"/>
      <c r="BP37" s="768"/>
      <c r="BQ37" s="768"/>
      <c r="BR37" s="768"/>
      <c r="BS37" s="768"/>
      <c r="BT37" s="768"/>
      <c r="BU37" s="768"/>
      <c r="BV37" s="768"/>
      <c r="BW37" s="768"/>
      <c r="BX37" s="768"/>
      <c r="BY37" s="768"/>
      <c r="BZ37" s="768"/>
      <c r="CA37" s="768"/>
    </row>
    <row r="38" spans="1:79">
      <c r="A38" s="722"/>
      <c r="B38" s="722"/>
      <c r="C38" s="722"/>
      <c r="D38" s="766"/>
      <c r="E38" s="754">
        <f>F38/[6]Rent_Schedule!$E$25</f>
        <v>0</v>
      </c>
      <c r="F38" s="743"/>
      <c r="G38" s="743"/>
      <c r="H38" s="743"/>
      <c r="I38" s="743"/>
      <c r="J38" s="743"/>
      <c r="K38" s="743"/>
      <c r="L38" s="743"/>
      <c r="M38" s="743"/>
      <c r="N38" s="743"/>
      <c r="O38" s="743"/>
      <c r="P38" s="743"/>
      <c r="Q38" s="743"/>
      <c r="R38" s="743"/>
      <c r="S38" s="743"/>
      <c r="T38" s="743"/>
      <c r="U38" s="743"/>
      <c r="V38" s="743"/>
      <c r="W38" s="743"/>
      <c r="X38" s="743"/>
      <c r="Y38" s="743"/>
      <c r="Z38" s="743"/>
      <c r="AA38" s="743"/>
      <c r="AB38" s="743"/>
      <c r="AC38" s="743"/>
      <c r="AD38" s="743"/>
      <c r="AE38" s="743"/>
      <c r="AF38" s="743"/>
      <c r="AG38" s="743"/>
      <c r="AH38" s="743"/>
      <c r="AI38" s="743"/>
      <c r="AJ38" s="743"/>
      <c r="AK38" s="743"/>
      <c r="AL38" s="743"/>
      <c r="AM38" s="743"/>
      <c r="AN38" s="743"/>
      <c r="AO38" s="743"/>
      <c r="AP38" s="743"/>
      <c r="AQ38" s="743"/>
      <c r="AR38" s="743"/>
      <c r="AS38" s="743"/>
      <c r="AT38" s="743"/>
      <c r="AU38" s="743"/>
      <c r="AV38" s="743"/>
      <c r="AW38" s="743"/>
      <c r="AX38" s="740"/>
      <c r="AY38" s="709"/>
      <c r="AZ38" s="709"/>
      <c r="BA38" s="709"/>
      <c r="BB38" s="709"/>
      <c r="BC38" s="709"/>
      <c r="BD38" s="709"/>
      <c r="BE38" s="709"/>
      <c r="BF38" s="709"/>
      <c r="BG38" s="709"/>
      <c r="BH38" s="709"/>
      <c r="BI38" s="709"/>
      <c r="BJ38" s="709"/>
      <c r="BK38" s="709"/>
      <c r="BL38" s="709"/>
      <c r="BM38" s="709"/>
      <c r="BN38" s="709"/>
      <c r="BO38" s="709"/>
      <c r="BP38" s="709"/>
      <c r="BQ38" s="709"/>
      <c r="BR38" s="709"/>
      <c r="BS38" s="709"/>
      <c r="BT38" s="709"/>
      <c r="BU38" s="709"/>
      <c r="BV38" s="709"/>
      <c r="BW38" s="709"/>
      <c r="BX38" s="709"/>
      <c r="BY38" s="709"/>
      <c r="BZ38" s="709"/>
      <c r="CA38" s="709"/>
    </row>
    <row r="39" spans="1:79">
      <c r="A39" s="750" t="s">
        <v>130</v>
      </c>
      <c r="B39" s="722"/>
      <c r="C39" s="709"/>
      <c r="D39" s="709"/>
      <c r="E39" s="754">
        <f>F39/[6]Rent_Schedule!$E$25</f>
        <v>0</v>
      </c>
      <c r="F39" s="770"/>
      <c r="G39" s="770"/>
      <c r="H39" s="770"/>
      <c r="I39" s="770"/>
      <c r="J39" s="770"/>
      <c r="K39" s="770"/>
      <c r="L39" s="770"/>
      <c r="M39" s="770"/>
      <c r="N39" s="770"/>
      <c r="O39" s="770"/>
      <c r="P39" s="770"/>
      <c r="Q39" s="770"/>
      <c r="R39" s="770"/>
      <c r="S39" s="770"/>
      <c r="T39" s="770"/>
      <c r="U39" s="770"/>
      <c r="V39" s="770"/>
      <c r="W39" s="770"/>
      <c r="X39" s="770"/>
      <c r="Y39" s="770"/>
      <c r="Z39" s="770"/>
      <c r="AA39" s="770"/>
      <c r="AB39" s="770"/>
      <c r="AC39" s="770"/>
      <c r="AD39" s="770"/>
      <c r="AE39" s="770"/>
      <c r="AF39" s="770"/>
      <c r="AG39" s="770"/>
      <c r="AH39" s="770"/>
      <c r="AI39" s="770"/>
      <c r="AJ39" s="770"/>
      <c r="AK39" s="770"/>
      <c r="AL39" s="770"/>
      <c r="AM39" s="770"/>
      <c r="AN39" s="770"/>
      <c r="AO39" s="770"/>
      <c r="AP39" s="770"/>
      <c r="AQ39" s="770"/>
      <c r="AR39" s="770"/>
      <c r="AS39" s="1606"/>
      <c r="AT39" s="770"/>
      <c r="AU39" s="770"/>
      <c r="AV39" s="770"/>
      <c r="AW39" s="756"/>
      <c r="AX39" s="740"/>
      <c r="AY39" s="709"/>
      <c r="AZ39" s="709"/>
      <c r="BA39" s="709"/>
      <c r="BB39" s="709"/>
      <c r="BC39" s="709"/>
      <c r="BD39" s="709"/>
      <c r="BE39" s="709"/>
      <c r="BF39" s="709"/>
      <c r="BG39" s="709"/>
      <c r="BH39" s="709"/>
      <c r="BI39" s="709"/>
      <c r="BJ39" s="709"/>
      <c r="BK39" s="709"/>
      <c r="BL39" s="709"/>
      <c r="BM39" s="709"/>
      <c r="BN39" s="709"/>
      <c r="BO39" s="709"/>
      <c r="BP39" s="709"/>
      <c r="BQ39" s="709"/>
      <c r="BR39" s="709"/>
      <c r="BS39" s="709"/>
      <c r="BT39" s="709"/>
      <c r="BU39" s="709"/>
      <c r="BV39" s="709"/>
      <c r="BW39" s="709"/>
      <c r="BX39" s="709"/>
      <c r="BY39" s="709"/>
      <c r="BZ39" s="709"/>
      <c r="CA39" s="709"/>
    </row>
    <row r="40" spans="1:79">
      <c r="A40" s="722"/>
      <c r="B40" s="722" t="str">
        <f>'Development Budget'!C23</f>
        <v>Property Appraisal</v>
      </c>
      <c r="C40" s="709"/>
      <c r="D40" s="709"/>
      <c r="E40" s="754">
        <f>F40/'Rent Schedule'!$D$26</f>
        <v>0</v>
      </c>
      <c r="F40" s="764">
        <f>'Development Budget'!G23</f>
        <v>0</v>
      </c>
      <c r="G40" s="764"/>
      <c r="H40" s="739">
        <f t="shared" ref="H40:H45" si="22">F40</f>
        <v>0</v>
      </c>
      <c r="I40" s="1392"/>
      <c r="J40" s="1392"/>
      <c r="K40" s="1392"/>
      <c r="L40" s="1392"/>
      <c r="M40" s="1392"/>
      <c r="N40" s="1392"/>
      <c r="O40" s="1392"/>
      <c r="P40" s="1392"/>
      <c r="Q40" s="1392"/>
      <c r="R40" s="1392"/>
      <c r="S40" s="1392"/>
      <c r="T40" s="1392"/>
      <c r="U40" s="1392"/>
      <c r="V40" s="1392"/>
      <c r="W40" s="1392"/>
      <c r="X40" s="1392"/>
      <c r="Y40" s="1392"/>
      <c r="Z40" s="1392"/>
      <c r="AA40" s="1392"/>
      <c r="AB40" s="1392"/>
      <c r="AC40" s="1392"/>
      <c r="AD40" s="1392"/>
      <c r="AE40" s="739"/>
      <c r="AF40" s="1392"/>
      <c r="AG40" s="1392"/>
      <c r="AH40" s="1392"/>
      <c r="AI40" s="1392"/>
      <c r="AJ40" s="1392"/>
      <c r="AK40" s="1392"/>
      <c r="AL40" s="1392"/>
      <c r="AM40" s="1392"/>
      <c r="AN40" s="1392"/>
      <c r="AO40" s="739"/>
      <c r="AP40" s="1392"/>
      <c r="AQ40" s="1394"/>
      <c r="AR40" s="1569"/>
      <c r="AS40" s="1569"/>
      <c r="AT40" s="1569"/>
      <c r="AU40" s="1392"/>
      <c r="AV40" s="1452">
        <f t="shared" ref="AV40:AV45" si="23">SUM(H40:AU40)</f>
        <v>0</v>
      </c>
      <c r="AW40" s="1453">
        <f t="shared" ref="AW40:AW45" si="24">F40-AV40</f>
        <v>0</v>
      </c>
      <c r="AX40" s="740"/>
      <c r="AY40" s="709"/>
      <c r="AZ40" s="709"/>
      <c r="BA40" s="709"/>
      <c r="BB40" s="709"/>
      <c r="BC40" s="709"/>
      <c r="BD40" s="709"/>
      <c r="BE40" s="709"/>
      <c r="BF40" s="709"/>
      <c r="BG40" s="709"/>
      <c r="BH40" s="709"/>
      <c r="BI40" s="709"/>
      <c r="BJ40" s="709"/>
      <c r="BK40" s="709"/>
      <c r="BL40" s="709"/>
      <c r="BM40" s="709"/>
      <c r="BN40" s="709"/>
      <c r="BO40" s="709"/>
      <c r="BP40" s="709"/>
      <c r="BQ40" s="709"/>
      <c r="BR40" s="709"/>
      <c r="BS40" s="709"/>
      <c r="BT40" s="709"/>
      <c r="BU40" s="709"/>
      <c r="BV40" s="709"/>
      <c r="BW40" s="709"/>
      <c r="BX40" s="709"/>
      <c r="BY40" s="709"/>
      <c r="BZ40" s="709"/>
      <c r="CA40" s="709"/>
    </row>
    <row r="41" spans="1:79">
      <c r="A41" s="722"/>
      <c r="B41" s="722" t="str">
        <f>'Development Budget'!C24</f>
        <v>Market Study</v>
      </c>
      <c r="C41" s="709"/>
      <c r="D41" s="709"/>
      <c r="E41" s="754">
        <f>F41/'Rent Schedule'!$D$26</f>
        <v>0</v>
      </c>
      <c r="F41" s="764">
        <f>'Development Budget'!G24</f>
        <v>0</v>
      </c>
      <c r="G41" s="764"/>
      <c r="H41" s="739">
        <f t="shared" si="22"/>
        <v>0</v>
      </c>
      <c r="I41" s="1392"/>
      <c r="J41" s="1392"/>
      <c r="K41" s="1392"/>
      <c r="L41" s="1392"/>
      <c r="M41" s="1392"/>
      <c r="N41" s="1392"/>
      <c r="O41" s="1392"/>
      <c r="P41" s="1392"/>
      <c r="Q41" s="1392"/>
      <c r="R41" s="1392"/>
      <c r="S41" s="1392"/>
      <c r="T41" s="1392"/>
      <c r="U41" s="1392"/>
      <c r="V41" s="1392"/>
      <c r="W41" s="1392"/>
      <c r="X41" s="1392"/>
      <c r="Y41" s="1392"/>
      <c r="Z41" s="1392"/>
      <c r="AA41" s="1392"/>
      <c r="AB41" s="1392"/>
      <c r="AC41" s="1392"/>
      <c r="AD41" s="1392"/>
      <c r="AE41" s="739"/>
      <c r="AF41" s="1392"/>
      <c r="AG41" s="1392"/>
      <c r="AH41" s="1392"/>
      <c r="AI41" s="1392"/>
      <c r="AJ41" s="1392"/>
      <c r="AK41" s="1392"/>
      <c r="AL41" s="1392"/>
      <c r="AM41" s="1392"/>
      <c r="AN41" s="1392"/>
      <c r="AO41" s="739"/>
      <c r="AP41" s="1392"/>
      <c r="AQ41" s="1394"/>
      <c r="AR41" s="1569"/>
      <c r="AS41" s="1569"/>
      <c r="AT41" s="1569"/>
      <c r="AU41" s="1392"/>
      <c r="AV41" s="1452">
        <f t="shared" si="23"/>
        <v>0</v>
      </c>
      <c r="AW41" s="1453">
        <f t="shared" si="24"/>
        <v>0</v>
      </c>
      <c r="AX41" s="740"/>
      <c r="AY41" s="709"/>
      <c r="AZ41" s="709"/>
      <c r="BA41" s="709"/>
      <c r="BB41" s="709"/>
      <c r="BC41" s="709"/>
      <c r="BD41" s="709"/>
      <c r="BE41" s="709"/>
      <c r="BF41" s="709"/>
      <c r="BG41" s="709"/>
      <c r="BH41" s="709"/>
      <c r="BI41" s="709"/>
      <c r="BJ41" s="709"/>
      <c r="BK41" s="709"/>
      <c r="BL41" s="709"/>
      <c r="BM41" s="709"/>
      <c r="BN41" s="709"/>
      <c r="BO41" s="709"/>
      <c r="BP41" s="709"/>
      <c r="BQ41" s="709"/>
      <c r="BR41" s="709"/>
      <c r="BS41" s="709"/>
      <c r="BT41" s="709"/>
      <c r="BU41" s="709"/>
      <c r="BV41" s="709"/>
      <c r="BW41" s="709"/>
      <c r="BX41" s="709"/>
      <c r="BY41" s="709"/>
      <c r="BZ41" s="709"/>
      <c r="CA41" s="709"/>
    </row>
    <row r="42" spans="1:79">
      <c r="A42" s="722"/>
      <c r="B42" s="722" t="str">
        <f>'Development Budget'!C25</f>
        <v>Environmental Report(s)</v>
      </c>
      <c r="C42" s="709"/>
      <c r="D42" s="709"/>
      <c r="E42" s="754">
        <f>F42/'Rent Schedule'!$D$26</f>
        <v>0</v>
      </c>
      <c r="F42" s="764">
        <f>'Development Budget'!G25</f>
        <v>0</v>
      </c>
      <c r="G42" s="764"/>
      <c r="H42" s="739">
        <f t="shared" si="22"/>
        <v>0</v>
      </c>
      <c r="I42" s="1392"/>
      <c r="J42" s="1392"/>
      <c r="K42" s="1392"/>
      <c r="L42" s="1392"/>
      <c r="M42" s="1392"/>
      <c r="N42" s="1392"/>
      <c r="O42" s="1392"/>
      <c r="P42" s="1392"/>
      <c r="Q42" s="1392"/>
      <c r="R42" s="1392"/>
      <c r="S42" s="1392"/>
      <c r="T42" s="1392"/>
      <c r="U42" s="1392"/>
      <c r="V42" s="1392"/>
      <c r="W42" s="1392"/>
      <c r="X42" s="1392"/>
      <c r="Y42" s="1392"/>
      <c r="Z42" s="1392"/>
      <c r="AA42" s="1392"/>
      <c r="AB42" s="1392"/>
      <c r="AC42" s="1392"/>
      <c r="AD42" s="1392"/>
      <c r="AE42" s="739"/>
      <c r="AF42" s="1392"/>
      <c r="AG42" s="1392"/>
      <c r="AH42" s="1392"/>
      <c r="AI42" s="1392"/>
      <c r="AJ42" s="1392"/>
      <c r="AK42" s="1392"/>
      <c r="AL42" s="1392"/>
      <c r="AM42" s="1392"/>
      <c r="AN42" s="1392"/>
      <c r="AO42" s="739"/>
      <c r="AP42" s="1392"/>
      <c r="AQ42" s="1394"/>
      <c r="AR42" s="1569"/>
      <c r="AS42" s="1569"/>
      <c r="AT42" s="1569"/>
      <c r="AU42" s="1392"/>
      <c r="AV42" s="1452">
        <f t="shared" si="23"/>
        <v>0</v>
      </c>
      <c r="AW42" s="1453">
        <f t="shared" si="24"/>
        <v>0</v>
      </c>
      <c r="AX42" s="740"/>
      <c r="AY42" s="709"/>
      <c r="AZ42" s="709"/>
      <c r="BA42" s="709"/>
      <c r="BB42" s="709"/>
      <c r="BC42" s="709"/>
      <c r="BD42" s="709"/>
      <c r="BE42" s="709"/>
      <c r="BF42" s="709"/>
      <c r="BG42" s="709"/>
      <c r="BH42" s="709"/>
      <c r="BI42" s="709"/>
      <c r="BJ42" s="709"/>
      <c r="BK42" s="709"/>
      <c r="BL42" s="709"/>
      <c r="BM42" s="709"/>
      <c r="BN42" s="709"/>
      <c r="BO42" s="709"/>
      <c r="BP42" s="709"/>
      <c r="BQ42" s="709"/>
      <c r="BR42" s="709"/>
      <c r="BS42" s="709"/>
      <c r="BT42" s="709"/>
      <c r="BU42" s="709"/>
      <c r="BV42" s="709"/>
      <c r="BW42" s="709"/>
      <c r="BX42" s="709"/>
      <c r="BY42" s="709"/>
      <c r="BZ42" s="709"/>
      <c r="CA42" s="709"/>
    </row>
    <row r="43" spans="1:79">
      <c r="A43" s="722"/>
      <c r="B43" s="722" t="str">
        <f>'Development Budget'!C26</f>
        <v>Soil Borings</v>
      </c>
      <c r="C43" s="709"/>
      <c r="D43" s="709"/>
      <c r="E43" s="754">
        <f>F43/'Rent Schedule'!$D$26</f>
        <v>0</v>
      </c>
      <c r="F43" s="764">
        <f>'Development Budget'!G26</f>
        <v>0</v>
      </c>
      <c r="G43" s="764"/>
      <c r="H43" s="739">
        <f t="shared" si="22"/>
        <v>0</v>
      </c>
      <c r="I43" s="1392">
        <v>0</v>
      </c>
      <c r="J43" s="1392"/>
      <c r="K43" s="1392"/>
      <c r="L43" s="1392"/>
      <c r="M43" s="1392"/>
      <c r="N43" s="1392"/>
      <c r="O43" s="1392"/>
      <c r="P43" s="1392"/>
      <c r="Q43" s="1392"/>
      <c r="R43" s="1392"/>
      <c r="S43" s="1392"/>
      <c r="T43" s="1392"/>
      <c r="U43" s="1392"/>
      <c r="V43" s="1392"/>
      <c r="W43" s="1392"/>
      <c r="X43" s="1392"/>
      <c r="Y43" s="1392"/>
      <c r="Z43" s="1392"/>
      <c r="AA43" s="1392"/>
      <c r="AB43" s="1392"/>
      <c r="AC43" s="1392"/>
      <c r="AD43" s="1392"/>
      <c r="AE43" s="739"/>
      <c r="AF43" s="1392"/>
      <c r="AG43" s="1392"/>
      <c r="AH43" s="1392"/>
      <c r="AI43" s="1392"/>
      <c r="AJ43" s="1392"/>
      <c r="AK43" s="1392"/>
      <c r="AL43" s="1392"/>
      <c r="AM43" s="1392"/>
      <c r="AN43" s="1392"/>
      <c r="AO43" s="739"/>
      <c r="AP43" s="1392"/>
      <c r="AQ43" s="1394"/>
      <c r="AR43" s="1569"/>
      <c r="AS43" s="1569"/>
      <c r="AT43" s="1569"/>
      <c r="AU43" s="1392"/>
      <c r="AV43" s="1452">
        <f t="shared" si="23"/>
        <v>0</v>
      </c>
      <c r="AW43" s="1453">
        <f t="shared" si="24"/>
        <v>0</v>
      </c>
      <c r="AX43" s="740"/>
      <c r="AY43" s="709"/>
      <c r="AZ43" s="709"/>
      <c r="BA43" s="709"/>
      <c r="BB43" s="709"/>
      <c r="BC43" s="709"/>
      <c r="BD43" s="709"/>
      <c r="BE43" s="709"/>
      <c r="BF43" s="709"/>
      <c r="BG43" s="709"/>
      <c r="BH43" s="709"/>
      <c r="BI43" s="709"/>
      <c r="BJ43" s="709"/>
      <c r="BK43" s="709"/>
      <c r="BL43" s="709"/>
      <c r="BM43" s="709"/>
      <c r="BN43" s="709"/>
      <c r="BO43" s="709"/>
      <c r="BP43" s="709"/>
      <c r="BQ43" s="709"/>
      <c r="BR43" s="709"/>
      <c r="BS43" s="709"/>
      <c r="BT43" s="709"/>
      <c r="BU43" s="709"/>
      <c r="BV43" s="709"/>
      <c r="BW43" s="709"/>
      <c r="BX43" s="709"/>
      <c r="BY43" s="709"/>
      <c r="BZ43" s="709"/>
      <c r="CA43" s="709"/>
    </row>
    <row r="44" spans="1:79">
      <c r="A44" s="722"/>
      <c r="B44" s="722" t="str">
        <f>'Development Budget'!C27</f>
        <v>Boundary and Topographical Survey</v>
      </c>
      <c r="C44" s="709"/>
      <c r="D44" s="709"/>
      <c r="E44" s="754">
        <f>F44/'Rent Schedule'!$D$26</f>
        <v>0</v>
      </c>
      <c r="F44" s="764">
        <f>'Development Budget'!G27</f>
        <v>0</v>
      </c>
      <c r="G44" s="764"/>
      <c r="H44" s="739">
        <f t="shared" si="22"/>
        <v>0</v>
      </c>
      <c r="I44" s="1392"/>
      <c r="J44" s="1392"/>
      <c r="K44" s="1392"/>
      <c r="L44" s="1392"/>
      <c r="M44" s="1392"/>
      <c r="N44" s="1392"/>
      <c r="O44" s="1392"/>
      <c r="P44" s="1392"/>
      <c r="Q44" s="1392"/>
      <c r="R44" s="1392"/>
      <c r="S44" s="1392"/>
      <c r="T44" s="1392"/>
      <c r="U44" s="1392"/>
      <c r="V44" s="1392"/>
      <c r="W44" s="1392"/>
      <c r="X44" s="1392"/>
      <c r="Y44" s="1392"/>
      <c r="Z44" s="1392"/>
      <c r="AA44" s="1392"/>
      <c r="AB44" s="1392"/>
      <c r="AC44" s="1392"/>
      <c r="AD44" s="1392"/>
      <c r="AE44" s="739"/>
      <c r="AF44" s="1392"/>
      <c r="AG44" s="1392"/>
      <c r="AH44" s="1392"/>
      <c r="AI44" s="1392"/>
      <c r="AJ44" s="1392"/>
      <c r="AK44" s="1392"/>
      <c r="AL44" s="1392"/>
      <c r="AM44" s="1392"/>
      <c r="AN44" s="1392"/>
      <c r="AO44" s="739"/>
      <c r="AP44" s="1392"/>
      <c r="AQ44" s="1394"/>
      <c r="AR44" s="1569"/>
      <c r="AS44" s="1569"/>
      <c r="AT44" s="1569"/>
      <c r="AU44" s="1392"/>
      <c r="AV44" s="1452">
        <f t="shared" si="23"/>
        <v>0</v>
      </c>
      <c r="AW44" s="1453">
        <f t="shared" si="24"/>
        <v>0</v>
      </c>
      <c r="AX44" s="740"/>
      <c r="AY44" s="709"/>
      <c r="AZ44" s="709"/>
      <c r="BA44" s="709"/>
      <c r="BB44" s="709"/>
      <c r="BC44" s="709"/>
      <c r="BD44" s="709"/>
      <c r="BE44" s="709"/>
      <c r="BF44" s="709"/>
      <c r="BG44" s="709"/>
      <c r="BH44" s="709"/>
      <c r="BI44" s="709"/>
      <c r="BJ44" s="709"/>
      <c r="BK44" s="709"/>
      <c r="BL44" s="709"/>
      <c r="BM44" s="709"/>
      <c r="BN44" s="709"/>
      <c r="BO44" s="709"/>
      <c r="BP44" s="709"/>
      <c r="BQ44" s="709"/>
      <c r="BR44" s="709"/>
      <c r="BS44" s="709"/>
      <c r="BT44" s="709"/>
      <c r="BU44" s="709"/>
      <c r="BV44" s="709"/>
      <c r="BW44" s="709"/>
      <c r="BX44" s="709"/>
      <c r="BY44" s="709"/>
      <c r="BZ44" s="709"/>
      <c r="CA44" s="709"/>
    </row>
    <row r="45" spans="1:79">
      <c r="A45" s="722"/>
      <c r="B45" s="722" t="str">
        <f>'Development Budget'!C28</f>
        <v>Zoning/Site Plan Fees</v>
      </c>
      <c r="C45" s="709"/>
      <c r="D45" s="709"/>
      <c r="E45" s="754">
        <f>F45/'Rent Schedule'!$D$26</f>
        <v>0</v>
      </c>
      <c r="F45" s="764">
        <f>'Development Budget'!G28</f>
        <v>0</v>
      </c>
      <c r="G45" s="764"/>
      <c r="H45" s="739">
        <f t="shared" si="22"/>
        <v>0</v>
      </c>
      <c r="I45" s="1392"/>
      <c r="J45" s="1392"/>
      <c r="K45" s="1392"/>
      <c r="L45" s="1392"/>
      <c r="M45" s="1392"/>
      <c r="N45" s="1392"/>
      <c r="O45" s="1392"/>
      <c r="P45" s="1392"/>
      <c r="Q45" s="1392"/>
      <c r="R45" s="1392"/>
      <c r="S45" s="1392"/>
      <c r="T45" s="1392"/>
      <c r="U45" s="1392"/>
      <c r="V45" s="1392"/>
      <c r="W45" s="1392"/>
      <c r="X45" s="1392"/>
      <c r="Y45" s="1392"/>
      <c r="Z45" s="1392"/>
      <c r="AA45" s="1392"/>
      <c r="AB45" s="1392"/>
      <c r="AC45" s="1392"/>
      <c r="AD45" s="1392"/>
      <c r="AE45" s="739"/>
      <c r="AF45" s="1392"/>
      <c r="AG45" s="1392"/>
      <c r="AH45" s="1392"/>
      <c r="AI45" s="1392"/>
      <c r="AJ45" s="1392"/>
      <c r="AK45" s="1392"/>
      <c r="AL45" s="1392"/>
      <c r="AM45" s="1392"/>
      <c r="AN45" s="1392"/>
      <c r="AO45" s="739"/>
      <c r="AP45" s="1392"/>
      <c r="AQ45" s="1394"/>
      <c r="AR45" s="1569"/>
      <c r="AS45" s="1569"/>
      <c r="AT45" s="1569"/>
      <c r="AU45" s="1392"/>
      <c r="AV45" s="1452">
        <f t="shared" si="23"/>
        <v>0</v>
      </c>
      <c r="AW45" s="1453">
        <f t="shared" si="24"/>
        <v>0</v>
      </c>
      <c r="AX45" s="740"/>
      <c r="AY45" s="709"/>
      <c r="AZ45" s="709"/>
      <c r="BA45" s="709"/>
      <c r="BB45" s="709"/>
      <c r="BC45" s="709"/>
      <c r="BD45" s="709"/>
      <c r="BE45" s="709"/>
      <c r="BF45" s="709"/>
      <c r="BG45" s="709"/>
      <c r="BH45" s="709"/>
      <c r="BI45" s="709"/>
      <c r="BJ45" s="709"/>
      <c r="BK45" s="709"/>
      <c r="BL45" s="709"/>
      <c r="BM45" s="709"/>
      <c r="BN45" s="709"/>
      <c r="BO45" s="709"/>
      <c r="BP45" s="709"/>
      <c r="BQ45" s="709"/>
      <c r="BR45" s="709"/>
      <c r="BS45" s="709"/>
      <c r="BT45" s="709"/>
      <c r="BU45" s="709"/>
      <c r="BV45" s="709"/>
      <c r="BW45" s="709"/>
      <c r="BX45" s="709"/>
      <c r="BY45" s="709"/>
      <c r="BZ45" s="709"/>
      <c r="CA45" s="709"/>
    </row>
    <row r="46" spans="1:79">
      <c r="A46" s="750" t="s">
        <v>491</v>
      </c>
      <c r="B46" s="722"/>
      <c r="C46" s="709"/>
      <c r="D46" s="709"/>
      <c r="E46" s="754"/>
      <c r="F46" s="772"/>
      <c r="G46" s="772"/>
      <c r="H46" s="809"/>
      <c r="I46" s="771"/>
      <c r="J46" s="771"/>
      <c r="K46" s="771"/>
      <c r="L46" s="771"/>
      <c r="M46" s="771"/>
      <c r="N46" s="771"/>
      <c r="O46" s="771"/>
      <c r="P46" s="771"/>
      <c r="Q46" s="771"/>
      <c r="R46" s="771"/>
      <c r="S46" s="771"/>
      <c r="T46" s="771"/>
      <c r="U46" s="771"/>
      <c r="V46" s="771"/>
      <c r="W46" s="771"/>
      <c r="X46" s="771"/>
      <c r="Y46" s="771"/>
      <c r="Z46" s="771"/>
      <c r="AA46" s="771"/>
      <c r="AB46" s="771"/>
      <c r="AC46" s="771"/>
      <c r="AD46" s="771"/>
      <c r="AE46" s="771"/>
      <c r="AF46" s="771"/>
      <c r="AG46" s="771"/>
      <c r="AH46" s="771"/>
      <c r="AI46" s="771"/>
      <c r="AJ46" s="771"/>
      <c r="AK46" s="771"/>
      <c r="AL46" s="771"/>
      <c r="AM46" s="771"/>
      <c r="AN46" s="771"/>
      <c r="AO46" s="771"/>
      <c r="AP46" s="771"/>
      <c r="AQ46" s="905"/>
      <c r="AR46" s="1314"/>
      <c r="AS46" s="1314"/>
      <c r="AT46" s="1314"/>
      <c r="AU46" s="771"/>
      <c r="AV46" s="771"/>
      <c r="AW46" s="756"/>
      <c r="AX46" s="740"/>
      <c r="AY46" s="709"/>
      <c r="AZ46" s="709"/>
      <c r="BA46" s="709"/>
      <c r="BB46" s="709"/>
      <c r="BC46" s="709"/>
      <c r="BD46" s="709"/>
      <c r="BE46" s="709"/>
      <c r="BF46" s="709"/>
      <c r="BG46" s="709"/>
      <c r="BH46" s="709"/>
      <c r="BI46" s="709"/>
      <c r="BJ46" s="709"/>
      <c r="BK46" s="709"/>
      <c r="BL46" s="709"/>
      <c r="BM46" s="709"/>
      <c r="BN46" s="709"/>
      <c r="BO46" s="709"/>
      <c r="BP46" s="709"/>
      <c r="BQ46" s="709"/>
      <c r="BR46" s="709"/>
      <c r="BS46" s="709"/>
      <c r="BT46" s="709"/>
      <c r="BU46" s="709"/>
      <c r="BV46" s="709"/>
      <c r="BW46" s="709"/>
      <c r="BX46" s="709"/>
      <c r="BY46" s="709"/>
      <c r="BZ46" s="709"/>
      <c r="CA46" s="709"/>
    </row>
    <row r="47" spans="1:79">
      <c r="A47" s="722"/>
      <c r="B47" s="806" t="str">
        <f>'Development Budget'!C31</f>
        <v>Construction Financing and Placement Fees</v>
      </c>
      <c r="C47" s="709"/>
      <c r="D47" s="709"/>
      <c r="E47" s="754">
        <f ca="1">F47/'Rent Schedule'!$D$26</f>
        <v>-103.6963462372413</v>
      </c>
      <c r="F47" s="764">
        <f ca="1">'Development Budget'!G31</f>
        <v>-22916.892518430326</v>
      </c>
      <c r="G47" s="1374"/>
      <c r="H47" s="1385">
        <f ca="1">F47</f>
        <v>-22916.892518430326</v>
      </c>
      <c r="I47" s="1426"/>
      <c r="J47" s="1392"/>
      <c r="K47" s="1392"/>
      <c r="L47" s="1392"/>
      <c r="M47" s="1392"/>
      <c r="N47" s="1392"/>
      <c r="O47" s="1392"/>
      <c r="P47" s="1392"/>
      <c r="Q47" s="1392"/>
      <c r="R47" s="1392"/>
      <c r="S47" s="1392"/>
      <c r="T47" s="1392"/>
      <c r="U47" s="1392"/>
      <c r="V47" s="1392"/>
      <c r="W47" s="1392"/>
      <c r="X47" s="1392"/>
      <c r="Y47" s="1392"/>
      <c r="Z47" s="1392"/>
      <c r="AA47" s="1392"/>
      <c r="AB47" s="1392"/>
      <c r="AC47" s="1392"/>
      <c r="AD47" s="1392"/>
      <c r="AE47" s="739"/>
      <c r="AF47" s="1392"/>
      <c r="AG47" s="1392"/>
      <c r="AH47" s="1392"/>
      <c r="AI47" s="1392"/>
      <c r="AJ47" s="1392"/>
      <c r="AK47" s="1392"/>
      <c r="AL47" s="1392"/>
      <c r="AM47" s="1392"/>
      <c r="AN47" s="1392"/>
      <c r="AO47" s="739"/>
      <c r="AP47" s="1392"/>
      <c r="AQ47" s="1394"/>
      <c r="AR47" s="1569"/>
      <c r="AS47" s="1569"/>
      <c r="AT47" s="1569"/>
      <c r="AU47" s="1392"/>
      <c r="AV47" s="1452">
        <f t="shared" ref="AV47:AV55" ca="1" si="25">SUM(H47:AU47)</f>
        <v>-22916.892518430326</v>
      </c>
      <c r="AW47" s="1455">
        <f t="shared" ref="AW47:AW55" ca="1" si="26">F47-AV47</f>
        <v>0</v>
      </c>
      <c r="AX47" s="740"/>
      <c r="AY47" s="709"/>
      <c r="AZ47" s="709"/>
      <c r="BA47" s="709"/>
      <c r="BB47" s="709"/>
      <c r="BC47" s="709"/>
      <c r="BD47" s="709"/>
      <c r="BE47" s="709"/>
      <c r="BF47" s="709"/>
      <c r="BG47" s="709"/>
      <c r="BH47" s="709"/>
      <c r="BI47" s="709"/>
      <c r="BJ47" s="709"/>
      <c r="BK47" s="709"/>
      <c r="BL47" s="709"/>
      <c r="BM47" s="709"/>
      <c r="BN47" s="709"/>
      <c r="BO47" s="709"/>
      <c r="BP47" s="709"/>
      <c r="BQ47" s="709"/>
      <c r="BR47" s="709"/>
      <c r="BS47" s="709"/>
      <c r="BT47" s="709"/>
      <c r="BU47" s="709"/>
      <c r="BV47" s="709"/>
      <c r="BW47" s="709"/>
      <c r="BX47" s="709"/>
      <c r="BY47" s="709"/>
      <c r="BZ47" s="709"/>
      <c r="CA47" s="709"/>
    </row>
    <row r="48" spans="1:79">
      <c r="A48" s="722"/>
      <c r="B48" s="1578" t="str">
        <f>'Development Budget'!C32</f>
        <v xml:space="preserve">Construction Loan Interest </v>
      </c>
      <c r="C48" s="1579"/>
      <c r="D48" s="1580"/>
      <c r="E48" s="754">
        <f ca="1">F48/'Rent Schedule'!$D$26</f>
        <v>3218.2163600653071</v>
      </c>
      <c r="F48" s="1577">
        <f ca="1">H159</f>
        <v>711225.81557443284</v>
      </c>
      <c r="G48" s="1374"/>
      <c r="H48" s="1477">
        <f>H158</f>
        <v>0</v>
      </c>
      <c r="I48" s="1477">
        <f t="shared" ref="I48:AQ48" ca="1" si="27">I158</f>
        <v>13005.049133329579</v>
      </c>
      <c r="J48" s="1477">
        <f t="shared" ca="1" si="27"/>
        <v>12434.879747584993</v>
      </c>
      <c r="K48" s="1477">
        <f t="shared" ca="1" si="27"/>
        <v>12434.879747584993</v>
      </c>
      <c r="L48" s="1477">
        <f t="shared" ca="1" si="27"/>
        <v>12434.879747584993</v>
      </c>
      <c r="M48" s="1477">
        <f t="shared" ca="1" si="27"/>
        <v>12434.879747584993</v>
      </c>
      <c r="N48" s="1477">
        <f t="shared" ca="1" si="27"/>
        <v>14086.9576677401</v>
      </c>
      <c r="O48" s="1477">
        <f t="shared" ca="1" si="27"/>
        <v>18676.193044967924</v>
      </c>
      <c r="P48" s="1477">
        <f t="shared" ca="1" si="27"/>
        <v>22353.591296615388</v>
      </c>
      <c r="Q48" s="1477">
        <f t="shared" ca="1" si="27"/>
        <v>22353.591296615388</v>
      </c>
      <c r="R48" s="1477">
        <f t="shared" ca="1" si="27"/>
        <v>26410.939312268478</v>
      </c>
      <c r="S48" s="1477">
        <f t="shared" ca="1" si="27"/>
        <v>31865.456588541208</v>
      </c>
      <c r="T48" s="1477">
        <f t="shared" ca="1" si="27"/>
        <v>31865.456588541208</v>
      </c>
      <c r="U48" s="1477">
        <f t="shared" ca="1" si="27"/>
        <v>33020.125539199849</v>
      </c>
      <c r="V48" s="1477">
        <f t="shared" ca="1" si="27"/>
        <v>38387.243339720699</v>
      </c>
      <c r="W48" s="1477">
        <f t="shared" ca="1" si="27"/>
        <v>42190.135626480245</v>
      </c>
      <c r="X48" s="1477">
        <f t="shared" ca="1" si="27"/>
        <v>42190.135626480245</v>
      </c>
      <c r="Y48" s="1477">
        <f t="shared" ca="1" si="27"/>
        <v>-50913.699069595168</v>
      </c>
      <c r="Z48" s="1477">
        <f t="shared" ca="1" si="27"/>
        <v>-46185.118726433742</v>
      </c>
      <c r="AA48" s="1477">
        <f t="shared" ca="1" si="27"/>
        <v>-41485.531191384922</v>
      </c>
      <c r="AB48" s="1477">
        <f t="shared" ca="1" si="27"/>
        <v>-36413.595924893343</v>
      </c>
      <c r="AC48" s="1477">
        <f t="shared" ca="1" si="27"/>
        <v>-31946.265014436056</v>
      </c>
      <c r="AD48" s="1477">
        <f t="shared" ca="1" si="27"/>
        <v>-27729.363783971254</v>
      </c>
      <c r="AE48" s="1477">
        <f t="shared" ca="1" si="27"/>
        <v>-9695.6083731820618</v>
      </c>
      <c r="AF48" s="1477">
        <f t="shared" ca="1" si="27"/>
        <v>47388.93771831425</v>
      </c>
      <c r="AG48" s="1477">
        <f t="shared" ca="1" si="27"/>
        <v>47388.93771831425</v>
      </c>
      <c r="AH48" s="1477">
        <f t="shared" ca="1" si="27"/>
        <v>47388.93771831425</v>
      </c>
      <c r="AI48" s="1477">
        <f t="shared" ca="1" si="27"/>
        <v>47388.93771831425</v>
      </c>
      <c r="AJ48" s="1477">
        <f t="shared" ca="1" si="27"/>
        <v>47388.93771831425</v>
      </c>
      <c r="AK48" s="1477">
        <f t="shared" ca="1" si="27"/>
        <v>47388.93771831425</v>
      </c>
      <c r="AL48" s="1477">
        <f t="shared" ca="1" si="27"/>
        <v>47388.93771831425</v>
      </c>
      <c r="AM48" s="1477">
        <f t="shared" ca="1" si="27"/>
        <v>47388.93771831425</v>
      </c>
      <c r="AN48" s="1477">
        <f t="shared" ca="1" si="27"/>
        <v>47388.93771831425</v>
      </c>
      <c r="AO48" s="1477">
        <f ca="1">AO158</f>
        <v>47388.93771831425</v>
      </c>
      <c r="AP48" s="1477">
        <f ca="1">AP158</f>
        <v>47649.576875764978</v>
      </c>
      <c r="AQ48" s="1477">
        <f t="shared" ca="1" si="27"/>
        <v>47911.649548581692</v>
      </c>
      <c r="AR48" s="1477"/>
      <c r="AS48" s="1607"/>
      <c r="AT48" s="1477"/>
      <c r="AU48" s="1477"/>
      <c r="AV48" s="1473">
        <f t="shared" ca="1" si="25"/>
        <v>711225.81557443284</v>
      </c>
      <c r="AW48" s="1474">
        <f t="shared" ca="1" si="26"/>
        <v>0</v>
      </c>
      <c r="AX48" s="740"/>
      <c r="AY48" s="709"/>
      <c r="AZ48" s="709"/>
      <c r="BA48" s="709"/>
      <c r="BB48" s="709"/>
      <c r="BC48" s="709"/>
      <c r="BD48" s="709"/>
      <c r="BE48" s="709"/>
      <c r="BF48" s="709"/>
      <c r="BG48" s="709"/>
      <c r="BH48" s="709"/>
      <c r="BI48" s="709"/>
      <c r="BJ48" s="709"/>
      <c r="BK48" s="709"/>
      <c r="BL48" s="709"/>
      <c r="BM48" s="709"/>
      <c r="BN48" s="709"/>
      <c r="BO48" s="709"/>
      <c r="BP48" s="709"/>
      <c r="BQ48" s="709"/>
      <c r="BR48" s="709"/>
      <c r="BS48" s="709"/>
      <c r="BT48" s="709"/>
      <c r="BU48" s="709"/>
      <c r="BV48" s="709"/>
      <c r="BW48" s="709"/>
      <c r="BX48" s="709"/>
      <c r="BY48" s="709"/>
      <c r="BZ48" s="709"/>
      <c r="CA48" s="709"/>
    </row>
    <row r="49" spans="1:79" ht="16">
      <c r="A49" s="722"/>
      <c r="B49" s="1327" t="str">
        <f>'Development Budget'!C33</f>
        <v>Bond Interst (Fully Drawn)</v>
      </c>
      <c r="C49" s="975"/>
      <c r="D49" s="988"/>
      <c r="E49" s="754"/>
      <c r="F49" s="989">
        <f ca="1">'Development Budget'!G33</f>
        <v>1186697.6059541965</v>
      </c>
      <c r="G49" s="1374"/>
      <c r="H49" s="1478"/>
      <c r="I49" s="1430">
        <f ca="1">I115</f>
        <v>33905.645884405647</v>
      </c>
      <c r="J49" s="1430">
        <f t="shared" ref="J49:AQ49" ca="1" si="28">J115</f>
        <v>33905.645884405647</v>
      </c>
      <c r="K49" s="1430">
        <f t="shared" ca="1" si="28"/>
        <v>33905.645884405647</v>
      </c>
      <c r="L49" s="1430">
        <f t="shared" ca="1" si="28"/>
        <v>33905.645884405647</v>
      </c>
      <c r="M49" s="1430">
        <f t="shared" ca="1" si="28"/>
        <v>33905.645884405647</v>
      </c>
      <c r="N49" s="1430">
        <f t="shared" ca="1" si="28"/>
        <v>33905.645884405647</v>
      </c>
      <c r="O49" s="1430">
        <f t="shared" ca="1" si="28"/>
        <v>33905.645884405647</v>
      </c>
      <c r="P49" s="1430">
        <f t="shared" ca="1" si="28"/>
        <v>33905.645884405647</v>
      </c>
      <c r="Q49" s="1430">
        <f t="shared" ca="1" si="28"/>
        <v>33905.645884405647</v>
      </c>
      <c r="R49" s="1430">
        <f t="shared" ca="1" si="28"/>
        <v>33905.645884405647</v>
      </c>
      <c r="S49" s="1430">
        <f t="shared" ca="1" si="28"/>
        <v>33905.645884405647</v>
      </c>
      <c r="T49" s="1430">
        <f t="shared" ca="1" si="28"/>
        <v>33905.645884405647</v>
      </c>
      <c r="U49" s="1430">
        <f t="shared" ca="1" si="28"/>
        <v>33905.645884405647</v>
      </c>
      <c r="V49" s="1430">
        <f t="shared" ca="1" si="28"/>
        <v>33905.645884405647</v>
      </c>
      <c r="W49" s="1430">
        <f t="shared" ca="1" si="28"/>
        <v>33905.645884405647</v>
      </c>
      <c r="X49" s="1430">
        <f t="shared" ca="1" si="28"/>
        <v>33905.645884405647</v>
      </c>
      <c r="Y49" s="1430">
        <f t="shared" ca="1" si="28"/>
        <v>33905.645884405647</v>
      </c>
      <c r="Z49" s="1430">
        <f t="shared" ca="1" si="28"/>
        <v>33905.645884405647</v>
      </c>
      <c r="AA49" s="1430">
        <f t="shared" ca="1" si="28"/>
        <v>33905.645884405647</v>
      </c>
      <c r="AB49" s="1430">
        <f t="shared" ca="1" si="28"/>
        <v>33905.645884405647</v>
      </c>
      <c r="AC49" s="1430">
        <f t="shared" ca="1" si="28"/>
        <v>33905.645884405647</v>
      </c>
      <c r="AD49" s="1430">
        <f t="shared" ca="1" si="28"/>
        <v>33905.645884405647</v>
      </c>
      <c r="AE49" s="1430">
        <f t="shared" ca="1" si="28"/>
        <v>33905.645884405647</v>
      </c>
      <c r="AF49" s="1430">
        <f t="shared" ca="1" si="28"/>
        <v>33905.645884405647</v>
      </c>
      <c r="AG49" s="1430">
        <f t="shared" ca="1" si="28"/>
        <v>33905.645884405647</v>
      </c>
      <c r="AH49" s="1430">
        <f t="shared" ca="1" si="28"/>
        <v>33905.645884405647</v>
      </c>
      <c r="AI49" s="1430">
        <f t="shared" ca="1" si="28"/>
        <v>33905.645884405647</v>
      </c>
      <c r="AJ49" s="1430">
        <f t="shared" ca="1" si="28"/>
        <v>33905.645884405647</v>
      </c>
      <c r="AK49" s="1430">
        <f t="shared" ca="1" si="28"/>
        <v>33905.645884405647</v>
      </c>
      <c r="AL49" s="1430">
        <f t="shared" ca="1" si="28"/>
        <v>33905.645884405647</v>
      </c>
      <c r="AM49" s="1430">
        <f t="shared" ca="1" si="28"/>
        <v>33905.645884405647</v>
      </c>
      <c r="AN49" s="1430">
        <f t="shared" ca="1" si="28"/>
        <v>33905.645884405647</v>
      </c>
      <c r="AO49" s="1430">
        <f ca="1">AO115</f>
        <v>33905.645884405647</v>
      </c>
      <c r="AP49" s="1430">
        <f ca="1">AP115</f>
        <v>33905.645884405647</v>
      </c>
      <c r="AQ49" s="1430">
        <f t="shared" ca="1" si="28"/>
        <v>33905.645884405647</v>
      </c>
      <c r="AR49" s="1430"/>
      <c r="AS49" s="1608"/>
      <c r="AT49" s="1430"/>
      <c r="AU49" s="989"/>
      <c r="AV49" s="1475">
        <f t="shared" ca="1" si="25"/>
        <v>1186697.6059541965</v>
      </c>
      <c r="AW49" s="1476">
        <f t="shared" ca="1" si="26"/>
        <v>0</v>
      </c>
      <c r="AX49" s="740"/>
      <c r="AY49" s="709"/>
      <c r="AZ49" s="709"/>
      <c r="BA49" s="709"/>
      <c r="BB49" s="709"/>
      <c r="BC49" s="709"/>
      <c r="BD49" s="709"/>
      <c r="BE49" s="709"/>
      <c r="BF49" s="709"/>
      <c r="BG49" s="709"/>
      <c r="BH49" s="709"/>
      <c r="BI49" s="709"/>
      <c r="BJ49" s="709"/>
      <c r="BK49" s="709"/>
      <c r="BL49" s="709"/>
      <c r="BM49" s="709"/>
      <c r="BN49" s="709"/>
      <c r="BO49" s="709"/>
      <c r="BP49" s="709"/>
      <c r="BQ49" s="709"/>
      <c r="BR49" s="709"/>
      <c r="BS49" s="709"/>
      <c r="BT49" s="709"/>
      <c r="BU49" s="709"/>
      <c r="BV49" s="709"/>
      <c r="BW49" s="709"/>
      <c r="BX49" s="709"/>
      <c r="BY49" s="709"/>
      <c r="BZ49" s="709"/>
      <c r="CA49" s="709"/>
    </row>
    <row r="50" spans="1:79">
      <c r="A50" s="722"/>
      <c r="B50" s="806" t="str">
        <f>'Development Budget'!C34</f>
        <v>Bond issuer Fee (APV)</v>
      </c>
      <c r="C50" s="709"/>
      <c r="D50" s="709"/>
      <c r="E50" s="754">
        <f>F50/'Rent Schedule'!$D$26</f>
        <v>0</v>
      </c>
      <c r="F50" s="764">
        <f>'Development Budget'!G34</f>
        <v>0</v>
      </c>
      <c r="G50" s="1374"/>
      <c r="H50" s="1391">
        <f>F50</f>
        <v>0</v>
      </c>
      <c r="I50" s="1426"/>
      <c r="J50" s="1392"/>
      <c r="K50" s="1392"/>
      <c r="L50" s="1392"/>
      <c r="M50" s="1392"/>
      <c r="N50" s="1392"/>
      <c r="O50" s="1392"/>
      <c r="P50" s="1392"/>
      <c r="Q50" s="1392"/>
      <c r="R50" s="1392"/>
      <c r="S50" s="1392"/>
      <c r="T50" s="1392"/>
      <c r="U50" s="1392"/>
      <c r="V50" s="1392"/>
      <c r="W50" s="1392"/>
      <c r="X50" s="1392"/>
      <c r="Y50" s="1392"/>
      <c r="Z50" s="1392"/>
      <c r="AA50" s="1392"/>
      <c r="AB50" s="1392"/>
      <c r="AC50" s="1392"/>
      <c r="AD50" s="1392"/>
      <c r="AE50" s="739"/>
      <c r="AF50" s="1392"/>
      <c r="AG50" s="1392"/>
      <c r="AH50" s="1392"/>
      <c r="AI50" s="1392"/>
      <c r="AJ50" s="1392"/>
      <c r="AK50" s="1392"/>
      <c r="AL50" s="1392"/>
      <c r="AM50" s="1392"/>
      <c r="AN50" s="1392"/>
      <c r="AO50" s="739"/>
      <c r="AP50" s="1392"/>
      <c r="AQ50" s="1394"/>
      <c r="AR50" s="1569"/>
      <c r="AS50" s="1569"/>
      <c r="AT50" s="1569"/>
      <c r="AU50" s="1392"/>
      <c r="AV50" s="1452">
        <f t="shared" si="25"/>
        <v>0</v>
      </c>
      <c r="AW50" s="1455">
        <f t="shared" si="26"/>
        <v>0</v>
      </c>
      <c r="AX50" s="740"/>
      <c r="AY50" s="709"/>
      <c r="AZ50" s="709"/>
      <c r="BA50" s="709"/>
      <c r="BB50" s="709"/>
      <c r="BC50" s="709"/>
      <c r="BD50" s="709"/>
      <c r="BE50" s="709"/>
      <c r="BF50" s="709"/>
      <c r="BG50" s="709"/>
      <c r="BH50" s="709"/>
      <c r="BI50" s="709"/>
      <c r="BJ50" s="709"/>
      <c r="BK50" s="709"/>
      <c r="BL50" s="709"/>
      <c r="BM50" s="709"/>
      <c r="BN50" s="709"/>
      <c r="BO50" s="709"/>
      <c r="BP50" s="709"/>
      <c r="BQ50" s="709"/>
      <c r="BR50" s="709"/>
      <c r="BS50" s="709"/>
      <c r="BT50" s="709"/>
      <c r="BU50" s="709"/>
      <c r="BV50" s="709"/>
      <c r="BW50" s="709"/>
      <c r="BX50" s="709"/>
      <c r="BY50" s="709"/>
      <c r="BZ50" s="709"/>
      <c r="CA50" s="709"/>
    </row>
    <row r="51" spans="1:79">
      <c r="A51" s="722"/>
      <c r="B51" s="806" t="str">
        <f>'Development Budget'!C35</f>
        <v>Lender's Legal Fees</v>
      </c>
      <c r="C51" s="709"/>
      <c r="D51" s="709"/>
      <c r="E51" s="754">
        <f>F51/'Rent Schedule'!$D$26</f>
        <v>226.24434389140271</v>
      </c>
      <c r="F51" s="764">
        <f>'Development Budget'!G35</f>
        <v>50000</v>
      </c>
      <c r="G51" s="1374"/>
      <c r="H51" s="1386">
        <f>F51</f>
        <v>50000</v>
      </c>
      <c r="I51" s="1426"/>
      <c r="J51" s="1392"/>
      <c r="K51" s="1392"/>
      <c r="L51" s="1392"/>
      <c r="M51" s="1392"/>
      <c r="N51" s="1392"/>
      <c r="O51" s="1392"/>
      <c r="P51" s="1392"/>
      <c r="Q51" s="1392"/>
      <c r="R51" s="1392"/>
      <c r="S51" s="1392"/>
      <c r="T51" s="1392"/>
      <c r="U51" s="1392"/>
      <c r="V51" s="1392"/>
      <c r="W51" s="1392"/>
      <c r="X51" s="1392"/>
      <c r="Y51" s="1392"/>
      <c r="Z51" s="1392"/>
      <c r="AA51" s="1392"/>
      <c r="AB51" s="1392"/>
      <c r="AC51" s="1392"/>
      <c r="AD51" s="1392"/>
      <c r="AE51" s="739"/>
      <c r="AF51" s="1392"/>
      <c r="AG51" s="1392"/>
      <c r="AH51" s="1392"/>
      <c r="AI51" s="1392"/>
      <c r="AJ51" s="1392"/>
      <c r="AK51" s="1392"/>
      <c r="AL51" s="1392"/>
      <c r="AM51" s="1392"/>
      <c r="AN51" s="1392"/>
      <c r="AO51" s="739"/>
      <c r="AP51" s="1392"/>
      <c r="AQ51" s="1392">
        <v>0</v>
      </c>
      <c r="AR51" s="1569"/>
      <c r="AS51" s="1569"/>
      <c r="AT51" s="1569"/>
      <c r="AU51" s="1392"/>
      <c r="AV51" s="1452">
        <f t="shared" si="25"/>
        <v>50000</v>
      </c>
      <c r="AW51" s="1455">
        <f t="shared" si="26"/>
        <v>0</v>
      </c>
      <c r="AX51" s="740"/>
      <c r="AY51" s="709"/>
      <c r="AZ51" s="709"/>
      <c r="BA51" s="709"/>
      <c r="BB51" s="709"/>
      <c r="BC51" s="709"/>
      <c r="BD51" s="709"/>
      <c r="BE51" s="709"/>
      <c r="BF51" s="709"/>
      <c r="BG51" s="709"/>
      <c r="BH51" s="709"/>
      <c r="BI51" s="709"/>
      <c r="BJ51" s="709"/>
      <c r="BK51" s="709"/>
      <c r="BL51" s="709"/>
      <c r="BM51" s="709"/>
      <c r="BN51" s="709"/>
      <c r="BO51" s="709"/>
      <c r="BP51" s="709"/>
      <c r="BQ51" s="709"/>
      <c r="BR51" s="709"/>
      <c r="BS51" s="709"/>
      <c r="BT51" s="709"/>
      <c r="BU51" s="709"/>
      <c r="BV51" s="709"/>
      <c r="BW51" s="709"/>
      <c r="BX51" s="709"/>
      <c r="BY51" s="709"/>
      <c r="BZ51" s="709"/>
      <c r="CA51" s="709"/>
    </row>
    <row r="52" spans="1:79">
      <c r="A52" s="722"/>
      <c r="B52" s="806" t="str">
        <f>'Development Budget'!C36</f>
        <v>Construction Period Real Estate Tax</v>
      </c>
      <c r="C52" s="709"/>
      <c r="E52" s="754">
        <f>F52/'Rent Schedule'!$D$26</f>
        <v>0</v>
      </c>
      <c r="F52" s="764">
        <f>'Development Budget'!G36</f>
        <v>0</v>
      </c>
      <c r="G52" s="1374"/>
      <c r="H52" s="1386">
        <v>0</v>
      </c>
      <c r="I52" s="1426"/>
      <c r="J52" s="1392"/>
      <c r="K52" s="1392"/>
      <c r="L52" s="1392"/>
      <c r="M52" s="1392"/>
      <c r="N52" s="1392"/>
      <c r="O52" s="1392"/>
      <c r="P52" s="1392"/>
      <c r="Q52" s="1392"/>
      <c r="R52" s="1392"/>
      <c r="S52" s="1392"/>
      <c r="T52" s="1392"/>
      <c r="U52" s="1392"/>
      <c r="V52" s="1392"/>
      <c r="W52" s="1392"/>
      <c r="X52" s="1392"/>
      <c r="Y52" s="1392"/>
      <c r="Z52" s="1392"/>
      <c r="AA52" s="1392"/>
      <c r="AB52" s="1392"/>
      <c r="AC52" s="1392"/>
      <c r="AD52" s="1392"/>
      <c r="AE52" s="739"/>
      <c r="AF52" s="1392"/>
      <c r="AG52" s="1392"/>
      <c r="AH52" s="1392"/>
      <c r="AI52" s="1392"/>
      <c r="AJ52" s="1392"/>
      <c r="AK52" s="1392"/>
      <c r="AL52" s="1392"/>
      <c r="AM52" s="1392"/>
      <c r="AN52" s="1392"/>
      <c r="AO52" s="739"/>
      <c r="AP52" s="1392"/>
      <c r="AQ52" s="1394"/>
      <c r="AR52" s="1569"/>
      <c r="AS52" s="1569"/>
      <c r="AT52" s="1569"/>
      <c r="AU52" s="1392"/>
      <c r="AV52" s="1452">
        <f t="shared" si="25"/>
        <v>0</v>
      </c>
      <c r="AW52" s="1455">
        <f t="shared" si="26"/>
        <v>0</v>
      </c>
      <c r="AX52" s="740"/>
      <c r="AY52" s="709"/>
      <c r="AZ52" s="709"/>
      <c r="BA52" s="709"/>
      <c r="BB52" s="709"/>
      <c r="BC52" s="709"/>
      <c r="BD52" s="709"/>
      <c r="BE52" s="709"/>
      <c r="BF52" s="709"/>
      <c r="BG52" s="709"/>
      <c r="BH52" s="709"/>
      <c r="BI52" s="709"/>
      <c r="BJ52" s="709"/>
      <c r="BK52" s="709"/>
      <c r="BL52" s="709"/>
      <c r="BM52" s="709"/>
      <c r="BN52" s="709"/>
      <c r="BO52" s="709"/>
      <c r="BP52" s="709"/>
      <c r="BQ52" s="709"/>
      <c r="BR52" s="709"/>
      <c r="BS52" s="709"/>
      <c r="BT52" s="709"/>
      <c r="BU52" s="709"/>
      <c r="BV52" s="709"/>
      <c r="BW52" s="709"/>
      <c r="BX52" s="709"/>
      <c r="BY52" s="709"/>
      <c r="BZ52" s="709"/>
      <c r="CA52" s="709"/>
    </row>
    <row r="53" spans="1:79">
      <c r="A53" s="722"/>
      <c r="B53" s="806" t="str">
        <f>'Development Budget'!C37</f>
        <v>GL Insurance &amp; BR Security during construction</v>
      </c>
      <c r="C53" s="709"/>
      <c r="D53" s="709"/>
      <c r="E53" s="754">
        <f>F53/'Rent Schedule'!$D$26</f>
        <v>542.98642533936652</v>
      </c>
      <c r="F53" s="764">
        <f>'Development Budget'!G37</f>
        <v>120000</v>
      </c>
      <c r="G53" s="1374"/>
      <c r="H53" s="1386">
        <v>120000</v>
      </c>
      <c r="I53" s="1426"/>
      <c r="J53" s="1392"/>
      <c r="K53" s="1392">
        <f>200000/20</f>
        <v>10000</v>
      </c>
      <c r="L53" s="1392">
        <f t="shared" ref="L53:AD53" si="29">200000/20</f>
        <v>10000</v>
      </c>
      <c r="M53" s="1392">
        <f t="shared" si="29"/>
        <v>10000</v>
      </c>
      <c r="N53" s="1392">
        <f t="shared" si="29"/>
        <v>10000</v>
      </c>
      <c r="O53" s="1392">
        <f t="shared" si="29"/>
        <v>10000</v>
      </c>
      <c r="P53" s="1392">
        <f t="shared" si="29"/>
        <v>10000</v>
      </c>
      <c r="Q53" s="1392">
        <f t="shared" si="29"/>
        <v>10000</v>
      </c>
      <c r="R53" s="1392">
        <f t="shared" si="29"/>
        <v>10000</v>
      </c>
      <c r="S53" s="1392">
        <f t="shared" si="29"/>
        <v>10000</v>
      </c>
      <c r="T53" s="1392">
        <f t="shared" si="29"/>
        <v>10000</v>
      </c>
      <c r="U53" s="1392">
        <f t="shared" si="29"/>
        <v>10000</v>
      </c>
      <c r="V53" s="1392">
        <f t="shared" si="29"/>
        <v>10000</v>
      </c>
      <c r="W53" s="1392">
        <f t="shared" si="29"/>
        <v>10000</v>
      </c>
      <c r="X53" s="1392">
        <f t="shared" si="29"/>
        <v>10000</v>
      </c>
      <c r="Y53" s="1392">
        <f t="shared" si="29"/>
        <v>10000</v>
      </c>
      <c r="Z53" s="1392">
        <f t="shared" si="29"/>
        <v>10000</v>
      </c>
      <c r="AA53" s="1392">
        <f t="shared" si="29"/>
        <v>10000</v>
      </c>
      <c r="AB53" s="1392">
        <f>200000/20</f>
        <v>10000</v>
      </c>
      <c r="AC53" s="1392">
        <f t="shared" si="29"/>
        <v>10000</v>
      </c>
      <c r="AD53" s="1392">
        <f t="shared" si="29"/>
        <v>10000</v>
      </c>
      <c r="AE53" s="739"/>
      <c r="AF53" s="1392"/>
      <c r="AG53" s="1392"/>
      <c r="AH53" s="1392"/>
      <c r="AI53" s="1392"/>
      <c r="AJ53" s="1392"/>
      <c r="AK53" s="1392"/>
      <c r="AL53" s="1392"/>
      <c r="AM53" s="1392"/>
      <c r="AN53" s="1392"/>
      <c r="AO53" s="739"/>
      <c r="AP53" s="1392"/>
      <c r="AQ53" s="1394"/>
      <c r="AR53" s="1569"/>
      <c r="AS53" s="1569"/>
      <c r="AT53" s="1569"/>
      <c r="AU53" s="1392"/>
      <c r="AV53" s="1452">
        <f t="shared" si="25"/>
        <v>320000</v>
      </c>
      <c r="AW53" s="1456">
        <f t="shared" si="26"/>
        <v>-200000</v>
      </c>
      <c r="AX53" s="740"/>
      <c r="AY53" s="709"/>
      <c r="AZ53" s="709"/>
      <c r="BA53" s="709"/>
      <c r="BB53" s="709"/>
      <c r="BC53" s="709"/>
      <c r="BD53" s="709"/>
      <c r="BE53" s="709"/>
      <c r="BF53" s="709"/>
      <c r="BG53" s="709"/>
      <c r="BH53" s="709"/>
      <c r="BI53" s="709"/>
      <c r="BJ53" s="709"/>
      <c r="BK53" s="709"/>
      <c r="BL53" s="709"/>
      <c r="BM53" s="709"/>
      <c r="BN53" s="709"/>
      <c r="BO53" s="709"/>
      <c r="BP53" s="709"/>
      <c r="BQ53" s="709"/>
      <c r="BR53" s="709"/>
      <c r="BS53" s="709"/>
      <c r="BT53" s="709"/>
      <c r="BU53" s="709"/>
      <c r="BV53" s="709"/>
      <c r="BW53" s="709"/>
      <c r="BX53" s="709"/>
      <c r="BY53" s="709"/>
      <c r="BZ53" s="709"/>
      <c r="CA53" s="709"/>
    </row>
    <row r="54" spans="1:79">
      <c r="A54" s="722"/>
      <c r="B54" s="806" t="str">
        <f>'Development Budget'!C38</f>
        <v>Bond Issuer Legal-Bond Board and Trustee Fees</v>
      </c>
      <c r="C54" s="709"/>
      <c r="D54" s="709"/>
      <c r="E54" s="754">
        <f>F54/'Rent Schedule'!$D$26</f>
        <v>0</v>
      </c>
      <c r="F54" s="764">
        <f>'Development Budget'!G38</f>
        <v>0</v>
      </c>
      <c r="G54" s="1374"/>
      <c r="H54" s="1387">
        <f>F54</f>
        <v>0</v>
      </c>
      <c r="I54" s="1427"/>
      <c r="J54" s="1428"/>
      <c r="K54" s="1428"/>
      <c r="L54" s="1428"/>
      <c r="M54" s="1428"/>
      <c r="N54" s="1428"/>
      <c r="O54" s="1428"/>
      <c r="P54" s="1428"/>
      <c r="Q54" s="1428"/>
      <c r="R54" s="1428"/>
      <c r="S54" s="1428"/>
      <c r="T54" s="1428"/>
      <c r="U54" s="1428"/>
      <c r="V54" s="1428"/>
      <c r="W54" s="1428"/>
      <c r="X54" s="1428"/>
      <c r="Y54" s="1428"/>
      <c r="Z54" s="1428"/>
      <c r="AA54" s="1428"/>
      <c r="AB54" s="1428"/>
      <c r="AC54" s="1428"/>
      <c r="AD54" s="1428"/>
      <c r="AE54" s="1441"/>
      <c r="AF54" s="1428"/>
      <c r="AG54" s="1428"/>
      <c r="AH54" s="1428"/>
      <c r="AI54" s="1428"/>
      <c r="AJ54" s="1428"/>
      <c r="AK54" s="1428"/>
      <c r="AL54" s="1428"/>
      <c r="AM54" s="1428"/>
      <c r="AN54" s="1428"/>
      <c r="AO54" s="1441"/>
      <c r="AP54" s="1428"/>
      <c r="AQ54" s="1429"/>
      <c r="AR54" s="1570"/>
      <c r="AS54" s="1570"/>
      <c r="AT54" s="1570"/>
      <c r="AU54" s="1428"/>
      <c r="AV54" s="1452">
        <f t="shared" si="25"/>
        <v>0</v>
      </c>
      <c r="AW54" s="1455">
        <f t="shared" si="26"/>
        <v>0</v>
      </c>
      <c r="AX54" s="740"/>
      <c r="AY54" s="709"/>
      <c r="AZ54" s="709"/>
      <c r="BA54" s="709"/>
      <c r="BB54" s="709"/>
      <c r="BC54" s="709"/>
      <c r="BD54" s="709"/>
      <c r="BE54" s="709"/>
      <c r="BF54" s="709"/>
      <c r="BG54" s="709"/>
      <c r="BH54" s="709"/>
      <c r="BI54" s="709"/>
      <c r="BJ54" s="709"/>
      <c r="BK54" s="709"/>
      <c r="BL54" s="709"/>
      <c r="BM54" s="709"/>
      <c r="BN54" s="709"/>
      <c r="BO54" s="709"/>
      <c r="BP54" s="709"/>
      <c r="BQ54" s="709"/>
      <c r="BR54" s="709"/>
      <c r="BS54" s="709"/>
      <c r="BT54" s="709"/>
      <c r="BU54" s="709"/>
      <c r="BV54" s="709"/>
      <c r="BW54" s="709"/>
      <c r="BX54" s="709"/>
      <c r="BY54" s="709"/>
      <c r="BZ54" s="709"/>
      <c r="CA54" s="709"/>
    </row>
    <row r="55" spans="1:79">
      <c r="A55" s="722"/>
      <c r="B55" s="806" t="str">
        <f>'Development Budget'!C39</f>
        <v>Freddie TEL legal &amp; Associated Fees</v>
      </c>
      <c r="C55" s="709"/>
      <c r="D55" s="709"/>
      <c r="E55" s="754">
        <f>F55/'Rent Schedule'!$D$26</f>
        <v>0</v>
      </c>
      <c r="F55" s="764">
        <f>'Development Budget'!G39</f>
        <v>0</v>
      </c>
      <c r="G55" s="1374"/>
      <c r="H55" s="1384">
        <f>F55/2</f>
        <v>0</v>
      </c>
      <c r="I55" s="1426"/>
      <c r="J55" s="1392"/>
      <c r="K55" s="1392"/>
      <c r="L55" s="1392"/>
      <c r="M55" s="1392"/>
      <c r="N55" s="1392"/>
      <c r="O55" s="1392"/>
      <c r="P55" s="1392"/>
      <c r="Q55" s="1392"/>
      <c r="R55" s="1392"/>
      <c r="S55" s="1392"/>
      <c r="T55" s="1392"/>
      <c r="U55" s="1392"/>
      <c r="V55" s="1392"/>
      <c r="W55" s="1392"/>
      <c r="X55" s="1392"/>
      <c r="Y55" s="1392"/>
      <c r="Z55" s="1392"/>
      <c r="AA55" s="1392"/>
      <c r="AB55" s="1392"/>
      <c r="AC55" s="1392"/>
      <c r="AD55" s="1392"/>
      <c r="AE55" s="739"/>
      <c r="AF55" s="1392"/>
      <c r="AG55" s="1392">
        <f>F55/4</f>
        <v>0</v>
      </c>
      <c r="AH55" s="1392"/>
      <c r="AI55" s="1392"/>
      <c r="AJ55" s="1392"/>
      <c r="AK55" s="1392"/>
      <c r="AL55" s="1392"/>
      <c r="AM55" s="1392"/>
      <c r="AN55" s="1392"/>
      <c r="AO55" s="739"/>
      <c r="AP55" s="1392"/>
      <c r="AQ55" s="1394"/>
      <c r="AR55" s="1394">
        <f>$F$55/4</f>
        <v>0</v>
      </c>
      <c r="AS55" s="1569"/>
      <c r="AT55" s="1394"/>
      <c r="AU55" s="1392"/>
      <c r="AV55" s="1452">
        <f t="shared" si="25"/>
        <v>0</v>
      </c>
      <c r="AW55" s="1455">
        <f t="shared" si="26"/>
        <v>0</v>
      </c>
      <c r="AX55" s="740"/>
      <c r="AY55" s="709"/>
      <c r="AZ55" s="709"/>
      <c r="BA55" s="709"/>
      <c r="BB55" s="709"/>
      <c r="BC55" s="709"/>
      <c r="BD55" s="709"/>
      <c r="BE55" s="709"/>
      <c r="BF55" s="709"/>
      <c r="BG55" s="709"/>
      <c r="BH55" s="709"/>
      <c r="BI55" s="709"/>
      <c r="BJ55" s="709"/>
      <c r="BK55" s="709"/>
      <c r="BL55" s="709"/>
      <c r="BM55" s="709"/>
      <c r="BN55" s="709"/>
      <c r="BO55" s="709"/>
      <c r="BP55" s="709"/>
      <c r="BQ55" s="709"/>
      <c r="BR55" s="709"/>
      <c r="BS55" s="709"/>
      <c r="BT55" s="709"/>
      <c r="BU55" s="709"/>
      <c r="BV55" s="709"/>
      <c r="BW55" s="709"/>
      <c r="BX55" s="709"/>
      <c r="BY55" s="709"/>
      <c r="BZ55" s="709"/>
      <c r="CA55" s="709"/>
    </row>
    <row r="56" spans="1:79">
      <c r="A56" s="750" t="s">
        <v>105</v>
      </c>
      <c r="B56" s="722"/>
      <c r="C56" s="709"/>
      <c r="D56" s="709"/>
      <c r="E56" s="754"/>
      <c r="F56" s="772"/>
      <c r="G56" s="772"/>
      <c r="H56" s="807"/>
      <c r="I56" s="771"/>
      <c r="J56" s="771"/>
      <c r="K56" s="771"/>
      <c r="L56" s="771"/>
      <c r="M56" s="771"/>
      <c r="N56" s="771"/>
      <c r="O56" s="771"/>
      <c r="P56" s="771"/>
      <c r="Q56" s="771"/>
      <c r="R56" s="771"/>
      <c r="S56" s="771"/>
      <c r="T56" s="771"/>
      <c r="U56" s="771"/>
      <c r="V56" s="771"/>
      <c r="W56" s="771"/>
      <c r="X56" s="771"/>
      <c r="Y56" s="771"/>
      <c r="Z56" s="771"/>
      <c r="AA56" s="771"/>
      <c r="AB56" s="771"/>
      <c r="AC56" s="771"/>
      <c r="AD56" s="771"/>
      <c r="AE56" s="771"/>
      <c r="AF56" s="771"/>
      <c r="AG56" s="771"/>
      <c r="AH56" s="771"/>
      <c r="AI56" s="771"/>
      <c r="AJ56" s="771"/>
      <c r="AK56" s="771"/>
      <c r="AL56" s="771"/>
      <c r="AM56" s="771"/>
      <c r="AN56" s="771"/>
      <c r="AO56" s="771"/>
      <c r="AP56" s="771"/>
      <c r="AQ56" s="905"/>
      <c r="AR56" s="1314"/>
      <c r="AS56" s="1314"/>
      <c r="AT56" s="1314"/>
      <c r="AU56" s="771"/>
      <c r="AV56" s="771"/>
      <c r="AW56" s="756"/>
      <c r="AX56" s="740"/>
      <c r="AY56" s="709"/>
      <c r="AZ56" s="709"/>
      <c r="BA56" s="709"/>
      <c r="BB56" s="709"/>
      <c r="BC56" s="709"/>
      <c r="BD56" s="709"/>
      <c r="BE56" s="709"/>
      <c r="BF56" s="709"/>
      <c r="BG56" s="709"/>
      <c r="BH56" s="709"/>
      <c r="BI56" s="709"/>
      <c r="BJ56" s="709"/>
      <c r="BK56" s="709"/>
      <c r="BL56" s="709"/>
      <c r="BM56" s="709"/>
      <c r="BN56" s="709"/>
      <c r="BO56" s="709"/>
      <c r="BP56" s="709"/>
      <c r="BQ56" s="709"/>
      <c r="BR56" s="709"/>
      <c r="BS56" s="709"/>
      <c r="BT56" s="709"/>
      <c r="BU56" s="709"/>
      <c r="BV56" s="709"/>
      <c r="BW56" s="709"/>
      <c r="BX56" s="709"/>
      <c r="BY56" s="709"/>
      <c r="BZ56" s="709"/>
      <c r="CA56" s="709"/>
    </row>
    <row r="57" spans="1:79">
      <c r="A57" s="722"/>
      <c r="B57" s="806" t="str">
        <f>'Development Budget'!C42</f>
        <v>Architectural Fee - Design</v>
      </c>
      <c r="C57" s="709"/>
      <c r="D57" s="709"/>
      <c r="E57" s="754">
        <f>F57/'Rent Schedule'!$D$26</f>
        <v>678.73303167420818</v>
      </c>
      <c r="F57" s="764">
        <f>'Development Budget'!G42</f>
        <v>150000</v>
      </c>
      <c r="G57" s="764"/>
      <c r="H57" s="739">
        <f>F57</f>
        <v>150000</v>
      </c>
      <c r="I57" s="1392">
        <v>0</v>
      </c>
      <c r="J57" s="1392"/>
      <c r="K57" s="1392"/>
      <c r="L57" s="1392"/>
      <c r="M57" s="1392"/>
      <c r="N57" s="1392"/>
      <c r="O57" s="1392"/>
      <c r="P57" s="1392"/>
      <c r="Q57" s="1392"/>
      <c r="R57" s="1392"/>
      <c r="S57" s="1392"/>
      <c r="T57" s="1392"/>
      <c r="U57" s="1392"/>
      <c r="V57" s="1392"/>
      <c r="W57" s="1392"/>
      <c r="X57" s="1392"/>
      <c r="Y57" s="1392"/>
      <c r="Z57" s="1392"/>
      <c r="AA57" s="1392"/>
      <c r="AB57" s="1392"/>
      <c r="AC57" s="1392"/>
      <c r="AD57" s="1392"/>
      <c r="AE57" s="739"/>
      <c r="AF57" s="1392"/>
      <c r="AG57" s="1392"/>
      <c r="AH57" s="1392">
        <f>S57</f>
        <v>0</v>
      </c>
      <c r="AI57" s="1392"/>
      <c r="AJ57" s="1392"/>
      <c r="AK57" s="1392"/>
      <c r="AL57" s="1392"/>
      <c r="AM57" s="1392"/>
      <c r="AN57" s="1392"/>
      <c r="AO57" s="739"/>
      <c r="AP57" s="1392"/>
      <c r="AQ57" s="1394"/>
      <c r="AR57" s="1569"/>
      <c r="AS57" s="1569"/>
      <c r="AT57" s="1569"/>
      <c r="AU57" s="1392"/>
      <c r="AV57" s="1452">
        <f t="shared" ref="AV57:AV68" si="30">SUM(G57:AU57)</f>
        <v>150000</v>
      </c>
      <c r="AW57" s="1455">
        <f t="shared" ref="AW57:AW68" si="31">F57-AV57</f>
        <v>0</v>
      </c>
      <c r="AX57" s="740"/>
      <c r="AY57" s="709"/>
      <c r="AZ57" s="709"/>
      <c r="BA57" s="709"/>
      <c r="BB57" s="709"/>
      <c r="BC57" s="709"/>
      <c r="BD57" s="709"/>
      <c r="BE57" s="709"/>
      <c r="BF57" s="709"/>
      <c r="BG57" s="709"/>
      <c r="BH57" s="709"/>
      <c r="BI57" s="709"/>
      <c r="BJ57" s="709"/>
      <c r="BK57" s="709"/>
      <c r="BL57" s="709"/>
      <c r="BM57" s="709"/>
      <c r="BN57" s="709"/>
      <c r="BO57" s="709"/>
      <c r="BP57" s="709"/>
      <c r="BQ57" s="709"/>
      <c r="BR57" s="709"/>
      <c r="BS57" s="709"/>
      <c r="BT57" s="709"/>
      <c r="BU57" s="709"/>
      <c r="BV57" s="709"/>
      <c r="BW57" s="709"/>
      <c r="BX57" s="709"/>
      <c r="BY57" s="709"/>
      <c r="BZ57" s="709"/>
      <c r="CA57" s="709"/>
    </row>
    <row r="58" spans="1:79">
      <c r="A58" s="722"/>
      <c r="B58" s="806" t="str">
        <f>'Development Budget'!C43</f>
        <v>Architectural Fee - Supervision</v>
      </c>
      <c r="C58" s="709"/>
      <c r="D58" s="709"/>
      <c r="E58" s="754">
        <f>F58/'Rent Schedule'!$D$26</f>
        <v>395.47511312217193</v>
      </c>
      <c r="F58" s="764">
        <f>'Development Budget'!G43</f>
        <v>87400</v>
      </c>
      <c r="G58" s="764"/>
      <c r="H58" s="739">
        <f>19250+133150</f>
        <v>152400</v>
      </c>
      <c r="I58" s="1392">
        <v>10000</v>
      </c>
      <c r="J58" s="1392">
        <v>10000</v>
      </c>
      <c r="K58" s="1392">
        <v>10000</v>
      </c>
      <c r="L58" s="1392">
        <v>10000</v>
      </c>
      <c r="M58" s="1392">
        <v>10000</v>
      </c>
      <c r="N58" s="1392">
        <f>MIN(5000,$F$58-SUM($H$58:M58))</f>
        <v>-115000</v>
      </c>
      <c r="O58" s="1392">
        <f>MIN(5000,$F$58-SUM($H$58:N58))</f>
        <v>0</v>
      </c>
      <c r="P58" s="1392">
        <f>MIN(5000,$F$58-SUM($H$58:O58))</f>
        <v>0</v>
      </c>
      <c r="Q58" s="1392">
        <f>MIN(5000,$F$58-SUM($H$58:P58))</f>
        <v>0</v>
      </c>
      <c r="R58" s="1392">
        <f>MIN(5000,$F$58-SUM($H$58:Q58))</f>
        <v>0</v>
      </c>
      <c r="S58" s="1392">
        <f>MIN(5000,$F$58-SUM($H$58:R58))</f>
        <v>0</v>
      </c>
      <c r="T58" s="1392">
        <f>MIN(5000,$F$58-SUM($H$58:S58))</f>
        <v>0</v>
      </c>
      <c r="U58" s="1392">
        <f>MIN(5000,$F$58-SUM($H$58:T58))</f>
        <v>0</v>
      </c>
      <c r="V58" s="1392">
        <f>MIN(5000,$F$58-SUM($H$58:U58))</f>
        <v>0</v>
      </c>
      <c r="W58" s="1392">
        <f>MIN(5000,$F$58-SUM($H$58:V58))</f>
        <v>0</v>
      </c>
      <c r="X58" s="1392">
        <f>MIN(5000,$F$58-SUM($H$58:W58))</f>
        <v>0</v>
      </c>
      <c r="Y58" s="1392">
        <f>MIN(5000,$F$58-SUM($H$58:X58))</f>
        <v>0</v>
      </c>
      <c r="Z58" s="1392">
        <f>MIN(5000,$F$58-SUM($H$58:Y58))</f>
        <v>0</v>
      </c>
      <c r="AA58" s="1392">
        <f>MIN(5000,$F$58-SUM($H$58:Z58))</f>
        <v>0</v>
      </c>
      <c r="AB58" s="1392">
        <f>MIN(5000,$F$58-SUM($H$58:AA58))</f>
        <v>0</v>
      </c>
      <c r="AC58" s="1392">
        <f>MIN(5000,$F$58-SUM($H$58:AB58))</f>
        <v>0</v>
      </c>
      <c r="AD58" s="1392">
        <f>MIN(5000,$F$58-SUM($H$58:AC58))</f>
        <v>0</v>
      </c>
      <c r="AE58" s="739">
        <v>0</v>
      </c>
      <c r="AF58" s="1392">
        <v>0</v>
      </c>
      <c r="AG58" s="1392">
        <f>MIN(5000,$F$58-SUM($H$58:AF58))</f>
        <v>0</v>
      </c>
      <c r="AH58" s="1392">
        <f>MIN(5000,$F$58-SUM($H$58:AG58))</f>
        <v>0</v>
      </c>
      <c r="AI58" s="1392">
        <f>MIN(5000,$F$58-SUM($H$58:AH58))</f>
        <v>0</v>
      </c>
      <c r="AJ58" s="1392">
        <f>MIN(5000,$F$58-SUM($H$58:AI58))</f>
        <v>0</v>
      </c>
      <c r="AK58" s="1392">
        <f>MIN(5000,$F$58-SUM($H$58:AJ58))</f>
        <v>0</v>
      </c>
      <c r="AL58" s="1392">
        <f>MIN(5000,$F$58-SUM($H$58:AK58))</f>
        <v>0</v>
      </c>
      <c r="AM58" s="1392">
        <f>MIN(5000,$F$58-SUM($H$58:AL58))</f>
        <v>0</v>
      </c>
      <c r="AN58" s="1392">
        <f>MIN(5000,$F$58-SUM($H$58:AM58))</f>
        <v>0</v>
      </c>
      <c r="AO58" s="739">
        <f>MIN(5000,$F$58-SUM($H$58:AN58))</f>
        <v>0</v>
      </c>
      <c r="AP58" s="1392">
        <f>MIN(5000,$F$58-SUM($H$58:AO58))</f>
        <v>0</v>
      </c>
      <c r="AQ58" s="1394">
        <f>MIN(5000,$F$58-SUM($H$58:AN58))</f>
        <v>0</v>
      </c>
      <c r="AR58" s="1569"/>
      <c r="AS58" s="1569"/>
      <c r="AT58" s="1569"/>
      <c r="AU58" s="1392">
        <f>MIN(5000,$F$58-SUM($H$58:AR58))</f>
        <v>0</v>
      </c>
      <c r="AV58" s="1452">
        <f t="shared" si="30"/>
        <v>87400</v>
      </c>
      <c r="AW58" s="1457">
        <f t="shared" si="31"/>
        <v>0</v>
      </c>
      <c r="AX58" s="740"/>
      <c r="AY58" s="709"/>
      <c r="AZ58" s="709"/>
      <c r="BA58" s="709"/>
      <c r="BB58" s="709"/>
      <c r="BC58" s="709"/>
      <c r="BD58" s="709"/>
      <c r="BE58" s="709"/>
      <c r="BF58" s="709"/>
      <c r="BG58" s="709"/>
      <c r="BH58" s="709"/>
      <c r="BI58" s="709"/>
      <c r="BJ58" s="709"/>
      <c r="BK58" s="709"/>
      <c r="BL58" s="709"/>
      <c r="BM58" s="709"/>
      <c r="BN58" s="709"/>
      <c r="BO58" s="709"/>
      <c r="BP58" s="709"/>
      <c r="BQ58" s="709"/>
      <c r="BR58" s="709"/>
      <c r="BS58" s="709"/>
      <c r="BT58" s="709"/>
      <c r="BU58" s="709"/>
      <c r="BV58" s="709"/>
      <c r="BW58" s="709"/>
      <c r="BX58" s="709"/>
      <c r="BY58" s="709"/>
      <c r="BZ58" s="709"/>
      <c r="CA58" s="709"/>
    </row>
    <row r="59" spans="1:79">
      <c r="A59" s="722"/>
      <c r="B59" s="806" t="str">
        <f>'Development Budget'!C44</f>
        <v>Architectural Fee - Reimbursables</v>
      </c>
      <c r="C59" s="709"/>
      <c r="D59" s="709"/>
      <c r="E59" s="754">
        <f>F59/'Rent Schedule'!$D$26</f>
        <v>90.497737556561091</v>
      </c>
      <c r="F59" s="764">
        <f>'Development Budget'!G44</f>
        <v>20000</v>
      </c>
      <c r="G59" s="764"/>
      <c r="H59" s="739">
        <f>F59/2</f>
        <v>10000</v>
      </c>
      <c r="I59" s="1392"/>
      <c r="J59" s="1392"/>
      <c r="K59" s="1392"/>
      <c r="L59" s="1392"/>
      <c r="M59" s="1392">
        <v>5000</v>
      </c>
      <c r="N59" s="1392">
        <v>0</v>
      </c>
      <c r="O59" s="1392"/>
      <c r="P59" s="1392"/>
      <c r="Q59" s="1392"/>
      <c r="R59" s="1392">
        <v>5000</v>
      </c>
      <c r="S59" s="1392"/>
      <c r="T59" s="1392"/>
      <c r="U59" s="1392"/>
      <c r="V59" s="1392"/>
      <c r="W59" s="1392"/>
      <c r="X59" s="1392">
        <v>5000</v>
      </c>
      <c r="Y59" s="1392"/>
      <c r="Z59" s="1392"/>
      <c r="AA59" s="1392">
        <v>5000</v>
      </c>
      <c r="AB59" s="1392">
        <v>0</v>
      </c>
      <c r="AC59" s="1392">
        <v>0</v>
      </c>
      <c r="AD59" s="1392">
        <v>10000</v>
      </c>
      <c r="AE59" s="739">
        <v>0</v>
      </c>
      <c r="AF59" s="1392">
        <v>0</v>
      </c>
      <c r="AG59" s="1392"/>
      <c r="AH59" s="1392">
        <f>N59</f>
        <v>0</v>
      </c>
      <c r="AI59" s="1392"/>
      <c r="AJ59" s="1392"/>
      <c r="AK59" s="1392"/>
      <c r="AL59" s="1392"/>
      <c r="AM59" s="1392"/>
      <c r="AN59" s="1392">
        <f>N59</f>
        <v>0</v>
      </c>
      <c r="AO59" s="739">
        <f>O59</f>
        <v>0</v>
      </c>
      <c r="AP59" s="1392">
        <f>P59</f>
        <v>0</v>
      </c>
      <c r="AQ59" s="1394"/>
      <c r="AR59" s="1569"/>
      <c r="AS59" s="1569"/>
      <c r="AT59" s="1569"/>
      <c r="AU59" s="1392"/>
      <c r="AV59" s="1452">
        <f t="shared" si="30"/>
        <v>40000</v>
      </c>
      <c r="AW59" s="1455">
        <f t="shared" si="31"/>
        <v>-20000</v>
      </c>
      <c r="AX59" s="740"/>
      <c r="AY59" s="709"/>
      <c r="AZ59" s="709"/>
      <c r="BA59" s="709"/>
      <c r="BB59" s="709"/>
      <c r="BC59" s="709"/>
      <c r="BD59" s="709"/>
      <c r="BE59" s="709"/>
      <c r="BF59" s="709"/>
      <c r="BG59" s="709"/>
      <c r="BH59" s="709"/>
      <c r="BI59" s="709"/>
      <c r="BJ59" s="709"/>
      <c r="BK59" s="709"/>
      <c r="BL59" s="709"/>
      <c r="BM59" s="709"/>
      <c r="BN59" s="709"/>
      <c r="BO59" s="709"/>
      <c r="BP59" s="709"/>
      <c r="BQ59" s="709"/>
      <c r="BR59" s="709"/>
      <c r="BS59" s="709"/>
      <c r="BT59" s="709"/>
      <c r="BU59" s="709"/>
      <c r="BV59" s="709"/>
      <c r="BW59" s="709"/>
      <c r="BX59" s="709"/>
      <c r="BY59" s="709"/>
      <c r="BZ59" s="709"/>
      <c r="CA59" s="709"/>
    </row>
    <row r="60" spans="1:79">
      <c r="A60" s="722"/>
      <c r="B60" s="806" t="str">
        <f>'Development Budget'!C45</f>
        <v>Landscape Architect</v>
      </c>
      <c r="C60" s="709"/>
      <c r="D60" s="709"/>
      <c r="E60" s="754">
        <f>F60/'Rent Schedule'!$D$26</f>
        <v>158.37104072398191</v>
      </c>
      <c r="F60" s="764">
        <f>'Development Budget'!G45</f>
        <v>35000</v>
      </c>
      <c r="G60" s="764"/>
      <c r="H60" s="1389">
        <f>50000</f>
        <v>50000</v>
      </c>
      <c r="I60" s="1392"/>
      <c r="J60" s="1392"/>
      <c r="K60" s="1392"/>
      <c r="L60" s="1392"/>
      <c r="M60" s="1392"/>
      <c r="N60" s="1392"/>
      <c r="O60" s="1392"/>
      <c r="P60" s="1392"/>
      <c r="Q60" s="1392"/>
      <c r="R60" s="1392"/>
      <c r="S60" s="1392"/>
      <c r="T60" s="1392"/>
      <c r="U60" s="1431">
        <v>7500</v>
      </c>
      <c r="V60" s="1392"/>
      <c r="W60" s="1392"/>
      <c r="X60" s="1392"/>
      <c r="Y60" s="1392"/>
      <c r="Z60" s="1392"/>
      <c r="AA60" s="1392"/>
      <c r="AB60" s="1392"/>
      <c r="AC60" s="1392"/>
      <c r="AD60" s="1392">
        <f>I60-SUM(K60:AC60)*-1</f>
        <v>7500</v>
      </c>
      <c r="AE60" s="739">
        <v>0</v>
      </c>
      <c r="AF60" s="1392">
        <v>0</v>
      </c>
      <c r="AG60" s="1392"/>
      <c r="AH60" s="1392"/>
      <c r="AI60" s="1392"/>
      <c r="AJ60" s="1392"/>
      <c r="AK60" s="1392"/>
      <c r="AL60" s="1392"/>
      <c r="AM60" s="1392"/>
      <c r="AN60" s="1392"/>
      <c r="AO60" s="739"/>
      <c r="AP60" s="1392"/>
      <c r="AQ60" s="1394"/>
      <c r="AR60" s="1569"/>
      <c r="AS60" s="1569"/>
      <c r="AT60" s="1569"/>
      <c r="AU60" s="1392"/>
      <c r="AV60" s="1452">
        <f t="shared" si="30"/>
        <v>65000</v>
      </c>
      <c r="AW60" s="1455">
        <f t="shared" si="31"/>
        <v>-30000</v>
      </c>
      <c r="AX60" s="740"/>
      <c r="AY60" s="709"/>
      <c r="AZ60" s="709"/>
      <c r="BA60" s="709"/>
      <c r="BB60" s="709"/>
      <c r="BC60" s="709"/>
      <c r="BD60" s="709"/>
      <c r="BE60" s="709"/>
      <c r="BF60" s="709"/>
      <c r="BG60" s="709"/>
      <c r="BH60" s="709"/>
      <c r="BI60" s="709"/>
      <c r="BJ60" s="709"/>
      <c r="BK60" s="709"/>
      <c r="BL60" s="709"/>
      <c r="BM60" s="709"/>
      <c r="BN60" s="709"/>
      <c r="BO60" s="709"/>
      <c r="BP60" s="709"/>
      <c r="BQ60" s="709"/>
      <c r="BR60" s="709"/>
      <c r="BS60" s="709"/>
      <c r="BT60" s="709"/>
      <c r="BU60" s="709"/>
      <c r="BV60" s="709"/>
      <c r="BW60" s="709"/>
      <c r="BX60" s="709"/>
      <c r="BY60" s="709"/>
      <c r="BZ60" s="709"/>
      <c r="CA60" s="709"/>
    </row>
    <row r="61" spans="1:79">
      <c r="A61" s="722"/>
      <c r="B61" s="806" t="str">
        <f>'Development Budget'!C46</f>
        <v>Engineering</v>
      </c>
      <c r="C61" s="709"/>
      <c r="D61" s="715"/>
      <c r="E61" s="754">
        <f>F61/'Rent Schedule'!$D$26</f>
        <v>678.73303167420818</v>
      </c>
      <c r="F61" s="764">
        <f>'Development Budget'!G46</f>
        <v>150000</v>
      </c>
      <c r="G61" s="764"/>
      <c r="H61" s="739">
        <v>165000</v>
      </c>
      <c r="I61" s="1392"/>
      <c r="J61" s="1392"/>
      <c r="K61" s="1392">
        <v>10000</v>
      </c>
      <c r="L61" s="1392"/>
      <c r="M61" s="1392"/>
      <c r="N61" s="1392"/>
      <c r="O61" s="1392">
        <v>10000</v>
      </c>
      <c r="P61" s="1392">
        <v>10000</v>
      </c>
      <c r="Q61" s="1392"/>
      <c r="R61" s="1392"/>
      <c r="S61" s="1392"/>
      <c r="T61" s="1392"/>
      <c r="U61" s="1392"/>
      <c r="V61" s="1392">
        <v>10000</v>
      </c>
      <c r="W61" s="1392"/>
      <c r="X61" s="1392"/>
      <c r="Y61" s="1392">
        <v>10000</v>
      </c>
      <c r="Z61" s="1392"/>
      <c r="AA61" s="1392">
        <v>10000</v>
      </c>
      <c r="AB61" s="1392">
        <v>0</v>
      </c>
      <c r="AC61" s="1392">
        <v>0</v>
      </c>
      <c r="AD61" s="1392">
        <v>100000</v>
      </c>
      <c r="AE61" s="739">
        <v>0</v>
      </c>
      <c r="AF61" s="1392">
        <v>0</v>
      </c>
      <c r="AG61" s="1392"/>
      <c r="AH61" s="1392"/>
      <c r="AI61" s="1392"/>
      <c r="AJ61" s="1392"/>
      <c r="AK61" s="1392"/>
      <c r="AL61" s="1392"/>
      <c r="AM61" s="1392"/>
      <c r="AN61" s="1392"/>
      <c r="AO61" s="739"/>
      <c r="AP61" s="1392"/>
      <c r="AQ61" s="1392">
        <v>0</v>
      </c>
      <c r="AR61" s="1569"/>
      <c r="AS61" s="1569"/>
      <c r="AT61" s="1569"/>
      <c r="AU61" s="1392"/>
      <c r="AV61" s="1452">
        <f t="shared" si="30"/>
        <v>325000</v>
      </c>
      <c r="AW61" s="1455">
        <f t="shared" si="31"/>
        <v>-175000</v>
      </c>
      <c r="AX61" s="767"/>
      <c r="AY61" s="709"/>
      <c r="AZ61" s="709"/>
      <c r="BA61" s="709"/>
      <c r="BB61" s="709"/>
      <c r="BC61" s="709"/>
      <c r="BD61" s="709"/>
      <c r="BE61" s="709"/>
      <c r="BF61" s="709"/>
      <c r="BG61" s="709"/>
      <c r="BH61" s="709"/>
      <c r="BI61" s="709"/>
      <c r="BJ61" s="709"/>
      <c r="BK61" s="709"/>
      <c r="BL61" s="709"/>
      <c r="BM61" s="709"/>
      <c r="BN61" s="709"/>
      <c r="BO61" s="709"/>
      <c r="BP61" s="709"/>
      <c r="BQ61" s="709"/>
      <c r="BR61" s="709"/>
      <c r="BS61" s="709"/>
      <c r="BT61" s="709"/>
      <c r="BU61" s="709"/>
      <c r="BV61" s="709"/>
      <c r="BW61" s="709"/>
      <c r="BX61" s="709"/>
      <c r="BY61" s="709"/>
      <c r="BZ61" s="709"/>
      <c r="CA61" s="709"/>
    </row>
    <row r="62" spans="1:79">
      <c r="A62" s="722"/>
      <c r="B62" s="806" t="str">
        <f>'Development Budget'!C47</f>
        <v>Real Estate Attorney</v>
      </c>
      <c r="C62" s="709"/>
      <c r="D62" s="709"/>
      <c r="E62" s="754">
        <f>F62/'Rent Schedule'!$D$26</f>
        <v>339.36651583710409</v>
      </c>
      <c r="F62" s="764">
        <f>'Development Budget'!G47</f>
        <v>75000</v>
      </c>
      <c r="G62" s="764"/>
      <c r="H62" s="739">
        <v>165000</v>
      </c>
      <c r="I62" s="1392"/>
      <c r="J62" s="1392"/>
      <c r="K62" s="1392"/>
      <c r="L62" s="1392"/>
      <c r="M62" s="1392"/>
      <c r="N62" s="1392"/>
      <c r="O62" s="1392"/>
      <c r="P62" s="1392"/>
      <c r="Q62" s="1392"/>
      <c r="R62" s="1392"/>
      <c r="S62" s="1392"/>
      <c r="T62" s="1392"/>
      <c r="U62" s="1392"/>
      <c r="V62" s="1392"/>
      <c r="W62" s="1392"/>
      <c r="X62" s="1392"/>
      <c r="Y62" s="1392"/>
      <c r="Z62" s="1392"/>
      <c r="AA62" s="1392"/>
      <c r="AB62" s="1392">
        <v>0</v>
      </c>
      <c r="AC62" s="1392">
        <v>0</v>
      </c>
      <c r="AD62" s="1392">
        <v>10000</v>
      </c>
      <c r="AE62" s="739">
        <v>0</v>
      </c>
      <c r="AF62" s="1392">
        <v>0</v>
      </c>
      <c r="AG62" s="1392"/>
      <c r="AH62" s="1392"/>
      <c r="AI62" s="1392"/>
      <c r="AJ62" s="1392"/>
      <c r="AK62" s="1392"/>
      <c r="AL62" s="1392"/>
      <c r="AM62" s="1392"/>
      <c r="AN62" s="1392"/>
      <c r="AO62" s="739"/>
      <c r="AP62" s="1392"/>
      <c r="AQ62" s="1392">
        <v>0</v>
      </c>
      <c r="AR62" s="1569"/>
      <c r="AS62" s="1569"/>
      <c r="AT62" s="1569"/>
      <c r="AU62" s="1392"/>
      <c r="AV62" s="1452">
        <f t="shared" si="30"/>
        <v>175000</v>
      </c>
      <c r="AW62" s="1455">
        <f t="shared" si="31"/>
        <v>-100000</v>
      </c>
      <c r="AX62" s="740"/>
      <c r="AY62" s="709"/>
      <c r="AZ62" s="709"/>
      <c r="BA62" s="709"/>
      <c r="BB62" s="709"/>
      <c r="BC62" s="709"/>
      <c r="BD62" s="709"/>
      <c r="BE62" s="709"/>
      <c r="BF62" s="709"/>
      <c r="BG62" s="709"/>
      <c r="BH62" s="709"/>
      <c r="BI62" s="709"/>
      <c r="BJ62" s="709"/>
      <c r="BK62" s="709"/>
      <c r="BL62" s="709"/>
      <c r="BM62" s="709"/>
      <c r="BN62" s="709"/>
      <c r="BO62" s="709"/>
      <c r="BP62" s="709"/>
      <c r="BQ62" s="709"/>
      <c r="BR62" s="709"/>
      <c r="BS62" s="709"/>
      <c r="BT62" s="709"/>
      <c r="BU62" s="709"/>
      <c r="BV62" s="709"/>
      <c r="BW62" s="709"/>
      <c r="BX62" s="709"/>
      <c r="BY62" s="709"/>
      <c r="BZ62" s="709"/>
      <c r="CA62" s="709"/>
    </row>
    <row r="63" spans="1:79">
      <c r="A63" s="722"/>
      <c r="B63" s="806" t="str">
        <f>'Development Budget'!C48</f>
        <v>HHA Legal (Coats Rose)</v>
      </c>
      <c r="C63" s="709"/>
      <c r="D63" s="709"/>
      <c r="E63" s="754">
        <f>F63/'Rent Schedule'!$D$26</f>
        <v>226.24434389140271</v>
      </c>
      <c r="F63" s="764">
        <f>'Development Budget'!G48</f>
        <v>50000</v>
      </c>
      <c r="G63" s="764"/>
      <c r="H63" s="1390">
        <f>F63</f>
        <v>50000</v>
      </c>
      <c r="I63" s="1432"/>
      <c r="J63" s="1432"/>
      <c r="K63" s="1432"/>
      <c r="L63" s="1432"/>
      <c r="M63" s="1432"/>
      <c r="N63" s="1432"/>
      <c r="O63" s="1432"/>
      <c r="P63" s="1432"/>
      <c r="Q63" s="1392"/>
      <c r="R63" s="1432"/>
      <c r="S63" s="1432"/>
      <c r="T63" s="1432"/>
      <c r="U63" s="1432"/>
      <c r="V63" s="1432"/>
      <c r="W63" s="1432"/>
      <c r="X63" s="1432"/>
      <c r="Y63" s="1432"/>
      <c r="Z63" s="1432"/>
      <c r="AA63" s="1432">
        <f>F63-SUM(H63:Z63)</f>
        <v>0</v>
      </c>
      <c r="AB63" s="1432">
        <v>0</v>
      </c>
      <c r="AC63" s="1432">
        <v>0</v>
      </c>
      <c r="AD63" s="1432">
        <v>0</v>
      </c>
      <c r="AE63" s="1442">
        <v>0</v>
      </c>
      <c r="AF63" s="1432">
        <v>0</v>
      </c>
      <c r="AG63" s="1432"/>
      <c r="AH63" s="1432"/>
      <c r="AI63" s="1432"/>
      <c r="AJ63" s="1432"/>
      <c r="AK63" s="1432"/>
      <c r="AL63" s="1432"/>
      <c r="AM63" s="1432"/>
      <c r="AN63" s="1432"/>
      <c r="AO63" s="1442"/>
      <c r="AP63" s="1432"/>
      <c r="AQ63" s="1433"/>
      <c r="AR63" s="1571"/>
      <c r="AS63" s="1571"/>
      <c r="AT63" s="1571"/>
      <c r="AU63" s="1432"/>
      <c r="AV63" s="1452">
        <f t="shared" si="30"/>
        <v>50000</v>
      </c>
      <c r="AW63" s="1455">
        <f t="shared" si="31"/>
        <v>0</v>
      </c>
      <c r="AX63" s="740"/>
      <c r="AY63" s="709"/>
      <c r="AZ63" s="709"/>
      <c r="BA63" s="709"/>
      <c r="BB63" s="709"/>
      <c r="BC63" s="709"/>
      <c r="BD63" s="709"/>
      <c r="BE63" s="709"/>
      <c r="BF63" s="709"/>
      <c r="BG63" s="709"/>
      <c r="BH63" s="709"/>
      <c r="BI63" s="709"/>
      <c r="BJ63" s="709"/>
      <c r="BK63" s="709"/>
      <c r="BL63" s="709"/>
      <c r="BM63" s="709"/>
      <c r="BN63" s="709"/>
      <c r="BO63" s="709"/>
      <c r="BP63" s="709"/>
      <c r="BQ63" s="709"/>
      <c r="BR63" s="709"/>
      <c r="BS63" s="709"/>
      <c r="BT63" s="709"/>
      <c r="BU63" s="709"/>
      <c r="BV63" s="709"/>
      <c r="BW63" s="709"/>
      <c r="BX63" s="709"/>
      <c r="BY63" s="709"/>
      <c r="BZ63" s="709"/>
      <c r="CA63" s="709"/>
    </row>
    <row r="64" spans="1:79">
      <c r="A64" s="722"/>
      <c r="B64" s="806" t="str">
        <f>'Development Budget'!C49</f>
        <v>Accounting</v>
      </c>
      <c r="C64" s="709"/>
      <c r="D64" s="709"/>
      <c r="E64" s="754">
        <f>F64/'Rent Schedule'!$D$26</f>
        <v>316.74208144796381</v>
      </c>
      <c r="F64" s="764">
        <f>'Development Budget'!G49</f>
        <v>70000</v>
      </c>
      <c r="G64" s="764"/>
      <c r="H64" s="773">
        <v>50000</v>
      </c>
      <c r="I64" s="1432"/>
      <c r="J64" s="1432"/>
      <c r="K64" s="1432"/>
      <c r="L64" s="1432"/>
      <c r="M64" s="1432"/>
      <c r="N64" s="1432"/>
      <c r="O64" s="1432"/>
      <c r="P64" s="1432"/>
      <c r="Q64" s="1392"/>
      <c r="R64" s="1432"/>
      <c r="S64" s="1432"/>
      <c r="T64" s="1432"/>
      <c r="U64" s="1432"/>
      <c r="V64" s="1432"/>
      <c r="W64" s="1432"/>
      <c r="X64" s="1432"/>
      <c r="Y64" s="1432"/>
      <c r="Z64" s="1432"/>
      <c r="AA64" s="1432"/>
      <c r="AB64" s="1432">
        <v>0</v>
      </c>
      <c r="AC64" s="1432">
        <v>0</v>
      </c>
      <c r="AD64" s="1432">
        <v>50000</v>
      </c>
      <c r="AE64" s="1442">
        <v>0</v>
      </c>
      <c r="AF64" s="1432">
        <v>0</v>
      </c>
      <c r="AG64" s="1432"/>
      <c r="AH64" s="1432"/>
      <c r="AI64" s="1432"/>
      <c r="AJ64" s="1432"/>
      <c r="AK64" s="1432"/>
      <c r="AL64" s="1432"/>
      <c r="AM64" s="1432"/>
      <c r="AN64" s="1432"/>
      <c r="AO64" s="1442"/>
      <c r="AP64" s="1432"/>
      <c r="AQ64" s="1432">
        <v>0</v>
      </c>
      <c r="AR64" s="1571"/>
      <c r="AS64" s="1571"/>
      <c r="AT64" s="1571"/>
      <c r="AU64" s="1432"/>
      <c r="AV64" s="1452">
        <f t="shared" si="30"/>
        <v>100000</v>
      </c>
      <c r="AW64" s="1455">
        <f t="shared" si="31"/>
        <v>-30000</v>
      </c>
      <c r="AX64" s="740"/>
      <c r="AY64" s="709"/>
      <c r="AZ64" s="709"/>
      <c r="BA64" s="709"/>
      <c r="BB64" s="709"/>
      <c r="BC64" s="709"/>
      <c r="BD64" s="709"/>
      <c r="BE64" s="709"/>
      <c r="BF64" s="709"/>
      <c r="BG64" s="709"/>
      <c r="BH64" s="709"/>
      <c r="BI64" s="709"/>
      <c r="BJ64" s="709"/>
      <c r="BK64" s="709"/>
      <c r="BL64" s="709"/>
      <c r="BM64" s="709"/>
      <c r="BN64" s="709"/>
      <c r="BO64" s="709"/>
      <c r="BP64" s="709"/>
      <c r="BQ64" s="709"/>
      <c r="BR64" s="709"/>
      <c r="BS64" s="709"/>
      <c r="BT64" s="709"/>
      <c r="BU64" s="709"/>
      <c r="BV64" s="709"/>
      <c r="BW64" s="709"/>
      <c r="BX64" s="709"/>
      <c r="BY64" s="709"/>
      <c r="BZ64" s="709"/>
      <c r="CA64" s="709"/>
    </row>
    <row r="65" spans="1:79">
      <c r="A65" s="722"/>
      <c r="B65" s="806" t="str">
        <f>'Development Budget'!C50</f>
        <v>Green Building Certification/Registration</v>
      </c>
      <c r="C65" s="709"/>
      <c r="D65" s="709"/>
      <c r="E65" s="754">
        <f>F65/'Rent Schedule'!$D$26</f>
        <v>0</v>
      </c>
      <c r="F65" s="764">
        <f>'Development Budget'!G50</f>
        <v>0</v>
      </c>
      <c r="G65" s="1374"/>
      <c r="H65" s="1385">
        <f>25000</f>
        <v>25000</v>
      </c>
      <c r="I65" s="1434"/>
      <c r="J65" s="1435"/>
      <c r="K65" s="1435"/>
      <c r="L65" s="1435"/>
      <c r="M65" s="1435"/>
      <c r="N65" s="1435"/>
      <c r="O65" s="1435"/>
      <c r="P65" s="1435"/>
      <c r="Q65" s="1435">
        <v>5000</v>
      </c>
      <c r="R65" s="1435"/>
      <c r="S65" s="1435"/>
      <c r="T65" s="1435"/>
      <c r="U65" s="1435"/>
      <c r="V65" s="1435"/>
      <c r="W65" s="1435"/>
      <c r="X65" s="1435"/>
      <c r="Y65" s="1435"/>
      <c r="Z65" s="1435"/>
      <c r="AA65" s="1435"/>
      <c r="AB65" s="1435">
        <v>0</v>
      </c>
      <c r="AC65" s="1435">
        <v>0</v>
      </c>
      <c r="AD65" s="1435">
        <v>25000</v>
      </c>
      <c r="AE65" s="773">
        <v>0</v>
      </c>
      <c r="AF65" s="1435">
        <v>0</v>
      </c>
      <c r="AG65" s="1435"/>
      <c r="AH65" s="1435"/>
      <c r="AI65" s="1435"/>
      <c r="AJ65" s="1435"/>
      <c r="AK65" s="1435"/>
      <c r="AL65" s="1435"/>
      <c r="AM65" s="1435"/>
      <c r="AN65" s="1392"/>
      <c r="AO65" s="739"/>
      <c r="AP65" s="1392"/>
      <c r="AQ65" s="1392">
        <v>0</v>
      </c>
      <c r="AR65" s="1569"/>
      <c r="AS65" s="1569"/>
      <c r="AT65" s="1569"/>
      <c r="AU65" s="1435"/>
      <c r="AV65" s="1452">
        <f t="shared" si="30"/>
        <v>55000</v>
      </c>
      <c r="AW65" s="1455">
        <f t="shared" si="31"/>
        <v>-55000</v>
      </c>
      <c r="AX65" s="740"/>
      <c r="AY65" s="709"/>
      <c r="AZ65" s="709"/>
      <c r="BA65" s="709"/>
      <c r="BB65" s="709"/>
      <c r="BC65" s="709"/>
      <c r="BD65" s="709"/>
      <c r="BE65" s="709"/>
      <c r="BF65" s="709"/>
      <c r="BG65" s="709"/>
      <c r="BH65" s="709"/>
      <c r="BI65" s="709"/>
      <c r="BJ65" s="709"/>
      <c r="BK65" s="709"/>
      <c r="BL65" s="709"/>
      <c r="BM65" s="709"/>
      <c r="BN65" s="709"/>
      <c r="BO65" s="709"/>
      <c r="BP65" s="709"/>
      <c r="BQ65" s="709"/>
      <c r="BR65" s="709"/>
      <c r="BS65" s="709"/>
      <c r="BT65" s="709"/>
      <c r="BU65" s="709"/>
      <c r="BV65" s="709"/>
      <c r="BW65" s="709"/>
      <c r="BX65" s="709"/>
      <c r="BY65" s="709"/>
      <c r="BZ65" s="709"/>
      <c r="CA65" s="709"/>
    </row>
    <row r="66" spans="1:79">
      <c r="A66" s="722"/>
      <c r="B66" s="806" t="str">
        <f>'Development Budget'!C51</f>
        <v>Construction Inspection Fees</v>
      </c>
      <c r="C66" s="709"/>
      <c r="D66" s="709"/>
      <c r="E66" s="754">
        <f>F66/'Rent Schedule'!$D$26</f>
        <v>180.99547511312218</v>
      </c>
      <c r="F66" s="764">
        <f>'Development Budget'!G51</f>
        <v>40000</v>
      </c>
      <c r="G66" s="1375"/>
      <c r="H66" s="1386">
        <v>0</v>
      </c>
      <c r="I66" s="1575">
        <v>4000</v>
      </c>
      <c r="J66" s="1575">
        <v>2000</v>
      </c>
      <c r="K66" s="1575">
        <v>2000</v>
      </c>
      <c r="L66" s="1575">
        <v>2000</v>
      </c>
      <c r="M66" s="1575">
        <v>2000</v>
      </c>
      <c r="N66" s="1575">
        <v>2000</v>
      </c>
      <c r="O66" s="1575">
        <v>2000</v>
      </c>
      <c r="P66" s="1575">
        <v>2000</v>
      </c>
      <c r="Q66" s="1575">
        <v>2000</v>
      </c>
      <c r="R66" s="1575">
        <v>2000</v>
      </c>
      <c r="S66" s="1575">
        <v>2000</v>
      </c>
      <c r="T66" s="1575">
        <v>2000</v>
      </c>
      <c r="U66" s="1575">
        <v>2000</v>
      </c>
      <c r="V66" s="1575">
        <v>2000</v>
      </c>
      <c r="W66" s="1575">
        <v>2000</v>
      </c>
      <c r="X66" s="1575">
        <v>2000</v>
      </c>
      <c r="Y66" s="1575">
        <v>2000</v>
      </c>
      <c r="Z66" s="1575">
        <v>2000</v>
      </c>
      <c r="AA66" s="1575"/>
      <c r="AB66" s="1435">
        <v>0</v>
      </c>
      <c r="AC66" s="1435">
        <v>0</v>
      </c>
      <c r="AD66" s="1435">
        <v>2000</v>
      </c>
      <c r="AE66" s="773">
        <v>0</v>
      </c>
      <c r="AF66" s="1435">
        <v>0</v>
      </c>
      <c r="AG66" s="1435"/>
      <c r="AH66" s="1435"/>
      <c r="AI66" s="1435"/>
      <c r="AJ66" s="1435"/>
      <c r="AK66" s="1435"/>
      <c r="AL66" s="1435"/>
      <c r="AM66" s="1435"/>
      <c r="AN66" s="1435"/>
      <c r="AO66" s="773"/>
      <c r="AP66" s="1435"/>
      <c r="AQ66" s="1436"/>
      <c r="AR66" s="1572"/>
      <c r="AS66" s="1572"/>
      <c r="AT66" s="1572"/>
      <c r="AU66" s="1435"/>
      <c r="AV66" s="1452">
        <f t="shared" si="30"/>
        <v>40000</v>
      </c>
      <c r="AW66" s="1455">
        <f t="shared" si="31"/>
        <v>0</v>
      </c>
      <c r="AX66" s="740"/>
      <c r="AY66" s="709"/>
      <c r="AZ66" s="709"/>
      <c r="BA66" s="709"/>
      <c r="BB66" s="709"/>
      <c r="BC66" s="709"/>
      <c r="BD66" s="709"/>
      <c r="BE66" s="709"/>
      <c r="BF66" s="709"/>
      <c r="BG66" s="709"/>
      <c r="BH66" s="709"/>
      <c r="BI66" s="709"/>
      <c r="BJ66" s="709"/>
      <c r="BK66" s="709"/>
      <c r="BL66" s="709"/>
      <c r="BM66" s="709"/>
      <c r="BN66" s="709"/>
      <c r="BO66" s="709"/>
      <c r="BP66" s="709"/>
      <c r="BQ66" s="709"/>
      <c r="BR66" s="709"/>
      <c r="BS66" s="709"/>
      <c r="BT66" s="709"/>
      <c r="BU66" s="709"/>
      <c r="BV66" s="709"/>
      <c r="BW66" s="709"/>
      <c r="BX66" s="709"/>
      <c r="BY66" s="709"/>
      <c r="BZ66" s="709"/>
      <c r="CA66" s="709"/>
    </row>
    <row r="67" spans="1:79">
      <c r="A67" s="722"/>
      <c r="B67" s="806" t="str">
        <f>'Development Budget'!C52</f>
        <v>Accessibility Consulting</v>
      </c>
      <c r="C67" s="709"/>
      <c r="D67" s="774"/>
      <c r="E67" s="754">
        <f>F67/'Rent Schedule'!$D$26</f>
        <v>135.74660633484163</v>
      </c>
      <c r="F67" s="764">
        <f>'Development Budget'!G52</f>
        <v>30000</v>
      </c>
      <c r="G67" s="1375"/>
      <c r="H67" s="1386">
        <f>15000</f>
        <v>15000</v>
      </c>
      <c r="I67" s="1434"/>
      <c r="J67" s="1435"/>
      <c r="K67" s="1435"/>
      <c r="L67" s="1435"/>
      <c r="M67" s="1435"/>
      <c r="N67" s="1435"/>
      <c r="O67" s="1435">
        <v>5000</v>
      </c>
      <c r="P67" s="1435"/>
      <c r="Q67" s="1435"/>
      <c r="R67" s="1435"/>
      <c r="S67" s="1435"/>
      <c r="T67" s="1435"/>
      <c r="U67" s="1435"/>
      <c r="V67" s="1435"/>
      <c r="W67" s="1435"/>
      <c r="X67" s="1435"/>
      <c r="Y67" s="1435"/>
      <c r="Z67" s="1435"/>
      <c r="AA67" s="1435"/>
      <c r="AB67" s="1435">
        <v>0</v>
      </c>
      <c r="AC67" s="1435">
        <v>0</v>
      </c>
      <c r="AD67" s="1435">
        <v>10000</v>
      </c>
      <c r="AE67" s="773">
        <v>0</v>
      </c>
      <c r="AF67" s="1435">
        <v>0</v>
      </c>
      <c r="AG67" s="1435"/>
      <c r="AH67" s="1435"/>
      <c r="AI67" s="1435"/>
      <c r="AJ67" s="1435"/>
      <c r="AK67" s="1435"/>
      <c r="AL67" s="1435"/>
      <c r="AM67" s="1435"/>
      <c r="AN67" s="1435"/>
      <c r="AO67" s="773"/>
      <c r="AP67" s="1435"/>
      <c r="AQ67" s="1436"/>
      <c r="AR67" s="1572"/>
      <c r="AS67" s="1572"/>
      <c r="AT67" s="1572"/>
      <c r="AU67" s="1435"/>
      <c r="AV67" s="1452">
        <f t="shared" si="30"/>
        <v>30000</v>
      </c>
      <c r="AW67" s="1456">
        <f t="shared" si="31"/>
        <v>0</v>
      </c>
      <c r="AX67" s="740"/>
      <c r="AY67" s="709"/>
      <c r="AZ67" s="709"/>
      <c r="BA67" s="709"/>
      <c r="BB67" s="709"/>
      <c r="BC67" s="709"/>
      <c r="BD67" s="709"/>
      <c r="BE67" s="709"/>
      <c r="BF67" s="709"/>
      <c r="BG67" s="709"/>
      <c r="BH67" s="709"/>
      <c r="BI67" s="709"/>
      <c r="BJ67" s="709"/>
      <c r="BK67" s="709"/>
      <c r="BL67" s="709"/>
      <c r="BM67" s="709"/>
      <c r="BN67" s="709"/>
      <c r="BO67" s="709"/>
      <c r="BP67" s="709"/>
      <c r="BQ67" s="709"/>
      <c r="BR67" s="709"/>
      <c r="BS67" s="709"/>
      <c r="BT67" s="709"/>
      <c r="BU67" s="709"/>
      <c r="BV67" s="709"/>
      <c r="BW67" s="709"/>
      <c r="BX67" s="709"/>
      <c r="BY67" s="709"/>
      <c r="BZ67" s="709"/>
      <c r="CA67" s="709"/>
    </row>
    <row r="68" spans="1:79">
      <c r="A68" s="722"/>
      <c r="B68" s="806" t="str">
        <f>'Development Budget'!C53</f>
        <v>Construction Materials Testing</v>
      </c>
      <c r="C68" s="709"/>
      <c r="D68" s="774"/>
      <c r="E68" s="754">
        <f>F68/'Rent Schedule'!$D$26</f>
        <v>203.61990950226243</v>
      </c>
      <c r="F68" s="764">
        <f>'Development Budget'!G53</f>
        <v>45000</v>
      </c>
      <c r="G68" s="809"/>
      <c r="H68" s="1387">
        <v>0</v>
      </c>
      <c r="I68" s="1434"/>
      <c r="J68" s="1435"/>
      <c r="K68" s="1435"/>
      <c r="L68" s="1435"/>
      <c r="M68" s="1435">
        <v>10000</v>
      </c>
      <c r="N68" s="1435"/>
      <c r="O68" s="1435"/>
      <c r="P68" s="1435"/>
      <c r="Q68" s="1435">
        <v>10000</v>
      </c>
      <c r="R68" s="1435"/>
      <c r="S68" s="1435"/>
      <c r="T68" s="1435">
        <v>5000</v>
      </c>
      <c r="U68" s="1435"/>
      <c r="V68" s="1435">
        <v>10000</v>
      </c>
      <c r="W68" s="1435"/>
      <c r="X68" s="1435"/>
      <c r="Y68" s="1435"/>
      <c r="Z68" s="1435"/>
      <c r="AA68" s="1435"/>
      <c r="AB68" s="1435">
        <v>0</v>
      </c>
      <c r="AC68" s="1435">
        <v>0</v>
      </c>
      <c r="AD68" s="1435">
        <v>10000</v>
      </c>
      <c r="AE68" s="773">
        <v>0</v>
      </c>
      <c r="AF68" s="1435">
        <v>0</v>
      </c>
      <c r="AG68" s="1435"/>
      <c r="AH68" s="1435"/>
      <c r="AI68" s="1435"/>
      <c r="AJ68" s="1435"/>
      <c r="AK68" s="1435"/>
      <c r="AL68" s="1435"/>
      <c r="AM68" s="1435"/>
      <c r="AN68" s="1435"/>
      <c r="AO68" s="773"/>
      <c r="AP68" s="1435"/>
      <c r="AQ68" s="1436"/>
      <c r="AR68" s="1572"/>
      <c r="AS68" s="1572"/>
      <c r="AT68" s="1572"/>
      <c r="AU68" s="1435"/>
      <c r="AV68" s="1452">
        <f t="shared" si="30"/>
        <v>45000</v>
      </c>
      <c r="AW68" s="1455">
        <f t="shared" si="31"/>
        <v>0</v>
      </c>
      <c r="AX68" s="740"/>
      <c r="AY68" s="709"/>
      <c r="AZ68" s="709"/>
      <c r="BA68" s="709"/>
      <c r="BB68" s="709"/>
      <c r="BC68" s="709"/>
      <c r="BD68" s="709"/>
      <c r="BE68" s="709"/>
      <c r="BF68" s="709"/>
      <c r="BG68" s="709"/>
      <c r="BH68" s="709"/>
      <c r="BI68" s="709"/>
      <c r="BJ68" s="709"/>
      <c r="BK68" s="709"/>
      <c r="BL68" s="709"/>
      <c r="BM68" s="709"/>
      <c r="BN68" s="709"/>
      <c r="BO68" s="709"/>
      <c r="BP68" s="709"/>
      <c r="BQ68" s="709"/>
      <c r="BR68" s="709"/>
      <c r="BS68" s="709"/>
      <c r="BT68" s="709"/>
      <c r="BU68" s="709"/>
      <c r="BV68" s="709"/>
      <c r="BW68" s="709"/>
      <c r="BX68" s="709"/>
      <c r="BY68" s="709"/>
      <c r="BZ68" s="709"/>
      <c r="CA68" s="709"/>
    </row>
    <row r="69" spans="1:79">
      <c r="A69" s="750" t="s">
        <v>146</v>
      </c>
      <c r="B69" s="722"/>
      <c r="C69" s="709"/>
      <c r="D69" s="774"/>
      <c r="E69" s="754"/>
      <c r="F69" s="1539"/>
      <c r="G69" s="772"/>
      <c r="H69" s="807"/>
      <c r="I69" s="775"/>
      <c r="J69" s="775"/>
      <c r="K69" s="775"/>
      <c r="L69" s="775"/>
      <c r="M69" s="775"/>
      <c r="N69" s="775"/>
      <c r="O69" s="775"/>
      <c r="P69" s="775"/>
      <c r="Q69" s="775"/>
      <c r="R69" s="775"/>
      <c r="S69" s="776"/>
      <c r="T69" s="775"/>
      <c r="U69" s="775"/>
      <c r="V69" s="775"/>
      <c r="W69" s="775"/>
      <c r="X69" s="775"/>
      <c r="Y69" s="775"/>
      <c r="Z69" s="775"/>
      <c r="AA69" s="775"/>
      <c r="AB69" s="775"/>
      <c r="AC69" s="775"/>
      <c r="AD69" s="775"/>
      <c r="AE69" s="775"/>
      <c r="AF69" s="775"/>
      <c r="AG69" s="775"/>
      <c r="AH69" s="775"/>
      <c r="AI69" s="775"/>
      <c r="AJ69" s="775"/>
      <c r="AK69" s="775"/>
      <c r="AL69" s="775"/>
      <c r="AM69" s="775"/>
      <c r="AN69" s="775"/>
      <c r="AO69" s="775"/>
      <c r="AP69" s="775"/>
      <c r="AQ69" s="775"/>
      <c r="AR69" s="775"/>
      <c r="AS69" s="775"/>
      <c r="AT69" s="775"/>
      <c r="AU69" s="775"/>
      <c r="AV69" s="775"/>
      <c r="AW69" s="756"/>
      <c r="AX69" s="740"/>
      <c r="AY69" s="709"/>
      <c r="AZ69" s="709"/>
      <c r="BA69" s="709"/>
      <c r="BB69" s="709"/>
      <c r="BC69" s="709"/>
      <c r="BD69" s="709"/>
      <c r="BE69" s="709"/>
      <c r="BF69" s="709"/>
      <c r="BG69" s="709"/>
      <c r="BH69" s="709"/>
      <c r="BI69" s="709"/>
      <c r="BJ69" s="709"/>
      <c r="BK69" s="709"/>
      <c r="BL69" s="709"/>
      <c r="BM69" s="709"/>
      <c r="BN69" s="709"/>
      <c r="BO69" s="709"/>
      <c r="BP69" s="709"/>
      <c r="BQ69" s="709"/>
      <c r="BR69" s="709"/>
      <c r="BS69" s="709"/>
      <c r="BT69" s="709"/>
      <c r="BU69" s="709"/>
      <c r="BV69" s="709"/>
      <c r="BW69" s="709"/>
      <c r="BX69" s="709"/>
      <c r="BY69" s="709"/>
      <c r="BZ69" s="709"/>
      <c r="CA69" s="709"/>
    </row>
    <row r="70" spans="1:79">
      <c r="A70" s="722"/>
      <c r="B70" s="722" t="str">
        <f>'Development Budget'!C56</f>
        <v>Building Permits</v>
      </c>
      <c r="C70" s="709"/>
      <c r="D70" s="774"/>
      <c r="E70" s="754">
        <f>F70/'Rent Schedule'!$D$26</f>
        <v>723.98190045248873</v>
      </c>
      <c r="F70" s="763">
        <f>'Development Budget'!G56</f>
        <v>160000</v>
      </c>
      <c r="G70" s="763"/>
      <c r="H70" s="759">
        <f>F70</f>
        <v>160000</v>
      </c>
      <c r="I70" s="1404"/>
      <c r="J70" s="1404"/>
      <c r="K70" s="1404"/>
      <c r="L70" s="1404"/>
      <c r="M70" s="1404"/>
      <c r="N70" s="1404"/>
      <c r="O70" s="1404"/>
      <c r="P70" s="1404"/>
      <c r="Q70" s="1404"/>
      <c r="R70" s="1404"/>
      <c r="S70" s="1404"/>
      <c r="T70" s="1404"/>
      <c r="U70" s="1404"/>
      <c r="V70" s="1404"/>
      <c r="W70" s="1404"/>
      <c r="X70" s="1404"/>
      <c r="Y70" s="1404"/>
      <c r="Z70" s="1404"/>
      <c r="AA70" s="1404"/>
      <c r="AB70" s="1404"/>
      <c r="AC70" s="1404"/>
      <c r="AD70" s="1404"/>
      <c r="AE70" s="759"/>
      <c r="AF70" s="1404"/>
      <c r="AG70" s="1404"/>
      <c r="AH70" s="1404"/>
      <c r="AI70" s="1404"/>
      <c r="AJ70" s="1404"/>
      <c r="AK70" s="1404"/>
      <c r="AL70" s="1404"/>
      <c r="AM70" s="1404"/>
      <c r="AN70" s="1404"/>
      <c r="AO70" s="759"/>
      <c r="AP70" s="1404"/>
      <c r="AQ70" s="1404"/>
      <c r="AR70" s="1404"/>
      <c r="AS70" s="1604"/>
      <c r="AT70" s="1404"/>
      <c r="AU70" s="1404"/>
      <c r="AV70" s="1452">
        <f>SUM(H70:AU70)</f>
        <v>160000</v>
      </c>
      <c r="AW70" s="1455">
        <f>F70-AV70</f>
        <v>0</v>
      </c>
      <c r="AX70" s="740"/>
      <c r="AY70" s="709"/>
      <c r="AZ70" s="709"/>
      <c r="BA70" s="709"/>
      <c r="BB70" s="709"/>
      <c r="BC70" s="709"/>
      <c r="BD70" s="709"/>
      <c r="BE70" s="709"/>
      <c r="BF70" s="709"/>
      <c r="BG70" s="709"/>
      <c r="BH70" s="709"/>
      <c r="BI70" s="709"/>
      <c r="BJ70" s="709"/>
      <c r="BK70" s="709"/>
      <c r="BL70" s="709"/>
      <c r="BM70" s="709"/>
      <c r="BN70" s="709"/>
      <c r="BO70" s="709"/>
      <c r="BP70" s="709"/>
      <c r="BQ70" s="709"/>
      <c r="BR70" s="709"/>
      <c r="BS70" s="709"/>
      <c r="BT70" s="709"/>
      <c r="BU70" s="709"/>
      <c r="BV70" s="709"/>
      <c r="BW70" s="709"/>
      <c r="BX70" s="709"/>
      <c r="BY70" s="709"/>
      <c r="BZ70" s="709"/>
      <c r="CA70" s="709"/>
    </row>
    <row r="71" spans="1:79">
      <c r="A71" s="722"/>
      <c r="B71" s="722" t="str">
        <f>'Development Budget'!C57</f>
        <v>Impact Fees</v>
      </c>
      <c r="C71" s="709"/>
      <c r="D71" s="774"/>
      <c r="E71" s="754">
        <f>F71/'Rent Schedule'!$D$26</f>
        <v>842.32701357466055</v>
      </c>
      <c r="F71" s="763">
        <f>'Development Budget'!G57</f>
        <v>186154.27</v>
      </c>
      <c r="G71" s="764"/>
      <c r="H71" s="759">
        <f>F71</f>
        <v>186154.27</v>
      </c>
      <c r="I71" s="1392"/>
      <c r="J71" s="1392"/>
      <c r="K71" s="1392"/>
      <c r="L71" s="1392"/>
      <c r="M71" s="1392"/>
      <c r="N71" s="1392"/>
      <c r="O71" s="1392"/>
      <c r="P71" s="1392"/>
      <c r="Q71" s="1392"/>
      <c r="R71" s="1392"/>
      <c r="S71" s="1392"/>
      <c r="T71" s="1392"/>
      <c r="U71" s="1392"/>
      <c r="V71" s="1392"/>
      <c r="W71" s="1392"/>
      <c r="X71" s="1392"/>
      <c r="Y71" s="1392"/>
      <c r="Z71" s="1392"/>
      <c r="AA71" s="1392"/>
      <c r="AB71" s="1392"/>
      <c r="AC71" s="1392"/>
      <c r="AD71" s="1392"/>
      <c r="AE71" s="739"/>
      <c r="AF71" s="1392"/>
      <c r="AG71" s="1392"/>
      <c r="AH71" s="1392"/>
      <c r="AI71" s="1392"/>
      <c r="AJ71" s="1392"/>
      <c r="AK71" s="1392"/>
      <c r="AL71" s="1392"/>
      <c r="AM71" s="1392"/>
      <c r="AN71" s="1392"/>
      <c r="AO71" s="739"/>
      <c r="AP71" s="1392"/>
      <c r="AQ71" s="1394"/>
      <c r="AR71" s="1569"/>
      <c r="AS71" s="1569"/>
      <c r="AT71" s="1569"/>
      <c r="AU71" s="1392"/>
      <c r="AV71" s="1452">
        <f>SUM(H71:AU71)</f>
        <v>186154.27</v>
      </c>
      <c r="AW71" s="1457">
        <f>F71-AV71</f>
        <v>0</v>
      </c>
      <c r="AX71" s="740"/>
      <c r="AY71" s="709"/>
      <c r="AZ71" s="709"/>
      <c r="BA71" s="709"/>
      <c r="BB71" s="709"/>
      <c r="BC71" s="709"/>
      <c r="BD71" s="709"/>
      <c r="BE71" s="709"/>
      <c r="BF71" s="709"/>
      <c r="BG71" s="709"/>
      <c r="BH71" s="709"/>
      <c r="BI71" s="709"/>
      <c r="BJ71" s="709"/>
      <c r="BK71" s="709"/>
      <c r="BL71" s="709"/>
      <c r="BM71" s="709"/>
      <c r="BN71" s="709"/>
      <c r="BO71" s="709"/>
      <c r="BP71" s="709"/>
      <c r="BQ71" s="709"/>
      <c r="BR71" s="709"/>
      <c r="BS71" s="709"/>
      <c r="BT71" s="709"/>
      <c r="BU71" s="709"/>
      <c r="BV71" s="709"/>
      <c r="BW71" s="709"/>
      <c r="BX71" s="709"/>
      <c r="BY71" s="709"/>
      <c r="BZ71" s="709"/>
      <c r="CA71" s="709"/>
    </row>
    <row r="72" spans="1:79">
      <c r="A72" s="722"/>
      <c r="B72" s="722" t="str">
        <f>'Development Budget'!C58</f>
        <v>Plan review</v>
      </c>
      <c r="C72" s="709"/>
      <c r="D72" s="709"/>
      <c r="E72" s="754">
        <f>F72/'Rent Schedule'!$D$26</f>
        <v>116.42986425339366</v>
      </c>
      <c r="F72" s="763">
        <f>'Development Budget'!G58</f>
        <v>25731</v>
      </c>
      <c r="G72" s="764"/>
      <c r="H72" s="759">
        <f>F72</f>
        <v>25731</v>
      </c>
      <c r="I72" s="1392"/>
      <c r="J72" s="1392"/>
      <c r="K72" s="1392"/>
      <c r="L72" s="1392"/>
      <c r="M72" s="1392"/>
      <c r="N72" s="1392"/>
      <c r="O72" s="1392"/>
      <c r="P72" s="1392"/>
      <c r="Q72" s="1392"/>
      <c r="R72" s="1392"/>
      <c r="S72" s="1392"/>
      <c r="T72" s="1392"/>
      <c r="U72" s="1392"/>
      <c r="V72" s="1392"/>
      <c r="W72" s="1392"/>
      <c r="X72" s="1392"/>
      <c r="Y72" s="1392"/>
      <c r="Z72" s="1392"/>
      <c r="AA72" s="1392"/>
      <c r="AB72" s="1392"/>
      <c r="AC72" s="1392"/>
      <c r="AD72" s="1392"/>
      <c r="AE72" s="739"/>
      <c r="AF72" s="1392"/>
      <c r="AG72" s="1392"/>
      <c r="AH72" s="1392"/>
      <c r="AI72" s="1392"/>
      <c r="AJ72" s="1392"/>
      <c r="AK72" s="1392"/>
      <c r="AL72" s="1392"/>
      <c r="AM72" s="1392"/>
      <c r="AN72" s="1392"/>
      <c r="AO72" s="739"/>
      <c r="AP72" s="1392"/>
      <c r="AQ72" s="1394"/>
      <c r="AR72" s="1569"/>
      <c r="AS72" s="1569"/>
      <c r="AT72" s="1569"/>
      <c r="AU72" s="1392"/>
      <c r="AV72" s="1452">
        <f>SUM(H72:AU72)</f>
        <v>25731</v>
      </c>
      <c r="AW72" s="1456">
        <f>F72-AV72</f>
        <v>0</v>
      </c>
      <c r="AX72" s="740"/>
      <c r="AY72" s="709"/>
      <c r="AZ72" s="709"/>
      <c r="BA72" s="709"/>
      <c r="BB72" s="709"/>
      <c r="BC72" s="709"/>
      <c r="BD72" s="709"/>
      <c r="BE72" s="709"/>
      <c r="BF72" s="709"/>
      <c r="BG72" s="709"/>
      <c r="BH72" s="709"/>
      <c r="BI72" s="709"/>
      <c r="BJ72" s="709"/>
      <c r="BK72" s="709"/>
      <c r="BL72" s="709"/>
      <c r="BM72" s="709"/>
      <c r="BN72" s="709"/>
      <c r="BO72" s="709"/>
      <c r="BP72" s="709"/>
      <c r="BQ72" s="709"/>
      <c r="BR72" s="709"/>
      <c r="BS72" s="709"/>
      <c r="BT72" s="709"/>
      <c r="BU72" s="709"/>
      <c r="BV72" s="709"/>
      <c r="BW72" s="709"/>
      <c r="BX72" s="709"/>
      <c r="BY72" s="709"/>
      <c r="BZ72" s="709"/>
      <c r="CA72" s="709"/>
    </row>
    <row r="73" spans="1:79">
      <c r="A73" s="722"/>
      <c r="B73" s="722" t="str">
        <f>'Development Budget'!C59</f>
        <v>Other local fees</v>
      </c>
      <c r="C73" s="709"/>
      <c r="D73" s="709"/>
      <c r="E73" s="754">
        <f>F73/'Rent Schedule'!$D$26</f>
        <v>0</v>
      </c>
      <c r="F73" s="763">
        <f>'Development Budget'!G59</f>
        <v>0</v>
      </c>
      <c r="G73" s="1376"/>
      <c r="H73" s="759">
        <f>F73</f>
        <v>0</v>
      </c>
      <c r="I73" s="1435"/>
      <c r="J73" s="1435"/>
      <c r="K73" s="1435"/>
      <c r="L73" s="1435"/>
      <c r="M73" s="1435"/>
      <c r="N73" s="1435"/>
      <c r="O73" s="1435"/>
      <c r="P73" s="1435"/>
      <c r="Q73" s="1435"/>
      <c r="R73" s="1435"/>
      <c r="S73" s="1435"/>
      <c r="T73" s="1435"/>
      <c r="U73" s="1435"/>
      <c r="V73" s="1435"/>
      <c r="W73" s="1435"/>
      <c r="X73" s="1435"/>
      <c r="Y73" s="1435"/>
      <c r="Z73" s="1435"/>
      <c r="AA73" s="1435"/>
      <c r="AB73" s="1435"/>
      <c r="AC73" s="1435"/>
      <c r="AD73" s="1435"/>
      <c r="AE73" s="773"/>
      <c r="AF73" s="1435"/>
      <c r="AG73" s="1435"/>
      <c r="AH73" s="1435"/>
      <c r="AI73" s="1435"/>
      <c r="AJ73" s="1435"/>
      <c r="AK73" s="1435"/>
      <c r="AL73" s="1435"/>
      <c r="AM73" s="1435"/>
      <c r="AN73" s="1435"/>
      <c r="AO73" s="773"/>
      <c r="AP73" s="1435"/>
      <c r="AQ73" s="1436"/>
      <c r="AR73" s="1572"/>
      <c r="AS73" s="1572"/>
      <c r="AT73" s="1572"/>
      <c r="AU73" s="1435"/>
      <c r="AV73" s="1452">
        <f>SUM(H73:AU73)</f>
        <v>0</v>
      </c>
      <c r="AW73" s="1455">
        <f>F73-AV73</f>
        <v>0</v>
      </c>
      <c r="AX73" s="740"/>
      <c r="AY73" s="709"/>
      <c r="AZ73" s="709"/>
      <c r="BA73" s="709"/>
      <c r="BB73" s="709"/>
      <c r="BC73" s="709"/>
      <c r="BD73" s="709"/>
      <c r="BE73" s="709"/>
      <c r="BF73" s="709"/>
      <c r="BG73" s="709"/>
      <c r="BH73" s="709"/>
      <c r="BI73" s="709"/>
      <c r="BJ73" s="709"/>
      <c r="BK73" s="709"/>
      <c r="BL73" s="709"/>
      <c r="BM73" s="709"/>
      <c r="BN73" s="709"/>
      <c r="BO73" s="709"/>
      <c r="BP73" s="709"/>
      <c r="BQ73" s="709"/>
      <c r="BR73" s="709"/>
      <c r="BS73" s="709"/>
      <c r="BT73" s="709"/>
      <c r="BU73" s="709"/>
      <c r="BV73" s="709"/>
      <c r="BW73" s="709"/>
      <c r="BX73" s="709"/>
      <c r="BY73" s="709"/>
      <c r="BZ73" s="709"/>
      <c r="CA73" s="709"/>
    </row>
    <row r="74" spans="1:79">
      <c r="A74" s="750" t="s">
        <v>149</v>
      </c>
      <c r="B74" s="722"/>
      <c r="C74" s="709"/>
      <c r="D74" s="709"/>
      <c r="E74" s="754"/>
      <c r="F74" s="1540"/>
      <c r="G74" s="772"/>
      <c r="H74" s="772"/>
      <c r="I74" s="775"/>
      <c r="J74" s="775"/>
      <c r="K74" s="775"/>
      <c r="L74" s="775"/>
      <c r="M74" s="775"/>
      <c r="N74" s="775"/>
      <c r="O74" s="775"/>
      <c r="P74" s="775"/>
      <c r="Q74" s="775"/>
      <c r="R74" s="775"/>
      <c r="S74" s="775"/>
      <c r="T74" s="775"/>
      <c r="U74" s="775"/>
      <c r="V74" s="775"/>
      <c r="W74" s="775"/>
      <c r="X74" s="775"/>
      <c r="Y74" s="775"/>
      <c r="Z74" s="775"/>
      <c r="AA74" s="775"/>
      <c r="AB74" s="775"/>
      <c r="AC74" s="775"/>
      <c r="AD74" s="775"/>
      <c r="AE74" s="775"/>
      <c r="AF74" s="775"/>
      <c r="AG74" s="775"/>
      <c r="AH74" s="775"/>
      <c r="AI74" s="775"/>
      <c r="AJ74" s="775"/>
      <c r="AK74" s="775"/>
      <c r="AL74" s="775"/>
      <c r="AM74" s="775"/>
      <c r="AN74" s="775"/>
      <c r="AO74" s="775"/>
      <c r="AP74" s="775"/>
      <c r="AQ74" s="775"/>
      <c r="AR74" s="775"/>
      <c r="AS74" s="775"/>
      <c r="AT74" s="775"/>
      <c r="AU74" s="775"/>
      <c r="AV74" s="775"/>
      <c r="AW74" s="756"/>
      <c r="AX74" s="740"/>
      <c r="AY74" s="709"/>
      <c r="AZ74" s="709"/>
      <c r="BA74" s="709"/>
      <c r="BB74" s="709"/>
      <c r="BC74" s="709"/>
      <c r="BD74" s="709"/>
      <c r="BE74" s="709"/>
      <c r="BF74" s="709"/>
      <c r="BG74" s="709"/>
      <c r="BH74" s="709"/>
      <c r="BI74" s="709"/>
      <c r="BJ74" s="709"/>
      <c r="BK74" s="709"/>
      <c r="BL74" s="709"/>
      <c r="BM74" s="709"/>
      <c r="BN74" s="709"/>
      <c r="BO74" s="709"/>
      <c r="BP74" s="709"/>
      <c r="BQ74" s="709"/>
      <c r="BR74" s="709"/>
      <c r="BS74" s="709"/>
      <c r="BT74" s="709"/>
      <c r="BU74" s="709"/>
      <c r="BV74" s="709"/>
      <c r="BW74" s="709"/>
      <c r="BX74" s="709"/>
      <c r="BY74" s="709"/>
      <c r="BZ74" s="709"/>
      <c r="CA74" s="709"/>
    </row>
    <row r="75" spans="1:79">
      <c r="A75" s="722"/>
      <c r="B75" s="722" t="str">
        <f>'Development Budget'!C62</f>
        <v>Permanent Loan Fees</v>
      </c>
      <c r="C75" s="709"/>
      <c r="D75" s="709"/>
      <c r="E75" s="754">
        <f>F75/'Rent Schedule'!$D$26</f>
        <v>1397.6244343891403</v>
      </c>
      <c r="F75" s="763">
        <f>'Development Budget'!G62</f>
        <v>308875</v>
      </c>
      <c r="G75" s="763"/>
      <c r="H75" s="759">
        <f>F75</f>
        <v>308875</v>
      </c>
      <c r="I75" s="1404"/>
      <c r="J75" s="1404"/>
      <c r="K75" s="1404"/>
      <c r="L75" s="1404"/>
      <c r="M75" s="1404"/>
      <c r="N75" s="1404"/>
      <c r="O75" s="1404"/>
      <c r="P75" s="1404"/>
      <c r="Q75" s="1404"/>
      <c r="R75" s="1404"/>
      <c r="S75" s="1404"/>
      <c r="T75" s="1404"/>
      <c r="U75" s="1404"/>
      <c r="V75" s="1404"/>
      <c r="W75" s="1404"/>
      <c r="X75" s="1404"/>
      <c r="Y75" s="1404"/>
      <c r="Z75" s="1404"/>
      <c r="AA75" s="1404"/>
      <c r="AB75" s="1404"/>
      <c r="AC75" s="1404"/>
      <c r="AD75" s="1404"/>
      <c r="AE75" s="759"/>
      <c r="AF75" s="1404"/>
      <c r="AG75" s="1404"/>
      <c r="AH75" s="1404"/>
      <c r="AI75" s="1404"/>
      <c r="AJ75" s="1404"/>
      <c r="AK75" s="1404"/>
      <c r="AL75" s="1404"/>
      <c r="AM75" s="1404"/>
      <c r="AN75" s="1404"/>
      <c r="AO75" s="759"/>
      <c r="AP75" s="1404"/>
      <c r="AQ75" s="1404"/>
      <c r="AR75" s="1404"/>
      <c r="AS75" s="1604"/>
      <c r="AT75" s="1404"/>
      <c r="AU75" s="1404"/>
      <c r="AV75" s="1452">
        <f>SUM(H75:AU75)</f>
        <v>308875</v>
      </c>
      <c r="AW75" s="1455">
        <f>F75-AV75</f>
        <v>0</v>
      </c>
      <c r="AX75" s="740"/>
      <c r="AY75" s="709"/>
      <c r="AZ75" s="709"/>
      <c r="BA75" s="709"/>
      <c r="BB75" s="709"/>
      <c r="BC75" s="709"/>
      <c r="BD75" s="709"/>
      <c r="BE75" s="709"/>
      <c r="BF75" s="709"/>
      <c r="BG75" s="709"/>
      <c r="BH75" s="709"/>
      <c r="BI75" s="709"/>
      <c r="BJ75" s="709"/>
      <c r="BK75" s="709"/>
      <c r="BL75" s="709"/>
      <c r="BM75" s="709"/>
      <c r="BN75" s="709"/>
      <c r="BO75" s="709"/>
      <c r="BP75" s="709"/>
      <c r="BQ75" s="709"/>
      <c r="BR75" s="709"/>
      <c r="BS75" s="709"/>
      <c r="BT75" s="709"/>
      <c r="BU75" s="709"/>
      <c r="BV75" s="709"/>
      <c r="BW75" s="709"/>
      <c r="BX75" s="709"/>
      <c r="BY75" s="709"/>
      <c r="BZ75" s="709"/>
      <c r="CA75" s="709"/>
    </row>
    <row r="76" spans="1:79">
      <c r="A76" s="722"/>
      <c r="B76" s="722" t="str">
        <f>'Development Budget'!C63</f>
        <v>Permanent Loan Legal Fees</v>
      </c>
      <c r="C76" s="709"/>
      <c r="D76" s="709"/>
      <c r="E76" s="754">
        <f>F76/'Rent Schedule'!$D$26</f>
        <v>542.98642533936652</v>
      </c>
      <c r="F76" s="763">
        <f>'Development Budget'!G63</f>
        <v>120000</v>
      </c>
      <c r="G76" s="764"/>
      <c r="H76" s="739">
        <v>30000</v>
      </c>
      <c r="I76" s="1392"/>
      <c r="J76" s="1392"/>
      <c r="K76" s="1392"/>
      <c r="L76" s="1392"/>
      <c r="M76" s="1392"/>
      <c r="N76" s="1392"/>
      <c r="O76" s="1392"/>
      <c r="P76" s="1392"/>
      <c r="Q76" s="1392"/>
      <c r="R76" s="1392"/>
      <c r="S76" s="1392"/>
      <c r="T76" s="1392"/>
      <c r="U76" s="1392"/>
      <c r="V76" s="1392"/>
      <c r="W76" s="1392"/>
      <c r="X76" s="1392"/>
      <c r="Y76" s="1392"/>
      <c r="Z76" s="1392"/>
      <c r="AA76" s="1392"/>
      <c r="AB76" s="1392"/>
      <c r="AC76" s="1392"/>
      <c r="AD76" s="1392"/>
      <c r="AE76" s="739"/>
      <c r="AF76" s="1392"/>
      <c r="AG76" s="1392"/>
      <c r="AH76" s="1392"/>
      <c r="AI76" s="1392"/>
      <c r="AJ76" s="1392"/>
      <c r="AK76" s="1392"/>
      <c r="AL76" s="1392"/>
      <c r="AM76" s="1392"/>
      <c r="AN76" s="1392"/>
      <c r="AO76" s="739"/>
      <c r="AP76" s="1392"/>
      <c r="AQ76" s="1392"/>
      <c r="AR76" s="1392">
        <v>90000</v>
      </c>
      <c r="AS76" s="1569"/>
      <c r="AT76" s="1569"/>
      <c r="AU76" s="1392"/>
      <c r="AV76" s="1452">
        <f>SUM(H76:AU76)</f>
        <v>120000</v>
      </c>
      <c r="AW76" s="1457">
        <f>F76-AV76</f>
        <v>0</v>
      </c>
      <c r="AX76" s="740"/>
      <c r="AY76" s="709"/>
      <c r="AZ76" s="709"/>
      <c r="BA76" s="709"/>
      <c r="BB76" s="709"/>
      <c r="BC76" s="709"/>
      <c r="BD76" s="709"/>
      <c r="BE76" s="709"/>
      <c r="BF76" s="709"/>
      <c r="BG76" s="709"/>
      <c r="BH76" s="709"/>
      <c r="BI76" s="709"/>
      <c r="BJ76" s="709"/>
      <c r="BK76" s="709"/>
      <c r="BL76" s="709"/>
      <c r="BM76" s="709"/>
      <c r="BN76" s="709"/>
      <c r="BO76" s="709"/>
      <c r="BP76" s="709"/>
      <c r="BQ76" s="709"/>
      <c r="BR76" s="709"/>
      <c r="BS76" s="709"/>
      <c r="BT76" s="709"/>
      <c r="BU76" s="709"/>
      <c r="BV76" s="709"/>
      <c r="BW76" s="709"/>
      <c r="BX76" s="709"/>
      <c r="BY76" s="709"/>
      <c r="BZ76" s="709"/>
      <c r="CA76" s="709"/>
    </row>
    <row r="77" spans="1:79">
      <c r="A77" s="722"/>
      <c r="B77" s="722" t="str">
        <f>'Development Budget'!C64</f>
        <v>Title and Recording Fees</v>
      </c>
      <c r="C77" s="709"/>
      <c r="D77" s="709"/>
      <c r="E77" s="754">
        <f>F77/'Rent Schedule'!$D$26</f>
        <v>520.3619909502263</v>
      </c>
      <c r="F77" s="763">
        <f>'Development Budget'!G64</f>
        <v>115000</v>
      </c>
      <c r="G77" s="764"/>
      <c r="H77" s="1390">
        <f>F77</f>
        <v>115000</v>
      </c>
      <c r="I77" s="1392"/>
      <c r="J77" s="1392"/>
      <c r="K77" s="1392"/>
      <c r="L77" s="1392"/>
      <c r="M77" s="1392"/>
      <c r="N77" s="1392"/>
      <c r="O77" s="1392"/>
      <c r="P77" s="1392"/>
      <c r="Q77" s="1392"/>
      <c r="R77" s="1392"/>
      <c r="S77" s="1392"/>
      <c r="T77" s="1392"/>
      <c r="U77" s="1431"/>
      <c r="V77" s="1392"/>
      <c r="W77" s="1392"/>
      <c r="X77" s="1392"/>
      <c r="Y77" s="1392"/>
      <c r="Z77" s="1392"/>
      <c r="AA77" s="1392"/>
      <c r="AB77" s="1392"/>
      <c r="AC77" s="1392"/>
      <c r="AD77" s="1392"/>
      <c r="AE77" s="739"/>
      <c r="AF77" s="1392"/>
      <c r="AG77" s="1392"/>
      <c r="AH77" s="1392"/>
      <c r="AI77" s="1392"/>
      <c r="AJ77" s="1392"/>
      <c r="AK77" s="1392"/>
      <c r="AL77" s="1392"/>
      <c r="AM77" s="1392"/>
      <c r="AN77" s="1392"/>
      <c r="AO77" s="739"/>
      <c r="AP77" s="1392"/>
      <c r="AQ77" s="1394"/>
      <c r="AR77" s="1394">
        <v>0</v>
      </c>
      <c r="AS77" s="1569"/>
      <c r="AT77" s="1569"/>
      <c r="AU77" s="1392"/>
      <c r="AV77" s="1452">
        <f>SUM(H77:AU77)</f>
        <v>115000</v>
      </c>
      <c r="AW77" s="1455">
        <f>F77-AV77</f>
        <v>0</v>
      </c>
      <c r="AX77" s="740"/>
      <c r="AY77" s="709"/>
      <c r="AZ77" s="709"/>
      <c r="BA77" s="709"/>
      <c r="BB77" s="709"/>
      <c r="BC77" s="709"/>
      <c r="BD77" s="709"/>
      <c r="BE77" s="709"/>
      <c r="BF77" s="709"/>
      <c r="BG77" s="709"/>
      <c r="BH77" s="709"/>
      <c r="BI77" s="709"/>
      <c r="BJ77" s="709"/>
      <c r="BK77" s="709"/>
      <c r="BL77" s="709"/>
      <c r="BM77" s="709"/>
      <c r="BN77" s="709"/>
      <c r="BO77" s="709"/>
      <c r="BP77" s="709"/>
      <c r="BQ77" s="709"/>
      <c r="BR77" s="709"/>
      <c r="BS77" s="709"/>
      <c r="BT77" s="709"/>
      <c r="BU77" s="709"/>
      <c r="BV77" s="709"/>
      <c r="BW77" s="709"/>
      <c r="BX77" s="709"/>
      <c r="BY77" s="709"/>
      <c r="BZ77" s="709"/>
      <c r="CA77" s="709"/>
    </row>
    <row r="78" spans="1:79">
      <c r="A78" s="722"/>
      <c r="B78" s="722" t="str">
        <f>'Development Budget'!C65</f>
        <v>As-Built Survey</v>
      </c>
      <c r="C78" s="709"/>
      <c r="D78" s="709"/>
      <c r="E78" s="754">
        <f>F78/'Rent Schedule'!$D$26</f>
        <v>135.74660633484163</v>
      </c>
      <c r="F78" s="763">
        <f>'Development Budget'!G65</f>
        <v>30000</v>
      </c>
      <c r="G78" s="764"/>
      <c r="H78" s="739">
        <v>0</v>
      </c>
      <c r="I78" s="1392"/>
      <c r="J78" s="1392"/>
      <c r="K78" s="1392"/>
      <c r="L78" s="1392"/>
      <c r="M78" s="1392"/>
      <c r="N78" s="1392"/>
      <c r="O78" s="1392"/>
      <c r="P78" s="1392"/>
      <c r="Q78" s="1392"/>
      <c r="R78" s="1392"/>
      <c r="S78" s="1392"/>
      <c r="T78" s="1392"/>
      <c r="U78" s="1392"/>
      <c r="V78" s="1392"/>
      <c r="W78" s="1392"/>
      <c r="X78" s="1392"/>
      <c r="Y78" s="1392"/>
      <c r="Z78" s="1392"/>
      <c r="AA78" s="1392"/>
      <c r="AB78" s="1392"/>
      <c r="AC78" s="1392"/>
      <c r="AD78" s="1392"/>
      <c r="AE78" s="739"/>
      <c r="AF78" s="1392"/>
      <c r="AG78" s="1392"/>
      <c r="AH78" s="1392"/>
      <c r="AI78" s="1392"/>
      <c r="AJ78" s="1392"/>
      <c r="AK78" s="1392"/>
      <c r="AL78" s="1392"/>
      <c r="AM78" s="1392"/>
      <c r="AN78" s="1392"/>
      <c r="AO78" s="739"/>
      <c r="AP78" s="1392"/>
      <c r="AQ78" s="1392"/>
      <c r="AR78" s="1392">
        <v>30000</v>
      </c>
      <c r="AS78" s="1569"/>
      <c r="AT78" s="1569"/>
      <c r="AU78" s="1392"/>
      <c r="AV78" s="1452">
        <f>SUM(H78:AU78)</f>
        <v>30000</v>
      </c>
      <c r="AW78" s="1456">
        <f>F78-AV78</f>
        <v>0</v>
      </c>
      <c r="AX78" s="740"/>
      <c r="AY78" s="709"/>
      <c r="AZ78" s="709"/>
      <c r="BA78" s="709"/>
      <c r="BB78" s="709"/>
      <c r="BC78" s="709"/>
      <c r="BD78" s="709"/>
      <c r="BE78" s="709"/>
      <c r="BF78" s="709"/>
      <c r="BG78" s="709"/>
      <c r="BH78" s="709"/>
      <c r="BI78" s="709"/>
      <c r="BJ78" s="709"/>
      <c r="BK78" s="709"/>
      <c r="BL78" s="709"/>
      <c r="BM78" s="709"/>
      <c r="BN78" s="709"/>
      <c r="BO78" s="709"/>
      <c r="BP78" s="709"/>
      <c r="BQ78" s="709"/>
      <c r="BR78" s="709"/>
      <c r="BS78" s="709"/>
      <c r="BT78" s="709"/>
      <c r="BU78" s="709"/>
      <c r="BV78" s="709"/>
      <c r="BW78" s="709"/>
      <c r="BX78" s="709"/>
      <c r="BY78" s="709"/>
      <c r="BZ78" s="709"/>
      <c r="CA78" s="709"/>
    </row>
    <row r="79" spans="1:79" ht="13.25" customHeight="1">
      <c r="A79" s="722"/>
      <c r="B79" s="722" t="str">
        <f>'Development Budget'!C66</f>
        <v>Conversion Fee</v>
      </c>
      <c r="C79" s="709"/>
      <c r="D79" s="709"/>
      <c r="E79" s="754">
        <f>F79/'Rent Schedule'!$D$26</f>
        <v>45.248868778280546</v>
      </c>
      <c r="F79" s="763">
        <f>'Development Budget'!G66</f>
        <v>10000</v>
      </c>
      <c r="G79" s="764"/>
      <c r="H79" s="739">
        <v>0</v>
      </c>
      <c r="I79" s="1392"/>
      <c r="J79" s="1392"/>
      <c r="K79" s="1392"/>
      <c r="L79" s="1392"/>
      <c r="M79" s="1392"/>
      <c r="N79" s="1392"/>
      <c r="O79" s="1392"/>
      <c r="P79" s="1392"/>
      <c r="Q79" s="1392"/>
      <c r="R79" s="1392"/>
      <c r="S79" s="1392"/>
      <c r="T79" s="1392"/>
      <c r="U79" s="1392"/>
      <c r="V79" s="1392"/>
      <c r="W79" s="1392"/>
      <c r="X79" s="1392"/>
      <c r="Y79" s="1392"/>
      <c r="Z79" s="1392"/>
      <c r="AA79" s="1392"/>
      <c r="AB79" s="1392"/>
      <c r="AC79" s="1392"/>
      <c r="AD79" s="1392"/>
      <c r="AE79" s="739"/>
      <c r="AF79" s="1392"/>
      <c r="AG79" s="1392"/>
      <c r="AH79" s="1392"/>
      <c r="AI79" s="1392"/>
      <c r="AJ79" s="1392"/>
      <c r="AK79" s="1392"/>
      <c r="AL79" s="1392"/>
      <c r="AM79" s="1392"/>
      <c r="AN79" s="1392"/>
      <c r="AO79" s="739"/>
      <c r="AP79" s="1392"/>
      <c r="AQ79" s="1392"/>
      <c r="AR79" s="1392">
        <v>10000</v>
      </c>
      <c r="AS79" s="1569"/>
      <c r="AT79" s="1569"/>
      <c r="AU79" s="1392"/>
      <c r="AV79" s="1452">
        <f>SUM(H79:AU79)</f>
        <v>10000</v>
      </c>
      <c r="AW79" s="1455">
        <f>F79-AV79</f>
        <v>0</v>
      </c>
      <c r="AX79" s="740"/>
      <c r="AY79" s="709"/>
      <c r="AZ79" s="709"/>
      <c r="BA79" s="709"/>
      <c r="BB79" s="709"/>
      <c r="BC79" s="709"/>
      <c r="BD79" s="709"/>
      <c r="BE79" s="709"/>
      <c r="BF79" s="709"/>
      <c r="BG79" s="709"/>
      <c r="BH79" s="709"/>
      <c r="BI79" s="709"/>
      <c r="BJ79" s="709"/>
      <c r="BK79" s="709"/>
      <c r="BL79" s="709"/>
      <c r="BM79" s="709"/>
      <c r="BN79" s="709"/>
      <c r="BO79" s="709"/>
      <c r="BP79" s="709"/>
      <c r="BQ79" s="709"/>
      <c r="BR79" s="709"/>
      <c r="BS79" s="709"/>
      <c r="BT79" s="709"/>
      <c r="BU79" s="709"/>
      <c r="BV79" s="709"/>
      <c r="BW79" s="709"/>
      <c r="BX79" s="709"/>
      <c r="BY79" s="709"/>
      <c r="BZ79" s="709"/>
      <c r="CA79" s="709"/>
    </row>
    <row r="80" spans="1:79">
      <c r="A80" s="750" t="s">
        <v>153</v>
      </c>
      <c r="B80" s="722"/>
      <c r="C80" s="777"/>
      <c r="D80" s="777"/>
      <c r="E80" s="754"/>
      <c r="F80" s="772"/>
      <c r="G80" s="772"/>
      <c r="H80" s="808"/>
      <c r="I80" s="778"/>
      <c r="J80" s="778"/>
      <c r="K80" s="778"/>
      <c r="L80" s="778"/>
      <c r="M80" s="778"/>
      <c r="N80" s="778"/>
      <c r="O80" s="778"/>
      <c r="P80" s="778"/>
      <c r="Q80" s="778"/>
      <c r="R80" s="778"/>
      <c r="S80" s="778"/>
      <c r="T80" s="778"/>
      <c r="U80" s="778"/>
      <c r="V80" s="778"/>
      <c r="W80" s="778"/>
      <c r="X80" s="778"/>
      <c r="Y80" s="778"/>
      <c r="Z80" s="778"/>
      <c r="AA80" s="778"/>
      <c r="AB80" s="778"/>
      <c r="AC80" s="778"/>
      <c r="AD80" s="778"/>
      <c r="AE80" s="778"/>
      <c r="AF80" s="778"/>
      <c r="AG80" s="778"/>
      <c r="AH80" s="778"/>
      <c r="AI80" s="778"/>
      <c r="AJ80" s="778"/>
      <c r="AK80" s="778"/>
      <c r="AL80" s="778"/>
      <c r="AM80" s="778"/>
      <c r="AN80" s="779"/>
      <c r="AO80" s="779"/>
      <c r="AP80" s="779"/>
      <c r="AQ80" s="906"/>
      <c r="AR80" s="1315"/>
      <c r="AS80" s="1315"/>
      <c r="AT80" s="1315"/>
      <c r="AU80" s="778"/>
      <c r="AV80" s="771"/>
      <c r="AW80" s="756"/>
      <c r="AX80" s="780"/>
      <c r="AY80" s="709"/>
      <c r="AZ80" s="709"/>
      <c r="BA80" s="709"/>
      <c r="BB80" s="709"/>
      <c r="BC80" s="709"/>
      <c r="BD80" s="709"/>
      <c r="BE80" s="709"/>
      <c r="BF80" s="709"/>
      <c r="BG80" s="709"/>
      <c r="BH80" s="709"/>
      <c r="BI80" s="709"/>
      <c r="BJ80" s="709"/>
      <c r="BK80" s="709"/>
      <c r="BL80" s="709"/>
      <c r="BM80" s="709"/>
      <c r="BN80" s="709"/>
      <c r="BO80" s="709"/>
      <c r="BP80" s="709"/>
      <c r="BQ80" s="709"/>
      <c r="BR80" s="709"/>
      <c r="BS80" s="709"/>
      <c r="BT80" s="709"/>
      <c r="BU80" s="709"/>
      <c r="BV80" s="709"/>
      <c r="BW80" s="709"/>
      <c r="BX80" s="709"/>
      <c r="BY80" s="709"/>
      <c r="BZ80" s="709"/>
      <c r="CA80" s="709"/>
    </row>
    <row r="81" spans="1:79">
      <c r="A81" s="722"/>
      <c r="B81" s="806" t="str">
        <f>'Development Budget'!C69</f>
        <v>Application Fee</v>
      </c>
      <c r="C81" s="709"/>
      <c r="D81" s="709"/>
      <c r="E81" s="754">
        <f>F81/'Rent Schedule'!$D$26</f>
        <v>0</v>
      </c>
      <c r="F81" s="764">
        <f>'Development Budget'!G69</f>
        <v>0</v>
      </c>
      <c r="G81" s="764"/>
      <c r="H81" s="739">
        <f>F81</f>
        <v>0</v>
      </c>
      <c r="I81" s="1392"/>
      <c r="J81" s="1392"/>
      <c r="K81" s="1392"/>
      <c r="L81" s="1392"/>
      <c r="M81" s="1392"/>
      <c r="N81" s="1392"/>
      <c r="O81" s="1392"/>
      <c r="P81" s="1392"/>
      <c r="Q81" s="1392"/>
      <c r="R81" s="1392"/>
      <c r="S81" s="1392"/>
      <c r="T81" s="1392"/>
      <c r="U81" s="1392"/>
      <c r="V81" s="1392"/>
      <c r="W81" s="1392"/>
      <c r="X81" s="1392"/>
      <c r="Y81" s="1392"/>
      <c r="Z81" s="1392"/>
      <c r="AA81" s="1392"/>
      <c r="AB81" s="1392"/>
      <c r="AC81" s="1392"/>
      <c r="AD81" s="1392"/>
      <c r="AE81" s="739"/>
      <c r="AF81" s="1392"/>
      <c r="AG81" s="1392"/>
      <c r="AH81" s="1392"/>
      <c r="AI81" s="1392"/>
      <c r="AJ81" s="1392"/>
      <c r="AK81" s="1392"/>
      <c r="AL81" s="1392"/>
      <c r="AM81" s="1392"/>
      <c r="AN81" s="1392"/>
      <c r="AO81" s="739"/>
      <c r="AP81" s="1392"/>
      <c r="AQ81" s="1394"/>
      <c r="AR81" s="1569"/>
      <c r="AS81" s="1569"/>
      <c r="AT81" s="1569"/>
      <c r="AU81" s="1392"/>
      <c r="AV81" s="1452">
        <f t="shared" ref="AV81:AV86" si="32">SUM(H81:AU81)</f>
        <v>0</v>
      </c>
      <c r="AW81" s="1455">
        <f t="shared" ref="AW81:AW86" si="33">F81-AV81</f>
        <v>0</v>
      </c>
      <c r="AX81" s="740"/>
      <c r="AY81" s="709"/>
      <c r="AZ81" s="709"/>
      <c r="BA81" s="709"/>
      <c r="BB81" s="709"/>
      <c r="BC81" s="709"/>
      <c r="BD81" s="709"/>
      <c r="BE81" s="709"/>
      <c r="BF81" s="709"/>
      <c r="BG81" s="709"/>
      <c r="BH81" s="709"/>
      <c r="BI81" s="709"/>
      <c r="BJ81" s="709"/>
      <c r="BK81" s="709"/>
      <c r="BL81" s="709"/>
      <c r="BM81" s="709"/>
      <c r="BN81" s="709"/>
      <c r="BO81" s="709"/>
      <c r="BP81" s="709"/>
      <c r="BQ81" s="709"/>
      <c r="BR81" s="709"/>
      <c r="BS81" s="709"/>
      <c r="BT81" s="709"/>
      <c r="BU81" s="709"/>
      <c r="BV81" s="709"/>
      <c r="BW81" s="709"/>
      <c r="BX81" s="709"/>
      <c r="BY81" s="709"/>
      <c r="BZ81" s="709"/>
      <c r="CA81" s="709"/>
    </row>
    <row r="82" spans="1:79">
      <c r="A82" s="722"/>
      <c r="B82" s="806" t="str">
        <f>'Development Budget'!C70</f>
        <v>Pre-application Fee</v>
      </c>
      <c r="C82" s="709"/>
      <c r="D82" s="709"/>
      <c r="E82" s="754">
        <f>F82/'Rent Schedule'!$D$26</f>
        <v>0</v>
      </c>
      <c r="F82" s="764">
        <f>'Development Budget'!G70</f>
        <v>0</v>
      </c>
      <c r="G82" s="764"/>
      <c r="H82" s="739">
        <f>F82</f>
        <v>0</v>
      </c>
      <c r="I82" s="1392"/>
      <c r="J82" s="1392"/>
      <c r="K82" s="1392"/>
      <c r="L82" s="1392"/>
      <c r="M82" s="1392"/>
      <c r="N82" s="1392"/>
      <c r="O82" s="1392"/>
      <c r="P82" s="1392"/>
      <c r="Q82" s="1392"/>
      <c r="R82" s="1392"/>
      <c r="S82" s="1392"/>
      <c r="T82" s="1392"/>
      <c r="U82" s="1392"/>
      <c r="V82" s="1392"/>
      <c r="W82" s="1392"/>
      <c r="X82" s="1392"/>
      <c r="Y82" s="1392"/>
      <c r="Z82" s="1392"/>
      <c r="AA82" s="1392"/>
      <c r="AB82" s="1392"/>
      <c r="AC82" s="1392"/>
      <c r="AD82" s="1392"/>
      <c r="AE82" s="739"/>
      <c r="AF82" s="1392"/>
      <c r="AG82" s="1392"/>
      <c r="AH82" s="1392"/>
      <c r="AI82" s="1392"/>
      <c r="AJ82" s="1392"/>
      <c r="AK82" s="1392"/>
      <c r="AL82" s="1392"/>
      <c r="AM82" s="1392"/>
      <c r="AN82" s="1392"/>
      <c r="AO82" s="739"/>
      <c r="AP82" s="1392"/>
      <c r="AQ82" s="1394"/>
      <c r="AR82" s="1569"/>
      <c r="AS82" s="1569"/>
      <c r="AT82" s="1569"/>
      <c r="AU82" s="1392"/>
      <c r="AV82" s="1452">
        <f t="shared" si="32"/>
        <v>0</v>
      </c>
      <c r="AW82" s="1457">
        <f t="shared" si="33"/>
        <v>0</v>
      </c>
      <c r="AX82" s="740"/>
      <c r="AY82" s="709"/>
      <c r="AZ82" s="709"/>
      <c r="BA82" s="709"/>
      <c r="BB82" s="709"/>
      <c r="BC82" s="709"/>
      <c r="BD82" s="709"/>
      <c r="BE82" s="709"/>
      <c r="BF82" s="709"/>
      <c r="BG82" s="709"/>
      <c r="BH82" s="709"/>
      <c r="BI82" s="709"/>
      <c r="BJ82" s="709"/>
      <c r="BK82" s="709"/>
      <c r="BL82" s="709"/>
      <c r="BM82" s="709"/>
      <c r="BN82" s="709"/>
      <c r="BO82" s="709"/>
      <c r="BP82" s="709"/>
      <c r="BQ82" s="709"/>
      <c r="BR82" s="709"/>
      <c r="BS82" s="709"/>
      <c r="BT82" s="709"/>
      <c r="BU82" s="709"/>
      <c r="BV82" s="709"/>
      <c r="BW82" s="709"/>
      <c r="BX82" s="709"/>
      <c r="BY82" s="709"/>
      <c r="BZ82" s="709"/>
      <c r="CA82" s="709"/>
    </row>
    <row r="83" spans="1:79">
      <c r="A83" s="722"/>
      <c r="B83" s="806" t="str">
        <f>'Development Budget'!C71</f>
        <v>Commitment Fee</v>
      </c>
      <c r="C83" s="709"/>
      <c r="D83" s="709"/>
      <c r="E83" s="754">
        <f ca="1">F83/'Rent Schedule'!$D$26</f>
        <v>171.25395889802562</v>
      </c>
      <c r="F83" s="764">
        <f ca="1">'Development Budget'!G71</f>
        <v>37847.124916463661</v>
      </c>
      <c r="G83" s="764"/>
      <c r="H83" s="739">
        <f ca="1">F83</f>
        <v>37847.124916463661</v>
      </c>
      <c r="I83" s="1392"/>
      <c r="J83" s="1392"/>
      <c r="K83" s="1392"/>
      <c r="L83" s="1392"/>
      <c r="M83" s="1392"/>
      <c r="N83" s="1392"/>
      <c r="O83" s="1392"/>
      <c r="P83" s="1392"/>
      <c r="Q83" s="1392"/>
      <c r="R83" s="1392"/>
      <c r="S83" s="1392"/>
      <c r="T83" s="1392"/>
      <c r="U83" s="1392"/>
      <c r="V83" s="1392"/>
      <c r="W83" s="1392"/>
      <c r="X83" s="1392"/>
      <c r="Y83" s="1392"/>
      <c r="Z83" s="1392"/>
      <c r="AA83" s="1392"/>
      <c r="AB83" s="1392"/>
      <c r="AC83" s="1392"/>
      <c r="AD83" s="1392"/>
      <c r="AE83" s="739"/>
      <c r="AF83" s="1392"/>
      <c r="AG83" s="1392"/>
      <c r="AH83" s="1392"/>
      <c r="AI83" s="1392"/>
      <c r="AJ83" s="1392"/>
      <c r="AK83" s="1392"/>
      <c r="AL83" s="1392"/>
      <c r="AM83" s="1392"/>
      <c r="AN83" s="1392"/>
      <c r="AO83" s="739"/>
      <c r="AP83" s="1392"/>
      <c r="AQ83" s="1394"/>
      <c r="AR83" s="1569"/>
      <c r="AS83" s="1569"/>
      <c r="AT83" s="1569"/>
      <c r="AU83" s="1392"/>
      <c r="AV83" s="1452">
        <f t="shared" ca="1" si="32"/>
        <v>37847.124916463661</v>
      </c>
      <c r="AW83" s="1455">
        <f t="shared" ca="1" si="33"/>
        <v>0</v>
      </c>
      <c r="AX83" s="740"/>
      <c r="AY83" s="709"/>
      <c r="AZ83" s="709"/>
      <c r="BA83" s="709"/>
      <c r="BB83" s="709"/>
      <c r="BC83" s="709"/>
      <c r="BD83" s="709"/>
      <c r="BE83" s="709"/>
      <c r="BF83" s="709"/>
      <c r="BG83" s="709"/>
      <c r="BH83" s="709"/>
      <c r="BI83" s="709"/>
      <c r="BJ83" s="709"/>
      <c r="BK83" s="709"/>
      <c r="BL83" s="709"/>
      <c r="BM83" s="709"/>
      <c r="BN83" s="709"/>
      <c r="BO83" s="709"/>
      <c r="BP83" s="709"/>
      <c r="BQ83" s="709"/>
      <c r="BR83" s="709"/>
      <c r="BS83" s="709"/>
      <c r="BT83" s="709"/>
      <c r="BU83" s="709"/>
      <c r="BV83" s="709"/>
      <c r="BW83" s="709"/>
      <c r="BX83" s="709"/>
      <c r="BY83" s="709"/>
      <c r="BZ83" s="709"/>
      <c r="CA83" s="709"/>
    </row>
    <row r="84" spans="1:79">
      <c r="A84" s="722"/>
      <c r="B84" s="806" t="str">
        <f>'Development Budget'!C72</f>
        <v>Bond Development Determination Fee</v>
      </c>
      <c r="C84" s="709"/>
      <c r="D84" s="709"/>
      <c r="E84" s="754">
        <f ca="1">F84/'Rent Schedule'!$D$26</f>
        <v>171.25395889802562</v>
      </c>
      <c r="F84" s="764">
        <f ca="1">'Development Budget'!G72</f>
        <v>37847.124916463661</v>
      </c>
      <c r="G84" s="764"/>
      <c r="H84" s="739">
        <f ca="1">F84</f>
        <v>37847.124916463661</v>
      </c>
      <c r="I84" s="1392"/>
      <c r="J84" s="1392"/>
      <c r="K84" s="1392"/>
      <c r="L84" s="1392"/>
      <c r="M84" s="1392"/>
      <c r="N84" s="1392"/>
      <c r="O84" s="1392"/>
      <c r="P84" s="1392"/>
      <c r="Q84" s="1392"/>
      <c r="R84" s="1392"/>
      <c r="S84" s="1392"/>
      <c r="T84" s="1392"/>
      <c r="U84" s="1392"/>
      <c r="V84" s="1392"/>
      <c r="W84" s="1392"/>
      <c r="X84" s="1392"/>
      <c r="Y84" s="1392"/>
      <c r="Z84" s="1392"/>
      <c r="AA84" s="1392"/>
      <c r="AB84" s="1392"/>
      <c r="AC84" s="1392"/>
      <c r="AD84" s="1392"/>
      <c r="AE84" s="739"/>
      <c r="AF84" s="1392"/>
      <c r="AG84" s="1392"/>
      <c r="AH84" s="1392"/>
      <c r="AI84" s="1392"/>
      <c r="AJ84" s="1392"/>
      <c r="AK84" s="1392"/>
      <c r="AL84" s="1392"/>
      <c r="AM84" s="1392"/>
      <c r="AN84" s="1392"/>
      <c r="AO84" s="739"/>
      <c r="AP84" s="1392"/>
      <c r="AQ84" s="1394"/>
      <c r="AR84" s="1569"/>
      <c r="AS84" s="1569"/>
      <c r="AT84" s="1569"/>
      <c r="AU84" s="1392"/>
      <c r="AV84" s="1452">
        <f t="shared" ca="1" si="32"/>
        <v>37847.124916463661</v>
      </c>
      <c r="AW84" s="1455">
        <f t="shared" ca="1" si="33"/>
        <v>0</v>
      </c>
      <c r="AX84" s="740"/>
      <c r="AY84" s="709"/>
      <c r="AZ84" s="709"/>
      <c r="BA84" s="709"/>
      <c r="BB84" s="709"/>
      <c r="BC84" s="709"/>
      <c r="BD84" s="709"/>
      <c r="BE84" s="709"/>
      <c r="BF84" s="709"/>
      <c r="BG84" s="709"/>
      <c r="BH84" s="709"/>
      <c r="BI84" s="709"/>
      <c r="BJ84" s="709"/>
      <c r="BK84" s="709"/>
      <c r="BL84" s="709"/>
      <c r="BM84" s="709"/>
      <c r="BN84" s="709"/>
      <c r="BO84" s="709"/>
      <c r="BP84" s="709"/>
      <c r="BQ84" s="709"/>
      <c r="BR84" s="709"/>
      <c r="BS84" s="709"/>
      <c r="BT84" s="709"/>
      <c r="BU84" s="709"/>
      <c r="BV84" s="709"/>
      <c r="BW84" s="709"/>
      <c r="BX84" s="709"/>
      <c r="BY84" s="709"/>
      <c r="BZ84" s="709"/>
      <c r="CA84" s="709"/>
    </row>
    <row r="85" spans="1:79">
      <c r="A85" s="722"/>
      <c r="B85" s="806" t="str">
        <f>'Development Budget'!C73</f>
        <v>LIHTC Allocation Processing Fee</v>
      </c>
      <c r="C85" s="709"/>
      <c r="D85" s="709"/>
      <c r="E85" s="754">
        <f>F85/'Rent Schedule'!$D$26</f>
        <v>316.74208144796381</v>
      </c>
      <c r="F85" s="764">
        <f>'Development Budget'!G73</f>
        <v>70000</v>
      </c>
      <c r="G85" s="764"/>
      <c r="H85" s="739">
        <f>F85</f>
        <v>70000</v>
      </c>
      <c r="I85" s="1392"/>
      <c r="J85" s="1392"/>
      <c r="K85" s="1392"/>
      <c r="L85" s="1392"/>
      <c r="M85" s="1392"/>
      <c r="N85" s="1392"/>
      <c r="O85" s="1392"/>
      <c r="P85" s="1392"/>
      <c r="Q85" s="1392"/>
      <c r="R85" s="1392"/>
      <c r="S85" s="1392"/>
      <c r="T85" s="1392"/>
      <c r="U85" s="1392"/>
      <c r="V85" s="1392"/>
      <c r="W85" s="1392"/>
      <c r="X85" s="1392"/>
      <c r="Y85" s="1392"/>
      <c r="Z85" s="1392"/>
      <c r="AA85" s="1392"/>
      <c r="AB85" s="1392"/>
      <c r="AC85" s="1392"/>
      <c r="AD85" s="1392"/>
      <c r="AE85" s="739"/>
      <c r="AF85" s="1392"/>
      <c r="AG85" s="1392"/>
      <c r="AH85" s="1392"/>
      <c r="AI85" s="1392"/>
      <c r="AJ85" s="1392"/>
      <c r="AK85" s="1392"/>
      <c r="AL85" s="1392"/>
      <c r="AM85" s="1392"/>
      <c r="AN85" s="1392"/>
      <c r="AO85" s="739"/>
      <c r="AP85" s="1392"/>
      <c r="AQ85" s="1394"/>
      <c r="AR85" s="1569"/>
      <c r="AS85" s="1569"/>
      <c r="AT85" s="1569"/>
      <c r="AU85" s="1392"/>
      <c r="AV85" s="1452">
        <f t="shared" si="32"/>
        <v>70000</v>
      </c>
      <c r="AW85" s="1456">
        <f t="shared" si="33"/>
        <v>0</v>
      </c>
      <c r="AX85" s="740"/>
      <c r="AY85" s="709"/>
      <c r="AZ85" s="709"/>
      <c r="BA85" s="709"/>
      <c r="BB85" s="709"/>
      <c r="BC85" s="709"/>
      <c r="BD85" s="709"/>
      <c r="BE85" s="709"/>
      <c r="BF85" s="709"/>
      <c r="BG85" s="709"/>
      <c r="BH85" s="709"/>
      <c r="BI85" s="709"/>
      <c r="BJ85" s="709"/>
      <c r="BK85" s="709"/>
      <c r="BL85" s="709"/>
      <c r="BM85" s="709"/>
      <c r="BN85" s="709"/>
      <c r="BO85" s="709"/>
      <c r="BP85" s="709"/>
      <c r="BQ85" s="709"/>
      <c r="BR85" s="709"/>
      <c r="BS85" s="709"/>
      <c r="BT85" s="709"/>
      <c r="BU85" s="709"/>
      <c r="BV85" s="709"/>
      <c r="BW85" s="709"/>
      <c r="BX85" s="709"/>
      <c r="BY85" s="709"/>
      <c r="BZ85" s="709"/>
      <c r="CA85" s="709"/>
    </row>
    <row r="86" spans="1:79">
      <c r="A86" s="722"/>
      <c r="B86" s="806" t="str">
        <f>'Development Budget'!C74</f>
        <v>LIHTC Compliance Monitoring Fee</v>
      </c>
      <c r="C86" s="709"/>
      <c r="D86" s="709"/>
      <c r="E86" s="754">
        <f>F86/'Rent Schedule'!$D$26</f>
        <v>38.371040723981899</v>
      </c>
      <c r="F86" s="764">
        <f>'Development Budget'!G74</f>
        <v>8480</v>
      </c>
      <c r="G86" s="764"/>
      <c r="H86" s="739">
        <v>0</v>
      </c>
      <c r="I86" s="1392"/>
      <c r="J86" s="1392"/>
      <c r="K86" s="1392"/>
      <c r="L86" s="1392"/>
      <c r="M86" s="1392"/>
      <c r="N86" s="1392"/>
      <c r="O86" s="1392"/>
      <c r="P86" s="1392"/>
      <c r="Q86" s="1392"/>
      <c r="R86" s="1392"/>
      <c r="S86" s="1392"/>
      <c r="T86" s="1392"/>
      <c r="U86" s="1392"/>
      <c r="V86" s="1392"/>
      <c r="W86" s="1392"/>
      <c r="X86" s="1392"/>
      <c r="Y86" s="1392"/>
      <c r="Z86" s="1392"/>
      <c r="AA86" s="1392"/>
      <c r="AB86" s="1392"/>
      <c r="AC86" s="1392"/>
      <c r="AD86" s="1392">
        <f>F86</f>
        <v>8480</v>
      </c>
      <c r="AE86" s="739"/>
      <c r="AF86" s="1392"/>
      <c r="AG86" s="1392"/>
      <c r="AH86" s="1392"/>
      <c r="AI86" s="1392"/>
      <c r="AJ86" s="1392"/>
      <c r="AK86" s="1392"/>
      <c r="AL86" s="1392"/>
      <c r="AM86" s="1392"/>
      <c r="AN86" s="1392"/>
      <c r="AO86" s="739"/>
      <c r="AP86" s="1392"/>
      <c r="AQ86" s="1394"/>
      <c r="AR86" s="1569"/>
      <c r="AS86" s="1569"/>
      <c r="AT86" s="1569"/>
      <c r="AU86" s="1392"/>
      <c r="AV86" s="1452">
        <f t="shared" si="32"/>
        <v>8480</v>
      </c>
      <c r="AW86" s="1455">
        <f t="shared" si="33"/>
        <v>0</v>
      </c>
      <c r="AX86" s="740"/>
      <c r="AY86" s="709"/>
      <c r="AZ86" s="709"/>
      <c r="BA86" s="709"/>
      <c r="BB86" s="709"/>
      <c r="BC86" s="709"/>
      <c r="BD86" s="709"/>
      <c r="BE86" s="709"/>
      <c r="BF86" s="709"/>
      <c r="BG86" s="709"/>
      <c r="BH86" s="709"/>
      <c r="BI86" s="709"/>
      <c r="BJ86" s="709"/>
      <c r="BK86" s="709"/>
      <c r="BL86" s="709"/>
      <c r="BM86" s="709"/>
      <c r="BN86" s="709"/>
      <c r="BO86" s="709"/>
      <c r="BP86" s="709"/>
      <c r="BQ86" s="709"/>
      <c r="BR86" s="709"/>
      <c r="BS86" s="709"/>
      <c r="BT86" s="709"/>
      <c r="BU86" s="709"/>
      <c r="BV86" s="709"/>
      <c r="BW86" s="709"/>
      <c r="BX86" s="709"/>
      <c r="BY86" s="709"/>
      <c r="BZ86" s="709"/>
      <c r="CA86" s="709"/>
    </row>
    <row r="87" spans="1:79">
      <c r="A87" s="750" t="s">
        <v>156</v>
      </c>
      <c r="B87" s="722"/>
      <c r="C87" s="709"/>
      <c r="D87" s="709"/>
      <c r="E87" s="754"/>
      <c r="F87" s="772"/>
      <c r="G87" s="772"/>
      <c r="H87" s="808"/>
      <c r="I87" s="771"/>
      <c r="J87" s="771"/>
      <c r="K87" s="771"/>
      <c r="L87" s="771"/>
      <c r="M87" s="771"/>
      <c r="N87" s="771"/>
      <c r="O87" s="771"/>
      <c r="P87" s="771"/>
      <c r="Q87" s="771"/>
      <c r="R87" s="771"/>
      <c r="S87" s="771"/>
      <c r="T87" s="771"/>
      <c r="U87" s="771"/>
      <c r="V87" s="771"/>
      <c r="W87" s="771"/>
      <c r="X87" s="771"/>
      <c r="Y87" s="771"/>
      <c r="Z87" s="771"/>
      <c r="AA87" s="771"/>
      <c r="AB87" s="771"/>
      <c r="AC87" s="771"/>
      <c r="AD87" s="771"/>
      <c r="AE87" s="771"/>
      <c r="AF87" s="771"/>
      <c r="AG87" s="771"/>
      <c r="AH87" s="771"/>
      <c r="AI87" s="771"/>
      <c r="AJ87" s="771"/>
      <c r="AK87" s="771"/>
      <c r="AL87" s="771"/>
      <c r="AM87" s="771"/>
      <c r="AN87" s="772"/>
      <c r="AO87" s="772"/>
      <c r="AP87" s="772"/>
      <c r="AQ87" s="907"/>
      <c r="AR87" s="1316"/>
      <c r="AS87" s="1316"/>
      <c r="AT87" s="1316"/>
      <c r="AU87" s="771"/>
      <c r="AV87" s="771"/>
      <c r="AW87" s="756"/>
      <c r="AX87" s="740"/>
      <c r="AY87" s="709"/>
      <c r="AZ87" s="709"/>
      <c r="BA87" s="709"/>
      <c r="BB87" s="709"/>
      <c r="BC87" s="709"/>
      <c r="BD87" s="709"/>
      <c r="BE87" s="709"/>
      <c r="BF87" s="709"/>
      <c r="BG87" s="709"/>
      <c r="BH87" s="709"/>
      <c r="BI87" s="709"/>
      <c r="BJ87" s="709"/>
      <c r="BK87" s="709"/>
      <c r="BL87" s="709"/>
      <c r="BM87" s="709"/>
      <c r="BN87" s="709"/>
      <c r="BO87" s="709"/>
      <c r="BP87" s="709"/>
      <c r="BQ87" s="709"/>
      <c r="BR87" s="709"/>
      <c r="BS87" s="709"/>
      <c r="BT87" s="709"/>
      <c r="BU87" s="709"/>
      <c r="BV87" s="709"/>
      <c r="BW87" s="709"/>
      <c r="BX87" s="709"/>
      <c r="BY87" s="709"/>
      <c r="BZ87" s="709"/>
      <c r="CA87" s="709"/>
    </row>
    <row r="88" spans="1:79">
      <c r="A88" s="722"/>
      <c r="B88" s="806" t="str">
        <f>'Development Budget'!C77</f>
        <v>Partnership Organization Fees</v>
      </c>
      <c r="C88" s="709"/>
      <c r="D88" s="709"/>
      <c r="E88" s="754">
        <f>F88/'Rent Schedule'!$D$26</f>
        <v>158.37104072398191</v>
      </c>
      <c r="F88" s="764">
        <f>'Development Budget'!G77</f>
        <v>35000</v>
      </c>
      <c r="G88" s="764"/>
      <c r="H88" s="739">
        <f>F88</f>
        <v>35000</v>
      </c>
      <c r="I88" s="1392"/>
      <c r="J88" s="1392"/>
      <c r="K88" s="1392"/>
      <c r="L88" s="1392"/>
      <c r="M88" s="1392"/>
      <c r="N88" s="1392"/>
      <c r="O88" s="1392"/>
      <c r="P88" s="1392"/>
      <c r="Q88" s="1392"/>
      <c r="R88" s="1392"/>
      <c r="S88" s="1392"/>
      <c r="T88" s="1392"/>
      <c r="U88" s="1392"/>
      <c r="V88" s="1392"/>
      <c r="W88" s="1392"/>
      <c r="X88" s="1392"/>
      <c r="Y88" s="1392"/>
      <c r="Z88" s="1392"/>
      <c r="AA88" s="1392"/>
      <c r="AB88" s="1392"/>
      <c r="AC88" s="1392"/>
      <c r="AD88" s="1392"/>
      <c r="AE88" s="739"/>
      <c r="AF88" s="1392"/>
      <c r="AG88" s="1392"/>
      <c r="AH88" s="1392"/>
      <c r="AI88" s="1392"/>
      <c r="AJ88" s="1392"/>
      <c r="AK88" s="1392"/>
      <c r="AL88" s="1392"/>
      <c r="AM88" s="1392"/>
      <c r="AN88" s="1392"/>
      <c r="AO88" s="739"/>
      <c r="AP88" s="1392"/>
      <c r="AQ88" s="1394"/>
      <c r="AR88" s="1569"/>
      <c r="AS88" s="1569"/>
      <c r="AT88" s="1569"/>
      <c r="AU88" s="1392"/>
      <c r="AV88" s="1452">
        <f>SUM(H88:AU88)</f>
        <v>35000</v>
      </c>
      <c r="AW88" s="1455">
        <f>F88-AV88</f>
        <v>0</v>
      </c>
      <c r="AX88" s="740"/>
      <c r="AY88" s="709"/>
      <c r="AZ88" s="709"/>
      <c r="BA88" s="709"/>
      <c r="BB88" s="709"/>
      <c r="BC88" s="709"/>
      <c r="BD88" s="709"/>
      <c r="BE88" s="709"/>
      <c r="BF88" s="709"/>
      <c r="BG88" s="709"/>
      <c r="BH88" s="709"/>
      <c r="BI88" s="709"/>
      <c r="BJ88" s="709"/>
      <c r="BK88" s="709"/>
      <c r="BL88" s="709"/>
      <c r="BM88" s="709"/>
      <c r="BN88" s="709"/>
      <c r="BO88" s="709"/>
      <c r="BP88" s="709"/>
      <c r="BQ88" s="709"/>
      <c r="BR88" s="709"/>
      <c r="BS88" s="709"/>
      <c r="BT88" s="709"/>
      <c r="BU88" s="709"/>
      <c r="BV88" s="709"/>
      <c r="BW88" s="709"/>
      <c r="BX88" s="709"/>
      <c r="BY88" s="709"/>
      <c r="BZ88" s="709"/>
      <c r="CA88" s="709"/>
    </row>
    <row r="89" spans="1:79">
      <c r="A89" s="722"/>
      <c r="B89" s="806" t="str">
        <f>'Development Budget'!C78</f>
        <v>Tax Credit Legal Opinion</v>
      </c>
      <c r="C89" s="709"/>
      <c r="D89" s="709"/>
      <c r="E89" s="754">
        <f>F89/'Rent Schedule'!$D$26</f>
        <v>135.74660633484163</v>
      </c>
      <c r="F89" s="764">
        <f>'Development Budget'!G78</f>
        <v>30000</v>
      </c>
      <c r="G89" s="764"/>
      <c r="H89" s="739">
        <f>F89</f>
        <v>30000</v>
      </c>
      <c r="I89" s="1392"/>
      <c r="J89" s="1392"/>
      <c r="K89" s="1392"/>
      <c r="L89" s="1392"/>
      <c r="M89" s="1392"/>
      <c r="N89" s="1392"/>
      <c r="O89" s="1392"/>
      <c r="P89" s="1392"/>
      <c r="Q89" s="1392"/>
      <c r="R89" s="1392"/>
      <c r="S89" s="1392"/>
      <c r="T89" s="1392"/>
      <c r="U89" s="1392"/>
      <c r="V89" s="1392"/>
      <c r="W89" s="1392"/>
      <c r="X89" s="1392"/>
      <c r="Y89" s="1392"/>
      <c r="Z89" s="1392"/>
      <c r="AA89" s="1392"/>
      <c r="AB89" s="1392"/>
      <c r="AC89" s="1392"/>
      <c r="AD89" s="1392"/>
      <c r="AE89" s="739"/>
      <c r="AF89" s="1392"/>
      <c r="AG89" s="1392"/>
      <c r="AH89" s="1392"/>
      <c r="AI89" s="1392"/>
      <c r="AJ89" s="1392"/>
      <c r="AK89" s="1392"/>
      <c r="AL89" s="1392"/>
      <c r="AM89" s="1392"/>
      <c r="AN89" s="1392"/>
      <c r="AO89" s="739"/>
      <c r="AP89" s="1392"/>
      <c r="AQ89" s="1394"/>
      <c r="AR89" s="1569"/>
      <c r="AS89" s="1569"/>
      <c r="AT89" s="1569"/>
      <c r="AU89" s="1392"/>
      <c r="AV89" s="1452">
        <f>SUM(H89:AU89)</f>
        <v>30000</v>
      </c>
      <c r="AW89" s="1457">
        <f>F89-AV89</f>
        <v>0</v>
      </c>
      <c r="AX89" s="740"/>
      <c r="AY89" s="709"/>
      <c r="AZ89" s="709"/>
      <c r="BA89" s="709"/>
      <c r="BB89" s="709"/>
      <c r="BC89" s="709"/>
      <c r="BD89" s="709"/>
      <c r="BE89" s="709"/>
      <c r="BF89" s="709"/>
      <c r="BG89" s="709"/>
      <c r="BH89" s="709"/>
      <c r="BI89" s="709"/>
      <c r="BJ89" s="709"/>
      <c r="BK89" s="709"/>
      <c r="BL89" s="709"/>
      <c r="BM89" s="709"/>
      <c r="BN89" s="709"/>
      <c r="BO89" s="709"/>
      <c r="BP89" s="709"/>
      <c r="BQ89" s="709"/>
      <c r="BR89" s="709"/>
      <c r="BS89" s="709"/>
      <c r="BT89" s="709"/>
      <c r="BU89" s="709"/>
      <c r="BV89" s="709"/>
      <c r="BW89" s="709"/>
      <c r="BX89" s="709"/>
      <c r="BY89" s="709"/>
      <c r="BZ89" s="709"/>
      <c r="CA89" s="709"/>
    </row>
    <row r="90" spans="1:79">
      <c r="A90" s="722"/>
      <c r="B90" s="806" t="str">
        <f>'Development Budget'!C79</f>
        <v>Syndicator Legal Fees</v>
      </c>
      <c r="C90" s="709"/>
      <c r="D90" s="709"/>
      <c r="E90" s="754">
        <f>F90/'Rent Schedule'!$D$26</f>
        <v>135.74660633484163</v>
      </c>
      <c r="F90" s="764">
        <f>'Development Budget'!G79</f>
        <v>30000</v>
      </c>
      <c r="G90" s="764"/>
      <c r="H90" s="739">
        <f>F90</f>
        <v>30000</v>
      </c>
      <c r="I90" s="1392"/>
      <c r="J90" s="1392"/>
      <c r="K90" s="1392"/>
      <c r="L90" s="1392"/>
      <c r="M90" s="1392"/>
      <c r="N90" s="1392"/>
      <c r="O90" s="1392"/>
      <c r="P90" s="1392"/>
      <c r="Q90" s="1392"/>
      <c r="R90" s="1392"/>
      <c r="S90" s="1392"/>
      <c r="T90" s="1392"/>
      <c r="U90" s="1392"/>
      <c r="V90" s="1392"/>
      <c r="W90" s="1392"/>
      <c r="X90" s="1392"/>
      <c r="Y90" s="1392"/>
      <c r="Z90" s="1392"/>
      <c r="AA90" s="1392"/>
      <c r="AB90" s="1392"/>
      <c r="AC90" s="1392"/>
      <c r="AD90" s="1392"/>
      <c r="AE90" s="739"/>
      <c r="AF90" s="1392"/>
      <c r="AG90" s="1392"/>
      <c r="AH90" s="1392"/>
      <c r="AI90" s="1392"/>
      <c r="AJ90" s="1392"/>
      <c r="AK90" s="1392"/>
      <c r="AL90" s="1392"/>
      <c r="AM90" s="1392"/>
      <c r="AN90" s="1392"/>
      <c r="AO90" s="739"/>
      <c r="AP90" s="1392"/>
      <c r="AQ90" s="1394"/>
      <c r="AR90" s="1569"/>
      <c r="AS90" s="1569"/>
      <c r="AT90" s="1569"/>
      <c r="AU90" s="1392"/>
      <c r="AV90" s="1452">
        <f>SUM(H90:AU90)</f>
        <v>30000</v>
      </c>
      <c r="AW90" s="1456">
        <f>F90-AV90</f>
        <v>0</v>
      </c>
      <c r="AX90" s="740"/>
      <c r="AY90" s="709"/>
      <c r="AZ90" s="709"/>
      <c r="BA90" s="709"/>
      <c r="BB90" s="709"/>
      <c r="BC90" s="709"/>
      <c r="BD90" s="709"/>
      <c r="BE90" s="709"/>
      <c r="BF90" s="709"/>
      <c r="BG90" s="709"/>
      <c r="BH90" s="709"/>
      <c r="BI90" s="709"/>
      <c r="BJ90" s="709"/>
      <c r="BK90" s="709"/>
      <c r="BL90" s="709"/>
      <c r="BM90" s="709"/>
      <c r="BN90" s="709"/>
      <c r="BO90" s="709"/>
      <c r="BP90" s="709"/>
      <c r="BQ90" s="709"/>
      <c r="BR90" s="709"/>
      <c r="BS90" s="709"/>
      <c r="BT90" s="709"/>
      <c r="BU90" s="709"/>
      <c r="BV90" s="709"/>
      <c r="BW90" s="709"/>
      <c r="BX90" s="709"/>
      <c r="BY90" s="709"/>
      <c r="BZ90" s="709"/>
      <c r="CA90" s="709"/>
    </row>
    <row r="91" spans="1:79">
      <c r="A91" s="722"/>
      <c r="B91" s="806" t="str">
        <f>'Development Budget'!C80</f>
        <v>Syndicator Due Diligence Fee</v>
      </c>
      <c r="C91" s="709"/>
      <c r="D91" s="709"/>
      <c r="E91" s="754">
        <f>F91/'Rent Schedule'!$D$26</f>
        <v>90.497737556561091</v>
      </c>
      <c r="F91" s="764">
        <f>'Development Budget'!G80</f>
        <v>20000</v>
      </c>
      <c r="G91" s="764"/>
      <c r="H91" s="739">
        <f>F91</f>
        <v>20000</v>
      </c>
      <c r="I91" s="1392"/>
      <c r="J91" s="1392"/>
      <c r="K91" s="1392"/>
      <c r="L91" s="1392"/>
      <c r="M91" s="1392"/>
      <c r="N91" s="1392"/>
      <c r="O91" s="1392"/>
      <c r="P91" s="1392"/>
      <c r="Q91" s="1392"/>
      <c r="R91" s="1392"/>
      <c r="S91" s="1392"/>
      <c r="T91" s="1392"/>
      <c r="U91" s="1392"/>
      <c r="V91" s="1392"/>
      <c r="W91" s="1392"/>
      <c r="X91" s="1392"/>
      <c r="Y91" s="1392"/>
      <c r="Z91" s="1392"/>
      <c r="AA91" s="1392"/>
      <c r="AB91" s="1392"/>
      <c r="AC91" s="1392"/>
      <c r="AD91" s="1392"/>
      <c r="AE91" s="739"/>
      <c r="AF91" s="1392"/>
      <c r="AG91" s="1392"/>
      <c r="AH91" s="1392"/>
      <c r="AI91" s="1392"/>
      <c r="AJ91" s="1392"/>
      <c r="AK91" s="1392"/>
      <c r="AL91" s="1392"/>
      <c r="AM91" s="1392"/>
      <c r="AN91" s="1392"/>
      <c r="AO91" s="739"/>
      <c r="AP91" s="1392"/>
      <c r="AQ91" s="1394"/>
      <c r="AR91" s="1569"/>
      <c r="AS91" s="1569"/>
      <c r="AT91" s="1569"/>
      <c r="AU91" s="1392"/>
      <c r="AV91" s="1452">
        <f>SUM(H91:AU91)</f>
        <v>20000</v>
      </c>
      <c r="AW91" s="1455">
        <f>F91-AV91</f>
        <v>0</v>
      </c>
      <c r="AX91" s="740"/>
      <c r="AY91" s="709"/>
      <c r="AZ91" s="709"/>
      <c r="BA91" s="709"/>
      <c r="BB91" s="709"/>
      <c r="BC91" s="709"/>
      <c r="BD91" s="709"/>
      <c r="BE91" s="709"/>
      <c r="BF91" s="709"/>
      <c r="BG91" s="709"/>
      <c r="BH91" s="709"/>
      <c r="BI91" s="709"/>
      <c r="BJ91" s="709"/>
      <c r="BK91" s="709"/>
      <c r="BL91" s="709"/>
      <c r="BM91" s="709"/>
      <c r="BN91" s="709"/>
      <c r="BO91" s="709"/>
      <c r="BP91" s="709"/>
      <c r="BQ91" s="709"/>
      <c r="BR91" s="709"/>
      <c r="BS91" s="709"/>
      <c r="BT91" s="709"/>
      <c r="BU91" s="709"/>
      <c r="BV91" s="709"/>
      <c r="BW91" s="709"/>
      <c r="BX91" s="709"/>
      <c r="BY91" s="709"/>
      <c r="BZ91" s="709"/>
      <c r="CA91" s="709"/>
    </row>
    <row r="92" spans="1:79">
      <c r="A92" s="750" t="s">
        <v>161</v>
      </c>
      <c r="B92" s="722"/>
      <c r="C92" s="709"/>
      <c r="D92" s="709"/>
      <c r="E92" s="754"/>
      <c r="F92" s="772"/>
      <c r="G92" s="772"/>
      <c r="H92" s="808" t="s">
        <v>420</v>
      </c>
      <c r="I92" s="771"/>
      <c r="J92" s="771"/>
      <c r="K92" s="771"/>
      <c r="L92" s="771"/>
      <c r="M92" s="771"/>
      <c r="N92" s="771"/>
      <c r="O92" s="771"/>
      <c r="P92" s="771"/>
      <c r="Q92" s="771"/>
      <c r="R92" s="771"/>
      <c r="S92" s="771"/>
      <c r="T92" s="771"/>
      <c r="U92" s="771"/>
      <c r="V92" s="771"/>
      <c r="W92" s="771"/>
      <c r="X92" s="771"/>
      <c r="Y92" s="771"/>
      <c r="Z92" s="771"/>
      <c r="AA92" s="771"/>
      <c r="AB92" s="771"/>
      <c r="AC92" s="771"/>
      <c r="AD92" s="771"/>
      <c r="AE92" s="771"/>
      <c r="AF92" s="771"/>
      <c r="AG92" s="771"/>
      <c r="AH92" s="771"/>
      <c r="AI92" s="771"/>
      <c r="AJ92" s="771"/>
      <c r="AK92" s="771"/>
      <c r="AL92" s="771"/>
      <c r="AM92" s="771"/>
      <c r="AN92" s="772"/>
      <c r="AO92" s="772"/>
      <c r="AP92" s="772"/>
      <c r="AQ92" s="907"/>
      <c r="AR92" s="1316"/>
      <c r="AS92" s="1316"/>
      <c r="AT92" s="1316"/>
      <c r="AU92" s="771"/>
      <c r="AV92" s="771"/>
      <c r="AW92" s="756"/>
      <c r="AX92" s="740"/>
      <c r="AY92" s="709"/>
      <c r="AZ92" s="709"/>
      <c r="BA92" s="709"/>
      <c r="BB92" s="709"/>
      <c r="BC92" s="709"/>
      <c r="BD92" s="709"/>
      <c r="BE92" s="709"/>
      <c r="BF92" s="709"/>
      <c r="BG92" s="709"/>
      <c r="BH92" s="709"/>
      <c r="BI92" s="709"/>
      <c r="BJ92" s="709"/>
      <c r="BK92" s="709"/>
      <c r="BL92" s="709"/>
      <c r="BM92" s="709"/>
      <c r="BN92" s="709"/>
      <c r="BO92" s="709"/>
      <c r="BP92" s="709"/>
      <c r="BQ92" s="709"/>
      <c r="BR92" s="709"/>
      <c r="BS92" s="709"/>
      <c r="BT92" s="709"/>
      <c r="BU92" s="709"/>
      <c r="BV92" s="709"/>
      <c r="BW92" s="709"/>
      <c r="BX92" s="709"/>
      <c r="BY92" s="709"/>
      <c r="BZ92" s="709"/>
      <c r="CA92" s="709"/>
    </row>
    <row r="93" spans="1:79">
      <c r="A93" s="722"/>
      <c r="B93" s="806" t="str">
        <f>'Development Budget'!C83</f>
        <v>Marketing</v>
      </c>
      <c r="C93" s="709"/>
      <c r="D93" s="709"/>
      <c r="E93" s="754">
        <f>F93/'Rent Schedule'!$D$26</f>
        <v>226.24434389140271</v>
      </c>
      <c r="F93" s="764">
        <f>'Development Budget'!G83</f>
        <v>50000</v>
      </c>
      <c r="G93" s="764"/>
      <c r="H93" s="781">
        <v>0</v>
      </c>
      <c r="I93" s="1392"/>
      <c r="J93" s="1392"/>
      <c r="K93" s="1392"/>
      <c r="L93" s="1392"/>
      <c r="M93" s="1392"/>
      <c r="N93" s="1392"/>
      <c r="O93" s="1392"/>
      <c r="P93" s="1392"/>
      <c r="Q93" s="1392"/>
      <c r="R93" s="1392"/>
      <c r="S93" s="1431"/>
      <c r="T93" s="1431"/>
      <c r="U93" s="1431">
        <v>0</v>
      </c>
      <c r="V93" s="1431"/>
      <c r="W93" s="1431"/>
      <c r="X93" s="1431">
        <v>0</v>
      </c>
      <c r="Y93" s="1431"/>
      <c r="Z93" s="1431"/>
      <c r="AA93" s="1392"/>
      <c r="AB93" s="1431">
        <v>0</v>
      </c>
      <c r="AC93" s="1431">
        <v>0</v>
      </c>
      <c r="AD93" s="1431">
        <v>0</v>
      </c>
      <c r="AE93" s="1443">
        <f>MIN($F$93/6,$F$93-SUM($G$93:AD93))</f>
        <v>8333.3333333333339</v>
      </c>
      <c r="AF93" s="1431">
        <f>MIN($F$93/6,$F$93-SUM($G$93:AE93))</f>
        <v>8333.3333333333339</v>
      </c>
      <c r="AG93" s="1431">
        <f>MIN($F$93/6,$F$93-SUM($G$93:AF93))</f>
        <v>8333.3333333333339</v>
      </c>
      <c r="AH93" s="1431">
        <f>MIN($F$93/6,$F$93-SUM($G$93:AG93))</f>
        <v>8333.3333333333339</v>
      </c>
      <c r="AI93" s="1431">
        <f>MIN($F$93/6,$F$93-SUM($G$93:AH93))</f>
        <v>8333.3333333333339</v>
      </c>
      <c r="AJ93" s="1431">
        <f>MIN($F$93/6,$F$93-SUM($G$93:AI93))</f>
        <v>8333.3333333333285</v>
      </c>
      <c r="AK93" s="1431">
        <v>0</v>
      </c>
      <c r="AL93" s="1431"/>
      <c r="AM93" s="1431"/>
      <c r="AN93" s="1431"/>
      <c r="AO93" s="1443"/>
      <c r="AP93" s="1431"/>
      <c r="AQ93" s="1437"/>
      <c r="AR93" s="1573"/>
      <c r="AS93" s="1573"/>
      <c r="AT93" s="1573"/>
      <c r="AU93" s="1431"/>
      <c r="AV93" s="1452">
        <f>SUM(H93:AU93)</f>
        <v>50000</v>
      </c>
      <c r="AW93" s="1455">
        <f>F93-AV93</f>
        <v>0</v>
      </c>
      <c r="AX93" s="740"/>
      <c r="AY93" s="709"/>
      <c r="AZ93" s="709"/>
      <c r="BA93" s="709"/>
      <c r="BB93" s="709"/>
      <c r="BC93" s="709"/>
      <c r="BD93" s="709"/>
      <c r="BE93" s="709"/>
      <c r="BF93" s="709"/>
      <c r="BG93" s="709"/>
      <c r="BH93" s="709"/>
      <c r="BI93" s="709"/>
      <c r="BJ93" s="709"/>
      <c r="BK93" s="709"/>
      <c r="BL93" s="709"/>
      <c r="BM93" s="709"/>
      <c r="BN93" s="709"/>
      <c r="BO93" s="709"/>
      <c r="BP93" s="709"/>
      <c r="BQ93" s="709"/>
      <c r="BR93" s="709"/>
      <c r="BS93" s="709"/>
      <c r="BT93" s="709"/>
      <c r="BU93" s="709"/>
      <c r="BV93" s="709"/>
      <c r="BW93" s="709"/>
      <c r="BX93" s="709"/>
      <c r="BY93" s="709"/>
      <c r="BZ93" s="709"/>
      <c r="CA93" s="709"/>
    </row>
    <row r="94" spans="1:79">
      <c r="A94" s="722"/>
      <c r="B94" s="806" t="str">
        <f>'Development Budget'!C84</f>
        <v>Rent-Up Reserves</v>
      </c>
      <c r="C94" s="709"/>
      <c r="D94" s="709"/>
      <c r="E94" s="754">
        <f>F94/'Rent Schedule'!$D$26</f>
        <v>2714.9321266968327</v>
      </c>
      <c r="F94" s="764">
        <f>'Development Budget'!G84</f>
        <v>600000</v>
      </c>
      <c r="G94" s="764"/>
      <c r="H94" s="781">
        <v>0</v>
      </c>
      <c r="I94" s="1392"/>
      <c r="J94" s="1392"/>
      <c r="K94" s="1392"/>
      <c r="L94" s="1392"/>
      <c r="M94" s="1392"/>
      <c r="N94" s="1392"/>
      <c r="O94" s="1392"/>
      <c r="P94" s="1392"/>
      <c r="Q94" s="1392"/>
      <c r="R94" s="1392"/>
      <c r="S94" s="1392"/>
      <c r="T94" s="1392"/>
      <c r="U94" s="1392"/>
      <c r="V94" s="1392"/>
      <c r="W94" s="1392"/>
      <c r="X94" s="1392">
        <v>40000</v>
      </c>
      <c r="Y94" s="1392">
        <f>$F94/12</f>
        <v>50000</v>
      </c>
      <c r="Z94" s="1392">
        <f>MIN($F$94-SUM($G$94:Y94),$F94/12)</f>
        <v>50000</v>
      </c>
      <c r="AA94" s="1392">
        <f>MIN($F$94-SUM($G$94:Z94),$F94/12)</f>
        <v>50000</v>
      </c>
      <c r="AB94" s="1392">
        <f>MIN($F$94-SUM($G$94:AA94),$F94/12)</f>
        <v>50000</v>
      </c>
      <c r="AC94" s="1392">
        <f>MIN($F$94-SUM($G$94:AB94),$F94/12)</f>
        <v>50000</v>
      </c>
      <c r="AD94" s="1392">
        <f>MIN($F$94-SUM($G$94:AC94),$F94/12)</f>
        <v>50000</v>
      </c>
      <c r="AE94" s="739">
        <f>MIN($F$94-SUM($G$94:AD94),$F94/12)</f>
        <v>50000</v>
      </c>
      <c r="AF94" s="1392">
        <f>MIN($F$94-SUM($G$94:AE94),$F94/12)</f>
        <v>50000</v>
      </c>
      <c r="AG94" s="1392">
        <f>MIN($F$94-SUM($G$94:AF94),$F94/12)</f>
        <v>50000</v>
      </c>
      <c r="AH94" s="1392">
        <f>MIN($F$94-SUM($G$94:AG94),$F94/12)</f>
        <v>50000</v>
      </c>
      <c r="AI94" s="1392">
        <f>MIN($F$94-SUM($G$94:AH94),$F94/12)</f>
        <v>50000</v>
      </c>
      <c r="AJ94" s="1392">
        <f>MIN($F$94-SUM($G$94:AI94),$F94/12)</f>
        <v>10000</v>
      </c>
      <c r="AK94" s="1392">
        <f>MIN($F$94-SUM($G$94:AJ94),$F94/12)</f>
        <v>0</v>
      </c>
      <c r="AL94" s="1392">
        <f>MIN($F$94-SUM($G$94:AK94),$F94/12)</f>
        <v>0</v>
      </c>
      <c r="AM94" s="1392">
        <f>MIN($F$94-SUM($G$94:AL94),$F94/12)</f>
        <v>0</v>
      </c>
      <c r="AN94" s="1392">
        <f>MIN($F$94-SUM($G$94:AM94),$F94/12)</f>
        <v>0</v>
      </c>
      <c r="AO94" s="739">
        <f>MIN($F$94-SUM($G$94:AN94),$F94/12)</f>
        <v>0</v>
      </c>
      <c r="AP94" s="1392">
        <f>MIN($F$94-SUM($G$94:AO94),$F94/12)</f>
        <v>0</v>
      </c>
      <c r="AQ94" s="1394">
        <f>MIN($F$94-SUM($G$94:AN94),$F94/12)</f>
        <v>0</v>
      </c>
      <c r="AR94" s="1569"/>
      <c r="AS94" s="1569"/>
      <c r="AT94" s="1569"/>
      <c r="AU94" s="1392">
        <f>MIN($F$94-SUM($G$94:AR94),$F94/12)</f>
        <v>0</v>
      </c>
      <c r="AV94" s="1452">
        <f>SUM(H94:AU94)</f>
        <v>600000</v>
      </c>
      <c r="AW94" s="1455">
        <f>F94-AV94</f>
        <v>0</v>
      </c>
      <c r="AX94" s="740"/>
      <c r="AY94" s="709"/>
      <c r="AZ94" s="709"/>
      <c r="BA94" s="709"/>
      <c r="BB94" s="709"/>
      <c r="BC94" s="709"/>
      <c r="BD94" s="709"/>
      <c r="BE94" s="709"/>
      <c r="BF94" s="709"/>
      <c r="BG94" s="709"/>
      <c r="BH94" s="709"/>
      <c r="BI94" s="709"/>
      <c r="BJ94" s="709"/>
      <c r="BK94" s="709"/>
      <c r="BL94" s="709"/>
      <c r="BM94" s="709"/>
      <c r="BN94" s="709"/>
      <c r="BO94" s="709"/>
      <c r="BP94" s="709"/>
      <c r="BQ94" s="709"/>
      <c r="BR94" s="709"/>
      <c r="BS94" s="709"/>
      <c r="BT94" s="709"/>
      <c r="BU94" s="709"/>
      <c r="BV94" s="709"/>
      <c r="BW94" s="709"/>
      <c r="BX94" s="709"/>
      <c r="BY94" s="709"/>
      <c r="BZ94" s="709"/>
      <c r="CA94" s="709"/>
    </row>
    <row r="95" spans="1:79">
      <c r="A95" s="722"/>
      <c r="B95" s="806" t="str">
        <f>'Development Budget'!C85</f>
        <v>Operating Deficit Reserve</v>
      </c>
      <c r="C95" s="709"/>
      <c r="D95" s="709"/>
      <c r="E95" s="754">
        <f ca="1">F95/'Rent Schedule'!$D$26</f>
        <v>6651.5964915776549</v>
      </c>
      <c r="F95" s="764">
        <f ca="1">'Development Budget'!G85</f>
        <v>1470002.8246386617</v>
      </c>
      <c r="G95" s="764"/>
      <c r="H95" s="781">
        <v>0</v>
      </c>
      <c r="I95" s="1392"/>
      <c r="J95" s="1392"/>
      <c r="K95" s="1392"/>
      <c r="L95" s="1392"/>
      <c r="M95" s="1392"/>
      <c r="N95" s="1392"/>
      <c r="O95" s="1392"/>
      <c r="P95" s="1392"/>
      <c r="Q95" s="1392"/>
      <c r="R95" s="1392"/>
      <c r="S95" s="1392"/>
      <c r="T95" s="1392"/>
      <c r="U95" s="1392"/>
      <c r="V95" s="1392"/>
      <c r="W95" s="1392"/>
      <c r="X95" s="1392"/>
      <c r="Y95" s="1392"/>
      <c r="Z95" s="1392"/>
      <c r="AA95" s="1392">
        <v>0</v>
      </c>
      <c r="AB95" s="1392"/>
      <c r="AC95" s="1392"/>
      <c r="AD95" s="1392">
        <f ca="1">F95</f>
        <v>1470002.8246386617</v>
      </c>
      <c r="AE95" s="739">
        <v>0</v>
      </c>
      <c r="AF95" s="1392"/>
      <c r="AG95" s="1392"/>
      <c r="AH95" s="1392"/>
      <c r="AI95" s="1392"/>
      <c r="AJ95" s="1392"/>
      <c r="AK95" s="1392"/>
      <c r="AL95" s="1392"/>
      <c r="AM95" s="1392"/>
      <c r="AN95" s="1392"/>
      <c r="AO95" s="739"/>
      <c r="AP95" s="1392"/>
      <c r="AQ95" s="1392">
        <v>0</v>
      </c>
      <c r="AR95" s="1569"/>
      <c r="AS95" s="1569"/>
      <c r="AT95" s="1569"/>
      <c r="AU95" s="1392"/>
      <c r="AV95" s="1452">
        <f ca="1">SUM(H95:AU95)</f>
        <v>1470002.8246386617</v>
      </c>
      <c r="AW95" s="1455">
        <f ca="1">F95-AV95</f>
        <v>0</v>
      </c>
      <c r="AX95" s="740"/>
      <c r="AY95" s="709"/>
      <c r="AZ95" s="709"/>
      <c r="BA95" s="709"/>
      <c r="BB95" s="709"/>
      <c r="BC95" s="709"/>
      <c r="BD95" s="709"/>
      <c r="BE95" s="709"/>
      <c r="BF95" s="709"/>
      <c r="BG95" s="709"/>
      <c r="BH95" s="709"/>
      <c r="BI95" s="709"/>
      <c r="BJ95" s="709"/>
      <c r="BK95" s="709"/>
      <c r="BL95" s="709"/>
      <c r="BM95" s="709"/>
      <c r="BN95" s="709"/>
      <c r="BO95" s="709"/>
      <c r="BP95" s="709"/>
      <c r="BQ95" s="709"/>
      <c r="BR95" s="709"/>
      <c r="BS95" s="709"/>
      <c r="BT95" s="709"/>
      <c r="BU95" s="709"/>
      <c r="BV95" s="709"/>
      <c r="BW95" s="709"/>
      <c r="BX95" s="709"/>
      <c r="BY95" s="709"/>
      <c r="BZ95" s="709"/>
      <c r="CA95" s="709"/>
    </row>
    <row r="96" spans="1:79">
      <c r="A96" s="722"/>
      <c r="B96" s="806" t="str">
        <f>'Development Budget'!C86</f>
        <v>Replacement Reserve</v>
      </c>
      <c r="C96" s="709"/>
      <c r="D96" s="709"/>
      <c r="E96" s="754">
        <f>F96/'Rent Schedule'!$D$26</f>
        <v>300</v>
      </c>
      <c r="F96" s="764">
        <f>'Development Budget'!G86</f>
        <v>66300</v>
      </c>
      <c r="G96" s="764"/>
      <c r="H96" s="781">
        <v>0</v>
      </c>
      <c r="I96" s="1392"/>
      <c r="J96" s="1392"/>
      <c r="K96" s="1392"/>
      <c r="L96" s="1392"/>
      <c r="M96" s="1392"/>
      <c r="N96" s="1392"/>
      <c r="O96" s="1392"/>
      <c r="P96" s="1392"/>
      <c r="Q96" s="1392"/>
      <c r="R96" s="1392"/>
      <c r="S96" s="1392"/>
      <c r="T96" s="1392"/>
      <c r="U96" s="1392"/>
      <c r="V96" s="1392"/>
      <c r="W96" s="1392"/>
      <c r="X96" s="1392"/>
      <c r="Y96" s="1392"/>
      <c r="Z96" s="1392"/>
      <c r="AA96" s="1392">
        <v>0</v>
      </c>
      <c r="AB96" s="1392"/>
      <c r="AC96" s="1392"/>
      <c r="AD96" s="1392">
        <f>F96</f>
        <v>66300</v>
      </c>
      <c r="AE96" s="739"/>
      <c r="AF96" s="1392"/>
      <c r="AG96" s="1392"/>
      <c r="AH96" s="1392"/>
      <c r="AI96" s="1392"/>
      <c r="AJ96" s="1392"/>
      <c r="AK96" s="1392"/>
      <c r="AL96" s="1392"/>
      <c r="AM96" s="1392"/>
      <c r="AN96" s="1392"/>
      <c r="AO96" s="739"/>
      <c r="AP96" s="1392"/>
      <c r="AQ96" s="1394">
        <v>0</v>
      </c>
      <c r="AR96" s="1569"/>
      <c r="AS96" s="1569"/>
      <c r="AT96" s="1569"/>
      <c r="AU96" s="1392"/>
      <c r="AV96" s="1452">
        <f>SUM(H96:AU96)</f>
        <v>66300</v>
      </c>
      <c r="AW96" s="1455">
        <f>F96-AV96</f>
        <v>0</v>
      </c>
      <c r="AX96" s="740"/>
      <c r="AY96" s="709"/>
      <c r="AZ96" s="709"/>
      <c r="BA96" s="709"/>
      <c r="BB96" s="709"/>
      <c r="BC96" s="709"/>
      <c r="BD96" s="709"/>
      <c r="BE96" s="709"/>
      <c r="BF96" s="709"/>
      <c r="BG96" s="709"/>
      <c r="BH96" s="709"/>
      <c r="BI96" s="709"/>
      <c r="BJ96" s="709"/>
      <c r="BK96" s="709"/>
      <c r="BL96" s="709"/>
      <c r="BM96" s="709"/>
      <c r="BN96" s="709"/>
      <c r="BO96" s="709"/>
      <c r="BP96" s="709"/>
      <c r="BQ96" s="709"/>
      <c r="BR96" s="709"/>
      <c r="BS96" s="709"/>
      <c r="BT96" s="709"/>
      <c r="BU96" s="709"/>
      <c r="BV96" s="709"/>
      <c r="BW96" s="709"/>
      <c r="BX96" s="709"/>
      <c r="BY96" s="709"/>
      <c r="BZ96" s="709"/>
      <c r="CA96" s="709"/>
    </row>
    <row r="97" spans="1:79">
      <c r="A97" s="722"/>
      <c r="B97" s="806" t="str">
        <f>'Development Budget'!C87</f>
        <v>Furniture, Fixtures and Equipment</v>
      </c>
      <c r="C97" s="709"/>
      <c r="D97" s="709"/>
      <c r="E97" s="754">
        <f>F97/'Rent Schedule'!$D$26</f>
        <v>1131.2217194570135</v>
      </c>
      <c r="F97" s="764">
        <f>'Development Budget'!G87</f>
        <v>250000</v>
      </c>
      <c r="G97" s="764"/>
      <c r="H97" s="739">
        <v>100000</v>
      </c>
      <c r="I97" s="1392"/>
      <c r="J97" s="1392"/>
      <c r="K97" s="1431"/>
      <c r="L97" s="1431"/>
      <c r="M97" s="1423"/>
      <c r="N97" s="1423"/>
      <c r="O97" s="1423"/>
      <c r="P97" s="1423"/>
      <c r="Q97" s="1423"/>
      <c r="R97" s="1423"/>
      <c r="S97" s="1423"/>
      <c r="T97" s="1392"/>
      <c r="U97" s="1431"/>
      <c r="V97" s="1392"/>
      <c r="W97" s="1392">
        <v>100000</v>
      </c>
      <c r="X97" s="1392">
        <v>100000</v>
      </c>
      <c r="Y97" s="1392">
        <v>100000</v>
      </c>
      <c r="Z97" s="1392">
        <v>100000</v>
      </c>
      <c r="AA97" s="1423">
        <v>100000</v>
      </c>
      <c r="AB97" s="1392">
        <v>50000</v>
      </c>
      <c r="AC97" s="1392">
        <v>0</v>
      </c>
      <c r="AD97" s="1392"/>
      <c r="AE97" s="739"/>
      <c r="AF97" s="1392"/>
      <c r="AG97" s="1392"/>
      <c r="AH97" s="1392"/>
      <c r="AI97" s="1392"/>
      <c r="AJ97" s="1392"/>
      <c r="AK97" s="1392"/>
      <c r="AL97" s="1392">
        <v>0</v>
      </c>
      <c r="AM97" s="1392">
        <v>0</v>
      </c>
      <c r="AN97" s="1392"/>
      <c r="AO97" s="739"/>
      <c r="AP97" s="1392"/>
      <c r="AQ97" s="1394"/>
      <c r="AR97" s="1569"/>
      <c r="AS97" s="1569"/>
      <c r="AT97" s="1569"/>
      <c r="AU97" s="1392">
        <v>0</v>
      </c>
      <c r="AV97" s="1452">
        <f>SUM(H97:AU97)</f>
        <v>650000</v>
      </c>
      <c r="AW97" s="1455">
        <f>F97-AV97</f>
        <v>-400000</v>
      </c>
      <c r="AX97" s="740"/>
      <c r="AY97" s="709"/>
      <c r="AZ97" s="709"/>
      <c r="BA97" s="709"/>
      <c r="BB97" s="709"/>
      <c r="BC97" s="709"/>
      <c r="BD97" s="709"/>
      <c r="BE97" s="709"/>
      <c r="BF97" s="709"/>
      <c r="BG97" s="709"/>
      <c r="BH97" s="709"/>
      <c r="BI97" s="709"/>
      <c r="BJ97" s="709"/>
      <c r="BK97" s="709"/>
      <c r="BL97" s="709"/>
      <c r="BM97" s="709"/>
      <c r="BN97" s="709"/>
      <c r="BO97" s="709"/>
      <c r="BP97" s="709"/>
      <c r="BQ97" s="709"/>
      <c r="BR97" s="709"/>
      <c r="BS97" s="709"/>
      <c r="BT97" s="709"/>
      <c r="BU97" s="709"/>
      <c r="BV97" s="709"/>
      <c r="BW97" s="709"/>
      <c r="BX97" s="709"/>
      <c r="BY97" s="709"/>
      <c r="BZ97" s="709"/>
      <c r="CA97" s="709"/>
    </row>
    <row r="98" spans="1:79" ht="12" customHeight="1">
      <c r="A98" s="750" t="s">
        <v>165</v>
      </c>
      <c r="B98" s="722"/>
      <c r="C98" s="709"/>
      <c r="D98" s="709"/>
      <c r="E98" s="754"/>
      <c r="F98" s="772"/>
      <c r="G98" s="772"/>
      <c r="H98" s="772"/>
      <c r="I98" s="771"/>
      <c r="J98" s="771"/>
      <c r="K98" s="771"/>
      <c r="L98" s="771"/>
      <c r="M98" s="771"/>
      <c r="N98" s="771"/>
      <c r="O98" s="771"/>
      <c r="P98" s="771"/>
      <c r="Q98" s="771"/>
      <c r="R98" s="771"/>
      <c r="S98" s="771"/>
      <c r="T98" s="771"/>
      <c r="U98" s="771"/>
      <c r="V98" s="771"/>
      <c r="W98" s="771"/>
      <c r="X98" s="771"/>
      <c r="Y98" s="771"/>
      <c r="Z98" s="771"/>
      <c r="AA98" s="771"/>
      <c r="AB98" s="771"/>
      <c r="AC98" s="771"/>
      <c r="AD98" s="771"/>
      <c r="AE98" s="771"/>
      <c r="AF98" s="771"/>
      <c r="AG98" s="771"/>
      <c r="AH98" s="771"/>
      <c r="AI98" s="771"/>
      <c r="AJ98" s="771"/>
      <c r="AK98" s="771"/>
      <c r="AL98" s="771"/>
      <c r="AM98" s="771"/>
      <c r="AN98" s="772"/>
      <c r="AO98" s="772"/>
      <c r="AP98" s="772"/>
      <c r="AQ98" s="907"/>
      <c r="AR98" s="1316"/>
      <c r="AS98" s="1316"/>
      <c r="AT98" s="1316"/>
      <c r="AU98" s="771"/>
      <c r="AV98" s="771"/>
      <c r="AW98" s="756"/>
      <c r="AX98" s="740"/>
      <c r="AY98" s="709"/>
      <c r="AZ98" s="709"/>
      <c r="BA98" s="709"/>
      <c r="BB98" s="709"/>
      <c r="BC98" s="709"/>
      <c r="BD98" s="709"/>
      <c r="BE98" s="709"/>
      <c r="BF98" s="709"/>
      <c r="BG98" s="709"/>
      <c r="BH98" s="709"/>
      <c r="BI98" s="709"/>
      <c r="BJ98" s="709"/>
      <c r="BK98" s="709"/>
      <c r="BL98" s="709"/>
      <c r="BM98" s="709"/>
      <c r="BN98" s="709"/>
      <c r="BO98" s="709"/>
      <c r="BP98" s="709"/>
      <c r="BQ98" s="709"/>
      <c r="BR98" s="709"/>
      <c r="BS98" s="709"/>
      <c r="BT98" s="709"/>
      <c r="BU98" s="709"/>
      <c r="BV98" s="709"/>
      <c r="BW98" s="709"/>
      <c r="BX98" s="709"/>
      <c r="BY98" s="709"/>
      <c r="BZ98" s="709"/>
      <c r="CA98" s="709"/>
    </row>
    <row r="99" spans="1:79">
      <c r="A99" s="722"/>
      <c r="B99" s="806" t="str">
        <f>'Development Budget'!C90</f>
        <v>Soft Cost Contingency</v>
      </c>
      <c r="C99" s="709"/>
      <c r="D99" s="709"/>
      <c r="E99" s="754">
        <f>F99/'Rent Schedule'!$D$26</f>
        <v>339.36651583710409</v>
      </c>
      <c r="F99" s="764">
        <f>'Development Budget'!G90</f>
        <v>75000</v>
      </c>
      <c r="G99" s="764"/>
      <c r="H99" s="739">
        <v>0</v>
      </c>
      <c r="I99" s="1392"/>
      <c r="J99" s="1392"/>
      <c r="K99" s="1392"/>
      <c r="L99" s="1392"/>
      <c r="M99" s="1392">
        <f>L99</f>
        <v>0</v>
      </c>
      <c r="N99" s="1392">
        <f>M99</f>
        <v>0</v>
      </c>
      <c r="O99" s="1392">
        <f>N99</f>
        <v>0</v>
      </c>
      <c r="P99" s="1392">
        <f>O99</f>
        <v>0</v>
      </c>
      <c r="Q99" s="1438"/>
      <c r="R99" s="1481">
        <v>25000</v>
      </c>
      <c r="S99" s="1392"/>
      <c r="T99" s="1392"/>
      <c r="U99" s="1392"/>
      <c r="V99" s="1392"/>
      <c r="W99" s="1392"/>
      <c r="X99" s="1392"/>
      <c r="Y99" s="1392"/>
      <c r="Z99" s="1392"/>
      <c r="AA99" s="1392">
        <f>F99-SUM(H99:Z99)</f>
        <v>50000</v>
      </c>
      <c r="AB99" s="1392">
        <v>0</v>
      </c>
      <c r="AC99" s="1392"/>
      <c r="AD99" s="1392"/>
      <c r="AE99" s="739"/>
      <c r="AF99" s="1392"/>
      <c r="AG99" s="1392"/>
      <c r="AH99" s="1392"/>
      <c r="AI99" s="1392"/>
      <c r="AJ99" s="1392"/>
      <c r="AK99" s="1392"/>
      <c r="AL99" s="1392"/>
      <c r="AM99" s="1392"/>
      <c r="AN99" s="1392"/>
      <c r="AO99" s="739"/>
      <c r="AP99" s="1392"/>
      <c r="AQ99" s="1394">
        <v>0</v>
      </c>
      <c r="AR99" s="1569"/>
      <c r="AS99" s="1569"/>
      <c r="AT99" s="1569"/>
      <c r="AU99" s="1392"/>
      <c r="AV99" s="1452">
        <f>SUM(H99:AU99)</f>
        <v>75000</v>
      </c>
      <c r="AW99" s="1455">
        <f>F99-AV99</f>
        <v>0</v>
      </c>
      <c r="AX99" s="740"/>
      <c r="AY99" s="709"/>
      <c r="AZ99" s="709"/>
      <c r="BA99" s="709"/>
      <c r="BB99" s="709"/>
      <c r="BC99" s="709"/>
      <c r="BD99" s="709"/>
      <c r="BE99" s="709"/>
      <c r="BF99" s="709"/>
      <c r="BG99" s="709"/>
      <c r="BH99" s="709"/>
      <c r="BI99" s="709"/>
      <c r="BJ99" s="709"/>
      <c r="BK99" s="709"/>
      <c r="BL99" s="709"/>
      <c r="BM99" s="709"/>
      <c r="BN99" s="709"/>
      <c r="BO99" s="709"/>
      <c r="BP99" s="709"/>
      <c r="BQ99" s="709"/>
      <c r="BR99" s="709"/>
      <c r="BS99" s="709"/>
      <c r="BT99" s="709"/>
      <c r="BU99" s="709"/>
      <c r="BV99" s="709"/>
      <c r="BW99" s="709"/>
      <c r="BX99" s="709"/>
      <c r="BY99" s="709"/>
      <c r="BZ99" s="709"/>
      <c r="CA99" s="709"/>
    </row>
    <row r="100" spans="1:79">
      <c r="A100" s="709"/>
      <c r="B100" s="709" t="s">
        <v>794</v>
      </c>
      <c r="C100" s="709"/>
      <c r="D100" s="709"/>
      <c r="E100" s="754">
        <f>F100/'Rent Schedule'!$D$26</f>
        <v>6334.841628959276</v>
      </c>
      <c r="F100" s="764">
        <f>'Developer Fee Schedule'!A12</f>
        <v>1400000</v>
      </c>
      <c r="G100" s="764"/>
      <c r="H100" s="739">
        <f>'Developer Fee Schedule'!E9</f>
        <v>1400000</v>
      </c>
      <c r="I100" s="1392"/>
      <c r="J100" s="1392"/>
      <c r="K100" s="1392"/>
      <c r="L100" s="1392"/>
      <c r="M100" s="1392"/>
      <c r="N100" s="1392"/>
      <c r="O100" s="1392"/>
      <c r="P100" s="1392"/>
      <c r="Q100" s="1392"/>
      <c r="R100" s="1392"/>
      <c r="S100" s="1392"/>
      <c r="T100" s="1392"/>
      <c r="U100" s="1392"/>
      <c r="V100" s="1392"/>
      <c r="W100" s="1392"/>
      <c r="X100" s="1392"/>
      <c r="Y100" s="1392"/>
      <c r="Z100" s="1392"/>
      <c r="AA100" s="1392"/>
      <c r="AB100" s="1392">
        <f>Z100</f>
        <v>0</v>
      </c>
      <c r="AC100" s="1392"/>
      <c r="AD100" s="1392"/>
      <c r="AE100" s="739"/>
      <c r="AF100" s="1392"/>
      <c r="AG100" s="1392"/>
      <c r="AH100" s="1392"/>
      <c r="AI100" s="1392"/>
      <c r="AJ100" s="1392"/>
      <c r="AK100" s="1392"/>
      <c r="AL100" s="1392"/>
      <c r="AM100" s="1392"/>
      <c r="AN100" s="1393">
        <f>SUM('[6]Developer Fee Schedule'!F13:F16)</f>
        <v>0</v>
      </c>
      <c r="AO100" s="781">
        <f>SUM('[6]Developer Fee Schedule'!G13:G16)</f>
        <v>0</v>
      </c>
      <c r="AP100" s="1393">
        <f>SUM('[6]Developer Fee Schedule'!H13:H16)</f>
        <v>0</v>
      </c>
      <c r="AQ100" s="1403"/>
      <c r="AR100" s="1574"/>
      <c r="AS100" s="1574"/>
      <c r="AT100" s="1574"/>
      <c r="AU100" s="1392"/>
      <c r="AV100" s="1452">
        <f>SUM(H100:AU100)</f>
        <v>1400000</v>
      </c>
      <c r="AW100" s="1455">
        <f>F100-AV100</f>
        <v>0</v>
      </c>
      <c r="AX100" s="740"/>
      <c r="AY100" s="709"/>
      <c r="AZ100" s="709"/>
      <c r="BA100" s="709"/>
      <c r="BB100" s="709"/>
      <c r="BC100" s="709"/>
      <c r="BD100" s="709"/>
      <c r="BE100" s="709"/>
      <c r="BF100" s="709"/>
      <c r="BG100" s="709"/>
      <c r="BH100" s="709"/>
      <c r="BI100" s="709"/>
      <c r="BJ100" s="709"/>
      <c r="BK100" s="709"/>
      <c r="BL100" s="709"/>
      <c r="BM100" s="709"/>
      <c r="BN100" s="709"/>
      <c r="BO100" s="709"/>
      <c r="BP100" s="709"/>
      <c r="BQ100" s="709"/>
      <c r="BR100" s="709"/>
      <c r="BS100" s="709"/>
      <c r="BT100" s="709"/>
      <c r="BU100" s="709"/>
      <c r="BV100" s="709"/>
      <c r="BW100" s="709"/>
      <c r="BX100" s="709"/>
      <c r="BY100" s="709"/>
      <c r="BZ100" s="709"/>
      <c r="CA100" s="709"/>
    </row>
    <row r="101" spans="1:79">
      <c r="A101" s="709"/>
      <c r="B101" s="722" t="s">
        <v>501</v>
      </c>
      <c r="C101" s="709"/>
      <c r="D101" s="709"/>
      <c r="E101" s="754">
        <f ca="1">F101/'Rent Schedule'!$D$26</f>
        <v>110547.13455079785</v>
      </c>
      <c r="F101" s="764">
        <f ca="1">'Developer Fee Schedule'!F18+'Developer Fee Schedule'!G18</f>
        <v>24430916.735726327</v>
      </c>
      <c r="G101" s="764"/>
      <c r="H101" s="781">
        <v>0</v>
      </c>
      <c r="I101" s="1392"/>
      <c r="J101" s="1392"/>
      <c r="K101" s="1392"/>
      <c r="L101" s="1392"/>
      <c r="M101" s="1392"/>
      <c r="N101" s="1392"/>
      <c r="O101" s="1392"/>
      <c r="P101" s="1392"/>
      <c r="Q101" s="1392"/>
      <c r="R101" s="1392"/>
      <c r="S101" s="1392"/>
      <c r="T101" s="1392"/>
      <c r="U101" s="1392"/>
      <c r="V101" s="1392"/>
      <c r="W101" s="1392"/>
      <c r="X101" s="1392"/>
      <c r="Y101" s="1392"/>
      <c r="Z101" s="1392"/>
      <c r="AA101" s="1439"/>
      <c r="AB101" s="1392">
        <v>0</v>
      </c>
      <c r="AC101" s="1392"/>
      <c r="AD101" s="1392"/>
      <c r="AE101" s="781">
        <f ca="1">'Developer Fee Schedule'!F9</f>
        <v>14098550.041435797</v>
      </c>
      <c r="AF101" s="1392"/>
      <c r="AG101" s="1392"/>
      <c r="AH101" s="1392"/>
      <c r="AI101" s="1392"/>
      <c r="AJ101" s="1392"/>
      <c r="AK101" s="1392"/>
      <c r="AL101" s="1392"/>
      <c r="AM101" s="1392"/>
      <c r="AN101" s="1393"/>
      <c r="AO101" s="781"/>
      <c r="AP101" s="1393"/>
      <c r="AQ101" s="1403">
        <v>0</v>
      </c>
      <c r="AR101" s="1394">
        <f ca="1">'Developer Fee Schedule'!G9</f>
        <v>10332366.69429053</v>
      </c>
      <c r="AS101" s="1569"/>
      <c r="AT101" s="1394"/>
      <c r="AU101" s="1392"/>
      <c r="AV101" s="1452">
        <f ca="1">SUM(H101:AU101)</f>
        <v>24430916.735726327</v>
      </c>
      <c r="AW101" s="1455">
        <f ca="1">F101-AV101</f>
        <v>0</v>
      </c>
      <c r="AX101" s="740"/>
      <c r="AY101" s="709"/>
      <c r="AZ101" s="709"/>
      <c r="BA101" s="709"/>
      <c r="BB101" s="709"/>
      <c r="BC101" s="709"/>
      <c r="BD101" s="709"/>
      <c r="BE101" s="709"/>
      <c r="BF101" s="709"/>
      <c r="BG101" s="709"/>
      <c r="BH101" s="709"/>
      <c r="BI101" s="709"/>
      <c r="BJ101" s="709"/>
      <c r="BK101" s="709"/>
      <c r="BL101" s="709"/>
      <c r="BM101" s="709"/>
      <c r="BN101" s="709"/>
      <c r="BO101" s="709"/>
      <c r="BP101" s="709"/>
      <c r="BQ101" s="709"/>
      <c r="BR101" s="709"/>
      <c r="BS101" s="709"/>
      <c r="BT101" s="709"/>
      <c r="BU101" s="709"/>
      <c r="BV101" s="709"/>
      <c r="BW101" s="709"/>
      <c r="BX101" s="709"/>
      <c r="BY101" s="709"/>
      <c r="BZ101" s="709"/>
      <c r="CA101" s="709"/>
    </row>
    <row r="102" spans="1:79">
      <c r="A102" s="709"/>
      <c r="B102" s="709" t="s">
        <v>492</v>
      </c>
      <c r="C102" s="709"/>
      <c r="D102" s="709"/>
      <c r="E102" s="754"/>
      <c r="F102" s="782"/>
      <c r="G102" s="764"/>
      <c r="H102" s="739"/>
      <c r="I102" s="1392"/>
      <c r="J102" s="1392"/>
      <c r="K102" s="1392"/>
      <c r="L102" s="1392"/>
      <c r="M102" s="1392"/>
      <c r="N102" s="1392"/>
      <c r="O102" s="1392"/>
      <c r="P102" s="1392"/>
      <c r="Q102" s="1392"/>
      <c r="R102" s="1392"/>
      <c r="S102" s="1392"/>
      <c r="T102" s="1392"/>
      <c r="U102" s="1392"/>
      <c r="V102" s="1392"/>
      <c r="W102" s="1392"/>
      <c r="X102" s="1392"/>
      <c r="Y102" s="1392"/>
      <c r="Z102" s="1392"/>
      <c r="AA102" s="1392"/>
      <c r="AB102" s="1392"/>
      <c r="AC102" s="1392"/>
      <c r="AD102" s="1392"/>
      <c r="AE102" s="739"/>
      <c r="AF102" s="1392"/>
      <c r="AG102" s="1392"/>
      <c r="AH102" s="1392"/>
      <c r="AI102" s="1392"/>
      <c r="AJ102" s="1392"/>
      <c r="AK102" s="1392"/>
      <c r="AL102" s="1392"/>
      <c r="AM102" s="1392"/>
      <c r="AN102" s="1392"/>
      <c r="AO102" s="739"/>
      <c r="AP102" s="1392"/>
      <c r="AQ102" s="1394"/>
      <c r="AR102" s="1569"/>
      <c r="AS102" s="1569"/>
      <c r="AT102" s="1569"/>
      <c r="AU102" s="1392"/>
      <c r="AV102" s="1452">
        <f>SUM(H102:AU102)</f>
        <v>0</v>
      </c>
      <c r="AW102" s="1455">
        <f>F102-AV102</f>
        <v>0</v>
      </c>
      <c r="AX102" s="740"/>
      <c r="AY102" s="709"/>
      <c r="AZ102" s="709"/>
      <c r="BA102" s="709"/>
      <c r="BB102" s="709"/>
      <c r="BC102" s="709"/>
      <c r="BD102" s="709"/>
      <c r="BE102" s="709"/>
      <c r="BF102" s="709"/>
      <c r="BG102" s="709"/>
      <c r="BH102" s="709"/>
      <c r="BI102" s="709"/>
      <c r="BJ102" s="709"/>
      <c r="BK102" s="709"/>
      <c r="BL102" s="709"/>
      <c r="BM102" s="709"/>
      <c r="BN102" s="709"/>
      <c r="BO102" s="709"/>
      <c r="BP102" s="709"/>
      <c r="BQ102" s="709"/>
      <c r="BR102" s="709"/>
      <c r="BS102" s="709"/>
      <c r="BT102" s="709"/>
      <c r="BU102" s="709"/>
      <c r="BV102" s="709"/>
      <c r="BW102" s="709"/>
      <c r="BX102" s="709"/>
      <c r="BY102" s="709"/>
      <c r="BZ102" s="709"/>
      <c r="CA102" s="709"/>
    </row>
    <row r="103" spans="1:79">
      <c r="A103" s="709"/>
      <c r="B103" s="709"/>
      <c r="C103" s="715" t="s">
        <v>3</v>
      </c>
      <c r="D103" s="715"/>
      <c r="E103" s="754">
        <f ca="1">F103/'Rent Schedule'!$D$26</f>
        <v>233790.15430008198</v>
      </c>
      <c r="F103" s="783">
        <f ca="1">SUM(F37:F102)</f>
        <v>51667624.100318119</v>
      </c>
      <c r="G103" s="783">
        <f>SUM(G21:G102)</f>
        <v>0</v>
      </c>
      <c r="H103" s="783">
        <f t="shared" ref="H103:AU103" ca="1" si="34">SUM(H37:H102)</f>
        <v>4902611.6273144968</v>
      </c>
      <c r="I103" s="783">
        <f t="shared" ca="1" si="34"/>
        <v>-69761.515160064751</v>
      </c>
      <c r="J103" s="783">
        <f t="shared" ca="1" si="34"/>
        <v>612332.21036529075</v>
      </c>
      <c r="K103" s="783">
        <f t="shared" ca="1" si="34"/>
        <v>909328.05273194076</v>
      </c>
      <c r="L103" s="783">
        <f t="shared" ca="1" si="34"/>
        <v>991660.00018749083</v>
      </c>
      <c r="M103" s="783">
        <f t="shared" ca="1" si="34"/>
        <v>1006660.0001874908</v>
      </c>
      <c r="N103" s="783">
        <f t="shared" ca="1" si="34"/>
        <v>868312.07810764574</v>
      </c>
      <c r="O103" s="783">
        <f t="shared" ca="1" si="34"/>
        <v>1002901.3134848736</v>
      </c>
      <c r="P103" s="783">
        <f t="shared" ca="1" si="34"/>
        <v>1001578.7117365212</v>
      </c>
      <c r="Q103" s="783">
        <f t="shared" ca="1" si="34"/>
        <v>1006578.7117365212</v>
      </c>
      <c r="R103" s="783">
        <f t="shared" ca="1" si="34"/>
        <v>1025636.0597521742</v>
      </c>
      <c r="S103" s="783">
        <f t="shared" ca="1" si="34"/>
        <v>1001090.5770284468</v>
      </c>
      <c r="T103" s="783">
        <f t="shared" ca="1" si="34"/>
        <v>1006090.5770284468</v>
      </c>
      <c r="U103" s="783">
        <f t="shared" ca="1" si="34"/>
        <v>1009745.2459791056</v>
      </c>
      <c r="V103" s="783">
        <f t="shared" ca="1" si="34"/>
        <v>935280.41632407624</v>
      </c>
      <c r="W103" s="783">
        <f t="shared" ca="1" si="34"/>
        <v>926751.36115528573</v>
      </c>
      <c r="X103" s="783">
        <f t="shared" ca="1" si="34"/>
        <v>971751.36115528573</v>
      </c>
      <c r="Y103" s="783">
        <f t="shared" ca="1" si="34"/>
        <v>893647.52645921032</v>
      </c>
      <c r="Z103" s="783">
        <f t="shared" ca="1" si="34"/>
        <v>888376.1068023718</v>
      </c>
      <c r="AA103" s="783">
        <f t="shared" ca="1" si="34"/>
        <v>956075.69433742063</v>
      </c>
      <c r="AB103" s="783">
        <f t="shared" ca="1" si="34"/>
        <v>846147.62960391212</v>
      </c>
      <c r="AC103" s="783">
        <f t="shared" ca="1" si="34"/>
        <v>800614.96051436942</v>
      </c>
      <c r="AD103" s="783">
        <f t="shared" ca="1" si="34"/>
        <v>3312770.2660278957</v>
      </c>
      <c r="AE103" s="783">
        <f t="shared" ca="1" si="34"/>
        <v>14181093.412280353</v>
      </c>
      <c r="AF103" s="783">
        <f t="shared" ca="1" si="34"/>
        <v>139627.91693605323</v>
      </c>
      <c r="AG103" s="783">
        <f t="shared" ca="1" si="34"/>
        <v>139627.91693605323</v>
      </c>
      <c r="AH103" s="783">
        <f t="shared" ca="1" si="34"/>
        <v>139627.91693605323</v>
      </c>
      <c r="AI103" s="783">
        <f t="shared" ca="1" si="34"/>
        <v>139627.91693605323</v>
      </c>
      <c r="AJ103" s="783">
        <f t="shared" ca="1" si="34"/>
        <v>99627.916936053225</v>
      </c>
      <c r="AK103" s="783">
        <f t="shared" ca="1" si="34"/>
        <v>81294.583602719897</v>
      </c>
      <c r="AL103" s="783">
        <f t="shared" ca="1" si="34"/>
        <v>81294.583602719897</v>
      </c>
      <c r="AM103" s="783">
        <f t="shared" ca="1" si="34"/>
        <v>81294.583602719897</v>
      </c>
      <c r="AN103" s="783">
        <f t="shared" ca="1" si="34"/>
        <v>81294.583602719897</v>
      </c>
      <c r="AO103" s="783">
        <f ca="1">SUM(AO37:AO102)</f>
        <v>81294.583602719897</v>
      </c>
      <c r="AP103" s="783">
        <f ca="1">SUM(AP37:AP102)</f>
        <v>81555.222760170625</v>
      </c>
      <c r="AQ103" s="783">
        <f t="shared" ca="1" si="34"/>
        <v>81817.295432987332</v>
      </c>
      <c r="AR103" s="783">
        <f t="shared" ca="1" si="34"/>
        <v>10462366.69429053</v>
      </c>
      <c r="AS103" s="783"/>
      <c r="AT103" s="783">
        <f>SUM(AT37:AT102)</f>
        <v>0</v>
      </c>
      <c r="AU103" s="783">
        <f t="shared" si="34"/>
        <v>0</v>
      </c>
      <c r="AV103" s="783">
        <f ca="1">SUM(AV21:AV21)+AV37+SUM(AV40:AV102)</f>
        <v>52677724.100318119</v>
      </c>
      <c r="AW103" s="745">
        <f ca="1">F103-AV103</f>
        <v>-1010100</v>
      </c>
      <c r="AX103" s="784"/>
      <c r="AY103" s="709"/>
      <c r="AZ103" s="709"/>
      <c r="BA103" s="709"/>
      <c r="BB103" s="709"/>
      <c r="BC103" s="709"/>
      <c r="BD103" s="709"/>
      <c r="BE103" s="709"/>
      <c r="BF103" s="709"/>
      <c r="BG103" s="709"/>
      <c r="BH103" s="709"/>
      <c r="BI103" s="709"/>
      <c r="BJ103" s="709"/>
      <c r="BK103" s="709"/>
      <c r="BL103" s="709"/>
      <c r="BM103" s="709"/>
      <c r="BN103" s="709"/>
      <c r="BO103" s="709"/>
      <c r="BP103" s="709"/>
      <c r="BQ103" s="709"/>
      <c r="BR103" s="709"/>
      <c r="BS103" s="709"/>
      <c r="BT103" s="709"/>
      <c r="BU103" s="709"/>
      <c r="BV103" s="709"/>
      <c r="BW103" s="709"/>
      <c r="BX103" s="709"/>
      <c r="BY103" s="709"/>
      <c r="BZ103" s="709"/>
      <c r="CA103" s="709"/>
    </row>
    <row r="104" spans="1:79">
      <c r="A104" s="709"/>
      <c r="B104" s="709"/>
      <c r="C104" s="715"/>
      <c r="D104" s="715"/>
      <c r="E104" s="745"/>
      <c r="F104" s="745"/>
      <c r="G104" s="745"/>
      <c r="H104" s="1034">
        <f t="shared" ref="H104:AU104" ca="1" si="35">H103-H16</f>
        <v>0</v>
      </c>
      <c r="I104" s="1034">
        <f t="shared" ca="1" si="35"/>
        <v>0</v>
      </c>
      <c r="J104" s="1034">
        <f t="shared" ca="1" si="35"/>
        <v>0</v>
      </c>
      <c r="K104" s="1034">
        <f t="shared" ca="1" si="35"/>
        <v>0</v>
      </c>
      <c r="L104" s="1034">
        <f t="shared" ca="1" si="35"/>
        <v>0</v>
      </c>
      <c r="M104" s="1034">
        <f t="shared" ca="1" si="35"/>
        <v>0</v>
      </c>
      <c r="N104" s="1034">
        <f t="shared" ca="1" si="35"/>
        <v>0</v>
      </c>
      <c r="O104" s="1034">
        <f t="shared" ca="1" si="35"/>
        <v>0</v>
      </c>
      <c r="P104" s="1034">
        <f t="shared" ca="1" si="35"/>
        <v>0</v>
      </c>
      <c r="Q104" s="1034">
        <f t="shared" ca="1" si="35"/>
        <v>0</v>
      </c>
      <c r="R104" s="1034">
        <f t="shared" ca="1" si="35"/>
        <v>0</v>
      </c>
      <c r="S104" s="1034">
        <f t="shared" ca="1" si="35"/>
        <v>0</v>
      </c>
      <c r="T104" s="1034">
        <f t="shared" ca="1" si="35"/>
        <v>0</v>
      </c>
      <c r="U104" s="1034">
        <f t="shared" ca="1" si="35"/>
        <v>0</v>
      </c>
      <c r="V104" s="1034">
        <f t="shared" ca="1" si="35"/>
        <v>0</v>
      </c>
      <c r="W104" s="1034">
        <f t="shared" ca="1" si="35"/>
        <v>0</v>
      </c>
      <c r="X104" s="1034">
        <f t="shared" ca="1" si="35"/>
        <v>0</v>
      </c>
      <c r="Y104" s="1034">
        <f t="shared" ca="1" si="35"/>
        <v>0</v>
      </c>
      <c r="Z104" s="1034">
        <f t="shared" ca="1" si="35"/>
        <v>0</v>
      </c>
      <c r="AA104" s="1034">
        <f t="shared" ca="1" si="35"/>
        <v>0</v>
      </c>
      <c r="AB104" s="1034">
        <f t="shared" ca="1" si="35"/>
        <v>0</v>
      </c>
      <c r="AC104" s="1034">
        <f t="shared" ca="1" si="35"/>
        <v>0</v>
      </c>
      <c r="AD104" s="1034">
        <f t="shared" ca="1" si="35"/>
        <v>0</v>
      </c>
      <c r="AE104" s="1034">
        <f t="shared" ca="1" si="35"/>
        <v>0</v>
      </c>
      <c r="AF104" s="1034">
        <f t="shared" ca="1" si="35"/>
        <v>0</v>
      </c>
      <c r="AG104" s="1034">
        <f t="shared" ca="1" si="35"/>
        <v>0</v>
      </c>
      <c r="AH104" s="1034">
        <f t="shared" ca="1" si="35"/>
        <v>0</v>
      </c>
      <c r="AI104" s="1034">
        <f t="shared" ca="1" si="35"/>
        <v>0</v>
      </c>
      <c r="AJ104" s="1034">
        <f t="shared" ca="1" si="35"/>
        <v>0</v>
      </c>
      <c r="AK104" s="1034">
        <f t="shared" ca="1" si="35"/>
        <v>0</v>
      </c>
      <c r="AL104" s="1034">
        <f t="shared" ca="1" si="35"/>
        <v>0</v>
      </c>
      <c r="AM104" s="1034">
        <f t="shared" ca="1" si="35"/>
        <v>0</v>
      </c>
      <c r="AN104" s="1034">
        <f t="shared" ca="1" si="35"/>
        <v>0</v>
      </c>
      <c r="AO104" s="1034">
        <f ca="1">AO103-AO16</f>
        <v>0</v>
      </c>
      <c r="AP104" s="1034">
        <f ca="1">AP103-AP16</f>
        <v>0</v>
      </c>
      <c r="AQ104" s="1034">
        <f t="shared" ca="1" si="35"/>
        <v>0</v>
      </c>
      <c r="AR104" s="1034">
        <f t="shared" ca="1" si="35"/>
        <v>1010000.0000000093</v>
      </c>
      <c r="AS104" s="1034"/>
      <c r="AT104" s="1034">
        <f>AT103-AT16</f>
        <v>0</v>
      </c>
      <c r="AU104" s="1034">
        <f t="shared" si="35"/>
        <v>0</v>
      </c>
      <c r="AV104" s="1034">
        <f ca="1">AV103-AV16</f>
        <v>1010100.0000000224</v>
      </c>
      <c r="AW104" s="785"/>
      <c r="AX104" s="784"/>
      <c r="AY104" s="709"/>
      <c r="AZ104" s="709"/>
      <c r="BA104" s="709"/>
      <c r="BB104" s="709"/>
      <c r="BC104" s="709"/>
      <c r="BD104" s="709"/>
      <c r="BE104" s="709"/>
      <c r="BF104" s="709"/>
      <c r="BG104" s="709"/>
      <c r="BH104" s="709"/>
      <c r="BI104" s="709"/>
      <c r="BJ104" s="709"/>
      <c r="BK104" s="709"/>
      <c r="BL104" s="709"/>
      <c r="BM104" s="709"/>
      <c r="BN104" s="709"/>
      <c r="BO104" s="709"/>
      <c r="BP104" s="709"/>
      <c r="BQ104" s="709"/>
      <c r="BR104" s="709"/>
      <c r="BS104" s="709"/>
      <c r="BT104" s="709"/>
      <c r="BU104" s="709"/>
      <c r="BV104" s="709"/>
      <c r="BW104" s="709"/>
      <c r="BX104" s="709"/>
      <c r="BY104" s="709"/>
      <c r="BZ104" s="709"/>
      <c r="CA104" s="709"/>
    </row>
    <row r="105" spans="1:79" hidden="1">
      <c r="A105" s="722"/>
      <c r="B105" s="722"/>
      <c r="C105" s="786"/>
      <c r="D105" s="787"/>
      <c r="E105" s="787"/>
      <c r="F105" s="788"/>
      <c r="G105" s="788"/>
      <c r="H105" s="788">
        <f ca="1">H103-H16</f>
        <v>0</v>
      </c>
      <c r="I105" s="788">
        <f ca="1">I103-I16</f>
        <v>0</v>
      </c>
      <c r="J105" s="788"/>
      <c r="K105" s="788"/>
      <c r="L105" s="788"/>
      <c r="M105" s="788"/>
      <c r="N105" s="788"/>
      <c r="O105" s="788"/>
      <c r="P105" s="788"/>
      <c r="Q105" s="788"/>
      <c r="R105" s="788"/>
      <c r="S105" s="788"/>
      <c r="T105" s="788"/>
      <c r="U105" s="788"/>
      <c r="V105" s="788"/>
      <c r="W105" s="788"/>
      <c r="X105" s="788"/>
      <c r="Y105" s="788"/>
      <c r="Z105" s="788"/>
      <c r="AA105" s="788"/>
      <c r="AB105" s="788"/>
      <c r="AC105" s="788"/>
      <c r="AD105" s="788"/>
      <c r="AE105" s="788"/>
      <c r="AF105" s="788"/>
      <c r="AG105" s="788"/>
      <c r="AH105" s="788"/>
      <c r="AI105" s="788"/>
      <c r="AJ105" s="788"/>
      <c r="AK105" s="788"/>
      <c r="AL105" s="788"/>
      <c r="AM105" s="788"/>
      <c r="AN105" s="788"/>
      <c r="AO105" s="788"/>
      <c r="AP105" s="788"/>
      <c r="AQ105" s="788"/>
      <c r="AR105" s="788"/>
      <c r="AS105" s="788"/>
      <c r="AT105" s="788"/>
      <c r="AU105" s="788"/>
      <c r="AV105" s="788"/>
      <c r="AW105" s="788"/>
      <c r="AX105" s="789"/>
      <c r="AY105" s="790"/>
      <c r="AZ105" s="790"/>
      <c r="BA105" s="790"/>
      <c r="BB105" s="790"/>
      <c r="BC105" s="790"/>
      <c r="BD105" s="790"/>
      <c r="BE105" s="790"/>
      <c r="BF105" s="790"/>
      <c r="BG105" s="790"/>
      <c r="BH105" s="790"/>
      <c r="BI105" s="790"/>
      <c r="BJ105" s="790"/>
      <c r="BK105" s="790"/>
      <c r="BL105" s="790"/>
      <c r="BM105" s="790"/>
      <c r="BN105" s="790"/>
      <c r="BO105" s="790"/>
      <c r="BP105" s="790"/>
      <c r="BQ105" s="790"/>
      <c r="BR105" s="790"/>
      <c r="BS105" s="790"/>
      <c r="BT105" s="790"/>
      <c r="BU105" s="790"/>
      <c r="BV105" s="790"/>
      <c r="BW105" s="790"/>
      <c r="BX105" s="790"/>
      <c r="BY105" s="790"/>
      <c r="BZ105" s="790"/>
      <c r="CA105" s="790"/>
    </row>
    <row r="106" spans="1:79" hidden="1">
      <c r="A106" s="722"/>
      <c r="B106" s="722"/>
      <c r="C106" s="791"/>
      <c r="D106" s="722"/>
      <c r="E106" s="722"/>
      <c r="F106" s="792"/>
      <c r="G106" s="722"/>
      <c r="H106" s="722"/>
      <c r="I106" s="793"/>
      <c r="J106" s="722"/>
      <c r="K106" s="722"/>
      <c r="L106" s="722"/>
      <c r="M106" s="722"/>
      <c r="N106" s="722"/>
      <c r="O106" s="722"/>
      <c r="P106" s="722"/>
      <c r="Q106" s="722"/>
      <c r="R106" s="722"/>
      <c r="S106" s="722"/>
      <c r="T106" s="722"/>
      <c r="U106" s="722"/>
      <c r="V106" s="722"/>
      <c r="W106" s="722"/>
      <c r="X106" s="722"/>
      <c r="Y106" s="722"/>
      <c r="Z106" s="722"/>
      <c r="AA106" s="722"/>
      <c r="AB106" s="722"/>
      <c r="AC106" s="722"/>
      <c r="AD106" s="722"/>
      <c r="AE106" s="722"/>
      <c r="AF106" s="722"/>
      <c r="AG106" s="722"/>
      <c r="AH106" s="722"/>
      <c r="AI106" s="722"/>
      <c r="AJ106" s="722"/>
      <c r="AK106" s="722"/>
      <c r="AL106" s="722"/>
      <c r="AM106" s="722"/>
      <c r="AN106" s="722"/>
      <c r="AO106" s="722"/>
      <c r="AP106" s="722"/>
      <c r="AQ106" s="722"/>
      <c r="AR106" s="722"/>
      <c r="AS106" s="722"/>
      <c r="AT106" s="722"/>
      <c r="AU106" s="722"/>
      <c r="AV106" s="722"/>
      <c r="AW106" s="722"/>
      <c r="AX106" s="789"/>
      <c r="AY106" s="790"/>
      <c r="AZ106" s="790"/>
      <c r="BA106" s="790"/>
      <c r="BB106" s="790"/>
      <c r="BC106" s="790"/>
      <c r="BD106" s="790"/>
      <c r="BE106" s="790"/>
      <c r="BF106" s="790"/>
      <c r="BG106" s="790"/>
      <c r="BH106" s="790"/>
      <c r="BI106" s="790"/>
      <c r="BJ106" s="790"/>
      <c r="BK106" s="790"/>
      <c r="BL106" s="790"/>
      <c r="BM106" s="790"/>
      <c r="BN106" s="790"/>
      <c r="BO106" s="790"/>
      <c r="BP106" s="790"/>
      <c r="BQ106" s="790"/>
      <c r="BR106" s="790"/>
      <c r="BS106" s="790"/>
      <c r="BT106" s="790"/>
      <c r="BU106" s="790"/>
      <c r="BV106" s="790"/>
      <c r="BW106" s="790"/>
      <c r="BX106" s="790"/>
      <c r="BY106" s="790"/>
      <c r="BZ106" s="790"/>
      <c r="CA106" s="790"/>
    </row>
    <row r="107" spans="1:79">
      <c r="A107" s="1507"/>
      <c r="B107" s="1508"/>
      <c r="C107" s="1509" t="s">
        <v>493</v>
      </c>
      <c r="D107" s="1507"/>
      <c r="E107" s="1510"/>
      <c r="F107" s="1511"/>
      <c r="G107" s="1507"/>
      <c r="H107" s="1507"/>
      <c r="I107" s="1507"/>
      <c r="J107" s="1507"/>
      <c r="K107" s="1507"/>
      <c r="L107" s="1507"/>
      <c r="M107" s="1507"/>
      <c r="N107" s="1507"/>
      <c r="O107" s="1507"/>
      <c r="P107" s="1507"/>
      <c r="Q107" s="1507"/>
      <c r="R107" s="1507"/>
      <c r="S107" s="1507"/>
      <c r="T107" s="1507"/>
      <c r="U107" s="1507"/>
      <c r="V107" s="1507"/>
      <c r="W107" s="1507"/>
      <c r="X107" s="1507"/>
      <c r="Y107" s="1507"/>
      <c r="Z107" s="1507"/>
      <c r="AA107" s="1507"/>
      <c r="AB107" s="1507"/>
      <c r="AC107" s="1507"/>
      <c r="AD107" s="1507"/>
      <c r="AE107" s="1507"/>
      <c r="AF107" s="1507"/>
      <c r="AG107" s="1507"/>
      <c r="AH107" s="1507"/>
      <c r="AI107" s="1507"/>
      <c r="AJ107" s="1507"/>
      <c r="AK107" s="1507"/>
      <c r="AL107" s="1507"/>
      <c r="AM107" s="1507"/>
      <c r="AN107" s="1507"/>
      <c r="AO107" s="1507"/>
      <c r="AP107" s="1507"/>
      <c r="AQ107" s="1507"/>
      <c r="AR107" s="1507"/>
      <c r="AS107" s="1507"/>
      <c r="AT107" s="1507"/>
      <c r="AU107" s="1507"/>
      <c r="AV107" s="1512"/>
      <c r="AW107" s="795"/>
      <c r="AX107" s="784"/>
      <c r="AY107" s="709"/>
      <c r="AZ107" s="709"/>
      <c r="BA107" s="709"/>
      <c r="BB107" s="709"/>
      <c r="BC107" s="709"/>
      <c r="BD107" s="709"/>
      <c r="BE107" s="709"/>
      <c r="BF107" s="709"/>
      <c r="BG107" s="709"/>
      <c r="BH107" s="709"/>
      <c r="BI107" s="709"/>
      <c r="BJ107" s="709"/>
      <c r="BK107" s="709"/>
      <c r="BL107" s="709"/>
      <c r="BM107" s="709"/>
      <c r="BN107" s="709"/>
      <c r="BO107" s="709"/>
      <c r="BP107" s="709"/>
      <c r="BQ107" s="709"/>
      <c r="BR107" s="709"/>
      <c r="BS107" s="709"/>
      <c r="BT107" s="709"/>
      <c r="BU107" s="709"/>
      <c r="BV107" s="709"/>
      <c r="BW107" s="709"/>
      <c r="BX107" s="709"/>
      <c r="BY107" s="709"/>
      <c r="BZ107" s="709"/>
      <c r="CA107" s="709"/>
    </row>
    <row r="108" spans="1:79" ht="15" thickBot="1">
      <c r="A108" s="1513"/>
      <c r="B108" s="1513"/>
      <c r="C108" s="1501">
        <f ca="1">'Summary Sources-Uses'!K20-C110</f>
        <v>25830916.735726323</v>
      </c>
      <c r="D108" s="1514"/>
      <c r="E108" s="1695" t="s">
        <v>494</v>
      </c>
      <c r="F108" s="1696"/>
      <c r="G108" s="1502"/>
      <c r="H108" s="1523">
        <f ca="1">H100/$C108</f>
        <v>5.4198618435546374E-2</v>
      </c>
      <c r="I108" s="1502"/>
      <c r="J108" s="1502"/>
      <c r="K108" s="1502"/>
      <c r="L108" s="1502"/>
      <c r="M108" s="1502"/>
      <c r="N108" s="1502"/>
      <c r="O108" s="1502"/>
      <c r="P108" s="1502"/>
      <c r="Q108" s="1502"/>
      <c r="R108" s="1502"/>
      <c r="S108" s="1502"/>
      <c r="T108" s="1502"/>
      <c r="U108" s="1502"/>
      <c r="V108" s="1502"/>
      <c r="W108" s="1502"/>
      <c r="X108" s="1502"/>
      <c r="Y108" s="1502"/>
      <c r="Z108" s="1502"/>
      <c r="AA108" s="1502"/>
      <c r="AB108" s="1523"/>
      <c r="AC108" s="1502"/>
      <c r="AD108" s="1502"/>
      <c r="AE108" s="1523">
        <f ca="1">AE101/(F100+F101)</f>
        <v>0.54580138156445368</v>
      </c>
      <c r="AF108" s="1502"/>
      <c r="AG108" s="1502"/>
      <c r="AH108" s="1502"/>
      <c r="AI108" s="1502"/>
      <c r="AJ108" s="1502"/>
      <c r="AK108" s="1502"/>
      <c r="AL108" s="1502"/>
      <c r="AM108" s="1502"/>
      <c r="AN108" s="1502"/>
      <c r="AO108" s="1523">
        <f ca="1">AO101/(F101+F100)</f>
        <v>0</v>
      </c>
      <c r="AP108" s="1502"/>
      <c r="AQ108" s="1502"/>
      <c r="AR108" s="1523"/>
      <c r="AS108" s="1523"/>
      <c r="AT108" s="1523"/>
      <c r="AU108" s="1502"/>
      <c r="AV108" s="1515" t="s">
        <v>495</v>
      </c>
      <c r="AW108" s="796"/>
      <c r="AX108" s="797"/>
      <c r="AY108" s="709"/>
      <c r="AZ108" s="709"/>
      <c r="BA108" s="709"/>
      <c r="BB108" s="709"/>
      <c r="BC108" s="709"/>
      <c r="BD108" s="709"/>
      <c r="BE108" s="709"/>
      <c r="BF108" s="709"/>
      <c r="BG108" s="709"/>
      <c r="BH108" s="709"/>
      <c r="BI108" s="709"/>
      <c r="BJ108" s="709"/>
      <c r="BK108" s="709"/>
      <c r="BL108" s="709"/>
      <c r="BM108" s="709"/>
      <c r="BN108" s="709"/>
      <c r="BO108" s="709"/>
      <c r="BP108" s="709"/>
      <c r="BQ108" s="709"/>
      <c r="BR108" s="709"/>
      <c r="BS108" s="709"/>
      <c r="BT108" s="709"/>
      <c r="BU108" s="709"/>
      <c r="BV108" s="709"/>
      <c r="BW108" s="709"/>
      <c r="BX108" s="709"/>
      <c r="BY108" s="709"/>
      <c r="BZ108" s="709"/>
      <c r="CA108" s="709"/>
    </row>
    <row r="109" spans="1:79">
      <c r="A109" s="1516"/>
      <c r="B109" s="1517"/>
      <c r="C109" s="1518" t="s">
        <v>423</v>
      </c>
      <c r="D109" s="1513"/>
      <c r="E109" s="1513"/>
      <c r="F109" s="1519"/>
      <c r="G109" s="1513"/>
      <c r="H109" s="1513"/>
      <c r="I109" s="1513"/>
      <c r="J109" s="1513"/>
      <c r="K109" s="1513"/>
      <c r="L109" s="1513"/>
      <c r="M109" s="1513"/>
      <c r="N109" s="1513"/>
      <c r="O109" s="1513"/>
      <c r="P109" s="1513"/>
      <c r="Q109" s="1513"/>
      <c r="R109" s="1513"/>
      <c r="S109" s="1513"/>
      <c r="T109" s="1513"/>
      <c r="U109" s="1513"/>
      <c r="V109" s="1513"/>
      <c r="W109" s="1513"/>
      <c r="X109" s="1513"/>
      <c r="Y109" s="1513"/>
      <c r="Z109" s="1513"/>
      <c r="AA109" s="1513"/>
      <c r="AB109" s="1513"/>
      <c r="AC109" s="1513"/>
      <c r="AD109" s="1513"/>
      <c r="AE109" s="1513"/>
      <c r="AF109" s="1513"/>
      <c r="AG109" s="1513"/>
      <c r="AH109" s="1513"/>
      <c r="AI109" s="1513"/>
      <c r="AJ109" s="1513"/>
      <c r="AK109" s="1513"/>
      <c r="AL109" s="1513"/>
      <c r="AM109" s="1513"/>
      <c r="AN109" s="1513"/>
      <c r="AO109" s="1513"/>
      <c r="AP109" s="1513"/>
      <c r="AQ109" s="1513"/>
      <c r="AR109" s="1513"/>
      <c r="AS109" s="1513"/>
      <c r="AT109" s="1513"/>
      <c r="AU109" s="1513"/>
      <c r="AV109" s="1520"/>
      <c r="AW109" s="795"/>
      <c r="AX109" s="798"/>
      <c r="AY109" s="709"/>
      <c r="AZ109" s="709"/>
      <c r="BA109" s="709"/>
      <c r="BB109" s="709"/>
      <c r="BC109" s="709"/>
      <c r="BD109" s="709"/>
      <c r="BE109" s="709"/>
      <c r="BF109" s="709"/>
      <c r="BG109" s="709"/>
      <c r="BH109" s="709"/>
      <c r="BI109" s="709"/>
      <c r="BJ109" s="709"/>
      <c r="BK109" s="709"/>
      <c r="BL109" s="709"/>
      <c r="BM109" s="709"/>
      <c r="BN109" s="709"/>
      <c r="BO109" s="709"/>
      <c r="BP109" s="709"/>
      <c r="BQ109" s="709"/>
      <c r="BR109" s="709"/>
      <c r="BS109" s="709"/>
      <c r="BT109" s="709"/>
      <c r="BU109" s="709"/>
      <c r="BV109" s="709"/>
      <c r="BW109" s="709"/>
      <c r="BX109" s="709"/>
      <c r="BY109" s="709"/>
      <c r="BZ109" s="709"/>
      <c r="CA109" s="709"/>
    </row>
    <row r="110" spans="1:79">
      <c r="A110" s="1513"/>
      <c r="B110" s="1514"/>
      <c r="C110" s="1521">
        <f ca="1">'Summary Sources-Uses'!E17</f>
        <v>-18830916.735726323</v>
      </c>
      <c r="D110" s="1513"/>
      <c r="E110" s="1513"/>
      <c r="F110" s="1522"/>
      <c r="G110" s="1513"/>
      <c r="H110" s="1513"/>
      <c r="I110" s="1513"/>
      <c r="J110" s="1513"/>
      <c r="K110" s="1513"/>
      <c r="L110" s="1513"/>
      <c r="M110" s="1513"/>
      <c r="N110" s="1513"/>
      <c r="O110" s="1513"/>
      <c r="P110" s="1513"/>
      <c r="Q110" s="1513"/>
      <c r="R110" s="1513"/>
      <c r="S110" s="1513"/>
      <c r="T110" s="1513"/>
      <c r="U110" s="1513"/>
      <c r="V110" s="1513"/>
      <c r="W110" s="1513"/>
      <c r="X110" s="1513"/>
      <c r="Y110" s="1513"/>
      <c r="Z110" s="1513"/>
      <c r="AA110" s="1513"/>
      <c r="AB110" s="1513"/>
      <c r="AC110" s="1513"/>
      <c r="AD110" s="1513"/>
      <c r="AE110" s="1513"/>
      <c r="AF110" s="1513"/>
      <c r="AG110" s="1513"/>
      <c r="AH110" s="1513"/>
      <c r="AI110" s="1513"/>
      <c r="AJ110" s="1513"/>
      <c r="AK110" s="1513"/>
      <c r="AL110" s="1513"/>
      <c r="AM110" s="1513"/>
      <c r="AN110" s="1513"/>
      <c r="AO110" s="1513"/>
      <c r="AP110" s="1513"/>
      <c r="AQ110" s="1513"/>
      <c r="AR110" s="1513"/>
      <c r="AS110" s="1513"/>
      <c r="AT110" s="1513"/>
      <c r="AU110" s="1513"/>
      <c r="AV110" s="1520"/>
      <c r="AW110" s="795"/>
      <c r="AX110" s="799"/>
      <c r="AY110" s="709"/>
      <c r="AZ110" s="709"/>
      <c r="BA110" s="709"/>
      <c r="BB110" s="709"/>
      <c r="BC110" s="709"/>
      <c r="BD110" s="709"/>
      <c r="BE110" s="709"/>
      <c r="BF110" s="709"/>
      <c r="BG110" s="709"/>
      <c r="BH110" s="709"/>
      <c r="BI110" s="709"/>
      <c r="BJ110" s="709"/>
      <c r="BK110" s="709"/>
      <c r="BL110" s="709"/>
      <c r="BM110" s="709"/>
      <c r="BN110" s="709"/>
      <c r="BO110" s="709"/>
      <c r="BP110" s="709"/>
      <c r="BQ110" s="709"/>
      <c r="BR110" s="709"/>
      <c r="BS110" s="709"/>
      <c r="BT110" s="709"/>
      <c r="BU110" s="709"/>
      <c r="BV110" s="709"/>
      <c r="BW110" s="709"/>
      <c r="BX110" s="709"/>
      <c r="BY110" s="709"/>
      <c r="BZ110" s="709"/>
      <c r="CA110" s="709"/>
    </row>
    <row r="111" spans="1:79" ht="15" thickBot="1">
      <c r="A111" s="1503"/>
      <c r="B111" s="1503"/>
      <c r="C111" s="1524">
        <f ca="1">C110/(C110+C108)</f>
        <v>-2.6901309622466174</v>
      </c>
      <c r="D111" s="1504" t="s">
        <v>496</v>
      </c>
      <c r="E111" s="1505"/>
      <c r="F111" s="1503"/>
      <c r="G111" s="1503"/>
      <c r="H111" s="1503"/>
      <c r="I111" s="1503"/>
      <c r="J111" s="1503"/>
      <c r="K111" s="1503"/>
      <c r="L111" s="1503"/>
      <c r="M111" s="1503"/>
      <c r="N111" s="1503"/>
      <c r="O111" s="1503"/>
      <c r="P111" s="1503"/>
      <c r="Q111" s="1503"/>
      <c r="R111" s="1503"/>
      <c r="S111" s="1503"/>
      <c r="T111" s="1503"/>
      <c r="U111" s="1503"/>
      <c r="V111" s="1503"/>
      <c r="W111" s="1503"/>
      <c r="X111" s="1503"/>
      <c r="Y111" s="1503"/>
      <c r="Z111" s="1503"/>
      <c r="AA111" s="1503"/>
      <c r="AB111" s="1503"/>
      <c r="AC111" s="1503"/>
      <c r="AD111" s="1503"/>
      <c r="AE111" s="1503"/>
      <c r="AF111" s="1503"/>
      <c r="AG111" s="1503"/>
      <c r="AH111" s="1503"/>
      <c r="AI111" s="1503"/>
      <c r="AJ111" s="1503"/>
      <c r="AK111" s="1503"/>
      <c r="AL111" s="1503"/>
      <c r="AM111" s="1503"/>
      <c r="AN111" s="1503"/>
      <c r="AO111" s="1503"/>
      <c r="AP111" s="1503"/>
      <c r="AQ111" s="1503"/>
      <c r="AR111" s="1503"/>
      <c r="AS111" s="1503"/>
      <c r="AT111" s="1503"/>
      <c r="AU111" s="1503"/>
      <c r="AV111" s="1506"/>
      <c r="AW111" s="800"/>
      <c r="AX111" s="801"/>
      <c r="AY111" s="802"/>
      <c r="AZ111" s="709"/>
      <c r="BA111" s="709"/>
      <c r="BB111" s="709"/>
      <c r="BC111" s="709"/>
      <c r="BD111" s="709"/>
      <c r="BE111" s="709"/>
      <c r="BF111" s="709"/>
      <c r="BG111" s="709"/>
      <c r="BH111" s="709"/>
      <c r="BI111" s="709"/>
      <c r="BJ111" s="709"/>
      <c r="BK111" s="709"/>
      <c r="BL111" s="709"/>
      <c r="BM111" s="709"/>
      <c r="BN111" s="709"/>
      <c r="BO111" s="709"/>
      <c r="BP111" s="709"/>
      <c r="BQ111" s="709"/>
      <c r="BR111" s="709"/>
      <c r="BS111" s="709"/>
      <c r="BT111" s="709"/>
      <c r="BU111" s="709"/>
      <c r="BV111" s="709"/>
      <c r="BW111" s="709"/>
      <c r="BX111" s="709"/>
      <c r="BY111" s="709"/>
      <c r="BZ111" s="709"/>
      <c r="CA111" s="709"/>
    </row>
    <row r="112" spans="1:79" ht="15" thickTop="1">
      <c r="A112" s="709"/>
      <c r="B112" s="709"/>
      <c r="C112" s="786"/>
      <c r="D112" s="709"/>
      <c r="E112" s="709"/>
      <c r="F112" s="803"/>
      <c r="G112" s="803"/>
      <c r="H112" s="803"/>
      <c r="I112" s="803"/>
      <c r="J112" s="803"/>
      <c r="K112" s="803"/>
      <c r="L112" s="803"/>
      <c r="M112" s="803"/>
      <c r="N112" s="803"/>
      <c r="O112" s="803"/>
      <c r="P112" s="803"/>
      <c r="Q112" s="803"/>
      <c r="R112" s="803"/>
      <c r="S112" s="803"/>
      <c r="T112" s="803"/>
      <c r="U112" s="803"/>
      <c r="V112" s="803"/>
      <c r="W112" s="803"/>
      <c r="X112" s="803"/>
      <c r="Y112" s="803"/>
      <c r="Z112" s="803"/>
      <c r="AA112" s="803"/>
      <c r="AB112" s="803"/>
      <c r="AC112" s="803"/>
      <c r="AD112" s="803"/>
      <c r="AE112" s="803"/>
      <c r="AF112" s="803"/>
      <c r="AG112" s="803"/>
      <c r="AH112" s="803"/>
      <c r="AI112" s="803"/>
      <c r="AJ112" s="803"/>
      <c r="AK112" s="803"/>
      <c r="AL112" s="803"/>
      <c r="AM112" s="803"/>
      <c r="AN112" s="803"/>
      <c r="AO112" s="803"/>
      <c r="AP112" s="803"/>
      <c r="AQ112" s="803"/>
      <c r="AR112" s="803"/>
      <c r="AS112" s="803"/>
      <c r="AT112" s="803"/>
      <c r="AU112" s="803"/>
      <c r="AV112" s="803"/>
      <c r="AW112" s="803"/>
      <c r="AX112" s="794"/>
      <c r="AY112" s="709"/>
      <c r="AZ112" s="794"/>
      <c r="BA112" s="794"/>
      <c r="BB112" s="794"/>
      <c r="BC112" s="794"/>
      <c r="BD112" s="794"/>
      <c r="BE112" s="794"/>
      <c r="BF112" s="794"/>
      <c r="BG112" s="794"/>
      <c r="BH112" s="709"/>
      <c r="BI112" s="709"/>
      <c r="BJ112" s="709"/>
      <c r="BK112" s="709"/>
      <c r="BL112" s="709"/>
      <c r="BM112" s="709"/>
      <c r="BN112" s="709"/>
      <c r="BO112" s="709"/>
      <c r="BP112" s="709"/>
      <c r="BQ112" s="709"/>
      <c r="BR112" s="709"/>
      <c r="BS112" s="709"/>
      <c r="BT112" s="709"/>
      <c r="BU112" s="709"/>
      <c r="BV112" s="709"/>
      <c r="BW112" s="709"/>
      <c r="BX112" s="709"/>
      <c r="BY112" s="709"/>
      <c r="BZ112" s="709"/>
      <c r="CA112" s="709"/>
    </row>
    <row r="113" spans="1:79">
      <c r="A113" s="709"/>
      <c r="B113" s="1458" t="s">
        <v>767</v>
      </c>
      <c r="C113" s="709"/>
      <c r="D113" s="709"/>
      <c r="E113" s="709"/>
      <c r="F113" s="709"/>
      <c r="G113" s="709"/>
      <c r="H113" s="709"/>
      <c r="I113" s="709"/>
      <c r="J113" s="709"/>
      <c r="K113" s="709"/>
      <c r="L113" s="709"/>
      <c r="M113" s="709"/>
      <c r="N113" s="709"/>
      <c r="O113" s="709"/>
      <c r="P113" s="709"/>
      <c r="Q113" s="709"/>
      <c r="R113" s="709"/>
      <c r="S113" s="709"/>
      <c r="T113" s="709"/>
      <c r="U113" s="709"/>
      <c r="V113" s="709"/>
      <c r="W113" s="709"/>
      <c r="X113" s="709"/>
      <c r="Y113" s="709"/>
      <c r="Z113" s="709"/>
      <c r="AA113" s="709"/>
      <c r="AB113" s="709"/>
      <c r="AC113" s="709"/>
      <c r="AD113" s="709"/>
      <c r="AE113" s="709"/>
      <c r="AF113" s="709"/>
      <c r="AG113" s="709"/>
      <c r="AH113" s="709"/>
      <c r="AI113" s="709"/>
      <c r="AJ113" s="709"/>
      <c r="AK113" s="709"/>
      <c r="AL113" s="709"/>
      <c r="AM113" s="709"/>
      <c r="AN113" s="709"/>
      <c r="AO113" s="709"/>
      <c r="AP113" s="709"/>
      <c r="AQ113" s="709"/>
      <c r="AR113" s="709"/>
      <c r="AS113" s="709"/>
      <c r="AT113" s="709"/>
      <c r="AU113" s="709"/>
      <c r="AV113" s="709"/>
      <c r="AW113" s="709"/>
      <c r="AX113" s="709"/>
      <c r="AY113" s="709"/>
      <c r="AZ113" s="709"/>
      <c r="BA113" s="709"/>
      <c r="BB113" s="709"/>
      <c r="BC113" s="709"/>
      <c r="BD113" s="709"/>
      <c r="BE113" s="709"/>
      <c r="BF113" s="709"/>
      <c r="BG113" s="709"/>
      <c r="BH113" s="709"/>
      <c r="BI113" s="709"/>
      <c r="BJ113" s="709"/>
      <c r="BK113" s="709"/>
      <c r="BL113" s="709"/>
      <c r="BM113" s="709"/>
      <c r="BN113" s="709"/>
      <c r="BO113" s="709"/>
      <c r="BP113" s="709"/>
      <c r="BQ113" s="709"/>
      <c r="BR113" s="709"/>
      <c r="BS113" s="709"/>
      <c r="BT113" s="709"/>
      <c r="BU113" s="709"/>
      <c r="BV113" s="709"/>
      <c r="BW113" s="709"/>
      <c r="BX113" s="709"/>
      <c r="BY113" s="709"/>
      <c r="BZ113" s="709"/>
      <c r="CA113" s="709"/>
    </row>
    <row r="114" spans="1:79">
      <c r="A114" s="709"/>
      <c r="B114" s="709"/>
      <c r="C114" s="709"/>
      <c r="D114" s="1038"/>
      <c r="E114" s="1039"/>
      <c r="F114" s="1040" t="s">
        <v>770</v>
      </c>
      <c r="G114" s="1041"/>
      <c r="H114" s="1466">
        <f ca="1">'Summary Sources-Uses'!K67</f>
        <v>13562258.35376226</v>
      </c>
      <c r="I114" s="1466">
        <f ca="1">$H114</f>
        <v>13562258.35376226</v>
      </c>
      <c r="J114" s="1466">
        <f ca="1">$H114</f>
        <v>13562258.35376226</v>
      </c>
      <c r="K114" s="1466">
        <f t="shared" ref="K114:AU114" ca="1" si="36">$H114</f>
        <v>13562258.35376226</v>
      </c>
      <c r="L114" s="1466">
        <f t="shared" ca="1" si="36"/>
        <v>13562258.35376226</v>
      </c>
      <c r="M114" s="1466">
        <f t="shared" ca="1" si="36"/>
        <v>13562258.35376226</v>
      </c>
      <c r="N114" s="1466">
        <f t="shared" ca="1" si="36"/>
        <v>13562258.35376226</v>
      </c>
      <c r="O114" s="1466">
        <f t="shared" ca="1" si="36"/>
        <v>13562258.35376226</v>
      </c>
      <c r="P114" s="1466">
        <f t="shared" ca="1" si="36"/>
        <v>13562258.35376226</v>
      </c>
      <c r="Q114" s="1466">
        <f t="shared" ca="1" si="36"/>
        <v>13562258.35376226</v>
      </c>
      <c r="R114" s="1466">
        <f t="shared" ca="1" si="36"/>
        <v>13562258.35376226</v>
      </c>
      <c r="S114" s="1466">
        <f t="shared" ca="1" si="36"/>
        <v>13562258.35376226</v>
      </c>
      <c r="T114" s="1466">
        <f t="shared" ca="1" si="36"/>
        <v>13562258.35376226</v>
      </c>
      <c r="U114" s="1466">
        <f t="shared" ca="1" si="36"/>
        <v>13562258.35376226</v>
      </c>
      <c r="V114" s="1466">
        <f t="shared" ca="1" si="36"/>
        <v>13562258.35376226</v>
      </c>
      <c r="W114" s="1466">
        <f t="shared" ca="1" si="36"/>
        <v>13562258.35376226</v>
      </c>
      <c r="X114" s="1466">
        <f t="shared" ca="1" si="36"/>
        <v>13562258.35376226</v>
      </c>
      <c r="Y114" s="1466">
        <f t="shared" ca="1" si="36"/>
        <v>13562258.35376226</v>
      </c>
      <c r="Z114" s="1466">
        <f t="shared" ca="1" si="36"/>
        <v>13562258.35376226</v>
      </c>
      <c r="AA114" s="1466">
        <f t="shared" ca="1" si="36"/>
        <v>13562258.35376226</v>
      </c>
      <c r="AB114" s="1466">
        <f t="shared" ca="1" si="36"/>
        <v>13562258.35376226</v>
      </c>
      <c r="AC114" s="1466">
        <f t="shared" ca="1" si="36"/>
        <v>13562258.35376226</v>
      </c>
      <c r="AD114" s="1466">
        <f t="shared" ca="1" si="36"/>
        <v>13562258.35376226</v>
      </c>
      <c r="AE114" s="1466">
        <f t="shared" ca="1" si="36"/>
        <v>13562258.35376226</v>
      </c>
      <c r="AF114" s="1466">
        <f t="shared" ca="1" si="36"/>
        <v>13562258.35376226</v>
      </c>
      <c r="AG114" s="1466">
        <f t="shared" ca="1" si="36"/>
        <v>13562258.35376226</v>
      </c>
      <c r="AH114" s="1466">
        <f t="shared" ca="1" si="36"/>
        <v>13562258.35376226</v>
      </c>
      <c r="AI114" s="1466">
        <f t="shared" ca="1" si="36"/>
        <v>13562258.35376226</v>
      </c>
      <c r="AJ114" s="1466">
        <f t="shared" ca="1" si="36"/>
        <v>13562258.35376226</v>
      </c>
      <c r="AK114" s="1466">
        <f t="shared" ca="1" si="36"/>
        <v>13562258.35376226</v>
      </c>
      <c r="AL114" s="1466">
        <f t="shared" ca="1" si="36"/>
        <v>13562258.35376226</v>
      </c>
      <c r="AM114" s="1466">
        <f t="shared" ca="1" si="36"/>
        <v>13562258.35376226</v>
      </c>
      <c r="AN114" s="1466">
        <f t="shared" ca="1" si="36"/>
        <v>13562258.35376226</v>
      </c>
      <c r="AO114" s="1466">
        <f t="shared" ca="1" si="36"/>
        <v>13562258.35376226</v>
      </c>
      <c r="AP114" s="1466">
        <f t="shared" ca="1" si="36"/>
        <v>13562258.35376226</v>
      </c>
      <c r="AQ114" s="1466">
        <f t="shared" ca="1" si="36"/>
        <v>13562258.35376226</v>
      </c>
      <c r="AR114" s="1466">
        <f t="shared" ca="1" si="36"/>
        <v>13562258.35376226</v>
      </c>
      <c r="AS114" s="1466"/>
      <c r="AT114" s="1466">
        <f t="shared" ca="1" si="36"/>
        <v>13562258.35376226</v>
      </c>
      <c r="AU114" s="1466">
        <f t="shared" ca="1" si="36"/>
        <v>13562258.35376226</v>
      </c>
      <c r="AV114" s="709"/>
      <c r="AW114" s="709"/>
      <c r="AX114" s="709"/>
      <c r="AY114" s="709"/>
      <c r="AZ114" s="709"/>
      <c r="BA114" s="709"/>
      <c r="BB114" s="709"/>
      <c r="BC114" s="709"/>
      <c r="BD114" s="709"/>
      <c r="BE114" s="709"/>
      <c r="BF114" s="709"/>
      <c r="BG114" s="709"/>
      <c r="BH114" s="709"/>
      <c r="BI114" s="709"/>
      <c r="BJ114" s="709"/>
      <c r="BK114" s="709"/>
      <c r="BL114" s="709"/>
      <c r="BM114" s="709"/>
      <c r="BN114" s="709"/>
      <c r="BO114" s="709"/>
      <c r="BP114" s="709"/>
      <c r="BQ114" s="709"/>
      <c r="BR114" s="709"/>
      <c r="BS114" s="709"/>
      <c r="BT114" s="709"/>
      <c r="BU114" s="709"/>
      <c r="BV114" s="709"/>
      <c r="BW114" s="709"/>
      <c r="BX114" s="709"/>
      <c r="BY114" s="709"/>
      <c r="BZ114" s="709"/>
      <c r="CA114" s="709"/>
    </row>
    <row r="115" spans="1:79">
      <c r="A115" s="709"/>
      <c r="B115" s="709"/>
      <c r="C115" s="709"/>
      <c r="D115" s="1042"/>
      <c r="E115" s="795" t="s">
        <v>771</v>
      </c>
      <c r="F115" s="1043">
        <f>3%</f>
        <v>0.03</v>
      </c>
      <c r="G115" s="1044"/>
      <c r="H115" s="1466"/>
      <c r="I115" s="1466">
        <f ca="1">H114*$F$115/12</f>
        <v>33905.645884405647</v>
      </c>
      <c r="J115" s="1466">
        <f ca="1">I114*$F$115/12</f>
        <v>33905.645884405647</v>
      </c>
      <c r="K115" s="1466">
        <f t="shared" ref="K115:AO115" ca="1" si="37">J114*$F$115/12</f>
        <v>33905.645884405647</v>
      </c>
      <c r="L115" s="1466">
        <f t="shared" ca="1" si="37"/>
        <v>33905.645884405647</v>
      </c>
      <c r="M115" s="1466">
        <f t="shared" ca="1" si="37"/>
        <v>33905.645884405647</v>
      </c>
      <c r="N115" s="1466">
        <f t="shared" ca="1" si="37"/>
        <v>33905.645884405647</v>
      </c>
      <c r="O115" s="1466">
        <f t="shared" ca="1" si="37"/>
        <v>33905.645884405647</v>
      </c>
      <c r="P115" s="1466">
        <f t="shared" ca="1" si="37"/>
        <v>33905.645884405647</v>
      </c>
      <c r="Q115" s="1466">
        <f t="shared" ca="1" si="37"/>
        <v>33905.645884405647</v>
      </c>
      <c r="R115" s="1466">
        <f t="shared" ca="1" si="37"/>
        <v>33905.645884405647</v>
      </c>
      <c r="S115" s="1466">
        <f t="shared" ca="1" si="37"/>
        <v>33905.645884405647</v>
      </c>
      <c r="T115" s="1466">
        <f t="shared" ca="1" si="37"/>
        <v>33905.645884405647</v>
      </c>
      <c r="U115" s="1466">
        <f t="shared" ca="1" si="37"/>
        <v>33905.645884405647</v>
      </c>
      <c r="V115" s="1466">
        <f t="shared" ca="1" si="37"/>
        <v>33905.645884405647</v>
      </c>
      <c r="W115" s="1466">
        <f t="shared" ca="1" si="37"/>
        <v>33905.645884405647</v>
      </c>
      <c r="X115" s="1466">
        <f t="shared" ca="1" si="37"/>
        <v>33905.645884405647</v>
      </c>
      <c r="Y115" s="1466">
        <f t="shared" ca="1" si="37"/>
        <v>33905.645884405647</v>
      </c>
      <c r="Z115" s="1466">
        <f t="shared" ca="1" si="37"/>
        <v>33905.645884405647</v>
      </c>
      <c r="AA115" s="1466">
        <f t="shared" ca="1" si="37"/>
        <v>33905.645884405647</v>
      </c>
      <c r="AB115" s="1466">
        <f t="shared" ca="1" si="37"/>
        <v>33905.645884405647</v>
      </c>
      <c r="AC115" s="1466">
        <f t="shared" ca="1" si="37"/>
        <v>33905.645884405647</v>
      </c>
      <c r="AD115" s="1466">
        <f t="shared" ca="1" si="37"/>
        <v>33905.645884405647</v>
      </c>
      <c r="AE115" s="1466">
        <f t="shared" ca="1" si="37"/>
        <v>33905.645884405647</v>
      </c>
      <c r="AF115" s="1466">
        <f t="shared" ca="1" si="37"/>
        <v>33905.645884405647</v>
      </c>
      <c r="AG115" s="1466">
        <f t="shared" ca="1" si="37"/>
        <v>33905.645884405647</v>
      </c>
      <c r="AH115" s="1466">
        <f t="shared" ca="1" si="37"/>
        <v>33905.645884405647</v>
      </c>
      <c r="AI115" s="1466">
        <f t="shared" ca="1" si="37"/>
        <v>33905.645884405647</v>
      </c>
      <c r="AJ115" s="1466">
        <f t="shared" ca="1" si="37"/>
        <v>33905.645884405647</v>
      </c>
      <c r="AK115" s="1466">
        <f t="shared" ca="1" si="37"/>
        <v>33905.645884405647</v>
      </c>
      <c r="AL115" s="1466">
        <f t="shared" ca="1" si="37"/>
        <v>33905.645884405647</v>
      </c>
      <c r="AM115" s="1466">
        <f t="shared" ca="1" si="37"/>
        <v>33905.645884405647</v>
      </c>
      <c r="AN115" s="1466">
        <f t="shared" ca="1" si="37"/>
        <v>33905.645884405647</v>
      </c>
      <c r="AO115" s="1466">
        <f t="shared" ca="1" si="37"/>
        <v>33905.645884405647</v>
      </c>
      <c r="AP115" s="1466">
        <f ca="1">AO114*$F$115/12</f>
        <v>33905.645884405647</v>
      </c>
      <c r="AQ115" s="1466">
        <f ca="1">AP114*$F$115/12</f>
        <v>33905.645884405647</v>
      </c>
      <c r="AR115" s="1466">
        <f ca="1">AQ114*$F$115/12</f>
        <v>33905.645884405647</v>
      </c>
      <c r="AS115" s="1466"/>
      <c r="AT115" s="1466">
        <f ca="1">AR114*$F$115/12</f>
        <v>33905.645884405647</v>
      </c>
      <c r="AU115" s="1466">
        <f ca="1">AR114*$F$115/12</f>
        <v>33905.645884405647</v>
      </c>
      <c r="AV115" s="709"/>
      <c r="AW115" s="709"/>
      <c r="AX115" s="709"/>
      <c r="AY115" s="709"/>
      <c r="AZ115" s="709"/>
      <c r="BA115" s="709"/>
      <c r="BB115" s="709"/>
      <c r="BC115" s="709"/>
      <c r="BD115" s="709"/>
      <c r="BE115" s="709"/>
      <c r="BF115" s="709"/>
      <c r="BG115" s="709"/>
      <c r="BH115" s="709"/>
      <c r="BI115" s="709"/>
      <c r="BJ115" s="709"/>
      <c r="BK115" s="709"/>
      <c r="BL115" s="709"/>
      <c r="BM115" s="709"/>
      <c r="BN115" s="709"/>
      <c r="BO115" s="709"/>
      <c r="BP115" s="709"/>
      <c r="BQ115" s="709"/>
      <c r="BR115" s="709"/>
      <c r="BS115" s="709"/>
      <c r="BT115" s="709"/>
      <c r="BU115" s="709"/>
      <c r="BV115" s="709"/>
      <c r="BW115" s="709"/>
      <c r="BX115" s="709"/>
      <c r="BY115" s="709"/>
      <c r="BZ115" s="709"/>
      <c r="CA115" s="709"/>
    </row>
    <row r="116" spans="1:79">
      <c r="A116" s="709"/>
      <c r="B116" s="709"/>
      <c r="C116" s="709"/>
      <c r="D116" s="1045"/>
      <c r="E116" s="1046"/>
      <c r="F116" s="1046"/>
      <c r="G116" s="1459" t="s">
        <v>768</v>
      </c>
      <c r="H116" s="1467">
        <f ca="1">SUM(H115:AQ115)</f>
        <v>1186697.6059541965</v>
      </c>
      <c r="I116" s="1465"/>
      <c r="J116" s="1465"/>
      <c r="K116" s="1465"/>
      <c r="L116" s="1465"/>
      <c r="M116" s="1465"/>
      <c r="N116" s="1465"/>
      <c r="O116" s="1465"/>
      <c r="P116" s="1465"/>
      <c r="Q116" s="1465"/>
      <c r="R116" s="1465"/>
      <c r="S116" s="1465"/>
      <c r="T116" s="1465"/>
      <c r="U116" s="1465"/>
      <c r="V116" s="1465"/>
      <c r="W116" s="1465"/>
      <c r="X116" s="1465"/>
      <c r="Y116" s="1465"/>
      <c r="Z116" s="1465"/>
      <c r="AA116" s="1465"/>
      <c r="AB116" s="1465"/>
      <c r="AC116" s="1465"/>
      <c r="AD116" s="1465"/>
      <c r="AE116" s="1465"/>
      <c r="AF116" s="1465"/>
      <c r="AG116" s="1465"/>
      <c r="AH116" s="1465"/>
      <c r="AI116" s="1465"/>
      <c r="AJ116" s="1465"/>
      <c r="AK116" s="1465"/>
      <c r="AL116" s="1465"/>
      <c r="AM116" s="1465"/>
      <c r="AN116" s="1465"/>
      <c r="AO116" s="1465"/>
      <c r="AP116" s="1465"/>
      <c r="AQ116" s="1465"/>
      <c r="AR116" s="1465"/>
      <c r="AS116" s="1465"/>
      <c r="AT116" s="1465"/>
      <c r="AU116" s="709"/>
      <c r="AV116" s="709"/>
      <c r="AW116" s="709"/>
      <c r="AX116" s="709"/>
      <c r="AY116" s="709"/>
      <c r="AZ116" s="709"/>
      <c r="BA116" s="709"/>
      <c r="BB116" s="709"/>
      <c r="BC116" s="709"/>
      <c r="BD116" s="709"/>
      <c r="BE116" s="709"/>
      <c r="BF116" s="709"/>
      <c r="BG116" s="709"/>
      <c r="BH116" s="709"/>
      <c r="BI116" s="709"/>
      <c r="BJ116" s="709"/>
      <c r="BK116" s="709"/>
      <c r="BL116" s="709"/>
      <c r="BM116" s="709"/>
      <c r="BN116" s="709"/>
      <c r="BO116" s="709"/>
      <c r="BP116" s="709"/>
      <c r="BQ116" s="709"/>
      <c r="BR116" s="709"/>
      <c r="BS116" s="709"/>
      <c r="BT116" s="709"/>
      <c r="BU116" s="709"/>
      <c r="BV116" s="709"/>
      <c r="BW116" s="709"/>
      <c r="BX116" s="709"/>
      <c r="BY116" s="709"/>
      <c r="BZ116" s="709"/>
      <c r="CA116" s="709"/>
    </row>
    <row r="117" spans="1:79">
      <c r="A117" s="709"/>
      <c r="B117" s="709"/>
      <c r="C117" s="709"/>
      <c r="D117" s="709"/>
      <c r="E117" s="709"/>
      <c r="F117" s="709"/>
      <c r="G117" s="795" t="s">
        <v>769</v>
      </c>
      <c r="H117" s="1460">
        <f ca="1">SUM(I115:AD115)</f>
        <v>745924.20945692388</v>
      </c>
      <c r="I117" s="709"/>
      <c r="J117" s="709"/>
      <c r="K117" s="709"/>
      <c r="L117" s="709"/>
      <c r="M117" s="709"/>
      <c r="N117" s="709"/>
      <c r="O117" s="709"/>
      <c r="P117" s="709"/>
      <c r="Q117" s="709"/>
      <c r="R117" s="709"/>
      <c r="S117" s="709"/>
      <c r="T117" s="709"/>
      <c r="U117" s="709"/>
      <c r="V117" s="709"/>
      <c r="W117" s="709"/>
      <c r="X117" s="709"/>
      <c r="Y117" s="709"/>
      <c r="Z117" s="709"/>
      <c r="AA117" s="709"/>
      <c r="AB117" s="709"/>
      <c r="AC117" s="709"/>
      <c r="AD117" s="709"/>
      <c r="AE117" s="709"/>
      <c r="AF117" s="709"/>
      <c r="AG117" s="709"/>
      <c r="AH117" s="709"/>
      <c r="AI117" s="709"/>
      <c r="AJ117" s="709"/>
      <c r="AK117" s="709"/>
      <c r="AL117" s="709"/>
      <c r="AM117" s="709"/>
      <c r="AN117" s="709"/>
      <c r="AO117" s="709"/>
      <c r="AP117" s="709"/>
      <c r="AQ117" s="709"/>
      <c r="AR117" s="709"/>
      <c r="AS117" s="709"/>
      <c r="AT117" s="709"/>
      <c r="AU117" s="709"/>
      <c r="AV117" s="709"/>
      <c r="AW117" s="709"/>
      <c r="AX117" s="709"/>
      <c r="AY117" s="709"/>
      <c r="AZ117" s="709"/>
      <c r="BA117" s="709"/>
      <c r="BB117" s="709"/>
      <c r="BC117" s="709"/>
      <c r="BD117" s="709"/>
      <c r="BE117" s="709"/>
      <c r="BF117" s="709"/>
      <c r="BG117" s="709"/>
      <c r="BH117" s="709"/>
      <c r="BI117" s="709"/>
      <c r="BJ117" s="709"/>
      <c r="BK117" s="709"/>
      <c r="BL117" s="709"/>
      <c r="BM117" s="709"/>
      <c r="BN117" s="709"/>
      <c r="BO117" s="709"/>
      <c r="BP117" s="709"/>
      <c r="BQ117" s="709"/>
      <c r="BR117" s="709"/>
      <c r="BS117" s="709"/>
      <c r="BT117" s="709"/>
      <c r="BU117" s="709"/>
      <c r="BV117" s="709"/>
      <c r="BW117" s="709"/>
      <c r="BX117" s="709"/>
      <c r="BY117" s="709"/>
      <c r="BZ117" s="709"/>
      <c r="CA117" s="709"/>
    </row>
    <row r="118" spans="1:79">
      <c r="A118" s="709"/>
      <c r="B118" s="709"/>
      <c r="C118" s="709"/>
      <c r="D118" s="709"/>
      <c r="E118" s="709"/>
      <c r="F118" s="709"/>
      <c r="G118" s="795"/>
      <c r="H118" s="1465"/>
      <c r="I118" s="709"/>
      <c r="J118" s="709"/>
      <c r="K118" s="709"/>
      <c r="L118" s="709"/>
      <c r="M118" s="709"/>
      <c r="N118" s="709"/>
      <c r="O118" s="709"/>
      <c r="P118" s="709"/>
      <c r="Q118" s="709"/>
      <c r="R118" s="709"/>
      <c r="S118" s="709"/>
      <c r="T118" s="709"/>
      <c r="U118" s="709"/>
      <c r="V118" s="709"/>
      <c r="W118" s="709"/>
      <c r="X118" s="709"/>
      <c r="Y118" s="709"/>
      <c r="Z118" s="709"/>
      <c r="AA118" s="709"/>
      <c r="AB118" s="709"/>
      <c r="AC118" s="709"/>
      <c r="AD118" s="709"/>
      <c r="AE118" s="709"/>
      <c r="AF118" s="709"/>
      <c r="AG118" s="709"/>
      <c r="AH118" s="709"/>
      <c r="AI118" s="709"/>
      <c r="AJ118" s="709"/>
      <c r="AK118" s="709"/>
      <c r="AL118" s="709"/>
      <c r="AM118" s="709"/>
      <c r="AN118" s="709"/>
      <c r="AO118" s="709"/>
      <c r="AP118" s="709"/>
      <c r="AQ118" s="709"/>
      <c r="AR118" s="709"/>
      <c r="AS118" s="709"/>
      <c r="AT118" s="709"/>
      <c r="AU118" s="709"/>
      <c r="AV118" s="709"/>
      <c r="AW118" s="709"/>
      <c r="AX118" s="709"/>
      <c r="AY118" s="709"/>
      <c r="AZ118" s="709"/>
      <c r="BA118" s="709"/>
      <c r="BB118" s="709"/>
      <c r="BC118" s="709"/>
      <c r="BD118" s="709"/>
      <c r="BE118" s="709"/>
      <c r="BF118" s="709"/>
      <c r="BG118" s="709"/>
      <c r="BH118" s="709"/>
      <c r="BI118" s="709"/>
      <c r="BJ118" s="709"/>
      <c r="BK118" s="709"/>
      <c r="BL118" s="709"/>
      <c r="BM118" s="709"/>
      <c r="BN118" s="709"/>
      <c r="BO118" s="709"/>
      <c r="BP118" s="709"/>
      <c r="BQ118" s="709"/>
      <c r="BR118" s="709"/>
      <c r="BS118" s="709"/>
      <c r="BT118" s="709"/>
      <c r="BU118" s="709"/>
      <c r="BV118" s="709"/>
      <c r="BW118" s="709"/>
      <c r="BX118" s="709"/>
      <c r="BY118" s="709"/>
      <c r="BZ118" s="709"/>
      <c r="CA118" s="709"/>
    </row>
    <row r="119" spans="1:79">
      <c r="A119" s="709"/>
      <c r="B119" s="1458" t="s">
        <v>783</v>
      </c>
      <c r="C119" s="709"/>
      <c r="D119" s="709"/>
      <c r="E119" s="709"/>
      <c r="F119" s="709"/>
      <c r="G119" s="709"/>
      <c r="H119" s="709"/>
      <c r="I119" s="709"/>
      <c r="J119" s="709"/>
      <c r="K119" s="709"/>
      <c r="L119" s="709"/>
      <c r="M119" s="709"/>
      <c r="N119" s="709"/>
      <c r="O119" s="709"/>
      <c r="P119" s="709"/>
      <c r="Q119" s="709"/>
      <c r="R119" s="709"/>
      <c r="S119" s="709"/>
      <c r="T119" s="709"/>
      <c r="U119" s="709"/>
      <c r="V119" s="709"/>
      <c r="W119" s="709"/>
      <c r="X119" s="709"/>
      <c r="Y119" s="709"/>
      <c r="Z119" s="709"/>
      <c r="AA119" s="709"/>
      <c r="AB119" s="709"/>
      <c r="AC119" s="709"/>
      <c r="AD119" s="709"/>
      <c r="AE119" s="709"/>
      <c r="AF119" s="709"/>
      <c r="AG119" s="709"/>
      <c r="AH119" s="709"/>
      <c r="AI119" s="709"/>
      <c r="AJ119" s="709"/>
      <c r="AK119" s="709"/>
      <c r="AL119" s="709"/>
      <c r="AM119" s="709"/>
      <c r="AN119" s="709"/>
      <c r="AO119" s="709"/>
      <c r="AP119" s="709"/>
      <c r="AQ119" s="709"/>
      <c r="AR119" s="709"/>
      <c r="AS119" s="709"/>
      <c r="AT119" s="709"/>
      <c r="AU119" s="709"/>
      <c r="AV119" s="709"/>
      <c r="AW119" s="709"/>
      <c r="AX119" s="709"/>
      <c r="AY119" s="709"/>
      <c r="AZ119" s="709"/>
      <c r="BA119" s="709"/>
      <c r="BB119" s="709"/>
      <c r="BC119" s="709"/>
      <c r="BD119" s="709"/>
      <c r="BE119" s="709"/>
      <c r="BF119" s="709"/>
      <c r="BG119" s="709"/>
      <c r="BH119" s="709"/>
      <c r="BI119" s="709"/>
      <c r="BJ119" s="709"/>
      <c r="BK119" s="709"/>
      <c r="BL119" s="709"/>
      <c r="BM119" s="709"/>
      <c r="BN119" s="709"/>
      <c r="BO119" s="709"/>
      <c r="BP119" s="709"/>
      <c r="BQ119" s="709"/>
      <c r="BR119" s="709"/>
      <c r="BS119" s="709"/>
      <c r="BT119" s="709"/>
      <c r="BU119" s="709"/>
      <c r="BV119" s="709"/>
      <c r="BW119" s="709"/>
      <c r="BX119" s="709"/>
      <c r="BY119" s="709"/>
      <c r="BZ119" s="709"/>
      <c r="CA119" s="709"/>
    </row>
    <row r="120" spans="1:79">
      <c r="A120" s="709"/>
      <c r="B120" s="709"/>
      <c r="C120" s="709"/>
      <c r="D120" s="1038"/>
      <c r="E120" s="1039"/>
      <c r="F120" s="1040" t="s">
        <v>770</v>
      </c>
      <c r="G120" s="1041"/>
      <c r="H120" s="1466">
        <f ca="1">'Summary Sources-Uses'!K67</f>
        <v>13562258.35376226</v>
      </c>
      <c r="I120" s="1466">
        <f ca="1">$H120</f>
        <v>13562258.35376226</v>
      </c>
      <c r="J120" s="1466">
        <f ca="1">$H120</f>
        <v>13562258.35376226</v>
      </c>
      <c r="K120" s="1466">
        <f t="shared" ref="K120:AU120" ca="1" si="38">$H120</f>
        <v>13562258.35376226</v>
      </c>
      <c r="L120" s="1466">
        <f t="shared" ca="1" si="38"/>
        <v>13562258.35376226</v>
      </c>
      <c r="M120" s="1466">
        <f t="shared" ca="1" si="38"/>
        <v>13562258.35376226</v>
      </c>
      <c r="N120" s="1466">
        <f t="shared" ca="1" si="38"/>
        <v>13562258.35376226</v>
      </c>
      <c r="O120" s="1466">
        <f t="shared" ca="1" si="38"/>
        <v>13562258.35376226</v>
      </c>
      <c r="P120" s="1466">
        <f t="shared" ca="1" si="38"/>
        <v>13562258.35376226</v>
      </c>
      <c r="Q120" s="1466">
        <f t="shared" ca="1" si="38"/>
        <v>13562258.35376226</v>
      </c>
      <c r="R120" s="1466">
        <f t="shared" ca="1" si="38"/>
        <v>13562258.35376226</v>
      </c>
      <c r="S120" s="1466">
        <f t="shared" ca="1" si="38"/>
        <v>13562258.35376226</v>
      </c>
      <c r="T120" s="1466">
        <f t="shared" ca="1" si="38"/>
        <v>13562258.35376226</v>
      </c>
      <c r="U120" s="1466">
        <f t="shared" ca="1" si="38"/>
        <v>13562258.35376226</v>
      </c>
      <c r="V120" s="1466">
        <f t="shared" ca="1" si="38"/>
        <v>13562258.35376226</v>
      </c>
      <c r="W120" s="1466">
        <f t="shared" ca="1" si="38"/>
        <v>13562258.35376226</v>
      </c>
      <c r="X120" s="1466">
        <f t="shared" ca="1" si="38"/>
        <v>13562258.35376226</v>
      </c>
      <c r="Y120" s="1466">
        <f t="shared" ca="1" si="38"/>
        <v>13562258.35376226</v>
      </c>
      <c r="Z120" s="1466">
        <f t="shared" ca="1" si="38"/>
        <v>13562258.35376226</v>
      </c>
      <c r="AA120" s="1466">
        <f t="shared" ca="1" si="38"/>
        <v>13562258.35376226</v>
      </c>
      <c r="AB120" s="1466">
        <f t="shared" ca="1" si="38"/>
        <v>13562258.35376226</v>
      </c>
      <c r="AC120" s="1466">
        <f t="shared" ca="1" si="38"/>
        <v>13562258.35376226</v>
      </c>
      <c r="AD120" s="1466">
        <f t="shared" ca="1" si="38"/>
        <v>13562258.35376226</v>
      </c>
      <c r="AE120" s="1466">
        <f t="shared" ca="1" si="38"/>
        <v>13562258.35376226</v>
      </c>
      <c r="AF120" s="1466">
        <f t="shared" ca="1" si="38"/>
        <v>13562258.35376226</v>
      </c>
      <c r="AG120" s="1466">
        <f t="shared" ca="1" si="38"/>
        <v>13562258.35376226</v>
      </c>
      <c r="AH120" s="1466">
        <f t="shared" ca="1" si="38"/>
        <v>13562258.35376226</v>
      </c>
      <c r="AI120" s="1466">
        <f t="shared" ca="1" si="38"/>
        <v>13562258.35376226</v>
      </c>
      <c r="AJ120" s="1466">
        <f t="shared" ca="1" si="38"/>
        <v>13562258.35376226</v>
      </c>
      <c r="AK120" s="1466">
        <f t="shared" ca="1" si="38"/>
        <v>13562258.35376226</v>
      </c>
      <c r="AL120" s="1466">
        <f t="shared" ca="1" si="38"/>
        <v>13562258.35376226</v>
      </c>
      <c r="AM120" s="1466">
        <f t="shared" ca="1" si="38"/>
        <v>13562258.35376226</v>
      </c>
      <c r="AN120" s="1466">
        <f t="shared" ca="1" si="38"/>
        <v>13562258.35376226</v>
      </c>
      <c r="AO120" s="1466">
        <f t="shared" ca="1" si="38"/>
        <v>13562258.35376226</v>
      </c>
      <c r="AP120" s="1466">
        <f t="shared" ca="1" si="38"/>
        <v>13562258.35376226</v>
      </c>
      <c r="AQ120" s="1466">
        <f t="shared" ca="1" si="38"/>
        <v>13562258.35376226</v>
      </c>
      <c r="AR120" s="1466">
        <f t="shared" ca="1" si="38"/>
        <v>13562258.35376226</v>
      </c>
      <c r="AS120" s="1466"/>
      <c r="AT120" s="1466">
        <f t="shared" ca="1" si="38"/>
        <v>13562258.35376226</v>
      </c>
      <c r="AU120" s="1466">
        <f t="shared" ca="1" si="38"/>
        <v>13562258.35376226</v>
      </c>
      <c r="AV120" s="709"/>
      <c r="AW120" s="709"/>
      <c r="AX120" s="709"/>
      <c r="AY120" s="709"/>
      <c r="AZ120" s="709"/>
      <c r="BA120" s="709"/>
      <c r="BB120" s="709"/>
      <c r="BC120" s="709"/>
      <c r="BD120" s="709"/>
      <c r="BE120" s="709"/>
      <c r="BF120" s="709"/>
      <c r="BG120" s="709"/>
      <c r="BH120" s="709"/>
      <c r="BI120" s="709"/>
      <c r="BJ120" s="709"/>
      <c r="BK120" s="709"/>
      <c r="BL120" s="709"/>
      <c r="BM120" s="709"/>
      <c r="BN120" s="709"/>
      <c r="BO120" s="709"/>
      <c r="BP120" s="709"/>
      <c r="BQ120" s="709"/>
      <c r="BR120" s="709"/>
      <c r="BS120" s="709"/>
      <c r="BT120" s="709"/>
      <c r="BU120" s="709"/>
      <c r="BV120" s="709"/>
      <c r="BW120" s="709"/>
      <c r="BX120" s="709"/>
      <c r="BY120" s="709"/>
      <c r="BZ120" s="709"/>
      <c r="CA120" s="709"/>
    </row>
    <row r="121" spans="1:79">
      <c r="A121" s="709"/>
      <c r="B121" s="709"/>
      <c r="C121" s="709"/>
      <c r="D121" s="1042"/>
      <c r="E121" s="795" t="s">
        <v>775</v>
      </c>
      <c r="F121" s="1043">
        <f>3.7%</f>
        <v>3.7000000000000005E-2</v>
      </c>
      <c r="G121" s="1044"/>
      <c r="H121" s="1466"/>
      <c r="I121" s="1466">
        <f ca="1">H120*$F$121/12</f>
        <v>41816.963257433636</v>
      </c>
      <c r="J121" s="1466">
        <f t="shared" ref="J121:AO121" ca="1" si="39">I120*$F$121/12</f>
        <v>41816.963257433636</v>
      </c>
      <c r="K121" s="1466">
        <f t="shared" ca="1" si="39"/>
        <v>41816.963257433636</v>
      </c>
      <c r="L121" s="1466">
        <f t="shared" ca="1" si="39"/>
        <v>41816.963257433636</v>
      </c>
      <c r="M121" s="1466">
        <f t="shared" ca="1" si="39"/>
        <v>41816.963257433636</v>
      </c>
      <c r="N121" s="1466">
        <f t="shared" ca="1" si="39"/>
        <v>41816.963257433636</v>
      </c>
      <c r="O121" s="1466">
        <f t="shared" ca="1" si="39"/>
        <v>41816.963257433636</v>
      </c>
      <c r="P121" s="1466">
        <f t="shared" ca="1" si="39"/>
        <v>41816.963257433636</v>
      </c>
      <c r="Q121" s="1466">
        <f t="shared" ca="1" si="39"/>
        <v>41816.963257433636</v>
      </c>
      <c r="R121" s="1466">
        <f t="shared" ca="1" si="39"/>
        <v>41816.963257433636</v>
      </c>
      <c r="S121" s="1466">
        <f t="shared" ca="1" si="39"/>
        <v>41816.963257433636</v>
      </c>
      <c r="T121" s="1466">
        <f t="shared" ca="1" si="39"/>
        <v>41816.963257433636</v>
      </c>
      <c r="U121" s="1466">
        <f t="shared" ca="1" si="39"/>
        <v>41816.963257433636</v>
      </c>
      <c r="V121" s="1466">
        <f t="shared" ca="1" si="39"/>
        <v>41816.963257433636</v>
      </c>
      <c r="W121" s="1466">
        <f t="shared" ca="1" si="39"/>
        <v>41816.963257433636</v>
      </c>
      <c r="X121" s="1466">
        <f t="shared" ca="1" si="39"/>
        <v>41816.963257433636</v>
      </c>
      <c r="Y121" s="1466">
        <f t="shared" ca="1" si="39"/>
        <v>41816.963257433636</v>
      </c>
      <c r="Z121" s="1466">
        <f t="shared" ca="1" si="39"/>
        <v>41816.963257433636</v>
      </c>
      <c r="AA121" s="1466">
        <f t="shared" ca="1" si="39"/>
        <v>41816.963257433636</v>
      </c>
      <c r="AB121" s="1466">
        <f t="shared" ca="1" si="39"/>
        <v>41816.963257433636</v>
      </c>
      <c r="AC121" s="1466">
        <f t="shared" ca="1" si="39"/>
        <v>41816.963257433636</v>
      </c>
      <c r="AD121" s="1466">
        <f t="shared" ca="1" si="39"/>
        <v>41816.963257433636</v>
      </c>
      <c r="AE121" s="1466">
        <f t="shared" ca="1" si="39"/>
        <v>41816.963257433636</v>
      </c>
      <c r="AF121" s="1466">
        <f t="shared" ca="1" si="39"/>
        <v>41816.963257433636</v>
      </c>
      <c r="AG121" s="1466">
        <f t="shared" ca="1" si="39"/>
        <v>41816.963257433636</v>
      </c>
      <c r="AH121" s="1466">
        <f t="shared" ca="1" si="39"/>
        <v>41816.963257433636</v>
      </c>
      <c r="AI121" s="1466">
        <f t="shared" ca="1" si="39"/>
        <v>41816.963257433636</v>
      </c>
      <c r="AJ121" s="1466">
        <f t="shared" ca="1" si="39"/>
        <v>41816.963257433636</v>
      </c>
      <c r="AK121" s="1466">
        <f t="shared" ca="1" si="39"/>
        <v>41816.963257433636</v>
      </c>
      <c r="AL121" s="1466">
        <f t="shared" ca="1" si="39"/>
        <v>41816.963257433636</v>
      </c>
      <c r="AM121" s="1466">
        <f t="shared" ca="1" si="39"/>
        <v>41816.963257433636</v>
      </c>
      <c r="AN121" s="1466">
        <f t="shared" ca="1" si="39"/>
        <v>41816.963257433636</v>
      </c>
      <c r="AO121" s="1466">
        <f t="shared" ca="1" si="39"/>
        <v>41816.963257433636</v>
      </c>
      <c r="AP121" s="1466">
        <f ca="1">AO120*$F$121/12</f>
        <v>41816.963257433636</v>
      </c>
      <c r="AQ121" s="1466">
        <f ca="1">AP120*$F$121/12</f>
        <v>41816.963257433636</v>
      </c>
      <c r="AR121" s="1466">
        <f ca="1">AQ120*$F$121/12</f>
        <v>41816.963257433636</v>
      </c>
      <c r="AS121" s="1466"/>
      <c r="AT121" s="1466">
        <f ca="1">AR120*$F$121/12</f>
        <v>41816.963257433636</v>
      </c>
      <c r="AU121" s="1466">
        <f ca="1">AR120*$F$121/12</f>
        <v>41816.963257433636</v>
      </c>
      <c r="AV121" s="709"/>
      <c r="AW121" s="709"/>
      <c r="AX121" s="709"/>
      <c r="AY121" s="709"/>
      <c r="AZ121" s="709"/>
      <c r="BA121" s="709"/>
      <c r="BB121" s="709"/>
      <c r="BC121" s="709"/>
      <c r="BD121" s="709"/>
      <c r="BE121" s="709"/>
      <c r="BF121" s="709"/>
      <c r="BG121" s="709"/>
      <c r="BH121" s="709"/>
      <c r="BI121" s="709"/>
      <c r="BJ121" s="709"/>
      <c r="BK121" s="709"/>
      <c r="BL121" s="709"/>
      <c r="BM121" s="709"/>
      <c r="BN121" s="709"/>
      <c r="BO121" s="709"/>
      <c r="BP121" s="709"/>
      <c r="BQ121" s="709"/>
      <c r="BR121" s="709"/>
      <c r="BS121" s="709"/>
      <c r="BT121" s="709"/>
      <c r="BU121" s="709"/>
      <c r="BV121" s="709"/>
      <c r="BW121" s="709"/>
      <c r="BX121" s="709"/>
      <c r="BY121" s="709"/>
      <c r="BZ121" s="709"/>
      <c r="CA121" s="709"/>
    </row>
    <row r="122" spans="1:79">
      <c r="A122" s="709"/>
      <c r="B122" s="709"/>
      <c r="C122" s="709"/>
      <c r="D122" s="1045"/>
      <c r="E122" s="1046"/>
      <c r="F122" s="1046"/>
      <c r="G122" s="1459" t="s">
        <v>784</v>
      </c>
      <c r="H122" s="1467">
        <f ca="1">SUM(H121:AQ121)</f>
        <v>1463593.7140101767</v>
      </c>
      <c r="I122" s="1494" t="s">
        <v>785</v>
      </c>
      <c r="J122" s="1465"/>
      <c r="K122" s="1465"/>
      <c r="L122" s="1465"/>
      <c r="M122" s="1465"/>
      <c r="N122" s="1465"/>
      <c r="O122" s="1465"/>
      <c r="P122" s="1465"/>
      <c r="Q122" s="1465"/>
      <c r="R122" s="1465"/>
      <c r="S122" s="1465"/>
      <c r="T122" s="1465"/>
      <c r="U122" s="1465"/>
      <c r="V122" s="1465"/>
      <c r="W122" s="1465"/>
      <c r="X122" s="1465"/>
      <c r="Y122" s="1465"/>
      <c r="Z122" s="1465"/>
      <c r="AA122" s="1465"/>
      <c r="AB122" s="1465"/>
      <c r="AC122" s="1465"/>
      <c r="AD122" s="1465"/>
      <c r="AE122" s="1465"/>
      <c r="AF122" s="1465"/>
      <c r="AG122" s="1465"/>
      <c r="AH122" s="1465"/>
      <c r="AI122" s="1465"/>
      <c r="AJ122" s="1465"/>
      <c r="AK122" s="1465"/>
      <c r="AL122" s="1465"/>
      <c r="AM122" s="1465"/>
      <c r="AN122" s="1465"/>
      <c r="AO122" s="1465"/>
      <c r="AP122" s="1465"/>
      <c r="AQ122" s="1465"/>
      <c r="AR122" s="1465"/>
      <c r="AS122" s="1465"/>
      <c r="AT122" s="1465"/>
      <c r="AU122" s="709"/>
      <c r="AV122" s="709"/>
      <c r="AW122" s="709"/>
      <c r="AX122" s="709"/>
      <c r="AY122" s="709"/>
      <c r="AZ122" s="709"/>
      <c r="BA122" s="709"/>
      <c r="BB122" s="709"/>
      <c r="BC122" s="709"/>
      <c r="BD122" s="709"/>
      <c r="BE122" s="709"/>
      <c r="BF122" s="709"/>
      <c r="BG122" s="709"/>
      <c r="BH122" s="709"/>
      <c r="BI122" s="709"/>
      <c r="BJ122" s="709"/>
      <c r="BK122" s="709"/>
      <c r="BL122" s="709"/>
      <c r="BM122" s="709"/>
      <c r="BN122" s="709"/>
      <c r="BO122" s="709"/>
      <c r="BP122" s="709"/>
      <c r="BQ122" s="709"/>
      <c r="BR122" s="709"/>
      <c r="BS122" s="709"/>
      <c r="BT122" s="709"/>
      <c r="BU122" s="709"/>
      <c r="BV122" s="709"/>
      <c r="BW122" s="709"/>
      <c r="BX122" s="709"/>
      <c r="BY122" s="709"/>
      <c r="BZ122" s="709"/>
      <c r="CA122" s="709"/>
    </row>
    <row r="123" spans="1:79">
      <c r="A123" s="709"/>
      <c r="B123" s="709"/>
      <c r="C123" s="709"/>
      <c r="D123" s="709"/>
      <c r="E123" s="709"/>
      <c r="F123" s="709"/>
      <c r="G123" s="709"/>
      <c r="H123" s="709"/>
      <c r="I123" s="709"/>
      <c r="J123" s="709"/>
      <c r="K123" s="709"/>
      <c r="L123" s="709"/>
      <c r="M123" s="709"/>
      <c r="N123" s="709"/>
      <c r="O123" s="709"/>
      <c r="P123" s="709"/>
      <c r="Q123" s="709"/>
      <c r="R123" s="709"/>
      <c r="S123" s="709"/>
      <c r="T123" s="709"/>
      <c r="U123" s="709"/>
      <c r="V123" s="709"/>
      <c r="W123" s="709"/>
      <c r="X123" s="709"/>
      <c r="Y123" s="709"/>
      <c r="Z123" s="709"/>
      <c r="AA123" s="709"/>
      <c r="AB123" s="709"/>
      <c r="AC123" s="709"/>
      <c r="AD123" s="709"/>
      <c r="AE123" s="709"/>
      <c r="AF123" s="709"/>
      <c r="AG123" s="709"/>
      <c r="AH123" s="709"/>
      <c r="AI123" s="709"/>
      <c r="AJ123" s="709"/>
      <c r="AK123" s="709"/>
      <c r="AL123" s="709"/>
      <c r="AM123" s="709"/>
      <c r="AN123" s="709"/>
      <c r="AO123" s="709"/>
      <c r="AP123" s="709"/>
      <c r="AQ123" s="709"/>
      <c r="AR123" s="709"/>
      <c r="AS123" s="709"/>
      <c r="AT123" s="709"/>
      <c r="AU123" s="709"/>
      <c r="AV123" s="709"/>
      <c r="AW123" s="709"/>
      <c r="AX123" s="709"/>
      <c r="AY123" s="709"/>
      <c r="AZ123" s="709"/>
      <c r="BA123" s="709"/>
      <c r="BB123" s="709"/>
      <c r="BC123" s="709"/>
      <c r="BD123" s="709"/>
      <c r="BE123" s="709"/>
      <c r="BF123" s="709"/>
      <c r="BG123" s="709"/>
      <c r="BH123" s="709"/>
      <c r="BI123" s="709"/>
      <c r="BJ123" s="709"/>
      <c r="BK123" s="709"/>
      <c r="BL123" s="709"/>
      <c r="BM123" s="709"/>
      <c r="BN123" s="709"/>
      <c r="BO123" s="709"/>
      <c r="BP123" s="709"/>
      <c r="BQ123" s="709"/>
      <c r="BR123" s="709"/>
      <c r="BS123" s="709"/>
      <c r="BT123" s="709"/>
      <c r="BU123" s="709"/>
      <c r="BV123" s="709"/>
      <c r="BW123" s="709"/>
      <c r="BX123" s="709"/>
      <c r="BY123" s="709"/>
      <c r="BZ123" s="709"/>
      <c r="CA123" s="709"/>
    </row>
    <row r="124" spans="1:79">
      <c r="A124" s="709"/>
      <c r="B124" s="1458" t="s">
        <v>782</v>
      </c>
      <c r="C124" s="709"/>
      <c r="D124" s="709"/>
      <c r="E124" s="709"/>
      <c r="F124" s="709"/>
      <c r="G124" s="709"/>
      <c r="H124" s="709"/>
      <c r="I124" s="709"/>
      <c r="J124" s="709"/>
      <c r="K124" s="709"/>
      <c r="L124" s="709"/>
      <c r="M124" s="709"/>
      <c r="N124" s="709"/>
      <c r="O124" s="709"/>
      <c r="P124" s="709"/>
      <c r="Q124" s="709"/>
      <c r="R124" s="709"/>
      <c r="S124" s="709"/>
      <c r="T124" s="709"/>
      <c r="U124" s="709"/>
      <c r="V124" s="709"/>
      <c r="W124" s="709"/>
      <c r="X124" s="709"/>
      <c r="Y124" s="709"/>
      <c r="Z124" s="709"/>
      <c r="AA124" s="709"/>
      <c r="AB124" s="709"/>
      <c r="AC124" s="709"/>
      <c r="AD124" s="709"/>
      <c r="AE124" s="709"/>
      <c r="AF124" s="709"/>
      <c r="AG124" s="709"/>
      <c r="AH124" s="709"/>
      <c r="AI124" s="709"/>
      <c r="AJ124" s="709"/>
      <c r="AK124" s="709"/>
      <c r="AL124" s="709"/>
      <c r="AM124" s="709"/>
      <c r="AN124" s="709"/>
      <c r="AO124" s="709"/>
      <c r="AP124" s="709"/>
      <c r="AQ124" s="709"/>
      <c r="AR124" s="709"/>
      <c r="AS124" s="709"/>
      <c r="AT124" s="709"/>
      <c r="AU124" s="709"/>
      <c r="AV124" s="709"/>
      <c r="AW124" s="709"/>
      <c r="AX124" s="709"/>
      <c r="AY124" s="709"/>
      <c r="AZ124" s="709"/>
      <c r="BA124" s="709"/>
      <c r="BB124" s="709"/>
      <c r="BC124" s="709"/>
      <c r="BD124" s="709"/>
      <c r="BE124" s="709"/>
      <c r="BF124" s="709"/>
      <c r="BG124" s="709"/>
      <c r="BH124" s="709"/>
      <c r="BI124" s="709"/>
      <c r="BJ124" s="709"/>
      <c r="BK124" s="709"/>
      <c r="BL124" s="709"/>
      <c r="BM124" s="709"/>
      <c r="BN124" s="709"/>
      <c r="BO124" s="709"/>
      <c r="BP124" s="709"/>
      <c r="BQ124" s="709"/>
      <c r="BR124" s="709"/>
      <c r="BS124" s="709"/>
      <c r="BT124" s="709"/>
      <c r="BU124" s="709"/>
      <c r="BV124" s="709"/>
      <c r="BW124" s="709"/>
      <c r="BX124" s="709"/>
      <c r="BY124" s="709"/>
      <c r="BZ124" s="709"/>
      <c r="CA124" s="709"/>
    </row>
    <row r="125" spans="1:79">
      <c r="A125" s="709"/>
      <c r="B125" s="709"/>
      <c r="C125" s="709"/>
      <c r="D125" s="1462"/>
      <c r="E125" s="1463"/>
      <c r="F125" s="1464" t="s">
        <v>779</v>
      </c>
      <c r="G125" s="1463"/>
      <c r="H125" s="1465">
        <f ca="1">H134</f>
        <v>2364554.3878781055</v>
      </c>
      <c r="I125" s="1465">
        <f t="shared" ref="I125:AN125" ca="1" si="40">I134</f>
        <v>2260887.226833635</v>
      </c>
      <c r="J125" s="1465">
        <f t="shared" ca="1" si="40"/>
        <v>2260887.226833635</v>
      </c>
      <c r="K125" s="1465">
        <f t="shared" ca="1" si="40"/>
        <v>2260887.226833635</v>
      </c>
      <c r="L125" s="1465">
        <f t="shared" ca="1" si="40"/>
        <v>2260887.226833635</v>
      </c>
      <c r="M125" s="1465">
        <f t="shared" ca="1" si="40"/>
        <v>2561265.0304981996</v>
      </c>
      <c r="N125" s="1465">
        <f t="shared" ca="1" si="40"/>
        <v>3395671.46272144</v>
      </c>
      <c r="O125" s="1465">
        <f t="shared" ca="1" si="40"/>
        <v>4064289.3266573437</v>
      </c>
      <c r="P125" s="1465">
        <f t="shared" ca="1" si="40"/>
        <v>4064289.3266573437</v>
      </c>
      <c r="Q125" s="1465">
        <f t="shared" ca="1" si="40"/>
        <v>4801988.965866996</v>
      </c>
      <c r="R125" s="1465">
        <f t="shared" ca="1" si="40"/>
        <v>5793719.3797347648</v>
      </c>
      <c r="S125" s="1465">
        <f t="shared" ca="1" si="40"/>
        <v>5793719.3797347648</v>
      </c>
      <c r="T125" s="1465">
        <f t="shared" ca="1" si="40"/>
        <v>6003659.1889454266</v>
      </c>
      <c r="U125" s="1465">
        <f t="shared" ca="1" si="40"/>
        <v>6979498.7890401268</v>
      </c>
      <c r="V125" s="1465">
        <f t="shared" ca="1" si="40"/>
        <v>7670933.7502691355</v>
      </c>
      <c r="W125" s="1465">
        <f t="shared" ca="1" si="40"/>
        <v>7670933.7502691355</v>
      </c>
      <c r="X125" s="1465">
        <f t="shared" ca="1" si="40"/>
        <v>-9257036.1944718491</v>
      </c>
      <c r="Y125" s="1465">
        <f t="shared" ca="1" si="40"/>
        <v>-8397294.3138970435</v>
      </c>
      <c r="Z125" s="1465">
        <f t="shared" ca="1" si="40"/>
        <v>-7542823.852979077</v>
      </c>
      <c r="AA125" s="1465">
        <f t="shared" ca="1" si="40"/>
        <v>-6620653.8045260618</v>
      </c>
      <c r="AB125" s="1465">
        <f t="shared" ca="1" si="40"/>
        <v>-5808411.8208065554</v>
      </c>
      <c r="AC125" s="1465">
        <f t="shared" ca="1" si="40"/>
        <v>-5041702.5061765919</v>
      </c>
      <c r="AD125" s="1465">
        <f t="shared" ca="1" si="40"/>
        <v>-1762837.8860331019</v>
      </c>
      <c r="AE125" s="1465">
        <f t="shared" ca="1" si="40"/>
        <v>8616170.494238954</v>
      </c>
      <c r="AF125" s="1465">
        <f t="shared" ca="1" si="40"/>
        <v>8616170.494238954</v>
      </c>
      <c r="AG125" s="1465">
        <f t="shared" ca="1" si="40"/>
        <v>8616170.494238954</v>
      </c>
      <c r="AH125" s="1465">
        <f t="shared" ca="1" si="40"/>
        <v>8616170.494238954</v>
      </c>
      <c r="AI125" s="1465">
        <f t="shared" ca="1" si="40"/>
        <v>8616170.494238954</v>
      </c>
      <c r="AJ125" s="1465">
        <f t="shared" ca="1" si="40"/>
        <v>8616170.494238954</v>
      </c>
      <c r="AK125" s="1465">
        <f t="shared" ca="1" si="40"/>
        <v>8616170.494238954</v>
      </c>
      <c r="AL125" s="1465">
        <f t="shared" ca="1" si="40"/>
        <v>8616170.494238954</v>
      </c>
      <c r="AM125" s="1465">
        <f t="shared" ca="1" si="40"/>
        <v>8616170.494238954</v>
      </c>
      <c r="AN125" s="1465">
        <f t="shared" ca="1" si="40"/>
        <v>8616170.494238954</v>
      </c>
      <c r="AO125" s="1465">
        <f ca="1">AO134</f>
        <v>8663559.4319572691</v>
      </c>
      <c r="AP125" s="1465">
        <f t="shared" ref="AP125:AU125" ca="1" si="41">AP134</f>
        <v>8711209.008833034</v>
      </c>
      <c r="AQ125" s="1465">
        <f t="shared" ca="1" si="41"/>
        <v>8759120.6583816148</v>
      </c>
      <c r="AR125" s="1465">
        <f t="shared" ca="1" si="41"/>
        <v>0</v>
      </c>
      <c r="AS125" s="1465"/>
      <c r="AT125" s="1465">
        <f ca="1">AT134</f>
        <v>0</v>
      </c>
      <c r="AU125" s="1465">
        <f t="shared" ca="1" si="41"/>
        <v>0</v>
      </c>
      <c r="AV125" s="709"/>
      <c r="AW125" s="709"/>
      <c r="AX125" s="709"/>
      <c r="AY125" s="709"/>
      <c r="AZ125" s="709"/>
      <c r="BA125" s="709"/>
      <c r="BB125" s="709"/>
      <c r="BC125" s="709"/>
      <c r="BD125" s="709"/>
      <c r="BE125" s="709"/>
      <c r="BF125" s="709"/>
      <c r="BG125" s="709"/>
      <c r="BH125" s="709"/>
      <c r="BI125" s="709"/>
      <c r="BJ125" s="709"/>
      <c r="BK125" s="709"/>
      <c r="BL125" s="709"/>
      <c r="BM125" s="709"/>
      <c r="BN125" s="709"/>
      <c r="BO125" s="709"/>
      <c r="BP125" s="709"/>
      <c r="BQ125" s="709"/>
      <c r="BR125" s="709"/>
      <c r="BS125" s="709"/>
      <c r="BT125" s="709"/>
      <c r="BU125" s="709"/>
      <c r="BV125" s="709"/>
      <c r="BW125" s="709"/>
      <c r="BX125" s="709"/>
      <c r="BY125" s="709"/>
      <c r="BZ125" s="709"/>
      <c r="CA125" s="709"/>
    </row>
    <row r="126" spans="1:79">
      <c r="A126" s="709"/>
      <c r="B126" s="709"/>
      <c r="C126" s="709"/>
      <c r="D126" s="1461"/>
      <c r="E126" s="709"/>
      <c r="F126" s="795" t="s">
        <v>776</v>
      </c>
      <c r="G126" s="709"/>
      <c r="H126" s="1465">
        <f ca="1">'Summary Sources-Uses'!$K67-H125</f>
        <v>11197703.965884155</v>
      </c>
      <c r="I126" s="1465">
        <f ca="1">'Summary Sources-Uses'!$K67-I125</f>
        <v>11301371.126928624</v>
      </c>
      <c r="J126" s="1465">
        <f ca="1">'Summary Sources-Uses'!$K67-J125</f>
        <v>11301371.126928624</v>
      </c>
      <c r="K126" s="1465">
        <f ca="1">'Summary Sources-Uses'!$K67-K125</f>
        <v>11301371.126928624</v>
      </c>
      <c r="L126" s="1465">
        <f ca="1">'Summary Sources-Uses'!$K67-L125</f>
        <v>11301371.126928624</v>
      </c>
      <c r="M126" s="1465">
        <f ca="1">'Summary Sources-Uses'!$K67-M125</f>
        <v>11000993.323264061</v>
      </c>
      <c r="N126" s="1465">
        <f ca="1">'Summary Sources-Uses'!$K67-N125</f>
        <v>10166586.891040821</v>
      </c>
      <c r="O126" s="1465">
        <f ca="1">'Summary Sources-Uses'!$K67-O125</f>
        <v>9497969.0271049161</v>
      </c>
      <c r="P126" s="1465">
        <f ca="1">'Summary Sources-Uses'!$K67-P125</f>
        <v>9497969.0271049161</v>
      </c>
      <c r="Q126" s="1465">
        <f ca="1">'Summary Sources-Uses'!$K67-Q125</f>
        <v>8760269.3878952637</v>
      </c>
      <c r="R126" s="1465">
        <f ca="1">'Summary Sources-Uses'!$K67-R125</f>
        <v>7768538.9740274949</v>
      </c>
      <c r="S126" s="1465">
        <f ca="1">'Summary Sources-Uses'!$K67-S125</f>
        <v>7768538.9740274949</v>
      </c>
      <c r="T126" s="1465">
        <f ca="1">'Summary Sources-Uses'!$K67-T125</f>
        <v>7558599.1648168331</v>
      </c>
      <c r="U126" s="1465">
        <f ca="1">'Summary Sources-Uses'!$K67-U125</f>
        <v>6582759.5647221329</v>
      </c>
      <c r="V126" s="1465">
        <f ca="1">'Summary Sources-Uses'!$K67-V125</f>
        <v>5891324.6034931242</v>
      </c>
      <c r="W126" s="1465">
        <f ca="1">'Summary Sources-Uses'!$K67-W125</f>
        <v>5891324.6034931242</v>
      </c>
      <c r="X126" s="1465">
        <f ca="1">'Summary Sources-Uses'!$K67-X125</f>
        <v>22819294.548234109</v>
      </c>
      <c r="Y126" s="1465">
        <f ca="1">'Summary Sources-Uses'!$K67-Y125</f>
        <v>21959552.667659305</v>
      </c>
      <c r="Z126" s="1465">
        <f ca="1">'Summary Sources-Uses'!$K67-Z125</f>
        <v>21105082.206741337</v>
      </c>
      <c r="AA126" s="1465">
        <f ca="1">'Summary Sources-Uses'!$K67-AA125</f>
        <v>20182912.158288322</v>
      </c>
      <c r="AB126" s="1465">
        <f ca="1">'Summary Sources-Uses'!$K67-AB125</f>
        <v>19370670.174568817</v>
      </c>
      <c r="AC126" s="1465">
        <f ca="1">'Summary Sources-Uses'!$K67-AC125</f>
        <v>18603960.859938852</v>
      </c>
      <c r="AD126" s="1465">
        <f ca="1">'Summary Sources-Uses'!$K67-AD125</f>
        <v>15325096.239795361</v>
      </c>
      <c r="AE126" s="1465">
        <f ca="1">'Summary Sources-Uses'!$K67-AE125</f>
        <v>4946087.8595233057</v>
      </c>
      <c r="AF126" s="1465">
        <f ca="1">'Summary Sources-Uses'!$K67-AF125</f>
        <v>4946087.8595233057</v>
      </c>
      <c r="AG126" s="1465">
        <f ca="1">'Summary Sources-Uses'!$K67-AG125</f>
        <v>4946087.8595233057</v>
      </c>
      <c r="AH126" s="1465">
        <f ca="1">'Summary Sources-Uses'!$K67-AH125</f>
        <v>4946087.8595233057</v>
      </c>
      <c r="AI126" s="1465">
        <f ca="1">'Summary Sources-Uses'!$K67-AI125</f>
        <v>4946087.8595233057</v>
      </c>
      <c r="AJ126" s="1465">
        <f ca="1">'Summary Sources-Uses'!$K67-AJ125</f>
        <v>4946087.8595233057</v>
      </c>
      <c r="AK126" s="1465">
        <f ca="1">'Summary Sources-Uses'!$K67-AK125</f>
        <v>4946087.8595233057</v>
      </c>
      <c r="AL126" s="1465">
        <f ca="1">'Summary Sources-Uses'!$K67-AL125</f>
        <v>4946087.8595233057</v>
      </c>
      <c r="AM126" s="1465">
        <f ca="1">'Summary Sources-Uses'!$K67-AM125</f>
        <v>4946087.8595233057</v>
      </c>
      <c r="AN126" s="1465">
        <f ca="1">'Summary Sources-Uses'!$K67-AN125</f>
        <v>4946087.8595233057</v>
      </c>
      <c r="AO126" s="1465">
        <f ca="1">'Summary Sources-Uses'!$K67-AO125</f>
        <v>4898698.9218049906</v>
      </c>
      <c r="AP126" s="1465">
        <f ca="1">'Summary Sources-Uses'!$K67-AP125</f>
        <v>4851049.3449292257</v>
      </c>
      <c r="AQ126" s="1465">
        <f ca="1">'Summary Sources-Uses'!$K68-AQ125</f>
        <v>-10521958.544414718</v>
      </c>
      <c r="AR126" s="1465">
        <f ca="1">'Summary Sources-Uses'!$K68-AR125</f>
        <v>-1762837.8860331019</v>
      </c>
      <c r="AS126" s="1465"/>
      <c r="AT126" s="1465">
        <f ca="1">'Summary Sources-Uses'!$K68-AT125</f>
        <v>-1762837.8860331019</v>
      </c>
      <c r="AU126" s="1465">
        <f ca="1">'Summary Sources-Uses'!$K68-AU125</f>
        <v>-1762837.8860331019</v>
      </c>
      <c r="AV126" s="709"/>
      <c r="AW126" s="709"/>
      <c r="AX126" s="709"/>
      <c r="AY126" s="709"/>
      <c r="AZ126" s="709"/>
      <c r="BA126" s="709"/>
      <c r="BB126" s="709"/>
      <c r="BC126" s="709"/>
      <c r="BD126" s="709"/>
      <c r="BE126" s="709"/>
      <c r="BF126" s="709"/>
      <c r="BG126" s="709"/>
      <c r="BH126" s="709"/>
      <c r="BI126" s="709"/>
      <c r="BJ126" s="709"/>
      <c r="BK126" s="709"/>
      <c r="BL126" s="709"/>
      <c r="BM126" s="709"/>
      <c r="BN126" s="709"/>
      <c r="BO126" s="709"/>
      <c r="BP126" s="709"/>
      <c r="BQ126" s="709"/>
      <c r="BR126" s="709"/>
      <c r="BS126" s="709"/>
      <c r="BT126" s="709"/>
      <c r="BU126" s="709"/>
      <c r="BV126" s="709"/>
      <c r="BW126" s="709"/>
      <c r="BX126" s="709"/>
      <c r="BY126" s="709"/>
      <c r="BZ126" s="709"/>
      <c r="CA126" s="709"/>
    </row>
    <row r="127" spans="1:79">
      <c r="A127" s="709"/>
      <c r="B127" s="709"/>
      <c r="C127" s="709"/>
      <c r="D127" s="1461" t="s">
        <v>775</v>
      </c>
      <c r="E127" s="709"/>
      <c r="F127" s="1468">
        <v>3.6999999999999998E-2</v>
      </c>
      <c r="G127" s="709"/>
      <c r="H127" s="1465">
        <f ca="1">H126*F127/12</f>
        <v>34526.253894809473</v>
      </c>
      <c r="I127" s="1465">
        <f ca="1">I126*$F127/12</f>
        <v>34845.894308029921</v>
      </c>
      <c r="J127" s="1465">
        <f t="shared" ref="J127:AA127" ca="1" si="42">J126*$F127/12</f>
        <v>34845.894308029921</v>
      </c>
      <c r="K127" s="1465">
        <f t="shared" ca="1" si="42"/>
        <v>34845.894308029921</v>
      </c>
      <c r="L127" s="1465">
        <f t="shared" ca="1" si="42"/>
        <v>34845.894308029921</v>
      </c>
      <c r="M127" s="1465">
        <f t="shared" ca="1" si="42"/>
        <v>33919.729413397516</v>
      </c>
      <c r="N127" s="1465">
        <f t="shared" ca="1" si="42"/>
        <v>31346.97624737586</v>
      </c>
      <c r="O127" s="1465">
        <f t="shared" ca="1" si="42"/>
        <v>29285.404500240154</v>
      </c>
      <c r="P127" s="1465">
        <f t="shared" ca="1" si="42"/>
        <v>29285.404500240154</v>
      </c>
      <c r="Q127" s="1465">
        <f t="shared" ca="1" si="42"/>
        <v>27010.830612677062</v>
      </c>
      <c r="R127" s="1465">
        <f t="shared" ca="1" si="42"/>
        <v>23952.995169918107</v>
      </c>
      <c r="S127" s="1465">
        <f t="shared" ca="1" si="42"/>
        <v>23952.995169918107</v>
      </c>
      <c r="T127" s="1465">
        <f t="shared" ca="1" si="42"/>
        <v>23305.680758185234</v>
      </c>
      <c r="U127" s="1465">
        <f t="shared" ca="1" si="42"/>
        <v>20296.841991226574</v>
      </c>
      <c r="V127" s="1465">
        <f t="shared" ca="1" si="42"/>
        <v>18164.917527437134</v>
      </c>
      <c r="W127" s="1465">
        <f t="shared" ca="1" si="42"/>
        <v>18164.917527437134</v>
      </c>
      <c r="X127" s="1465">
        <f t="shared" ca="1" si="42"/>
        <v>70359.491523721823</v>
      </c>
      <c r="Y127" s="1465">
        <f t="shared" ca="1" si="42"/>
        <v>67708.620725282861</v>
      </c>
      <c r="Z127" s="1465">
        <f t="shared" ca="1" si="42"/>
        <v>65074.003470785792</v>
      </c>
      <c r="AA127" s="1465">
        <f t="shared" ca="1" si="42"/>
        <v>62230.645821388993</v>
      </c>
      <c r="AB127" s="1465">
        <f ca="1">AB126*$F127/12</f>
        <v>59726.233038253849</v>
      </c>
      <c r="AC127" s="1465">
        <f ca="1">AC126*$F127/12</f>
        <v>57362.212651478127</v>
      </c>
      <c r="AD127" s="1465">
        <f t="shared" ref="AD127:AO127" ca="1" si="43">AC126*$F127/12</f>
        <v>57362.212651478127</v>
      </c>
      <c r="AE127" s="1465">
        <f t="shared" ca="1" si="43"/>
        <v>47252.380072702363</v>
      </c>
      <c r="AF127" s="1465">
        <f t="shared" ca="1" si="43"/>
        <v>15250.437566863526</v>
      </c>
      <c r="AG127" s="1465">
        <f t="shared" ca="1" si="43"/>
        <v>15250.437566863526</v>
      </c>
      <c r="AH127" s="1465">
        <f t="shared" ca="1" si="43"/>
        <v>15250.437566863526</v>
      </c>
      <c r="AI127" s="1465">
        <f t="shared" ca="1" si="43"/>
        <v>15250.437566863526</v>
      </c>
      <c r="AJ127" s="1465">
        <f t="shared" ca="1" si="43"/>
        <v>15250.437566863526</v>
      </c>
      <c r="AK127" s="1465">
        <f t="shared" ca="1" si="43"/>
        <v>15250.437566863526</v>
      </c>
      <c r="AL127" s="1465">
        <f t="shared" ca="1" si="43"/>
        <v>15250.437566863526</v>
      </c>
      <c r="AM127" s="1465">
        <f t="shared" ca="1" si="43"/>
        <v>15250.437566863526</v>
      </c>
      <c r="AN127" s="1465">
        <f t="shared" ca="1" si="43"/>
        <v>15250.437566863526</v>
      </c>
      <c r="AO127" s="1465">
        <f t="shared" ca="1" si="43"/>
        <v>15250.437566863526</v>
      </c>
      <c r="AP127" s="1465">
        <f ca="1">AO126*$F127/12</f>
        <v>15104.321675565387</v>
      </c>
      <c r="AQ127" s="1465">
        <f ca="1">AP126*$F127/12</f>
        <v>14957.402146865112</v>
      </c>
      <c r="AR127" s="1465">
        <f ca="1">AQ126*$F127/12</f>
        <v>-32442.705511945376</v>
      </c>
      <c r="AS127" s="1465"/>
      <c r="AT127" s="1465">
        <f ca="1">AR126*$F127/12</f>
        <v>-5435.4168152687307</v>
      </c>
      <c r="AU127" s="1465">
        <f ca="1">AR126*$F127/12</f>
        <v>-5435.4168152687307</v>
      </c>
      <c r="AV127" s="709"/>
      <c r="AW127" s="709"/>
      <c r="AX127" s="709"/>
      <c r="AY127" s="709"/>
      <c r="AZ127" s="709"/>
      <c r="BA127" s="709"/>
      <c r="BB127" s="709"/>
      <c r="BC127" s="709"/>
      <c r="BD127" s="709"/>
      <c r="BE127" s="709"/>
      <c r="BF127" s="709"/>
      <c r="BG127" s="709"/>
      <c r="BH127" s="709"/>
      <c r="BI127" s="709"/>
      <c r="BJ127" s="709"/>
      <c r="BK127" s="709"/>
      <c r="BL127" s="709"/>
      <c r="BM127" s="709"/>
      <c r="BN127" s="709"/>
      <c r="BO127" s="709"/>
      <c r="BP127" s="709"/>
      <c r="BQ127" s="709"/>
      <c r="BR127" s="709"/>
      <c r="BS127" s="709"/>
      <c r="BT127" s="709"/>
      <c r="BU127" s="709"/>
      <c r="BV127" s="709"/>
      <c r="BW127" s="709"/>
      <c r="BX127" s="709"/>
      <c r="BY127" s="709"/>
      <c r="BZ127" s="709"/>
      <c r="CA127" s="709"/>
    </row>
    <row r="128" spans="1:79">
      <c r="A128" s="709"/>
      <c r="B128" s="709"/>
      <c r="C128" s="709"/>
      <c r="D128" s="1469"/>
      <c r="E128" s="1470"/>
      <c r="F128" s="1470"/>
      <c r="G128" s="1471" t="s">
        <v>777</v>
      </c>
      <c r="H128" s="1467">
        <f ca="1">SUM(H127:AQ127)</f>
        <v>1122238.42399114</v>
      </c>
      <c r="I128" s="709"/>
      <c r="J128" s="709"/>
      <c r="K128" s="709"/>
      <c r="L128" s="709"/>
      <c r="M128" s="709"/>
      <c r="N128" s="709"/>
      <c r="O128" s="709"/>
      <c r="P128" s="709"/>
      <c r="Q128" s="709"/>
      <c r="R128" s="709"/>
      <c r="S128" s="709"/>
      <c r="T128" s="709"/>
      <c r="U128" s="709"/>
      <c r="V128" s="709"/>
      <c r="W128" s="709"/>
      <c r="X128" s="709"/>
      <c r="Y128" s="709"/>
      <c r="Z128" s="709"/>
      <c r="AA128" s="709"/>
      <c r="AB128" s="709"/>
      <c r="AC128" s="709"/>
      <c r="AD128" s="709"/>
      <c r="AE128" s="709"/>
      <c r="AF128" s="709"/>
      <c r="AG128" s="709"/>
      <c r="AH128" s="709"/>
      <c r="AI128" s="709"/>
      <c r="AJ128" s="709"/>
      <c r="AK128" s="709"/>
      <c r="AL128" s="709"/>
      <c r="AM128" s="709"/>
      <c r="AN128" s="709"/>
      <c r="AO128" s="709"/>
      <c r="AP128" s="709"/>
      <c r="AQ128" s="709"/>
      <c r="AR128" s="709"/>
      <c r="AS128" s="709"/>
      <c r="AT128" s="709"/>
      <c r="AU128" s="709"/>
      <c r="AV128" s="709"/>
      <c r="AW128" s="709"/>
      <c r="AX128" s="709"/>
      <c r="AY128" s="709"/>
      <c r="AZ128" s="709"/>
      <c r="BA128" s="709"/>
      <c r="BB128" s="709"/>
      <c r="BC128" s="709"/>
      <c r="BD128" s="709"/>
      <c r="BE128" s="709"/>
      <c r="BF128" s="709"/>
      <c r="BG128" s="709"/>
      <c r="BH128" s="709"/>
      <c r="BI128" s="709"/>
      <c r="BJ128" s="709"/>
      <c r="BK128" s="709"/>
      <c r="BL128" s="709"/>
      <c r="BM128" s="709"/>
      <c r="BN128" s="709"/>
      <c r="BO128" s="709"/>
      <c r="BP128" s="709"/>
      <c r="BQ128" s="709"/>
      <c r="BR128" s="709"/>
      <c r="BS128" s="709"/>
      <c r="BT128" s="709"/>
      <c r="BU128" s="709"/>
      <c r="BV128" s="709"/>
      <c r="BW128" s="709"/>
      <c r="BX128" s="709"/>
      <c r="BY128" s="709"/>
      <c r="BZ128" s="709"/>
      <c r="CA128" s="709"/>
    </row>
    <row r="129" spans="1:79">
      <c r="A129" s="709"/>
      <c r="B129" s="709"/>
      <c r="C129" s="709"/>
      <c r="D129" s="709"/>
      <c r="E129" s="709"/>
      <c r="F129" s="709"/>
      <c r="G129" s="709"/>
      <c r="H129" s="709"/>
      <c r="I129" s="709"/>
      <c r="J129" s="709"/>
      <c r="K129" s="709"/>
      <c r="L129" s="709"/>
      <c r="M129" s="709"/>
      <c r="N129" s="709"/>
      <c r="O129" s="709"/>
      <c r="P129" s="709"/>
      <c r="Q129" s="709"/>
      <c r="R129" s="709"/>
      <c r="S129" s="709"/>
      <c r="T129" s="709"/>
      <c r="U129" s="709"/>
      <c r="V129" s="709"/>
      <c r="W129" s="709"/>
      <c r="X129" s="709"/>
      <c r="Y129" s="709"/>
      <c r="Z129" s="709"/>
      <c r="AA129" s="709"/>
      <c r="AB129" s="709"/>
      <c r="AC129" s="709"/>
      <c r="AD129" s="709"/>
      <c r="AE129" s="709"/>
      <c r="AF129" s="709"/>
      <c r="AG129" s="709"/>
      <c r="AH129" s="709"/>
      <c r="AI129" s="709"/>
      <c r="AJ129" s="709"/>
      <c r="AK129" s="709"/>
      <c r="AL129" s="709"/>
      <c r="AM129" s="709"/>
      <c r="AN129" s="709"/>
      <c r="AO129" s="709"/>
      <c r="AP129" s="709"/>
      <c r="AQ129" s="709"/>
      <c r="AR129" s="709"/>
      <c r="AS129" s="709"/>
      <c r="AT129" s="709"/>
      <c r="AU129" s="709"/>
      <c r="AV129" s="709"/>
      <c r="AW129" s="709"/>
      <c r="AX129" s="709"/>
      <c r="AY129" s="709"/>
      <c r="AZ129" s="709"/>
      <c r="BA129" s="709"/>
      <c r="BB129" s="709"/>
      <c r="BC129" s="709"/>
      <c r="BD129" s="709"/>
      <c r="BE129" s="709"/>
      <c r="BF129" s="709"/>
      <c r="BG129" s="709"/>
      <c r="BH129" s="709"/>
      <c r="BI129" s="709"/>
      <c r="BJ129" s="709"/>
      <c r="BK129" s="709"/>
      <c r="BL129" s="709"/>
      <c r="BM129" s="709"/>
      <c r="BN129" s="709"/>
      <c r="BO129" s="709"/>
      <c r="BP129" s="709"/>
      <c r="BQ129" s="709"/>
      <c r="BR129" s="709"/>
      <c r="BS129" s="709"/>
      <c r="BT129" s="709"/>
      <c r="BU129" s="709"/>
      <c r="BV129" s="709"/>
      <c r="BW129" s="709"/>
      <c r="BX129" s="709"/>
      <c r="BY129" s="709"/>
      <c r="BZ129" s="709"/>
      <c r="CA129" s="709"/>
    </row>
    <row r="130" spans="1:79">
      <c r="A130" s="709"/>
      <c r="B130" s="709"/>
      <c r="C130" s="709"/>
      <c r="D130" s="709"/>
      <c r="E130" s="709"/>
      <c r="F130" s="709"/>
      <c r="G130" s="709"/>
      <c r="H130" s="709"/>
      <c r="I130" s="709"/>
      <c r="J130" s="709"/>
      <c r="K130" s="709"/>
      <c r="L130" s="709"/>
      <c r="M130" s="709"/>
      <c r="N130" s="709"/>
      <c r="O130" s="709"/>
      <c r="P130" s="709"/>
      <c r="Q130" s="709"/>
      <c r="R130" s="709"/>
      <c r="S130" s="709"/>
      <c r="T130" s="709"/>
      <c r="U130" s="709"/>
      <c r="V130" s="709"/>
      <c r="W130" s="709"/>
      <c r="X130" s="709"/>
      <c r="Y130" s="709"/>
      <c r="Z130" s="709"/>
      <c r="AA130" s="709"/>
      <c r="AB130" s="709"/>
      <c r="AC130" s="709"/>
      <c r="AD130" s="709"/>
      <c r="AE130" s="709"/>
      <c r="AF130" s="709"/>
      <c r="AG130" s="709"/>
      <c r="AH130" s="709"/>
      <c r="AI130" s="709"/>
      <c r="AJ130" s="709"/>
      <c r="AK130" s="709"/>
      <c r="AL130" s="709"/>
      <c r="AM130" s="709"/>
      <c r="AN130" s="709"/>
      <c r="AO130" s="709"/>
      <c r="AP130" s="709"/>
      <c r="AQ130" s="709"/>
      <c r="AR130" s="709"/>
      <c r="AS130" s="709"/>
      <c r="AT130" s="709"/>
      <c r="AU130" s="709"/>
      <c r="AV130" s="709"/>
      <c r="AW130" s="709"/>
      <c r="AX130" s="709"/>
      <c r="AY130" s="709"/>
      <c r="AZ130" s="709"/>
      <c r="BA130" s="709"/>
      <c r="BB130" s="709"/>
      <c r="BC130" s="709"/>
      <c r="BD130" s="709"/>
      <c r="BE130" s="709"/>
      <c r="BF130" s="709"/>
      <c r="BG130" s="709"/>
      <c r="BH130" s="709"/>
      <c r="BI130" s="709"/>
      <c r="BJ130" s="709"/>
      <c r="BK130" s="709"/>
      <c r="BL130" s="709"/>
      <c r="BM130" s="709"/>
      <c r="BN130" s="709"/>
      <c r="BO130" s="709"/>
      <c r="BP130" s="709"/>
      <c r="BQ130" s="709"/>
      <c r="BR130" s="709"/>
      <c r="BS130" s="709"/>
      <c r="BT130" s="709"/>
      <c r="BU130" s="709"/>
      <c r="BV130" s="709"/>
      <c r="BW130" s="709"/>
      <c r="BX130" s="709"/>
      <c r="BY130" s="709"/>
      <c r="BZ130" s="709"/>
      <c r="CA130" s="709"/>
    </row>
    <row r="131" spans="1:79">
      <c r="A131" s="709"/>
      <c r="B131" s="709"/>
      <c r="C131" s="709"/>
      <c r="D131" s="709"/>
      <c r="E131" s="709"/>
      <c r="F131" s="709"/>
      <c r="G131" s="709"/>
      <c r="H131" s="709"/>
      <c r="I131" s="709"/>
      <c r="J131" s="709"/>
      <c r="K131" s="709"/>
      <c r="L131" s="709"/>
      <c r="M131" s="709"/>
      <c r="N131" s="709"/>
      <c r="O131" s="709"/>
      <c r="P131" s="709"/>
      <c r="Q131" s="709"/>
      <c r="R131" s="709"/>
      <c r="S131" s="709"/>
      <c r="T131" s="709"/>
      <c r="U131" s="709"/>
      <c r="V131" s="709"/>
      <c r="W131" s="709"/>
      <c r="X131" s="709"/>
      <c r="Y131" s="709"/>
      <c r="Z131" s="709"/>
      <c r="AA131" s="709"/>
      <c r="AB131" s="709"/>
      <c r="AC131" s="709"/>
      <c r="AD131" s="709"/>
      <c r="AE131" s="709"/>
      <c r="AF131" s="709"/>
      <c r="AG131" s="709"/>
      <c r="AH131" s="709"/>
      <c r="AI131" s="709"/>
      <c r="AJ131" s="709"/>
      <c r="AK131" s="709"/>
      <c r="AL131" s="709"/>
      <c r="AM131" s="709"/>
      <c r="AN131" s="709"/>
      <c r="AO131" s="709"/>
      <c r="AP131" s="709"/>
      <c r="AQ131" s="709"/>
      <c r="AR131" s="709"/>
      <c r="AS131" s="709"/>
      <c r="AT131" s="709"/>
      <c r="AU131" s="709"/>
      <c r="AV131" s="709"/>
      <c r="AW131" s="709"/>
      <c r="AX131" s="709"/>
      <c r="AY131" s="709"/>
      <c r="AZ131" s="709"/>
      <c r="BA131" s="709"/>
      <c r="BB131" s="709"/>
      <c r="BC131" s="709"/>
      <c r="BD131" s="709"/>
      <c r="BE131" s="709"/>
      <c r="BF131" s="709"/>
      <c r="BG131" s="709"/>
      <c r="BH131" s="709"/>
      <c r="BI131" s="709"/>
      <c r="BJ131" s="709"/>
      <c r="BK131" s="709"/>
      <c r="BL131" s="709"/>
      <c r="BM131" s="709"/>
      <c r="BN131" s="709"/>
      <c r="BO131" s="709"/>
      <c r="BP131" s="709"/>
      <c r="BQ131" s="709"/>
      <c r="BR131" s="709"/>
      <c r="BS131" s="709"/>
      <c r="BT131" s="709"/>
      <c r="BU131" s="709"/>
      <c r="BV131" s="709"/>
      <c r="BW131" s="709"/>
      <c r="BX131" s="709"/>
      <c r="BY131" s="709"/>
      <c r="BZ131" s="709"/>
      <c r="CA131" s="709"/>
    </row>
    <row r="132" spans="1:79">
      <c r="A132" s="709"/>
      <c r="B132" s="1458" t="s">
        <v>595</v>
      </c>
      <c r="C132" s="709"/>
      <c r="D132" s="709"/>
      <c r="E132" s="709"/>
      <c r="F132" s="709"/>
      <c r="G132" s="709"/>
      <c r="H132" s="709"/>
      <c r="I132" s="709"/>
      <c r="J132" s="709"/>
      <c r="K132" s="709"/>
      <c r="L132" s="709"/>
      <c r="M132" s="709"/>
      <c r="N132" s="709"/>
      <c r="O132" s="709"/>
      <c r="P132" s="709"/>
      <c r="Q132" s="709"/>
      <c r="R132" s="709"/>
      <c r="S132" s="709"/>
      <c r="T132" s="709"/>
      <c r="U132" s="709"/>
      <c r="V132" s="709"/>
      <c r="W132" s="709"/>
      <c r="X132" s="709"/>
      <c r="Y132" s="709"/>
      <c r="Z132" s="709"/>
      <c r="AA132" s="709"/>
      <c r="AB132" s="709"/>
      <c r="AC132" s="709"/>
      <c r="AD132" s="709"/>
      <c r="AE132" s="709"/>
      <c r="AF132" s="709"/>
      <c r="AG132" s="709"/>
      <c r="AH132" s="709"/>
      <c r="AI132" s="709"/>
      <c r="AJ132" s="709"/>
      <c r="AK132" s="709"/>
      <c r="AL132" s="709"/>
      <c r="AM132" s="709"/>
      <c r="AN132" s="709"/>
      <c r="AO132" s="709"/>
      <c r="AP132" s="709"/>
      <c r="AQ132" s="709"/>
      <c r="AR132" s="709"/>
      <c r="AS132" s="709"/>
      <c r="AT132" s="709"/>
      <c r="AU132" s="709"/>
      <c r="AV132" s="709"/>
      <c r="AW132" s="709"/>
      <c r="AX132" s="709"/>
      <c r="AY132" s="709"/>
      <c r="AZ132" s="709"/>
      <c r="BA132" s="709"/>
      <c r="BB132" s="709"/>
      <c r="BC132" s="709"/>
      <c r="BD132" s="709"/>
      <c r="BE132" s="709"/>
      <c r="BF132" s="709"/>
      <c r="BG132" s="709"/>
      <c r="BH132" s="709"/>
      <c r="BI132" s="709"/>
      <c r="BJ132" s="709"/>
      <c r="BK132" s="709"/>
      <c r="BL132" s="709"/>
      <c r="BM132" s="709"/>
      <c r="BN132" s="709"/>
      <c r="BO132" s="709"/>
      <c r="BP132" s="709"/>
      <c r="BQ132" s="709"/>
      <c r="BR132" s="709"/>
      <c r="BS132" s="709"/>
      <c r="BT132" s="709"/>
      <c r="BU132" s="709"/>
      <c r="BV132" s="709"/>
      <c r="BW132" s="709"/>
      <c r="BX132" s="709"/>
      <c r="BY132" s="709"/>
      <c r="BZ132" s="709"/>
      <c r="CA132" s="709"/>
    </row>
    <row r="133" spans="1:79">
      <c r="A133" s="709"/>
      <c r="B133" s="1458"/>
      <c r="C133" s="709"/>
      <c r="D133" s="1462"/>
      <c r="E133" s="1463"/>
      <c r="F133" s="1464" t="s">
        <v>773</v>
      </c>
      <c r="G133" s="1463"/>
      <c r="H133" s="1465">
        <f t="shared" ref="H133:AN133" ca="1" si="44">H7</f>
        <v>2364554.3878781055</v>
      </c>
      <c r="I133" s="1465">
        <f t="shared" ca="1" si="44"/>
        <v>-103667.1610444704</v>
      </c>
      <c r="J133" s="1465">
        <f t="shared" si="44"/>
        <v>0</v>
      </c>
      <c r="K133" s="1465">
        <f t="shared" si="44"/>
        <v>0</v>
      </c>
      <c r="L133" s="1465">
        <f t="shared" si="44"/>
        <v>0</v>
      </c>
      <c r="M133" s="1465">
        <f t="shared" ca="1" si="44"/>
        <v>300377.80366456456</v>
      </c>
      <c r="N133" s="1465">
        <f t="shared" ca="1" si="44"/>
        <v>834406.43222324015</v>
      </c>
      <c r="O133" s="1465">
        <f t="shared" ca="1" si="44"/>
        <v>668617.86393590341</v>
      </c>
      <c r="P133" s="1465">
        <f t="shared" si="44"/>
        <v>0</v>
      </c>
      <c r="Q133" s="1465">
        <f t="shared" ca="1" si="44"/>
        <v>737699.63920965232</v>
      </c>
      <c r="R133" s="1465">
        <f t="shared" ca="1" si="44"/>
        <v>991730.4138677686</v>
      </c>
      <c r="S133" s="1465">
        <f t="shared" si="44"/>
        <v>0</v>
      </c>
      <c r="T133" s="1465">
        <f t="shared" ca="1" si="44"/>
        <v>209939.80921066151</v>
      </c>
      <c r="U133" s="1465">
        <f t="shared" ca="1" si="44"/>
        <v>975839.6000947</v>
      </c>
      <c r="V133" s="1465">
        <f t="shared" ca="1" si="44"/>
        <v>691434.96122900909</v>
      </c>
      <c r="W133" s="1465">
        <f t="shared" si="44"/>
        <v>0</v>
      </c>
      <c r="X133" s="1465">
        <f t="shared" ca="1" si="44"/>
        <v>-16927969.944740985</v>
      </c>
      <c r="Y133" s="1465">
        <f t="shared" ca="1" si="44"/>
        <v>859741.88057480473</v>
      </c>
      <c r="Z133" s="1465">
        <f t="shared" ca="1" si="44"/>
        <v>854470.46091796621</v>
      </c>
      <c r="AA133" s="1465">
        <f t="shared" ca="1" si="44"/>
        <v>922170.04845301504</v>
      </c>
      <c r="AB133" s="1465">
        <f t="shared" ca="1" si="44"/>
        <v>812241.98371950653</v>
      </c>
      <c r="AC133" s="1465">
        <f t="shared" ca="1" si="44"/>
        <v>766709.31462996383</v>
      </c>
      <c r="AD133" s="1465">
        <f t="shared" ca="1" si="44"/>
        <v>3278864.6201434899</v>
      </c>
      <c r="AE133" s="1465">
        <f t="shared" ca="1" si="44"/>
        <v>10379008.380272057</v>
      </c>
      <c r="AF133" s="1465">
        <f t="shared" si="44"/>
        <v>0</v>
      </c>
      <c r="AG133" s="1465">
        <f t="shared" si="44"/>
        <v>0</v>
      </c>
      <c r="AH133" s="1465">
        <f t="shared" si="44"/>
        <v>0</v>
      </c>
      <c r="AI133" s="1465">
        <f t="shared" si="44"/>
        <v>0</v>
      </c>
      <c r="AJ133" s="1465">
        <f t="shared" si="44"/>
        <v>0</v>
      </c>
      <c r="AK133" s="1465">
        <f t="shared" si="44"/>
        <v>0</v>
      </c>
      <c r="AL133" s="1465">
        <f t="shared" si="44"/>
        <v>0</v>
      </c>
      <c r="AM133" s="1465">
        <f t="shared" si="44"/>
        <v>0</v>
      </c>
      <c r="AN133" s="1465">
        <f t="shared" si="44"/>
        <v>0</v>
      </c>
      <c r="AO133" s="1465">
        <f ca="1">AO7</f>
        <v>47388.93771831425</v>
      </c>
      <c r="AP133" s="1465">
        <f t="shared" ref="AP133:AU133" ca="1" si="45">AP7</f>
        <v>47649.576875764978</v>
      </c>
      <c r="AQ133" s="1465">
        <f t="shared" ca="1" si="45"/>
        <v>47911.649548581685</v>
      </c>
      <c r="AR133" s="1465">
        <f t="shared" ca="1" si="45"/>
        <v>-8759120.6583816148</v>
      </c>
      <c r="AS133" s="1465"/>
      <c r="AT133" s="1465">
        <f>AT7</f>
        <v>0</v>
      </c>
      <c r="AU133" s="1465">
        <f t="shared" si="45"/>
        <v>0</v>
      </c>
      <c r="AV133" s="709"/>
      <c r="AW133" s="709"/>
      <c r="AX133" s="709"/>
      <c r="AY133" s="709"/>
      <c r="AZ133" s="709"/>
      <c r="BA133" s="709"/>
      <c r="BB133" s="709"/>
      <c r="BC133" s="709"/>
      <c r="BD133" s="709"/>
      <c r="BE133" s="709"/>
      <c r="BF133" s="709"/>
      <c r="BG133" s="709"/>
      <c r="BH133" s="709"/>
      <c r="BI133" s="709"/>
      <c r="BJ133" s="709"/>
      <c r="BK133" s="709"/>
      <c r="BL133" s="709"/>
      <c r="BM133" s="709"/>
      <c r="BN133" s="709"/>
      <c r="BO133" s="709"/>
      <c r="BP133" s="709"/>
      <c r="BQ133" s="709"/>
      <c r="BR133" s="709"/>
      <c r="BS133" s="709"/>
      <c r="BT133" s="709"/>
      <c r="BU133" s="709"/>
      <c r="BV133" s="709"/>
      <c r="BW133" s="709"/>
      <c r="BX133" s="709"/>
      <c r="BY133" s="709"/>
      <c r="BZ133" s="709"/>
      <c r="CA133" s="709"/>
    </row>
    <row r="134" spans="1:79">
      <c r="A134" s="709"/>
      <c r="B134" s="709"/>
      <c r="C134" s="709"/>
      <c r="D134" s="1461"/>
      <c r="E134" s="709"/>
      <c r="F134" s="795" t="s">
        <v>770</v>
      </c>
      <c r="G134" s="709"/>
      <c r="H134" s="1466">
        <f ca="1">H7</f>
        <v>2364554.3878781055</v>
      </c>
      <c r="I134" s="1466">
        <f t="shared" ref="I134:AR134" ca="1" si="46">H134+I133</f>
        <v>2260887.226833635</v>
      </c>
      <c r="J134" s="1466">
        <f t="shared" ca="1" si="46"/>
        <v>2260887.226833635</v>
      </c>
      <c r="K134" s="1466">
        <f t="shared" ca="1" si="46"/>
        <v>2260887.226833635</v>
      </c>
      <c r="L134" s="1466">
        <f t="shared" ca="1" si="46"/>
        <v>2260887.226833635</v>
      </c>
      <c r="M134" s="1466">
        <f t="shared" ca="1" si="46"/>
        <v>2561265.0304981996</v>
      </c>
      <c r="N134" s="1466">
        <f t="shared" ca="1" si="46"/>
        <v>3395671.46272144</v>
      </c>
      <c r="O134" s="1466">
        <f t="shared" ca="1" si="46"/>
        <v>4064289.3266573437</v>
      </c>
      <c r="P134" s="1466">
        <f t="shared" ca="1" si="46"/>
        <v>4064289.3266573437</v>
      </c>
      <c r="Q134" s="1466">
        <f t="shared" ca="1" si="46"/>
        <v>4801988.965866996</v>
      </c>
      <c r="R134" s="1466">
        <f t="shared" ca="1" si="46"/>
        <v>5793719.3797347648</v>
      </c>
      <c r="S134" s="1466">
        <f t="shared" ca="1" si="46"/>
        <v>5793719.3797347648</v>
      </c>
      <c r="T134" s="1466">
        <f t="shared" ca="1" si="46"/>
        <v>6003659.1889454266</v>
      </c>
      <c r="U134" s="1466">
        <f t="shared" ca="1" si="46"/>
        <v>6979498.7890401268</v>
      </c>
      <c r="V134" s="1466">
        <f t="shared" ca="1" si="46"/>
        <v>7670933.7502691355</v>
      </c>
      <c r="W134" s="1466">
        <f t="shared" ca="1" si="46"/>
        <v>7670933.7502691355</v>
      </c>
      <c r="X134" s="1466">
        <f t="shared" ca="1" si="46"/>
        <v>-9257036.1944718491</v>
      </c>
      <c r="Y134" s="1466">
        <f t="shared" ca="1" si="46"/>
        <v>-8397294.3138970435</v>
      </c>
      <c r="Z134" s="1466">
        <f t="shared" ca="1" si="46"/>
        <v>-7542823.852979077</v>
      </c>
      <c r="AA134" s="1466">
        <f t="shared" ca="1" si="46"/>
        <v>-6620653.8045260618</v>
      </c>
      <c r="AB134" s="1466">
        <f t="shared" ca="1" si="46"/>
        <v>-5808411.8208065554</v>
      </c>
      <c r="AC134" s="1466">
        <f t="shared" ca="1" si="46"/>
        <v>-5041702.5061765919</v>
      </c>
      <c r="AD134" s="1466">
        <f t="shared" ca="1" si="46"/>
        <v>-1762837.8860331019</v>
      </c>
      <c r="AE134" s="1466">
        <f t="shared" ca="1" si="46"/>
        <v>8616170.494238954</v>
      </c>
      <c r="AF134" s="1466">
        <f t="shared" ca="1" si="46"/>
        <v>8616170.494238954</v>
      </c>
      <c r="AG134" s="1466">
        <f t="shared" ca="1" si="46"/>
        <v>8616170.494238954</v>
      </c>
      <c r="AH134" s="1466">
        <f t="shared" ca="1" si="46"/>
        <v>8616170.494238954</v>
      </c>
      <c r="AI134" s="1466">
        <f t="shared" ca="1" si="46"/>
        <v>8616170.494238954</v>
      </c>
      <c r="AJ134" s="1466">
        <f t="shared" ca="1" si="46"/>
        <v>8616170.494238954</v>
      </c>
      <c r="AK134" s="1466">
        <f t="shared" ca="1" si="46"/>
        <v>8616170.494238954</v>
      </c>
      <c r="AL134" s="1466">
        <f t="shared" ca="1" si="46"/>
        <v>8616170.494238954</v>
      </c>
      <c r="AM134" s="1466">
        <f t="shared" ca="1" si="46"/>
        <v>8616170.494238954</v>
      </c>
      <c r="AN134" s="1466">
        <f t="shared" ca="1" si="46"/>
        <v>8616170.494238954</v>
      </c>
      <c r="AO134" s="1466">
        <f t="shared" ca="1" si="46"/>
        <v>8663559.4319572691</v>
      </c>
      <c r="AP134" s="1466">
        <f t="shared" ca="1" si="46"/>
        <v>8711209.008833034</v>
      </c>
      <c r="AQ134" s="1466">
        <f t="shared" ca="1" si="46"/>
        <v>8759120.6583816148</v>
      </c>
      <c r="AR134" s="1466">
        <f t="shared" ca="1" si="46"/>
        <v>0</v>
      </c>
      <c r="AS134" s="1466"/>
      <c r="AT134" s="1466">
        <f ca="1">AR134+AT133</f>
        <v>0</v>
      </c>
      <c r="AU134" s="1466">
        <f ca="1">AR134+AU133</f>
        <v>0</v>
      </c>
      <c r="AV134" s="709"/>
      <c r="AW134" s="709"/>
      <c r="AX134" s="709"/>
      <c r="AY134" s="709"/>
      <c r="AZ134" s="709"/>
      <c r="BA134" s="709"/>
      <c r="BB134" s="709"/>
      <c r="BC134" s="709"/>
      <c r="BD134" s="709"/>
      <c r="BE134" s="709"/>
      <c r="BF134" s="709"/>
      <c r="BG134" s="709"/>
      <c r="BH134" s="709"/>
      <c r="BI134" s="709"/>
      <c r="BJ134" s="709"/>
      <c r="BK134" s="709"/>
      <c r="BL134" s="709"/>
      <c r="BM134" s="709"/>
      <c r="BN134" s="709"/>
      <c r="BO134" s="709"/>
      <c r="BP134" s="709"/>
      <c r="BQ134" s="709"/>
      <c r="BR134" s="709"/>
      <c r="BS134" s="709"/>
      <c r="BT134" s="709"/>
      <c r="BU134" s="709"/>
      <c r="BV134" s="709"/>
      <c r="BW134" s="709"/>
      <c r="BX134" s="709"/>
      <c r="BY134" s="709"/>
      <c r="BZ134" s="709"/>
      <c r="CA134" s="709"/>
    </row>
    <row r="135" spans="1:79">
      <c r="A135" s="709"/>
      <c r="B135" s="709"/>
      <c r="C135" s="709"/>
      <c r="D135" s="1042"/>
      <c r="E135" s="795" t="s">
        <v>772</v>
      </c>
      <c r="F135" s="1043">
        <f>'Summary Sources-Uses'!H68</f>
        <v>6.6000000000000003E-2</v>
      </c>
      <c r="G135" s="1044"/>
      <c r="H135" s="1466"/>
      <c r="I135" s="1466">
        <f ca="1">(H134/12)*$F135</f>
        <v>13005.049133329579</v>
      </c>
      <c r="J135" s="1466">
        <f t="shared" ref="J135:AO135" ca="1" si="47">(I134/12)*$F135</f>
        <v>12434.879747584993</v>
      </c>
      <c r="K135" s="1466">
        <f t="shared" ca="1" si="47"/>
        <v>12434.879747584993</v>
      </c>
      <c r="L135" s="1466">
        <f t="shared" ca="1" si="47"/>
        <v>12434.879747584993</v>
      </c>
      <c r="M135" s="1466">
        <f t="shared" ca="1" si="47"/>
        <v>12434.879747584993</v>
      </c>
      <c r="N135" s="1466">
        <f t="shared" ca="1" si="47"/>
        <v>14086.9576677401</v>
      </c>
      <c r="O135" s="1466">
        <f t="shared" ca="1" si="47"/>
        <v>18676.193044967924</v>
      </c>
      <c r="P135" s="1466">
        <f t="shared" ca="1" si="47"/>
        <v>22353.591296615388</v>
      </c>
      <c r="Q135" s="1466">
        <f t="shared" ca="1" si="47"/>
        <v>22353.591296615388</v>
      </c>
      <c r="R135" s="1466">
        <f t="shared" ca="1" si="47"/>
        <v>26410.939312268478</v>
      </c>
      <c r="S135" s="1466">
        <f t="shared" ca="1" si="47"/>
        <v>31865.456588541208</v>
      </c>
      <c r="T135" s="1466">
        <f t="shared" ca="1" si="47"/>
        <v>31865.456588541208</v>
      </c>
      <c r="U135" s="1466">
        <f t="shared" ca="1" si="47"/>
        <v>33020.125539199849</v>
      </c>
      <c r="V135" s="1466">
        <f t="shared" ca="1" si="47"/>
        <v>38387.243339720699</v>
      </c>
      <c r="W135" s="1466">
        <f t="shared" ca="1" si="47"/>
        <v>42190.135626480245</v>
      </c>
      <c r="X135" s="1466">
        <f t="shared" ca="1" si="47"/>
        <v>42190.135626480245</v>
      </c>
      <c r="Y135" s="1466">
        <f t="shared" ca="1" si="47"/>
        <v>-50913.699069595168</v>
      </c>
      <c r="Z135" s="1466">
        <f t="shared" ca="1" si="47"/>
        <v>-46185.118726433742</v>
      </c>
      <c r="AA135" s="1466">
        <f t="shared" ca="1" si="47"/>
        <v>-41485.531191384922</v>
      </c>
      <c r="AB135" s="1466">
        <f t="shared" ca="1" si="47"/>
        <v>-36413.595924893343</v>
      </c>
      <c r="AC135" s="1466">
        <f t="shared" ca="1" si="47"/>
        <v>-31946.265014436056</v>
      </c>
      <c r="AD135" s="1466">
        <f t="shared" ca="1" si="47"/>
        <v>-27729.363783971254</v>
      </c>
      <c r="AE135" s="1466">
        <f t="shared" ca="1" si="47"/>
        <v>-9695.6083731820618</v>
      </c>
      <c r="AF135" s="1466">
        <f t="shared" ca="1" si="47"/>
        <v>47388.93771831425</v>
      </c>
      <c r="AG135" s="1466">
        <f t="shared" ca="1" si="47"/>
        <v>47388.93771831425</v>
      </c>
      <c r="AH135" s="1466">
        <f t="shared" ca="1" si="47"/>
        <v>47388.93771831425</v>
      </c>
      <c r="AI135" s="1466">
        <f t="shared" ca="1" si="47"/>
        <v>47388.93771831425</v>
      </c>
      <c r="AJ135" s="1466">
        <f t="shared" ca="1" si="47"/>
        <v>47388.93771831425</v>
      </c>
      <c r="AK135" s="1466">
        <f t="shared" ca="1" si="47"/>
        <v>47388.93771831425</v>
      </c>
      <c r="AL135" s="1466">
        <f t="shared" ca="1" si="47"/>
        <v>47388.93771831425</v>
      </c>
      <c r="AM135" s="1466">
        <f t="shared" ca="1" si="47"/>
        <v>47388.93771831425</v>
      </c>
      <c r="AN135" s="1466">
        <f t="shared" ca="1" si="47"/>
        <v>47388.93771831425</v>
      </c>
      <c r="AO135" s="1466">
        <f t="shared" ca="1" si="47"/>
        <v>47388.93771831425</v>
      </c>
      <c r="AP135" s="1466">
        <f ca="1">(AO134/12)*$F135</f>
        <v>47649.576875764978</v>
      </c>
      <c r="AQ135" s="1466">
        <f ca="1">(AP134/12)*$F135</f>
        <v>47911.649548581692</v>
      </c>
      <c r="AR135" s="1466">
        <f ca="1">(AQ134/12)*$F135</f>
        <v>48175.163621098887</v>
      </c>
      <c r="AS135" s="1466"/>
      <c r="AT135" s="1466">
        <f ca="1">(AR134/12)*$F135</f>
        <v>0</v>
      </c>
      <c r="AU135" s="1466">
        <f ca="1">(AR134/12)*$F135</f>
        <v>0</v>
      </c>
      <c r="AV135" s="709"/>
      <c r="AW135" s="709"/>
      <c r="AX135" s="709"/>
      <c r="AY135" s="709"/>
      <c r="AZ135" s="709"/>
      <c r="BA135" s="709"/>
      <c r="BB135" s="709"/>
      <c r="BC135" s="709"/>
      <c r="BD135" s="709"/>
      <c r="BE135" s="709"/>
      <c r="BF135" s="709"/>
      <c r="BG135" s="709"/>
      <c r="BH135" s="709"/>
      <c r="BI135" s="709"/>
      <c r="BJ135" s="709"/>
      <c r="BK135" s="709"/>
      <c r="BL135" s="709"/>
      <c r="BM135" s="709"/>
      <c r="BN135" s="709"/>
      <c r="BO135" s="709"/>
      <c r="BP135" s="709"/>
      <c r="BQ135" s="709"/>
      <c r="BR135" s="709"/>
      <c r="BS135" s="709"/>
      <c r="BT135" s="709"/>
      <c r="BU135" s="709"/>
      <c r="BV135" s="709"/>
      <c r="BW135" s="709"/>
      <c r="BX135" s="709"/>
      <c r="BY135" s="709"/>
      <c r="BZ135" s="709"/>
      <c r="CA135" s="709"/>
    </row>
    <row r="136" spans="1:79">
      <c r="A136" s="709"/>
      <c r="B136" s="709"/>
      <c r="C136" s="709"/>
      <c r="D136" s="1045"/>
      <c r="E136" s="1046"/>
      <c r="F136" s="1046"/>
      <c r="G136" s="1459" t="s">
        <v>768</v>
      </c>
      <c r="H136" s="1467">
        <f ca="1">SUM(H135:AQ135)</f>
        <v>711225.81557443284</v>
      </c>
      <c r="I136" s="1465"/>
      <c r="J136" s="1465"/>
      <c r="K136" s="1465"/>
      <c r="L136" s="1465"/>
      <c r="M136" s="1465"/>
      <c r="N136" s="1465"/>
      <c r="O136" s="1465"/>
      <c r="P136" s="1465"/>
      <c r="Q136" s="1465"/>
      <c r="R136" s="1465"/>
      <c r="S136" s="1465"/>
      <c r="T136" s="1465"/>
      <c r="U136" s="1465"/>
      <c r="V136" s="1465"/>
      <c r="W136" s="1465"/>
      <c r="X136" s="1465"/>
      <c r="Y136" s="1465"/>
      <c r="Z136" s="1465"/>
      <c r="AA136" s="1465"/>
      <c r="AB136" s="1465"/>
      <c r="AC136" s="1465"/>
      <c r="AD136" s="1465"/>
      <c r="AE136" s="1465"/>
      <c r="AF136" s="1465"/>
      <c r="AG136" s="1465"/>
      <c r="AH136" s="1465"/>
      <c r="AI136" s="1465"/>
      <c r="AJ136" s="1465"/>
      <c r="AK136" s="1465"/>
      <c r="AL136" s="1465"/>
      <c r="AM136" s="1465"/>
      <c r="AN136" s="1465"/>
      <c r="AO136" s="1465"/>
      <c r="AP136" s="1465"/>
      <c r="AQ136" s="1465"/>
      <c r="AR136" s="1465"/>
      <c r="AS136" s="1465"/>
      <c r="AT136" s="1465"/>
      <c r="AU136" s="709"/>
      <c r="AV136" s="709"/>
      <c r="AW136" s="709"/>
      <c r="AX136" s="709"/>
      <c r="AY136" s="709"/>
      <c r="AZ136" s="709"/>
      <c r="BA136" s="709"/>
      <c r="BB136" s="709"/>
      <c r="BC136" s="709"/>
      <c r="BD136" s="709"/>
      <c r="BE136" s="709"/>
      <c r="BF136" s="709"/>
      <c r="BG136" s="709"/>
      <c r="BH136" s="709"/>
      <c r="BI136" s="709"/>
      <c r="BJ136" s="709"/>
      <c r="BK136" s="709"/>
      <c r="BL136" s="709"/>
      <c r="BM136" s="709"/>
      <c r="BN136" s="709"/>
      <c r="BO136" s="709"/>
      <c r="BP136" s="709"/>
      <c r="BQ136" s="709"/>
      <c r="BR136" s="709"/>
      <c r="BS136" s="709"/>
      <c r="BT136" s="709"/>
      <c r="BU136" s="709"/>
      <c r="BV136" s="709"/>
      <c r="BW136" s="709"/>
      <c r="BX136" s="709"/>
      <c r="BY136" s="709"/>
      <c r="BZ136" s="709"/>
      <c r="CA136" s="709"/>
    </row>
    <row r="137" spans="1:79">
      <c r="A137" s="709"/>
      <c r="B137" s="709"/>
      <c r="C137" s="709"/>
      <c r="D137" s="709"/>
      <c r="E137" s="709"/>
      <c r="F137" s="709"/>
      <c r="G137" s="795" t="s">
        <v>774</v>
      </c>
      <c r="H137" s="1460">
        <f ca="1">SUM(H135:AD135)</f>
        <v>151470.82034012579</v>
      </c>
      <c r="I137" s="709"/>
      <c r="J137" s="709"/>
      <c r="K137" s="709"/>
      <c r="L137" s="709"/>
      <c r="M137" s="709"/>
      <c r="N137" s="709"/>
      <c r="O137" s="709"/>
      <c r="P137" s="709"/>
      <c r="Q137" s="709"/>
      <c r="R137" s="709"/>
      <c r="S137" s="709"/>
      <c r="T137" s="709"/>
      <c r="U137" s="709"/>
      <c r="V137" s="709"/>
      <c r="W137" s="709"/>
      <c r="X137" s="709"/>
      <c r="Y137" s="709"/>
      <c r="Z137" s="709"/>
      <c r="AA137" s="709"/>
      <c r="AB137" s="709"/>
      <c r="AC137" s="709"/>
      <c r="AD137" s="709"/>
      <c r="AE137" s="709"/>
      <c r="AF137" s="709"/>
      <c r="AG137" s="709"/>
      <c r="AH137" s="709"/>
      <c r="AI137" s="709"/>
      <c r="AJ137" s="709"/>
      <c r="AK137" s="709"/>
      <c r="AL137" s="709"/>
      <c r="AM137" s="709"/>
      <c r="AN137" s="709"/>
      <c r="AO137" s="709"/>
      <c r="AP137" s="709"/>
      <c r="AQ137" s="709"/>
      <c r="AR137" s="709"/>
      <c r="AS137" s="709"/>
      <c r="AT137" s="709"/>
      <c r="AU137" s="709"/>
      <c r="AV137" s="709"/>
      <c r="AW137" s="709"/>
      <c r="AX137" s="709"/>
      <c r="AY137" s="709"/>
      <c r="AZ137" s="709"/>
      <c r="BA137" s="709"/>
      <c r="BB137" s="709"/>
      <c r="BC137" s="709"/>
      <c r="BD137" s="709"/>
      <c r="BE137" s="709"/>
      <c r="BF137" s="709"/>
      <c r="BG137" s="709"/>
      <c r="BH137" s="709"/>
      <c r="BI137" s="709"/>
      <c r="BJ137" s="709"/>
      <c r="BK137" s="709"/>
      <c r="BL137" s="709"/>
      <c r="BM137" s="709"/>
      <c r="BN137" s="709"/>
      <c r="BO137" s="709"/>
      <c r="BP137" s="709"/>
      <c r="BQ137" s="709"/>
      <c r="BR137" s="709"/>
      <c r="BS137" s="709"/>
      <c r="BT137" s="709"/>
      <c r="BU137" s="709"/>
      <c r="BV137" s="709"/>
      <c r="BW137" s="709"/>
      <c r="BX137" s="709"/>
      <c r="BY137" s="709"/>
      <c r="BZ137" s="709"/>
      <c r="CA137" s="709"/>
    </row>
    <row r="138" spans="1:79">
      <c r="A138" s="709"/>
      <c r="B138" s="709"/>
      <c r="C138" s="709"/>
      <c r="D138" s="709"/>
      <c r="E138" s="709"/>
      <c r="F138" s="709"/>
      <c r="G138" s="709"/>
      <c r="H138" s="709"/>
      <c r="I138" s="709"/>
      <c r="J138" s="709"/>
      <c r="K138" s="709"/>
      <c r="L138" s="709"/>
      <c r="M138" s="709"/>
      <c r="N138" s="709"/>
      <c r="O138" s="709"/>
      <c r="P138" s="709"/>
      <c r="Q138" s="709"/>
      <c r="R138" s="709"/>
      <c r="S138" s="709"/>
      <c r="T138" s="709"/>
      <c r="U138" s="709"/>
      <c r="V138" s="709"/>
      <c r="W138" s="709"/>
      <c r="X138" s="709"/>
      <c r="Y138" s="709"/>
      <c r="Z138" s="709"/>
      <c r="AA138" s="709"/>
      <c r="AB138" s="709"/>
      <c r="AC138" s="709"/>
      <c r="AD138" s="709"/>
      <c r="AE138" s="709"/>
      <c r="AF138" s="709"/>
      <c r="AG138" s="709"/>
      <c r="AH138" s="709"/>
      <c r="AI138" s="709"/>
      <c r="AJ138" s="709"/>
      <c r="AK138" s="709"/>
      <c r="AL138" s="709"/>
      <c r="AM138" s="709"/>
      <c r="AN138" s="709"/>
      <c r="AO138" s="709"/>
      <c r="AP138" s="709"/>
      <c r="AQ138" s="709"/>
      <c r="AR138" s="709"/>
      <c r="AS138" s="709"/>
      <c r="AT138" s="709"/>
      <c r="AU138" s="709"/>
      <c r="AV138" s="709"/>
      <c r="AW138" s="709"/>
      <c r="AX138" s="709"/>
      <c r="AY138" s="709"/>
      <c r="AZ138" s="709"/>
      <c r="BA138" s="709"/>
      <c r="BB138" s="709"/>
      <c r="BC138" s="709"/>
      <c r="BD138" s="709"/>
      <c r="BE138" s="709"/>
      <c r="BF138" s="709"/>
      <c r="BG138" s="709"/>
      <c r="BH138" s="709"/>
      <c r="BI138" s="709"/>
      <c r="BJ138" s="709"/>
      <c r="BK138" s="709"/>
      <c r="BL138" s="709"/>
      <c r="BM138" s="709"/>
      <c r="BN138" s="709"/>
      <c r="BO138" s="709"/>
      <c r="BP138" s="709"/>
      <c r="BQ138" s="709"/>
      <c r="BR138" s="709"/>
      <c r="BS138" s="709"/>
      <c r="BT138" s="709"/>
      <c r="BU138" s="709"/>
      <c r="BV138" s="709"/>
      <c r="BW138" s="709"/>
      <c r="BX138" s="709"/>
      <c r="BY138" s="709"/>
      <c r="BZ138" s="709"/>
      <c r="CA138" s="709"/>
    </row>
    <row r="139" spans="1:79">
      <c r="A139" s="709"/>
      <c r="B139" s="709"/>
      <c r="C139" s="709"/>
      <c r="D139" s="709"/>
      <c r="E139" s="709"/>
      <c r="F139" s="709"/>
      <c r="G139" s="709"/>
      <c r="H139" s="709"/>
      <c r="I139" s="709"/>
      <c r="J139" s="709"/>
      <c r="K139" s="709"/>
      <c r="L139" s="709"/>
      <c r="M139" s="709"/>
      <c r="N139" s="709"/>
      <c r="O139" s="709"/>
      <c r="P139" s="709"/>
      <c r="Q139" s="709"/>
      <c r="R139" s="709"/>
      <c r="S139" s="709"/>
      <c r="T139" s="709"/>
      <c r="U139" s="709"/>
      <c r="V139" s="709"/>
      <c r="W139" s="709"/>
      <c r="X139" s="709"/>
      <c r="Y139" s="709"/>
      <c r="Z139" s="709"/>
      <c r="AA139" s="709"/>
      <c r="AB139" s="709"/>
      <c r="AC139" s="709"/>
      <c r="AD139" s="709"/>
      <c r="AE139" s="709"/>
      <c r="AF139" s="709"/>
      <c r="AG139" s="709"/>
      <c r="AH139" s="709"/>
      <c r="AI139" s="709"/>
      <c r="AJ139" s="709"/>
      <c r="AK139" s="709"/>
      <c r="AL139" s="709"/>
      <c r="AM139" s="709"/>
      <c r="AN139" s="709"/>
      <c r="AO139" s="709"/>
      <c r="AP139" s="709"/>
      <c r="AQ139" s="709"/>
      <c r="AR139" s="709"/>
      <c r="AS139" s="709"/>
      <c r="AT139" s="709"/>
      <c r="AU139" s="709"/>
      <c r="AV139" s="709"/>
      <c r="AW139" s="709"/>
      <c r="AX139" s="709"/>
      <c r="AY139" s="709"/>
      <c r="AZ139" s="709"/>
      <c r="BA139" s="709"/>
      <c r="BB139" s="709"/>
      <c r="BC139" s="709"/>
      <c r="BD139" s="709"/>
      <c r="BE139" s="709"/>
      <c r="BF139" s="709"/>
      <c r="BG139" s="709"/>
      <c r="BH139" s="709"/>
      <c r="BI139" s="709"/>
      <c r="BJ139" s="709"/>
      <c r="BK139" s="709"/>
      <c r="BL139" s="709"/>
      <c r="BM139" s="709"/>
      <c r="BN139" s="709"/>
      <c r="BO139" s="709"/>
      <c r="BP139" s="709"/>
      <c r="BQ139" s="709"/>
      <c r="BR139" s="709"/>
      <c r="BS139" s="709"/>
      <c r="BT139" s="709"/>
      <c r="BU139" s="709"/>
      <c r="BV139" s="709"/>
      <c r="BW139" s="709"/>
      <c r="BX139" s="709"/>
      <c r="BY139" s="709"/>
      <c r="BZ139" s="709"/>
      <c r="CA139" s="709"/>
    </row>
    <row r="140" spans="1:79">
      <c r="A140" s="709"/>
      <c r="B140" s="1458" t="s">
        <v>840</v>
      </c>
      <c r="C140" s="709"/>
      <c r="D140" s="709"/>
      <c r="E140" s="709"/>
      <c r="F140" s="709"/>
      <c r="G140" s="709"/>
      <c r="H140" s="709"/>
      <c r="I140" s="709"/>
      <c r="J140" s="709"/>
      <c r="K140" s="709"/>
      <c r="L140" s="709"/>
      <c r="M140" s="709"/>
      <c r="N140" s="709"/>
      <c r="O140" s="709"/>
      <c r="P140" s="709"/>
      <c r="Q140" s="709"/>
      <c r="R140" s="709"/>
      <c r="S140" s="709"/>
      <c r="T140" s="709"/>
      <c r="U140" s="709"/>
      <c r="V140" s="709"/>
      <c r="W140" s="709"/>
      <c r="X140" s="709"/>
      <c r="Y140" s="709"/>
      <c r="Z140" s="709"/>
      <c r="AA140" s="709"/>
      <c r="AB140" s="709"/>
      <c r="AC140" s="709"/>
      <c r="AD140" s="709"/>
      <c r="AE140" s="709"/>
      <c r="AF140" s="709"/>
      <c r="AG140" s="709"/>
      <c r="AH140" s="709"/>
      <c r="AI140" s="709"/>
      <c r="AJ140" s="709"/>
      <c r="AK140" s="709"/>
      <c r="AL140" s="709"/>
      <c r="AM140" s="709"/>
      <c r="AN140" s="709"/>
      <c r="AO140" s="709"/>
      <c r="AP140" s="709"/>
      <c r="AQ140" s="709"/>
      <c r="AR140" s="709"/>
      <c r="AS140" s="709"/>
      <c r="AT140" s="709"/>
      <c r="AU140" s="709"/>
      <c r="AV140" s="709"/>
      <c r="AW140" s="709"/>
      <c r="AX140" s="709"/>
      <c r="AY140" s="709"/>
      <c r="AZ140" s="709"/>
      <c r="BA140" s="709"/>
      <c r="BB140" s="709"/>
      <c r="BC140" s="709"/>
      <c r="BD140" s="709"/>
      <c r="BE140" s="709"/>
      <c r="BF140" s="709"/>
      <c r="BG140" s="709"/>
      <c r="BH140" s="709"/>
      <c r="BI140" s="709"/>
      <c r="BJ140" s="709"/>
      <c r="BK140" s="709"/>
      <c r="BL140" s="709"/>
      <c r="BM140" s="709"/>
      <c r="BN140" s="709"/>
      <c r="BO140" s="709"/>
      <c r="BP140" s="709"/>
      <c r="BQ140" s="709"/>
      <c r="BR140" s="709"/>
      <c r="BS140" s="709"/>
      <c r="BT140" s="709"/>
      <c r="BU140" s="709"/>
      <c r="BV140" s="709"/>
      <c r="BW140" s="709"/>
      <c r="BX140" s="709"/>
      <c r="BY140" s="709"/>
      <c r="BZ140" s="709"/>
      <c r="CA140" s="709"/>
    </row>
    <row r="141" spans="1:79">
      <c r="A141" s="709"/>
      <c r="B141" s="1458"/>
      <c r="C141" s="709"/>
      <c r="D141" s="1462"/>
      <c r="E141" s="1463"/>
      <c r="F141" s="1464" t="s">
        <v>773</v>
      </c>
      <c r="G141" s="1463"/>
      <c r="H141" s="1465">
        <f t="shared" ref="H141:AN141" si="48">H10</f>
        <v>1714964.59</v>
      </c>
      <c r="I141" s="1465">
        <f t="shared" si="48"/>
        <v>0</v>
      </c>
      <c r="J141" s="1465">
        <f t="shared" ca="1" si="48"/>
        <v>578426.56448088516</v>
      </c>
      <c r="K141" s="1465">
        <f t="shared" ca="1" si="48"/>
        <v>875422.40684753517</v>
      </c>
      <c r="L141" s="1465">
        <f t="shared" ca="1" si="48"/>
        <v>957754.35430308525</v>
      </c>
      <c r="M141" s="1465">
        <f t="shared" ca="1" si="48"/>
        <v>672376.55063852062</v>
      </c>
      <c r="N141" s="1465">
        <f t="shared" si="48"/>
        <v>0</v>
      </c>
      <c r="O141" s="1465">
        <f t="shared" ca="1" si="48"/>
        <v>300377.80366456456</v>
      </c>
      <c r="P141" s="1465">
        <f t="shared" ca="1" si="48"/>
        <v>967673.06585211563</v>
      </c>
      <c r="Q141" s="1465">
        <f t="shared" ca="1" si="48"/>
        <v>234973.42664246331</v>
      </c>
      <c r="R141" s="1465">
        <f t="shared" si="48"/>
        <v>0</v>
      </c>
      <c r="S141" s="1465">
        <f t="shared" ca="1" si="48"/>
        <v>967184.93114404124</v>
      </c>
      <c r="T141" s="1465">
        <f t="shared" ca="1" si="48"/>
        <v>762245.12193337968</v>
      </c>
      <c r="U141" s="1465">
        <f t="shared" si="48"/>
        <v>0</v>
      </c>
      <c r="V141" s="1465">
        <f t="shared" ca="1" si="48"/>
        <v>209939.80921066151</v>
      </c>
      <c r="W141" s="1465">
        <f t="shared" ca="1" si="48"/>
        <v>892845.71527088014</v>
      </c>
      <c r="X141" s="1465">
        <f t="shared" ca="1" si="48"/>
        <v>17865815.660011865</v>
      </c>
      <c r="Y141" s="1465">
        <f t="shared" si="48"/>
        <v>0</v>
      </c>
      <c r="Z141" s="1465">
        <f t="shared" si="48"/>
        <v>0</v>
      </c>
      <c r="AA141" s="1465">
        <f t="shared" si="48"/>
        <v>0</v>
      </c>
      <c r="AB141" s="1465">
        <f t="shared" si="48"/>
        <v>0</v>
      </c>
      <c r="AC141" s="1465">
        <f t="shared" si="48"/>
        <v>0</v>
      </c>
      <c r="AD141" s="1465">
        <f t="shared" si="48"/>
        <v>0</v>
      </c>
      <c r="AE141" s="1465">
        <f t="shared" si="48"/>
        <v>0</v>
      </c>
      <c r="AF141" s="1465">
        <f t="shared" si="48"/>
        <v>0</v>
      </c>
      <c r="AG141" s="1465">
        <f t="shared" si="48"/>
        <v>0</v>
      </c>
      <c r="AH141" s="1465">
        <f t="shared" si="48"/>
        <v>0</v>
      </c>
      <c r="AI141" s="1465">
        <f t="shared" si="48"/>
        <v>0</v>
      </c>
      <c r="AJ141" s="1465">
        <f t="shared" si="48"/>
        <v>0</v>
      </c>
      <c r="AK141" s="1465">
        <f t="shared" si="48"/>
        <v>0</v>
      </c>
      <c r="AL141" s="1465">
        <f t="shared" si="48"/>
        <v>0</v>
      </c>
      <c r="AM141" s="1465">
        <f t="shared" si="48"/>
        <v>0</v>
      </c>
      <c r="AN141" s="1465">
        <f t="shared" si="48"/>
        <v>0</v>
      </c>
      <c r="AO141" s="1465">
        <f>AO10</f>
        <v>0</v>
      </c>
      <c r="AP141" s="1465">
        <f t="shared" ref="AP141:AU141" si="49">AP10</f>
        <v>0</v>
      </c>
      <c r="AQ141" s="1465">
        <f t="shared" si="49"/>
        <v>0</v>
      </c>
      <c r="AR141" s="1465">
        <f t="shared" si="49"/>
        <v>0</v>
      </c>
      <c r="AS141" s="1465"/>
      <c r="AT141" s="1465">
        <f>AT10</f>
        <v>0</v>
      </c>
      <c r="AU141" s="1465">
        <f t="shared" si="49"/>
        <v>0</v>
      </c>
      <c r="AV141" s="709"/>
      <c r="AW141" s="709"/>
      <c r="AX141" s="709"/>
      <c r="AY141" s="709"/>
      <c r="AZ141" s="709"/>
      <c r="BA141" s="709"/>
      <c r="BB141" s="709"/>
      <c r="BC141" s="709"/>
      <c r="BD141" s="709"/>
      <c r="BE141" s="709"/>
      <c r="BF141" s="709"/>
      <c r="BG141" s="709"/>
      <c r="BH141" s="709"/>
      <c r="BI141" s="709"/>
      <c r="BJ141" s="709"/>
      <c r="BK141" s="709"/>
      <c r="BL141" s="709"/>
      <c r="BM141" s="709"/>
      <c r="BN141" s="709"/>
      <c r="BO141" s="709"/>
      <c r="BP141" s="709"/>
      <c r="BQ141" s="709"/>
      <c r="BR141" s="709"/>
      <c r="BS141" s="709"/>
      <c r="BT141" s="709"/>
      <c r="BU141" s="709"/>
      <c r="BV141" s="709"/>
      <c r="BW141" s="709"/>
      <c r="BX141" s="709"/>
      <c r="BY141" s="709"/>
      <c r="BZ141" s="709"/>
      <c r="CA141" s="709"/>
    </row>
    <row r="142" spans="1:79">
      <c r="A142" s="709"/>
      <c r="B142" s="709"/>
      <c r="C142" s="709"/>
      <c r="D142" s="1461"/>
      <c r="E142" s="709"/>
      <c r="F142" s="795" t="s">
        <v>770</v>
      </c>
      <c r="G142" s="709"/>
      <c r="H142" s="1466">
        <f>H141</f>
        <v>1714964.59</v>
      </c>
      <c r="I142" s="1466">
        <f t="shared" ref="I142:AR142" si="50">H142+I141</f>
        <v>1714964.59</v>
      </c>
      <c r="J142" s="1466">
        <f t="shared" ca="1" si="50"/>
        <v>2293391.1544808852</v>
      </c>
      <c r="K142" s="1466">
        <f t="shared" ca="1" si="50"/>
        <v>3168813.5613284204</v>
      </c>
      <c r="L142" s="1466">
        <f t="shared" ca="1" si="50"/>
        <v>4126567.9156315057</v>
      </c>
      <c r="M142" s="1466">
        <f t="shared" ca="1" si="50"/>
        <v>4798944.4662700258</v>
      </c>
      <c r="N142" s="1466">
        <f t="shared" ca="1" si="50"/>
        <v>4798944.4662700258</v>
      </c>
      <c r="O142" s="1466">
        <f t="shared" ca="1" si="50"/>
        <v>5099322.26993459</v>
      </c>
      <c r="P142" s="1466">
        <f t="shared" ca="1" si="50"/>
        <v>6066995.3357867058</v>
      </c>
      <c r="Q142" s="1466">
        <f t="shared" ca="1" si="50"/>
        <v>6301968.7624291694</v>
      </c>
      <c r="R142" s="1466">
        <f t="shared" ca="1" si="50"/>
        <v>6301968.7624291694</v>
      </c>
      <c r="S142" s="1466">
        <f t="shared" ca="1" si="50"/>
        <v>7269153.6935732104</v>
      </c>
      <c r="T142" s="1466">
        <f t="shared" ca="1" si="50"/>
        <v>8031398.8155065905</v>
      </c>
      <c r="U142" s="1466">
        <f t="shared" ca="1" si="50"/>
        <v>8031398.8155065905</v>
      </c>
      <c r="V142" s="1466">
        <f t="shared" ca="1" si="50"/>
        <v>8241338.6247172523</v>
      </c>
      <c r="W142" s="1466">
        <f t="shared" ca="1" si="50"/>
        <v>9134184.3399881329</v>
      </c>
      <c r="X142" s="1466">
        <f t="shared" ca="1" si="50"/>
        <v>27000000</v>
      </c>
      <c r="Y142" s="1466">
        <f t="shared" ca="1" si="50"/>
        <v>27000000</v>
      </c>
      <c r="Z142" s="1466">
        <f t="shared" ca="1" si="50"/>
        <v>27000000</v>
      </c>
      <c r="AA142" s="1466">
        <f t="shared" ca="1" si="50"/>
        <v>27000000</v>
      </c>
      <c r="AB142" s="1466">
        <f t="shared" ca="1" si="50"/>
        <v>27000000</v>
      </c>
      <c r="AC142" s="1466">
        <f t="shared" ca="1" si="50"/>
        <v>27000000</v>
      </c>
      <c r="AD142" s="1466">
        <f t="shared" ca="1" si="50"/>
        <v>27000000</v>
      </c>
      <c r="AE142" s="1466">
        <f t="shared" ca="1" si="50"/>
        <v>27000000</v>
      </c>
      <c r="AF142" s="1466">
        <f t="shared" ca="1" si="50"/>
        <v>27000000</v>
      </c>
      <c r="AG142" s="1466">
        <f t="shared" ca="1" si="50"/>
        <v>27000000</v>
      </c>
      <c r="AH142" s="1466">
        <f t="shared" ca="1" si="50"/>
        <v>27000000</v>
      </c>
      <c r="AI142" s="1466">
        <f t="shared" ca="1" si="50"/>
        <v>27000000</v>
      </c>
      <c r="AJ142" s="1466">
        <f t="shared" ca="1" si="50"/>
        <v>27000000</v>
      </c>
      <c r="AK142" s="1466">
        <f t="shared" ca="1" si="50"/>
        <v>27000000</v>
      </c>
      <c r="AL142" s="1466">
        <f t="shared" ca="1" si="50"/>
        <v>27000000</v>
      </c>
      <c r="AM142" s="1466">
        <f t="shared" ca="1" si="50"/>
        <v>27000000</v>
      </c>
      <c r="AN142" s="1466">
        <f t="shared" ca="1" si="50"/>
        <v>27000000</v>
      </c>
      <c r="AO142" s="1466">
        <f t="shared" ca="1" si="50"/>
        <v>27000000</v>
      </c>
      <c r="AP142" s="1466">
        <f t="shared" ca="1" si="50"/>
        <v>27000000</v>
      </c>
      <c r="AQ142" s="1466">
        <f t="shared" ca="1" si="50"/>
        <v>27000000</v>
      </c>
      <c r="AR142" s="1466">
        <f t="shared" ca="1" si="50"/>
        <v>27000000</v>
      </c>
      <c r="AS142" s="1466"/>
      <c r="AT142" s="1466">
        <f ca="1">AR142+AT141</f>
        <v>27000000</v>
      </c>
      <c r="AU142" s="1466">
        <f ca="1">AR142+AU141</f>
        <v>27000000</v>
      </c>
      <c r="AV142" s="709"/>
      <c r="AW142" s="709"/>
      <c r="AX142" s="709"/>
      <c r="AY142" s="709"/>
      <c r="AZ142" s="709"/>
      <c r="BA142" s="709"/>
      <c r="BB142" s="709"/>
      <c r="BC142" s="709"/>
      <c r="BD142" s="709"/>
      <c r="BE142" s="709"/>
      <c r="BF142" s="709"/>
      <c r="BG142" s="709"/>
      <c r="BH142" s="709"/>
      <c r="BI142" s="709"/>
      <c r="BJ142" s="709"/>
      <c r="BK142" s="709"/>
      <c r="BL142" s="709"/>
      <c r="BM142" s="709"/>
      <c r="BN142" s="709"/>
      <c r="BO142" s="709"/>
      <c r="BP142" s="709"/>
      <c r="BQ142" s="709"/>
      <c r="BR142" s="709"/>
      <c r="BS142" s="709"/>
      <c r="BT142" s="709"/>
      <c r="BU142" s="709"/>
      <c r="BV142" s="709"/>
      <c r="BW142" s="709"/>
      <c r="BX142" s="709"/>
      <c r="BY142" s="709"/>
      <c r="BZ142" s="709"/>
      <c r="CA142" s="709"/>
    </row>
    <row r="143" spans="1:79">
      <c r="A143" s="709"/>
      <c r="B143" s="709"/>
      <c r="C143" s="709"/>
      <c r="D143" s="1042"/>
      <c r="E143" s="795" t="s">
        <v>772</v>
      </c>
      <c r="F143" s="1043">
        <f>'Summary Sources-Uses'!H55</f>
        <v>0</v>
      </c>
      <c r="G143" s="1044"/>
      <c r="H143" s="1466"/>
      <c r="I143" s="1466">
        <f>(H142/12)*$F143</f>
        <v>0</v>
      </c>
      <c r="J143" s="1466">
        <f t="shared" ref="J143:AO143" si="51">(I142/12)*$F143</f>
        <v>0</v>
      </c>
      <c r="K143" s="1466">
        <f t="shared" ca="1" si="51"/>
        <v>0</v>
      </c>
      <c r="L143" s="1466">
        <f t="shared" ca="1" si="51"/>
        <v>0</v>
      </c>
      <c r="M143" s="1466">
        <f t="shared" ca="1" si="51"/>
        <v>0</v>
      </c>
      <c r="N143" s="1466">
        <f t="shared" ca="1" si="51"/>
        <v>0</v>
      </c>
      <c r="O143" s="1466">
        <f t="shared" ca="1" si="51"/>
        <v>0</v>
      </c>
      <c r="P143" s="1466">
        <f t="shared" ca="1" si="51"/>
        <v>0</v>
      </c>
      <c r="Q143" s="1466">
        <f t="shared" ca="1" si="51"/>
        <v>0</v>
      </c>
      <c r="R143" s="1466">
        <f t="shared" ca="1" si="51"/>
        <v>0</v>
      </c>
      <c r="S143" s="1466">
        <f t="shared" ca="1" si="51"/>
        <v>0</v>
      </c>
      <c r="T143" s="1466">
        <f t="shared" ca="1" si="51"/>
        <v>0</v>
      </c>
      <c r="U143" s="1466">
        <f t="shared" ca="1" si="51"/>
        <v>0</v>
      </c>
      <c r="V143" s="1466">
        <f t="shared" ca="1" si="51"/>
        <v>0</v>
      </c>
      <c r="W143" s="1466">
        <f t="shared" ca="1" si="51"/>
        <v>0</v>
      </c>
      <c r="X143" s="1466">
        <f t="shared" ca="1" si="51"/>
        <v>0</v>
      </c>
      <c r="Y143" s="1466">
        <f t="shared" ca="1" si="51"/>
        <v>0</v>
      </c>
      <c r="Z143" s="1466">
        <f t="shared" ca="1" si="51"/>
        <v>0</v>
      </c>
      <c r="AA143" s="1466">
        <f t="shared" ca="1" si="51"/>
        <v>0</v>
      </c>
      <c r="AB143" s="1466">
        <f t="shared" ca="1" si="51"/>
        <v>0</v>
      </c>
      <c r="AC143" s="1466">
        <f t="shared" ca="1" si="51"/>
        <v>0</v>
      </c>
      <c r="AD143" s="1466">
        <f t="shared" ca="1" si="51"/>
        <v>0</v>
      </c>
      <c r="AE143" s="1466">
        <f t="shared" ca="1" si="51"/>
        <v>0</v>
      </c>
      <c r="AF143" s="1466">
        <f t="shared" ca="1" si="51"/>
        <v>0</v>
      </c>
      <c r="AG143" s="1466">
        <f t="shared" ca="1" si="51"/>
        <v>0</v>
      </c>
      <c r="AH143" s="1466">
        <f t="shared" ca="1" si="51"/>
        <v>0</v>
      </c>
      <c r="AI143" s="1466">
        <f t="shared" ca="1" si="51"/>
        <v>0</v>
      </c>
      <c r="AJ143" s="1466">
        <f t="shared" ca="1" si="51"/>
        <v>0</v>
      </c>
      <c r="AK143" s="1466">
        <f t="shared" ca="1" si="51"/>
        <v>0</v>
      </c>
      <c r="AL143" s="1466">
        <f t="shared" ca="1" si="51"/>
        <v>0</v>
      </c>
      <c r="AM143" s="1466">
        <f t="shared" ca="1" si="51"/>
        <v>0</v>
      </c>
      <c r="AN143" s="1466">
        <f t="shared" ca="1" si="51"/>
        <v>0</v>
      </c>
      <c r="AO143" s="1466">
        <f t="shared" ca="1" si="51"/>
        <v>0</v>
      </c>
      <c r="AP143" s="1466">
        <f ca="1">(AO142/12)*$F143</f>
        <v>0</v>
      </c>
      <c r="AQ143" s="1466">
        <f ca="1">(AP142/12)*$F143</f>
        <v>0</v>
      </c>
      <c r="AR143" s="1466">
        <f ca="1">(AQ142/12)*$F143</f>
        <v>0</v>
      </c>
      <c r="AS143" s="1466"/>
      <c r="AT143" s="1466">
        <f ca="1">(AR142/12)*$F143</f>
        <v>0</v>
      </c>
      <c r="AU143" s="1466">
        <f ca="1">(AR142/12)*$F143</f>
        <v>0</v>
      </c>
      <c r="AV143" s="709"/>
      <c r="AW143" s="709"/>
      <c r="AX143" s="709"/>
      <c r="AY143" s="709"/>
      <c r="AZ143" s="709"/>
      <c r="BA143" s="709"/>
      <c r="BB143" s="709"/>
      <c r="BC143" s="709"/>
      <c r="BD143" s="709"/>
      <c r="BE143" s="709"/>
      <c r="BF143" s="709"/>
      <c r="BG143" s="709"/>
      <c r="BH143" s="709"/>
      <c r="BI143" s="709"/>
      <c r="BJ143" s="709"/>
      <c r="BK143" s="709"/>
      <c r="BL143" s="709"/>
      <c r="BM143" s="709"/>
      <c r="BN143" s="709"/>
      <c r="BO143" s="709"/>
      <c r="BP143" s="709"/>
      <c r="BQ143" s="709"/>
      <c r="BR143" s="709"/>
      <c r="BS143" s="709"/>
      <c r="BT143" s="709"/>
      <c r="BU143" s="709"/>
      <c r="BV143" s="709"/>
      <c r="BW143" s="709"/>
      <c r="BX143" s="709"/>
      <c r="BY143" s="709"/>
      <c r="BZ143" s="709"/>
      <c r="CA143" s="709"/>
    </row>
    <row r="144" spans="1:79">
      <c r="A144" s="709"/>
      <c r="B144" s="709"/>
      <c r="C144" s="709"/>
      <c r="D144" s="1045"/>
      <c r="E144" s="1046"/>
      <c r="F144" s="1046"/>
      <c r="G144" s="1459" t="s">
        <v>768</v>
      </c>
      <c r="H144" s="1467">
        <f ca="1">SUM(H143:AQ143)</f>
        <v>0</v>
      </c>
      <c r="I144" s="1465"/>
      <c r="J144" s="1465"/>
      <c r="K144" s="1465"/>
      <c r="L144" s="1465"/>
      <c r="M144" s="1465"/>
      <c r="N144" s="1465"/>
      <c r="O144" s="1465"/>
      <c r="P144" s="1465"/>
      <c r="Q144" s="1465"/>
      <c r="R144" s="1465"/>
      <c r="S144" s="1465"/>
      <c r="T144" s="1465"/>
      <c r="U144" s="1465"/>
      <c r="V144" s="1465"/>
      <c r="W144" s="1465"/>
      <c r="X144" s="1465"/>
      <c r="Y144" s="1465"/>
      <c r="Z144" s="1465"/>
      <c r="AA144" s="1465"/>
      <c r="AB144" s="1465"/>
      <c r="AC144" s="1465"/>
      <c r="AD144" s="1465"/>
      <c r="AE144" s="1465"/>
      <c r="AF144" s="1465"/>
      <c r="AG144" s="1465"/>
      <c r="AH144" s="1465"/>
      <c r="AI144" s="1465"/>
      <c r="AJ144" s="1465"/>
      <c r="AK144" s="1465"/>
      <c r="AL144" s="1465"/>
      <c r="AM144" s="1465"/>
      <c r="AN144" s="1465"/>
      <c r="AO144" s="1465"/>
      <c r="AP144" s="1465"/>
      <c r="AQ144" s="1465"/>
      <c r="AR144" s="1465"/>
      <c r="AS144" s="1465"/>
      <c r="AT144" s="1465"/>
      <c r="AU144" s="709"/>
      <c r="AV144" s="709"/>
      <c r="AW144" s="709"/>
      <c r="AX144" s="709"/>
      <c r="AY144" s="709"/>
      <c r="AZ144" s="709"/>
      <c r="BA144" s="709"/>
      <c r="BB144" s="709"/>
      <c r="BC144" s="709"/>
      <c r="BD144" s="709"/>
      <c r="BE144" s="709"/>
      <c r="BF144" s="709"/>
      <c r="BG144" s="709"/>
      <c r="BH144" s="709"/>
      <c r="BI144" s="709"/>
      <c r="BJ144" s="709"/>
      <c r="BK144" s="709"/>
      <c r="BL144" s="709"/>
      <c r="BM144" s="709"/>
      <c r="BN144" s="709"/>
      <c r="BO144" s="709"/>
      <c r="BP144" s="709"/>
      <c r="BQ144" s="709"/>
      <c r="BR144" s="709"/>
      <c r="BS144" s="709"/>
      <c r="BT144" s="709"/>
      <c r="BU144" s="709"/>
      <c r="BV144" s="709"/>
      <c r="BW144" s="709"/>
      <c r="BX144" s="709"/>
      <c r="BY144" s="709"/>
      <c r="BZ144" s="709"/>
      <c r="CA144" s="709"/>
    </row>
    <row r="145" spans="1:79">
      <c r="A145" s="709"/>
      <c r="B145" s="709"/>
      <c r="C145" s="709"/>
      <c r="D145" s="709"/>
      <c r="E145" s="709"/>
      <c r="F145" s="709"/>
      <c r="G145" s="795" t="s">
        <v>774</v>
      </c>
      <c r="H145" s="1460">
        <f ca="1">SUM(H143:AD143)</f>
        <v>0</v>
      </c>
      <c r="I145" s="709"/>
      <c r="J145" s="709"/>
      <c r="K145" s="709"/>
      <c r="L145" s="709"/>
      <c r="M145" s="709"/>
      <c r="N145" s="709"/>
      <c r="O145" s="709"/>
      <c r="P145" s="709"/>
      <c r="Q145" s="709"/>
      <c r="R145" s="709"/>
      <c r="S145" s="709"/>
      <c r="T145" s="709"/>
      <c r="U145" s="709"/>
      <c r="V145" s="709"/>
      <c r="W145" s="709"/>
      <c r="X145" s="709"/>
      <c r="Y145" s="709"/>
      <c r="Z145" s="709"/>
      <c r="AA145" s="709"/>
      <c r="AB145" s="709"/>
      <c r="AC145" s="709"/>
      <c r="AD145" s="709"/>
      <c r="AE145" s="709"/>
      <c r="AF145" s="709"/>
      <c r="AG145" s="709"/>
      <c r="AH145" s="709"/>
      <c r="AI145" s="709"/>
      <c r="AJ145" s="709"/>
      <c r="AK145" s="709"/>
      <c r="AL145" s="709"/>
      <c r="AM145" s="709"/>
      <c r="AN145" s="709"/>
      <c r="AO145" s="709"/>
      <c r="AP145" s="709"/>
      <c r="AQ145" s="709"/>
      <c r="AR145" s="709"/>
      <c r="AS145" s="709"/>
      <c r="AT145" s="709"/>
      <c r="AU145" s="709"/>
      <c r="AV145" s="709"/>
      <c r="AW145" s="709"/>
      <c r="AX145" s="709"/>
      <c r="AY145" s="709"/>
      <c r="AZ145" s="709"/>
      <c r="BA145" s="709"/>
      <c r="BB145" s="709"/>
      <c r="BC145" s="709"/>
      <c r="BD145" s="709"/>
      <c r="BE145" s="709"/>
      <c r="BF145" s="709"/>
      <c r="BG145" s="709"/>
      <c r="BH145" s="709"/>
      <c r="BI145" s="709"/>
      <c r="BJ145" s="709"/>
      <c r="BK145" s="709"/>
      <c r="BL145" s="709"/>
      <c r="BM145" s="709"/>
      <c r="BN145" s="709"/>
      <c r="BO145" s="709"/>
      <c r="BP145" s="709"/>
      <c r="BQ145" s="709"/>
      <c r="BR145" s="709"/>
      <c r="BS145" s="709"/>
      <c r="BT145" s="709"/>
      <c r="BU145" s="709"/>
      <c r="BV145" s="709"/>
      <c r="BW145" s="709"/>
      <c r="BX145" s="709"/>
      <c r="BY145" s="709"/>
      <c r="BZ145" s="709"/>
      <c r="CA145" s="709"/>
    </row>
    <row r="146" spans="1:79">
      <c r="A146" s="709"/>
      <c r="B146" s="709"/>
      <c r="C146" s="709"/>
      <c r="D146" s="709"/>
      <c r="E146" s="709"/>
      <c r="F146" s="709"/>
      <c r="G146" s="709"/>
      <c r="H146" s="709"/>
      <c r="I146" s="709"/>
      <c r="J146" s="709"/>
      <c r="K146" s="709"/>
      <c r="L146" s="709"/>
      <c r="M146" s="709"/>
      <c r="N146" s="709"/>
      <c r="O146" s="709"/>
      <c r="P146" s="709"/>
      <c r="Q146" s="709"/>
      <c r="R146" s="709"/>
      <c r="S146" s="709"/>
      <c r="T146" s="709"/>
      <c r="U146" s="709"/>
      <c r="V146" s="709"/>
      <c r="W146" s="709"/>
      <c r="X146" s="709"/>
      <c r="Y146" s="709"/>
      <c r="Z146" s="709"/>
      <c r="AA146" s="709"/>
      <c r="AB146" s="709"/>
      <c r="AC146" s="709"/>
      <c r="AD146" s="709"/>
      <c r="AE146" s="709"/>
      <c r="AF146" s="709"/>
      <c r="AG146" s="709"/>
      <c r="AH146" s="709"/>
      <c r="AI146" s="709"/>
      <c r="AJ146" s="709"/>
      <c r="AK146" s="709"/>
      <c r="AL146" s="709"/>
      <c r="AM146" s="709"/>
      <c r="AN146" s="709"/>
      <c r="AO146" s="709"/>
      <c r="AP146" s="709"/>
      <c r="AQ146" s="709"/>
      <c r="AR146" s="709"/>
      <c r="AS146" s="709"/>
      <c r="AT146" s="709"/>
      <c r="AU146" s="709"/>
      <c r="AV146" s="709"/>
      <c r="AW146" s="709"/>
      <c r="AX146" s="709"/>
      <c r="AY146" s="709"/>
      <c r="AZ146" s="709"/>
      <c r="BA146" s="709"/>
      <c r="BB146" s="709"/>
      <c r="BC146" s="709"/>
      <c r="BD146" s="709"/>
      <c r="BE146" s="709"/>
      <c r="BF146" s="709"/>
      <c r="BG146" s="709"/>
      <c r="BH146" s="709"/>
      <c r="BI146" s="709"/>
      <c r="BJ146" s="709"/>
      <c r="BK146" s="709"/>
      <c r="BL146" s="709"/>
      <c r="BM146" s="709"/>
      <c r="BN146" s="709"/>
      <c r="BO146" s="709"/>
      <c r="BP146" s="709"/>
      <c r="BQ146" s="709"/>
      <c r="BR146" s="709"/>
      <c r="BS146" s="709"/>
      <c r="BT146" s="709"/>
      <c r="BU146" s="709"/>
      <c r="BV146" s="709"/>
      <c r="BW146" s="709"/>
      <c r="BX146" s="709"/>
      <c r="BY146" s="709"/>
      <c r="BZ146" s="709"/>
      <c r="CA146" s="709"/>
    </row>
    <row r="147" spans="1:79">
      <c r="A147" s="709"/>
      <c r="B147" s="709"/>
      <c r="C147" s="709"/>
      <c r="D147" s="709"/>
      <c r="E147" s="709"/>
      <c r="F147" s="709"/>
      <c r="G147" s="709"/>
      <c r="H147" s="709"/>
      <c r="I147" s="709"/>
      <c r="J147" s="709"/>
      <c r="K147" s="709"/>
      <c r="L147" s="709"/>
      <c r="M147" s="709"/>
      <c r="N147" s="709"/>
      <c r="O147" s="709"/>
      <c r="P147" s="709"/>
      <c r="Q147" s="709"/>
      <c r="R147" s="709"/>
      <c r="S147" s="709"/>
      <c r="T147" s="709"/>
      <c r="U147" s="709"/>
      <c r="V147" s="709"/>
      <c r="W147" s="709"/>
      <c r="X147" s="709"/>
      <c r="Y147" s="709"/>
      <c r="Z147" s="709"/>
      <c r="AA147" s="709"/>
      <c r="AB147" s="709"/>
      <c r="AC147" s="709"/>
      <c r="AD147" s="709"/>
      <c r="AE147" s="709"/>
      <c r="AF147" s="709"/>
      <c r="AG147" s="709"/>
      <c r="AH147" s="709"/>
      <c r="AI147" s="709"/>
      <c r="AJ147" s="709"/>
      <c r="AK147" s="709"/>
      <c r="AL147" s="709"/>
      <c r="AM147" s="709"/>
      <c r="AN147" s="709"/>
      <c r="AO147" s="709"/>
      <c r="AP147" s="709"/>
      <c r="AQ147" s="709"/>
      <c r="AR147" s="709"/>
      <c r="AS147" s="709"/>
      <c r="AT147" s="709"/>
      <c r="AU147" s="709"/>
      <c r="AV147" s="709"/>
      <c r="AW147" s="709"/>
      <c r="AX147" s="709"/>
      <c r="AY147" s="709"/>
      <c r="AZ147" s="709"/>
      <c r="BA147" s="709"/>
      <c r="BB147" s="709"/>
      <c r="BC147" s="709"/>
      <c r="BD147" s="709"/>
      <c r="BE147" s="709"/>
      <c r="BF147" s="709"/>
      <c r="BG147" s="709"/>
      <c r="BH147" s="709"/>
      <c r="BI147" s="709"/>
      <c r="BJ147" s="709"/>
      <c r="BK147" s="709"/>
      <c r="BL147" s="709"/>
      <c r="BM147" s="709"/>
      <c r="BN147" s="709"/>
      <c r="BO147" s="709"/>
      <c r="BP147" s="709"/>
      <c r="BQ147" s="709"/>
      <c r="BR147" s="709"/>
      <c r="BS147" s="709"/>
      <c r="BT147" s="709"/>
      <c r="BU147" s="709"/>
      <c r="BV147" s="709"/>
      <c r="BW147" s="709"/>
      <c r="BX147" s="709"/>
      <c r="BY147" s="709"/>
      <c r="BZ147" s="709"/>
      <c r="CA147" s="709"/>
    </row>
    <row r="148" spans="1:79">
      <c r="A148" s="709"/>
      <c r="B148" s="1458" t="s">
        <v>840</v>
      </c>
      <c r="C148" s="709"/>
      <c r="D148" s="709"/>
      <c r="E148" s="709"/>
      <c r="F148" s="709"/>
      <c r="G148" s="709"/>
      <c r="H148" s="709"/>
      <c r="I148" s="709"/>
      <c r="J148" s="709"/>
      <c r="K148" s="709"/>
      <c r="L148" s="709"/>
      <c r="M148" s="709"/>
      <c r="N148" s="709"/>
      <c r="O148" s="709"/>
      <c r="P148" s="709"/>
      <c r="Q148" s="709"/>
      <c r="R148" s="709"/>
      <c r="S148" s="709"/>
      <c r="T148" s="709"/>
      <c r="U148" s="709"/>
      <c r="V148" s="709"/>
      <c r="W148" s="709"/>
      <c r="X148" s="709"/>
      <c r="Y148" s="709"/>
      <c r="Z148" s="709"/>
      <c r="AA148" s="709"/>
      <c r="AB148" s="709"/>
      <c r="AC148" s="709"/>
      <c r="AD148" s="709"/>
      <c r="AE148" s="709"/>
      <c r="AF148" s="709"/>
      <c r="AG148" s="709"/>
      <c r="AH148" s="709"/>
      <c r="AI148" s="709"/>
      <c r="AJ148" s="709"/>
      <c r="AK148" s="709"/>
      <c r="AL148" s="709"/>
      <c r="AM148" s="709"/>
      <c r="AN148" s="709"/>
      <c r="AO148" s="709"/>
      <c r="AP148" s="709"/>
      <c r="AQ148" s="709"/>
      <c r="AR148" s="709"/>
      <c r="AS148" s="709"/>
      <c r="AT148" s="709"/>
      <c r="AU148" s="709"/>
      <c r="AV148" s="709"/>
      <c r="AW148" s="709"/>
      <c r="AX148" s="709"/>
      <c r="AY148" s="709"/>
      <c r="AZ148" s="709"/>
      <c r="BA148" s="709"/>
      <c r="BB148" s="709"/>
      <c r="BC148" s="709"/>
      <c r="BD148" s="709"/>
      <c r="BE148" s="709"/>
      <c r="BF148" s="709"/>
      <c r="BG148" s="709"/>
      <c r="BH148" s="709"/>
      <c r="BI148" s="709"/>
      <c r="BJ148" s="709"/>
      <c r="BK148" s="709"/>
      <c r="BL148" s="709"/>
      <c r="BM148" s="709"/>
      <c r="BN148" s="709"/>
      <c r="BO148" s="709"/>
      <c r="BP148" s="709"/>
      <c r="BQ148" s="709"/>
      <c r="BR148" s="709"/>
      <c r="BS148" s="709"/>
      <c r="BT148" s="709"/>
      <c r="BU148" s="709"/>
      <c r="BV148" s="709"/>
      <c r="BW148" s="709"/>
      <c r="BX148" s="709"/>
      <c r="BY148" s="709"/>
      <c r="BZ148" s="709"/>
      <c r="CA148" s="709"/>
    </row>
    <row r="149" spans="1:79">
      <c r="A149" s="709"/>
      <c r="B149" s="1458"/>
      <c r="C149" s="709"/>
      <c r="D149" s="1462"/>
      <c r="E149" s="1463"/>
      <c r="F149" s="1464" t="s">
        <v>773</v>
      </c>
      <c r="G149" s="1463"/>
      <c r="H149" s="1465">
        <f t="shared" ref="H149:AN149" si="52">H9</f>
        <v>0</v>
      </c>
      <c r="I149" s="1465">
        <f t="shared" si="52"/>
        <v>0</v>
      </c>
      <c r="J149" s="1465">
        <f t="shared" si="52"/>
        <v>0</v>
      </c>
      <c r="K149" s="1465">
        <f t="shared" si="52"/>
        <v>0</v>
      </c>
      <c r="L149" s="1465">
        <f t="shared" si="52"/>
        <v>0</v>
      </c>
      <c r="M149" s="1465">
        <f t="shared" si="52"/>
        <v>0</v>
      </c>
      <c r="N149" s="1465">
        <f t="shared" si="52"/>
        <v>0</v>
      </c>
      <c r="O149" s="1465">
        <f t="shared" si="52"/>
        <v>0</v>
      </c>
      <c r="P149" s="1465">
        <f t="shared" si="52"/>
        <v>0</v>
      </c>
      <c r="Q149" s="1465">
        <f t="shared" si="52"/>
        <v>0</v>
      </c>
      <c r="R149" s="1465">
        <f t="shared" si="52"/>
        <v>0</v>
      </c>
      <c r="S149" s="1465">
        <f t="shared" si="52"/>
        <v>0</v>
      </c>
      <c r="T149" s="1465">
        <f t="shared" si="52"/>
        <v>0</v>
      </c>
      <c r="U149" s="1465">
        <f t="shared" si="52"/>
        <v>0</v>
      </c>
      <c r="V149" s="1465">
        <f t="shared" si="52"/>
        <v>0</v>
      </c>
      <c r="W149" s="1465">
        <f t="shared" si="52"/>
        <v>0</v>
      </c>
      <c r="X149" s="1465">
        <f t="shared" si="52"/>
        <v>0</v>
      </c>
      <c r="Y149" s="1465">
        <f t="shared" si="52"/>
        <v>0</v>
      </c>
      <c r="Z149" s="1465">
        <f t="shared" si="52"/>
        <v>0</v>
      </c>
      <c r="AA149" s="1465">
        <f t="shared" si="52"/>
        <v>0</v>
      </c>
      <c r="AB149" s="1465">
        <f t="shared" si="52"/>
        <v>0</v>
      </c>
      <c r="AC149" s="1465">
        <f t="shared" si="52"/>
        <v>0</v>
      </c>
      <c r="AD149" s="1465">
        <f t="shared" si="52"/>
        <v>0</v>
      </c>
      <c r="AE149" s="1465">
        <f t="shared" si="52"/>
        <v>0</v>
      </c>
      <c r="AF149" s="1465">
        <f t="shared" si="52"/>
        <v>0</v>
      </c>
      <c r="AG149" s="1465">
        <f t="shared" si="52"/>
        <v>0</v>
      </c>
      <c r="AH149" s="1465">
        <f t="shared" si="52"/>
        <v>0</v>
      </c>
      <c r="AI149" s="1465">
        <f t="shared" si="52"/>
        <v>0</v>
      </c>
      <c r="AJ149" s="1465">
        <f t="shared" si="52"/>
        <v>0</v>
      </c>
      <c r="AK149" s="1465">
        <f t="shared" si="52"/>
        <v>0</v>
      </c>
      <c r="AL149" s="1465">
        <f t="shared" si="52"/>
        <v>0</v>
      </c>
      <c r="AM149" s="1465">
        <f t="shared" si="52"/>
        <v>0</v>
      </c>
      <c r="AN149" s="1465">
        <f t="shared" si="52"/>
        <v>0</v>
      </c>
      <c r="AO149" s="1465">
        <f t="shared" ref="AO149:AU149" si="53">AO9</f>
        <v>0</v>
      </c>
      <c r="AP149" s="1465">
        <f t="shared" si="53"/>
        <v>0</v>
      </c>
      <c r="AQ149" s="1465">
        <f t="shared" si="53"/>
        <v>0</v>
      </c>
      <c r="AR149" s="1465">
        <f t="shared" si="53"/>
        <v>0</v>
      </c>
      <c r="AS149" s="1465"/>
      <c r="AT149" s="1465">
        <f>AT9</f>
        <v>0</v>
      </c>
      <c r="AU149" s="1465">
        <f t="shared" si="53"/>
        <v>0</v>
      </c>
      <c r="AV149" s="709"/>
      <c r="AW149" s="709"/>
      <c r="AX149" s="709"/>
      <c r="AY149" s="709"/>
    </row>
    <row r="150" spans="1:79">
      <c r="A150" s="709"/>
      <c r="B150" s="709"/>
      <c r="C150" s="709"/>
      <c r="D150" s="1461"/>
      <c r="E150" s="709"/>
      <c r="F150" s="795" t="s">
        <v>770</v>
      </c>
      <c r="G150" s="709"/>
      <c r="H150" s="1466">
        <f>H149</f>
        <v>0</v>
      </c>
      <c r="I150" s="1466">
        <f t="shared" ref="I150:AR150" si="54">H150+I149</f>
        <v>0</v>
      </c>
      <c r="J150" s="1466">
        <f t="shared" si="54"/>
        <v>0</v>
      </c>
      <c r="K150" s="1466">
        <f t="shared" si="54"/>
        <v>0</v>
      </c>
      <c r="L150" s="1466">
        <f t="shared" si="54"/>
        <v>0</v>
      </c>
      <c r="M150" s="1466">
        <f t="shared" si="54"/>
        <v>0</v>
      </c>
      <c r="N150" s="1466">
        <f t="shared" si="54"/>
        <v>0</v>
      </c>
      <c r="O150" s="1466">
        <f t="shared" si="54"/>
        <v>0</v>
      </c>
      <c r="P150" s="1466">
        <f t="shared" si="54"/>
        <v>0</v>
      </c>
      <c r="Q150" s="1466">
        <f t="shared" si="54"/>
        <v>0</v>
      </c>
      <c r="R150" s="1466">
        <f t="shared" si="54"/>
        <v>0</v>
      </c>
      <c r="S150" s="1466">
        <f t="shared" si="54"/>
        <v>0</v>
      </c>
      <c r="T150" s="1466">
        <f t="shared" si="54"/>
        <v>0</v>
      </c>
      <c r="U150" s="1466">
        <f t="shared" si="54"/>
        <v>0</v>
      </c>
      <c r="V150" s="1466">
        <f t="shared" si="54"/>
        <v>0</v>
      </c>
      <c r="W150" s="1466">
        <f t="shared" si="54"/>
        <v>0</v>
      </c>
      <c r="X150" s="1466">
        <f t="shared" si="54"/>
        <v>0</v>
      </c>
      <c r="Y150" s="1466">
        <f t="shared" si="54"/>
        <v>0</v>
      </c>
      <c r="Z150" s="1466">
        <f t="shared" si="54"/>
        <v>0</v>
      </c>
      <c r="AA150" s="1466">
        <f t="shared" si="54"/>
        <v>0</v>
      </c>
      <c r="AB150" s="1466">
        <f t="shared" si="54"/>
        <v>0</v>
      </c>
      <c r="AC150" s="1466">
        <f t="shared" si="54"/>
        <v>0</v>
      </c>
      <c r="AD150" s="1466">
        <f t="shared" si="54"/>
        <v>0</v>
      </c>
      <c r="AE150" s="1466">
        <f t="shared" si="54"/>
        <v>0</v>
      </c>
      <c r="AF150" s="1466">
        <f t="shared" si="54"/>
        <v>0</v>
      </c>
      <c r="AG150" s="1466">
        <f t="shared" si="54"/>
        <v>0</v>
      </c>
      <c r="AH150" s="1466">
        <f t="shared" si="54"/>
        <v>0</v>
      </c>
      <c r="AI150" s="1466">
        <f t="shared" si="54"/>
        <v>0</v>
      </c>
      <c r="AJ150" s="1466">
        <f t="shared" si="54"/>
        <v>0</v>
      </c>
      <c r="AK150" s="1466">
        <f t="shared" si="54"/>
        <v>0</v>
      </c>
      <c r="AL150" s="1466">
        <f t="shared" si="54"/>
        <v>0</v>
      </c>
      <c r="AM150" s="1466">
        <f t="shared" si="54"/>
        <v>0</v>
      </c>
      <c r="AN150" s="1466">
        <f t="shared" si="54"/>
        <v>0</v>
      </c>
      <c r="AO150" s="1466">
        <f t="shared" si="54"/>
        <v>0</v>
      </c>
      <c r="AP150" s="1466">
        <f t="shared" si="54"/>
        <v>0</v>
      </c>
      <c r="AQ150" s="1466">
        <f t="shared" si="54"/>
        <v>0</v>
      </c>
      <c r="AR150" s="1466">
        <f t="shared" si="54"/>
        <v>0</v>
      </c>
      <c r="AS150" s="1466"/>
      <c r="AT150" s="1466">
        <f>AR150+AT149</f>
        <v>0</v>
      </c>
      <c r="AU150" s="1466">
        <f>AR150+AU149</f>
        <v>0</v>
      </c>
      <c r="AV150" s="709"/>
      <c r="AW150" s="709"/>
      <c r="AX150" s="709"/>
      <c r="AY150" s="709"/>
    </row>
    <row r="151" spans="1:79">
      <c r="A151" s="709"/>
      <c r="B151" s="709"/>
      <c r="C151" s="709"/>
      <c r="D151" s="1042"/>
      <c r="E151" s="795" t="s">
        <v>772</v>
      </c>
      <c r="F151" s="1043">
        <f>'Summary Sources-Uses'!H53</f>
        <v>0.01</v>
      </c>
      <c r="G151" s="1044"/>
      <c r="H151" s="1466"/>
      <c r="I151" s="1466">
        <f>(H150/12)*$F151</f>
        <v>0</v>
      </c>
      <c r="J151" s="1466">
        <f t="shared" ref="J151:AN151" si="55">(I150/12)*$F151</f>
        <v>0</v>
      </c>
      <c r="K151" s="1466">
        <f t="shared" si="55"/>
        <v>0</v>
      </c>
      <c r="L151" s="1466">
        <f t="shared" si="55"/>
        <v>0</v>
      </c>
      <c r="M151" s="1466">
        <f t="shared" si="55"/>
        <v>0</v>
      </c>
      <c r="N151" s="1466">
        <f t="shared" si="55"/>
        <v>0</v>
      </c>
      <c r="O151" s="1466">
        <f t="shared" si="55"/>
        <v>0</v>
      </c>
      <c r="P151" s="1466">
        <f t="shared" si="55"/>
        <v>0</v>
      </c>
      <c r="Q151" s="1466">
        <f t="shared" si="55"/>
        <v>0</v>
      </c>
      <c r="R151" s="1466">
        <f t="shared" si="55"/>
        <v>0</v>
      </c>
      <c r="S151" s="1466">
        <f t="shared" si="55"/>
        <v>0</v>
      </c>
      <c r="T151" s="1466">
        <f t="shared" si="55"/>
        <v>0</v>
      </c>
      <c r="U151" s="1466">
        <f t="shared" si="55"/>
        <v>0</v>
      </c>
      <c r="V151" s="1466">
        <f t="shared" si="55"/>
        <v>0</v>
      </c>
      <c r="W151" s="1466">
        <f t="shared" si="55"/>
        <v>0</v>
      </c>
      <c r="X151" s="1466">
        <f t="shared" si="55"/>
        <v>0</v>
      </c>
      <c r="Y151" s="1466">
        <f t="shared" si="55"/>
        <v>0</v>
      </c>
      <c r="Z151" s="1466">
        <f t="shared" si="55"/>
        <v>0</v>
      </c>
      <c r="AA151" s="1466">
        <f t="shared" si="55"/>
        <v>0</v>
      </c>
      <c r="AB151" s="1466">
        <f>(AA150/12)*$F151</f>
        <v>0</v>
      </c>
      <c r="AC151" s="1466">
        <f t="shared" si="55"/>
        <v>0</v>
      </c>
      <c r="AD151" s="1466">
        <f t="shared" si="55"/>
        <v>0</v>
      </c>
      <c r="AE151" s="1466">
        <f t="shared" si="55"/>
        <v>0</v>
      </c>
      <c r="AF151" s="1466">
        <f t="shared" si="55"/>
        <v>0</v>
      </c>
      <c r="AG151" s="1466">
        <f t="shared" si="55"/>
        <v>0</v>
      </c>
      <c r="AH151" s="1466">
        <f t="shared" si="55"/>
        <v>0</v>
      </c>
      <c r="AI151" s="1466">
        <f t="shared" si="55"/>
        <v>0</v>
      </c>
      <c r="AJ151" s="1466">
        <f t="shared" si="55"/>
        <v>0</v>
      </c>
      <c r="AK151" s="1466">
        <f t="shared" si="55"/>
        <v>0</v>
      </c>
      <c r="AL151" s="1466">
        <f t="shared" si="55"/>
        <v>0</v>
      </c>
      <c r="AM151" s="1466">
        <f t="shared" si="55"/>
        <v>0</v>
      </c>
      <c r="AN151" s="1466">
        <f t="shared" si="55"/>
        <v>0</v>
      </c>
      <c r="AO151" s="1466">
        <f>(AN150/12)*$F151</f>
        <v>0</v>
      </c>
      <c r="AP151" s="1466">
        <f>(AO150/12)*$F151</f>
        <v>0</v>
      </c>
      <c r="AQ151" s="1466">
        <f>(AP150/12)*$F151</f>
        <v>0</v>
      </c>
      <c r="AR151" s="1466">
        <f>(AQ150/12)*$F151</f>
        <v>0</v>
      </c>
      <c r="AS151" s="1466"/>
      <c r="AT151" s="1466">
        <f>(AR150/12)*$F151</f>
        <v>0</v>
      </c>
      <c r="AU151" s="1466">
        <f>(AR150/12)*$F151</f>
        <v>0</v>
      </c>
      <c r="AV151" s="709"/>
      <c r="AW151" s="709"/>
      <c r="AX151" s="709"/>
      <c r="AY151" s="709"/>
    </row>
    <row r="152" spans="1:79">
      <c r="A152" s="709"/>
      <c r="B152" s="709"/>
      <c r="C152" s="709"/>
      <c r="D152" s="1045"/>
      <c r="E152" s="1046"/>
      <c r="F152" s="1046"/>
      <c r="G152" s="1459" t="s">
        <v>768</v>
      </c>
      <c r="H152" s="1467">
        <f>SUM(H151:AQ151)</f>
        <v>0</v>
      </c>
      <c r="I152" s="1465"/>
      <c r="J152" s="1465"/>
      <c r="K152" s="1465"/>
      <c r="L152" s="1465"/>
      <c r="M152" s="1465"/>
      <c r="N152" s="1465"/>
      <c r="O152" s="1465"/>
      <c r="P152" s="1465"/>
      <c r="Q152" s="1465"/>
      <c r="R152" s="1465"/>
      <c r="S152" s="1465"/>
      <c r="T152" s="1465"/>
      <c r="U152" s="1465"/>
      <c r="V152" s="1465"/>
      <c r="W152" s="1465"/>
      <c r="X152" s="1465"/>
      <c r="Y152" s="1465"/>
      <c r="Z152" s="1465"/>
      <c r="AA152" s="1465"/>
      <c r="AB152" s="1465"/>
      <c r="AC152" s="1465"/>
      <c r="AD152" s="1465"/>
      <c r="AE152" s="1465"/>
      <c r="AF152" s="1465"/>
      <c r="AG152" s="1465"/>
      <c r="AH152" s="1465"/>
      <c r="AI152" s="1465"/>
      <c r="AJ152" s="1465"/>
      <c r="AK152" s="1465"/>
      <c r="AL152" s="1465"/>
      <c r="AM152" s="1465"/>
      <c r="AN152" s="1465"/>
      <c r="AO152" s="1465"/>
      <c r="AP152" s="1465"/>
      <c r="AQ152" s="1465"/>
      <c r="AR152" s="1465"/>
      <c r="AS152" s="1465"/>
      <c r="AT152" s="1465"/>
      <c r="AU152" s="709"/>
      <c r="AV152" s="709"/>
      <c r="AW152" s="709"/>
      <c r="AX152" s="709"/>
      <c r="AY152" s="709"/>
    </row>
    <row r="153" spans="1:79">
      <c r="A153" s="709"/>
      <c r="B153" s="709"/>
      <c r="C153" s="709"/>
      <c r="D153" s="709"/>
      <c r="E153" s="709"/>
      <c r="F153" s="709"/>
      <c r="G153" s="795" t="s">
        <v>774</v>
      </c>
      <c r="H153" s="1460">
        <f>SUM(H151:AD151)</f>
        <v>0</v>
      </c>
      <c r="I153" s="709"/>
      <c r="J153" s="709"/>
      <c r="K153" s="709"/>
      <c r="L153" s="709"/>
      <c r="M153" s="709"/>
      <c r="N153" s="709"/>
      <c r="O153" s="709"/>
      <c r="P153" s="709"/>
      <c r="Q153" s="709"/>
      <c r="R153" s="709"/>
      <c r="S153" s="709"/>
      <c r="T153" s="709"/>
      <c r="U153" s="709"/>
      <c r="V153" s="709"/>
      <c r="W153" s="709"/>
      <c r="X153" s="709"/>
      <c r="Y153" s="709"/>
      <c r="Z153" s="709"/>
      <c r="AA153" s="709"/>
      <c r="AB153" s="709"/>
      <c r="AC153" s="709"/>
      <c r="AD153" s="709"/>
      <c r="AE153" s="709"/>
      <c r="AF153" s="709"/>
      <c r="AG153" s="709"/>
      <c r="AH153" s="709"/>
      <c r="AI153" s="709"/>
      <c r="AJ153" s="709"/>
      <c r="AK153" s="709"/>
      <c r="AL153" s="709"/>
      <c r="AM153" s="709"/>
      <c r="AN153" s="709"/>
      <c r="AO153" s="709"/>
      <c r="AP153" s="709"/>
      <c r="AQ153" s="709"/>
      <c r="AR153" s="709"/>
      <c r="AS153" s="709"/>
      <c r="AT153" s="709"/>
      <c r="AU153" s="709"/>
      <c r="AV153" s="709"/>
      <c r="AW153" s="709"/>
      <c r="AX153" s="709"/>
      <c r="AY153" s="709"/>
    </row>
    <row r="154" spans="1:79">
      <c r="A154" s="709"/>
      <c r="B154" s="709"/>
      <c r="C154" s="709"/>
      <c r="D154" s="709"/>
      <c r="E154" s="709"/>
      <c r="F154" s="709"/>
      <c r="G154" s="795"/>
      <c r="H154" s="1465"/>
      <c r="I154" s="709"/>
      <c r="J154" s="709"/>
      <c r="K154" s="709"/>
      <c r="L154" s="709"/>
      <c r="M154" s="709"/>
      <c r="N154" s="709"/>
      <c r="O154" s="709"/>
      <c r="P154" s="709"/>
      <c r="Q154" s="709"/>
      <c r="R154" s="709"/>
      <c r="S154" s="709"/>
      <c r="T154" s="709"/>
      <c r="U154" s="709"/>
      <c r="V154" s="709"/>
      <c r="W154" s="709"/>
      <c r="X154" s="709"/>
      <c r="Y154" s="709"/>
      <c r="Z154" s="709"/>
      <c r="AA154" s="709"/>
      <c r="AB154" s="709"/>
      <c r="AC154" s="709"/>
      <c r="AD154" s="709"/>
      <c r="AE154" s="709"/>
      <c r="AF154" s="709"/>
      <c r="AG154" s="709"/>
      <c r="AH154" s="709"/>
      <c r="AI154" s="709"/>
      <c r="AJ154" s="709"/>
      <c r="AK154" s="709"/>
      <c r="AL154" s="709"/>
      <c r="AM154" s="709"/>
      <c r="AN154" s="709"/>
      <c r="AO154" s="709"/>
      <c r="AP154" s="709"/>
      <c r="AQ154" s="709"/>
      <c r="AR154" s="709"/>
      <c r="AS154" s="709"/>
      <c r="AT154" s="709"/>
      <c r="AU154" s="709"/>
      <c r="AV154" s="709"/>
      <c r="AW154" s="709"/>
      <c r="AX154" s="709"/>
      <c r="AY154" s="709"/>
    </row>
    <row r="155" spans="1:79">
      <c r="A155" s="709"/>
      <c r="B155" s="709"/>
      <c r="C155" s="709"/>
      <c r="D155" s="709"/>
      <c r="E155" s="709"/>
      <c r="F155" s="709"/>
      <c r="G155" s="795"/>
      <c r="H155" s="1465"/>
      <c r="I155" s="709"/>
      <c r="J155" s="709"/>
      <c r="K155" s="709"/>
      <c r="L155" s="709"/>
      <c r="M155" s="709"/>
      <c r="N155" s="709"/>
      <c r="O155" s="709"/>
      <c r="P155" s="709"/>
      <c r="Q155" s="709"/>
      <c r="R155" s="709"/>
      <c r="S155" s="709"/>
      <c r="T155" s="709"/>
      <c r="U155" s="709"/>
      <c r="V155" s="709"/>
      <c r="W155" s="709"/>
      <c r="X155" s="709"/>
      <c r="Y155" s="709"/>
      <c r="Z155" s="709"/>
      <c r="AA155" s="709"/>
      <c r="AB155" s="709"/>
      <c r="AC155" s="709"/>
      <c r="AD155" s="709"/>
      <c r="AE155" s="709"/>
      <c r="AF155" s="709"/>
      <c r="AG155" s="709"/>
      <c r="AH155" s="709"/>
      <c r="AI155" s="709"/>
      <c r="AJ155" s="709"/>
      <c r="AK155" s="709"/>
      <c r="AL155" s="709"/>
      <c r="AM155" s="709"/>
      <c r="AN155" s="709"/>
      <c r="AO155" s="709"/>
      <c r="AP155" s="709"/>
      <c r="AQ155" s="709"/>
      <c r="AR155" s="709"/>
      <c r="AS155" s="709"/>
      <c r="AT155" s="709"/>
      <c r="AU155" s="709"/>
      <c r="AV155" s="709"/>
      <c r="AW155" s="709"/>
      <c r="AX155" s="709"/>
      <c r="AY155" s="709"/>
    </row>
    <row r="156" spans="1:79">
      <c r="A156" s="709"/>
      <c r="B156" s="709"/>
      <c r="C156" s="709"/>
      <c r="D156" s="709"/>
      <c r="E156" s="709"/>
      <c r="F156" s="1351"/>
      <c r="G156" s="795" t="s">
        <v>786</v>
      </c>
      <c r="H156" s="1465">
        <f ca="1">H133+H141+H149</f>
        <v>4079518.9778781058</v>
      </c>
      <c r="I156" s="1465">
        <f t="shared" ref="I156:AN156" ca="1" si="56">I133+I141+I149</f>
        <v>-103667.1610444704</v>
      </c>
      <c r="J156" s="1465">
        <f t="shared" ca="1" si="56"/>
        <v>578426.56448088516</v>
      </c>
      <c r="K156" s="1465">
        <f t="shared" ca="1" si="56"/>
        <v>875422.40684753517</v>
      </c>
      <c r="L156" s="1465">
        <f t="shared" ca="1" si="56"/>
        <v>957754.35430308525</v>
      </c>
      <c r="M156" s="1465">
        <f t="shared" ca="1" si="56"/>
        <v>972754.35430308525</v>
      </c>
      <c r="N156" s="1465">
        <f t="shared" ca="1" si="56"/>
        <v>834406.43222324015</v>
      </c>
      <c r="O156" s="1465">
        <f t="shared" ca="1" si="56"/>
        <v>968995.66760046803</v>
      </c>
      <c r="P156" s="1465">
        <f t="shared" ca="1" si="56"/>
        <v>967673.06585211563</v>
      </c>
      <c r="Q156" s="1465">
        <f t="shared" ca="1" si="56"/>
        <v>972673.06585211563</v>
      </c>
      <c r="R156" s="1465">
        <f t="shared" ca="1" si="56"/>
        <v>991730.4138677686</v>
      </c>
      <c r="S156" s="1465">
        <f t="shared" ca="1" si="56"/>
        <v>967184.93114404124</v>
      </c>
      <c r="T156" s="1465">
        <f t="shared" ca="1" si="56"/>
        <v>972184.93114404124</v>
      </c>
      <c r="U156" s="1465">
        <f t="shared" ca="1" si="56"/>
        <v>975839.6000947</v>
      </c>
      <c r="V156" s="1465">
        <f t="shared" ca="1" si="56"/>
        <v>901374.77043967065</v>
      </c>
      <c r="W156" s="1465">
        <f t="shared" ca="1" si="56"/>
        <v>892845.71527088014</v>
      </c>
      <c r="X156" s="1465">
        <f t="shared" ca="1" si="56"/>
        <v>937845.71527088061</v>
      </c>
      <c r="Y156" s="1465">
        <f t="shared" ca="1" si="56"/>
        <v>859741.88057480473</v>
      </c>
      <c r="Z156" s="1465">
        <f t="shared" ca="1" si="56"/>
        <v>854470.46091796621</v>
      </c>
      <c r="AA156" s="1465">
        <f t="shared" ca="1" si="56"/>
        <v>922170.04845301504</v>
      </c>
      <c r="AB156" s="1465">
        <f t="shared" ca="1" si="56"/>
        <v>812241.98371950653</v>
      </c>
      <c r="AC156" s="1465">
        <f t="shared" ca="1" si="56"/>
        <v>766709.31462996383</v>
      </c>
      <c r="AD156" s="1465">
        <f t="shared" ca="1" si="56"/>
        <v>3278864.6201434899</v>
      </c>
      <c r="AE156" s="1465">
        <f t="shared" ca="1" si="56"/>
        <v>10379008.380272057</v>
      </c>
      <c r="AF156" s="1465">
        <f t="shared" si="56"/>
        <v>0</v>
      </c>
      <c r="AG156" s="1465">
        <f t="shared" si="56"/>
        <v>0</v>
      </c>
      <c r="AH156" s="1465">
        <f t="shared" si="56"/>
        <v>0</v>
      </c>
      <c r="AI156" s="1465">
        <f t="shared" si="56"/>
        <v>0</v>
      </c>
      <c r="AJ156" s="1465">
        <f t="shared" si="56"/>
        <v>0</v>
      </c>
      <c r="AK156" s="1465">
        <f t="shared" si="56"/>
        <v>0</v>
      </c>
      <c r="AL156" s="1465">
        <f t="shared" si="56"/>
        <v>0</v>
      </c>
      <c r="AM156" s="1465">
        <f t="shared" si="56"/>
        <v>0</v>
      </c>
      <c r="AN156" s="1465">
        <f t="shared" si="56"/>
        <v>0</v>
      </c>
      <c r="AO156" s="1465">
        <f ca="1">AO133+AO141+AO149</f>
        <v>47388.93771831425</v>
      </c>
      <c r="AP156" s="1465">
        <f t="shared" ref="AP156:AU156" ca="1" si="57">AP133+AP141+AP149</f>
        <v>47649.576875764978</v>
      </c>
      <c r="AQ156" s="1465">
        <f t="shared" ca="1" si="57"/>
        <v>47911.649548581685</v>
      </c>
      <c r="AR156" s="1465">
        <f t="shared" ca="1" si="57"/>
        <v>-8759120.6583816148</v>
      </c>
      <c r="AS156" s="1465"/>
      <c r="AT156" s="1465">
        <f>AT133+AT141+AT149</f>
        <v>0</v>
      </c>
      <c r="AU156" s="1465">
        <f t="shared" si="57"/>
        <v>0</v>
      </c>
      <c r="AV156" s="709"/>
      <c r="AW156" s="709"/>
      <c r="AX156" s="709"/>
      <c r="AY156" s="709"/>
    </row>
    <row r="157" spans="1:79">
      <c r="A157" s="709"/>
      <c r="B157" s="709"/>
      <c r="C157" s="709"/>
      <c r="D157" s="709"/>
      <c r="E157" s="709"/>
      <c r="F157" s="709"/>
      <c r="G157" s="795" t="s">
        <v>787</v>
      </c>
      <c r="H157" s="1465">
        <f ca="1">H134+H142+H150</f>
        <v>4079518.9778781058</v>
      </c>
      <c r="I157" s="1465">
        <f t="shared" ref="I157:AN157" ca="1" si="58">I134+I142+I150</f>
        <v>3975851.8168336349</v>
      </c>
      <c r="J157" s="1465">
        <f t="shared" ca="1" si="58"/>
        <v>4554278.3813145198</v>
      </c>
      <c r="K157" s="1465">
        <f t="shared" ca="1" si="58"/>
        <v>5429700.7881620554</v>
      </c>
      <c r="L157" s="1465">
        <f t="shared" ca="1" si="58"/>
        <v>6387455.1424651407</v>
      </c>
      <c r="M157" s="1465">
        <f t="shared" ca="1" si="58"/>
        <v>7360209.496768225</v>
      </c>
      <c r="N157" s="1465">
        <f t="shared" ca="1" si="58"/>
        <v>8194615.9289914658</v>
      </c>
      <c r="O157" s="1465">
        <f t="shared" ca="1" si="58"/>
        <v>9163611.5965919346</v>
      </c>
      <c r="P157" s="1465">
        <f t="shared" ca="1" si="58"/>
        <v>10131284.662444049</v>
      </c>
      <c r="Q157" s="1465">
        <f t="shared" ca="1" si="58"/>
        <v>11103957.728296164</v>
      </c>
      <c r="R157" s="1465">
        <f t="shared" ca="1" si="58"/>
        <v>12095688.142163934</v>
      </c>
      <c r="S157" s="1465">
        <f t="shared" ca="1" si="58"/>
        <v>13062873.073307976</v>
      </c>
      <c r="T157" s="1465">
        <f t="shared" ca="1" si="58"/>
        <v>14035058.004452016</v>
      </c>
      <c r="U157" s="1465">
        <f t="shared" ca="1" si="58"/>
        <v>15010897.604546718</v>
      </c>
      <c r="V157" s="1465">
        <f t="shared" ca="1" si="58"/>
        <v>15912272.374986388</v>
      </c>
      <c r="W157" s="1465">
        <f t="shared" ca="1" si="58"/>
        <v>16805118.090257268</v>
      </c>
      <c r="X157" s="1465">
        <f t="shared" ca="1" si="58"/>
        <v>17742963.805528149</v>
      </c>
      <c r="Y157" s="1465">
        <f t="shared" ca="1" si="58"/>
        <v>18602705.686102957</v>
      </c>
      <c r="Z157" s="1465">
        <f t="shared" ca="1" si="58"/>
        <v>19457176.147020921</v>
      </c>
      <c r="AA157" s="1465">
        <f t="shared" ca="1" si="58"/>
        <v>20379346.195473939</v>
      </c>
      <c r="AB157" s="1465">
        <f t="shared" ca="1" si="58"/>
        <v>21191588.179193445</v>
      </c>
      <c r="AC157" s="1465">
        <f t="shared" ca="1" si="58"/>
        <v>21958297.493823409</v>
      </c>
      <c r="AD157" s="1465">
        <f t="shared" ca="1" si="58"/>
        <v>25237162.113966897</v>
      </c>
      <c r="AE157" s="1465">
        <f t="shared" ca="1" si="58"/>
        <v>35616170.494238958</v>
      </c>
      <c r="AF157" s="1465">
        <f t="shared" ca="1" si="58"/>
        <v>35616170.494238958</v>
      </c>
      <c r="AG157" s="1465">
        <f t="shared" ca="1" si="58"/>
        <v>35616170.494238958</v>
      </c>
      <c r="AH157" s="1465">
        <f t="shared" ca="1" si="58"/>
        <v>35616170.494238958</v>
      </c>
      <c r="AI157" s="1465">
        <f t="shared" ca="1" si="58"/>
        <v>35616170.494238958</v>
      </c>
      <c r="AJ157" s="1465">
        <f t="shared" ca="1" si="58"/>
        <v>35616170.494238958</v>
      </c>
      <c r="AK157" s="1465">
        <f t="shared" ca="1" si="58"/>
        <v>35616170.494238958</v>
      </c>
      <c r="AL157" s="1465">
        <f t="shared" ca="1" si="58"/>
        <v>35616170.494238958</v>
      </c>
      <c r="AM157" s="1465">
        <f t="shared" ca="1" si="58"/>
        <v>35616170.494238958</v>
      </c>
      <c r="AN157" s="1465">
        <f t="shared" ca="1" si="58"/>
        <v>35616170.494238958</v>
      </c>
      <c r="AO157" s="1465">
        <f ca="1">AO134+AO142+AO150</f>
        <v>35663559.431957267</v>
      </c>
      <c r="AP157" s="1465">
        <f t="shared" ref="AP157:AU157" ca="1" si="59">AP134+AP142+AP150</f>
        <v>35711209.008833036</v>
      </c>
      <c r="AQ157" s="1465">
        <f t="shared" ca="1" si="59"/>
        <v>35759120.658381611</v>
      </c>
      <c r="AR157" s="1465">
        <f t="shared" ca="1" si="59"/>
        <v>27000000</v>
      </c>
      <c r="AS157" s="1465"/>
      <c r="AT157" s="1465">
        <f ca="1">AT134+AT142+AT150</f>
        <v>27000000</v>
      </c>
      <c r="AU157" s="1465">
        <f t="shared" ca="1" si="59"/>
        <v>27000000</v>
      </c>
      <c r="AV157" s="709"/>
      <c r="AW157" s="709"/>
      <c r="AX157" s="709"/>
      <c r="AY157" s="709"/>
    </row>
    <row r="158" spans="1:79">
      <c r="G158" s="1496" t="s">
        <v>788</v>
      </c>
      <c r="H158" s="1495">
        <f>H135+H143+H151</f>
        <v>0</v>
      </c>
      <c r="I158" s="1495">
        <f t="shared" ref="I158:AN158" ca="1" si="60">I135+I143+I151</f>
        <v>13005.049133329579</v>
      </c>
      <c r="J158" s="1495">
        <f t="shared" ca="1" si="60"/>
        <v>12434.879747584993</v>
      </c>
      <c r="K158" s="1495">
        <f t="shared" ca="1" si="60"/>
        <v>12434.879747584993</v>
      </c>
      <c r="L158" s="1495">
        <f t="shared" ca="1" si="60"/>
        <v>12434.879747584993</v>
      </c>
      <c r="M158" s="1495">
        <f t="shared" ca="1" si="60"/>
        <v>12434.879747584993</v>
      </c>
      <c r="N158" s="1495">
        <f t="shared" ca="1" si="60"/>
        <v>14086.9576677401</v>
      </c>
      <c r="O158" s="1495">
        <f t="shared" ca="1" si="60"/>
        <v>18676.193044967924</v>
      </c>
      <c r="P158" s="1495">
        <f t="shared" ca="1" si="60"/>
        <v>22353.591296615388</v>
      </c>
      <c r="Q158" s="1495">
        <f t="shared" ca="1" si="60"/>
        <v>22353.591296615388</v>
      </c>
      <c r="R158" s="1495">
        <f t="shared" ca="1" si="60"/>
        <v>26410.939312268478</v>
      </c>
      <c r="S158" s="1495">
        <f t="shared" ca="1" si="60"/>
        <v>31865.456588541208</v>
      </c>
      <c r="T158" s="1495">
        <f t="shared" ca="1" si="60"/>
        <v>31865.456588541208</v>
      </c>
      <c r="U158" s="1495">
        <f t="shared" ca="1" si="60"/>
        <v>33020.125539199849</v>
      </c>
      <c r="V158" s="1495">
        <f t="shared" ca="1" si="60"/>
        <v>38387.243339720699</v>
      </c>
      <c r="W158" s="1495">
        <f t="shared" ca="1" si="60"/>
        <v>42190.135626480245</v>
      </c>
      <c r="X158" s="1495">
        <f t="shared" ca="1" si="60"/>
        <v>42190.135626480245</v>
      </c>
      <c r="Y158" s="1495">
        <f t="shared" ca="1" si="60"/>
        <v>-50913.699069595168</v>
      </c>
      <c r="Z158" s="1495">
        <f t="shared" ca="1" si="60"/>
        <v>-46185.118726433742</v>
      </c>
      <c r="AA158" s="1495">
        <f t="shared" ca="1" si="60"/>
        <v>-41485.531191384922</v>
      </c>
      <c r="AB158" s="1495">
        <f t="shared" ca="1" si="60"/>
        <v>-36413.595924893343</v>
      </c>
      <c r="AC158" s="1495">
        <f t="shared" ca="1" si="60"/>
        <v>-31946.265014436056</v>
      </c>
      <c r="AD158" s="1495">
        <f t="shared" ca="1" si="60"/>
        <v>-27729.363783971254</v>
      </c>
      <c r="AE158" s="1495">
        <f t="shared" ca="1" si="60"/>
        <v>-9695.6083731820618</v>
      </c>
      <c r="AF158" s="1495">
        <f t="shared" ca="1" si="60"/>
        <v>47388.93771831425</v>
      </c>
      <c r="AG158" s="1495">
        <f t="shared" ca="1" si="60"/>
        <v>47388.93771831425</v>
      </c>
      <c r="AH158" s="1495">
        <f t="shared" ca="1" si="60"/>
        <v>47388.93771831425</v>
      </c>
      <c r="AI158" s="1495">
        <f t="shared" ca="1" si="60"/>
        <v>47388.93771831425</v>
      </c>
      <c r="AJ158" s="1495">
        <f t="shared" ca="1" si="60"/>
        <v>47388.93771831425</v>
      </c>
      <c r="AK158" s="1495">
        <f t="shared" ca="1" si="60"/>
        <v>47388.93771831425</v>
      </c>
      <c r="AL158" s="1495">
        <f t="shared" ca="1" si="60"/>
        <v>47388.93771831425</v>
      </c>
      <c r="AM158" s="1495">
        <f t="shared" ca="1" si="60"/>
        <v>47388.93771831425</v>
      </c>
      <c r="AN158" s="1495">
        <f t="shared" ca="1" si="60"/>
        <v>47388.93771831425</v>
      </c>
      <c r="AO158" s="1495">
        <f ca="1">AO135+AO143+AO151</f>
        <v>47388.93771831425</v>
      </c>
      <c r="AP158" s="1495">
        <f t="shared" ref="AP158:AU158" ca="1" si="61">AP135+AP143+AP151</f>
        <v>47649.576875764978</v>
      </c>
      <c r="AQ158" s="1495">
        <f t="shared" ca="1" si="61"/>
        <v>47911.649548581692</v>
      </c>
      <c r="AR158" s="1495">
        <f t="shared" ca="1" si="61"/>
        <v>48175.163621098887</v>
      </c>
      <c r="AS158" s="1495"/>
      <c r="AT158" s="1495">
        <f ca="1">AT135+AT143+AT151</f>
        <v>0</v>
      </c>
      <c r="AU158" s="1495">
        <f t="shared" ca="1" si="61"/>
        <v>0</v>
      </c>
    </row>
    <row r="159" spans="1:79">
      <c r="G159" s="1472" t="s">
        <v>768</v>
      </c>
      <c r="H159" s="1480">
        <f ca="1">H136+H144+H152</f>
        <v>711225.81557443284</v>
      </c>
    </row>
    <row r="160" spans="1:79">
      <c r="G160" s="1472" t="s">
        <v>778</v>
      </c>
      <c r="H160" s="1479">
        <f ca="1">H137+H145+H153</f>
        <v>151470.82034012579</v>
      </c>
    </row>
  </sheetData>
  <mergeCells count="2">
    <mergeCell ref="E17:F17"/>
    <mergeCell ref="E108:F108"/>
  </mergeCells>
  <pageMargins left="0.45" right="0.2" top="0.75" bottom="0.25" header="0.3" footer="0.3"/>
  <pageSetup scale="33" fitToWidth="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1D3E3-B7A5-42EE-A611-6D15A2D7C92A}">
  <sheetPr>
    <tabColor rgb="FF92D050"/>
    <pageSetUpPr fitToPage="1"/>
  </sheetPr>
  <dimension ref="A1:O36"/>
  <sheetViews>
    <sheetView showGridLines="0" zoomScale="106" zoomScaleNormal="106" workbookViewId="0">
      <selection activeCell="N15" sqref="N15"/>
    </sheetView>
  </sheetViews>
  <sheetFormatPr baseColWidth="10" defaultColWidth="8.83203125" defaultRowHeight="15"/>
  <cols>
    <col min="1" max="1" width="14.5" customWidth="1"/>
    <col min="2" max="2" width="23.5" style="109" customWidth="1"/>
    <col min="3" max="3" width="10.5" customWidth="1"/>
    <col min="4" max="4" width="21.5" customWidth="1"/>
    <col min="5" max="9" width="15.5" customWidth="1"/>
    <col min="10" max="10" width="2.5" customWidth="1"/>
    <col min="11" max="11" width="16.5" customWidth="1"/>
    <col min="12" max="12" width="21" bestFit="1" customWidth="1"/>
    <col min="13" max="13" width="13.5" bestFit="1" customWidth="1"/>
    <col min="14" max="14" width="11.83203125" bestFit="1" customWidth="1"/>
  </cols>
  <sheetData>
    <row r="1" spans="1:13" ht="21">
      <c r="A1" s="563" t="str">
        <f>'Summary Sources-Uses'!A2</f>
        <v>Project Name</v>
      </c>
      <c r="F1" s="564"/>
      <c r="G1" s="564"/>
      <c r="H1" s="564"/>
      <c r="I1" s="564"/>
      <c r="J1" s="624">
        <f>'Summary Sources-Uses'!L2</f>
        <v>0</v>
      </c>
      <c r="K1" s="565">
        <f>'Summary Sources-Uses'!L1</f>
        <v>45960</v>
      </c>
    </row>
    <row r="2" spans="1:13" ht="16">
      <c r="A2" s="2" t="s">
        <v>810</v>
      </c>
      <c r="B2" s="566"/>
      <c r="F2" s="564"/>
      <c r="G2" s="564"/>
      <c r="H2" s="564"/>
      <c r="I2" s="564"/>
      <c r="K2" s="567"/>
    </row>
    <row r="3" spans="1:13">
      <c r="A3" s="568" t="s">
        <v>399</v>
      </c>
      <c r="E3" s="569"/>
      <c r="F3" s="569"/>
      <c r="G3" s="569"/>
      <c r="H3" s="569"/>
      <c r="I3" s="570"/>
      <c r="J3" s="569"/>
      <c r="K3" s="569"/>
    </row>
    <row r="4" spans="1:13">
      <c r="A4" s="568" t="s">
        <v>418</v>
      </c>
      <c r="E4" s="571" t="s">
        <v>400</v>
      </c>
      <c r="F4" s="572" t="s">
        <v>401</v>
      </c>
      <c r="G4" s="572" t="s">
        <v>402</v>
      </c>
      <c r="H4" s="570" t="s">
        <v>403</v>
      </c>
      <c r="I4" s="570" t="s">
        <v>404</v>
      </c>
    </row>
    <row r="5" spans="1:13">
      <c r="A5" s="568" t="s">
        <v>405</v>
      </c>
      <c r="D5" s="573" t="s">
        <v>406</v>
      </c>
      <c r="E5" s="574">
        <f>E9/A9</f>
        <v>0.2</v>
      </c>
      <c r="F5" s="575">
        <v>0.4</v>
      </c>
      <c r="G5" s="575">
        <v>0.4</v>
      </c>
      <c r="H5" s="576">
        <v>0</v>
      </c>
      <c r="I5" s="577" t="s">
        <v>407</v>
      </c>
    </row>
    <row r="6" spans="1:13">
      <c r="E6" s="578">
        <f>'Flow of Funds'!H3</f>
        <v>46447</v>
      </c>
      <c r="F6" s="579">
        <f>'Flow of Funds'!AE3</f>
        <v>47150</v>
      </c>
      <c r="G6" s="579">
        <v>46966</v>
      </c>
      <c r="H6" s="580">
        <f>G6</f>
        <v>46966</v>
      </c>
      <c r="I6" s="580" t="s">
        <v>43</v>
      </c>
      <c r="K6" s="581" t="s">
        <v>408</v>
      </c>
    </row>
    <row r="7" spans="1:13">
      <c r="C7" t="s">
        <v>409</v>
      </c>
      <c r="E7" s="582">
        <f>A12</f>
        <v>1400000</v>
      </c>
      <c r="F7" s="583">
        <f ca="1">($K7-$I7)*(F5+E5)-E7</f>
        <v>14098550.041435797</v>
      </c>
      <c r="G7" s="583">
        <f ca="1">($K7-$I7)*G5</f>
        <v>10332366.69429053</v>
      </c>
      <c r="H7" s="583">
        <f ca="1">($K7-$I7)*H5</f>
        <v>0</v>
      </c>
      <c r="I7" s="583">
        <f ca="1">'Summary Sources-Uses'!E17</f>
        <v>-18830916.735726323</v>
      </c>
      <c r="J7" s="584"/>
      <c r="K7" s="584">
        <f>A9</f>
        <v>7000000</v>
      </c>
      <c r="L7" s="109"/>
      <c r="M7" s="122"/>
    </row>
    <row r="8" spans="1:13">
      <c r="E8" s="585"/>
      <c r="F8" s="586"/>
      <c r="G8" s="586"/>
      <c r="H8" s="586"/>
      <c r="I8" s="587"/>
      <c r="J8" s="588"/>
      <c r="K8" s="588"/>
      <c r="M8" s="122"/>
    </row>
    <row r="9" spans="1:13">
      <c r="A9" s="109">
        <f>'Summary Sources-Uses'!K20</f>
        <v>7000000</v>
      </c>
      <c r="B9" s="589" t="s">
        <v>410</v>
      </c>
      <c r="D9" t="s">
        <v>411</v>
      </c>
      <c r="E9" s="590">
        <f>E7</f>
        <v>1400000</v>
      </c>
      <c r="F9" s="591">
        <f ca="1">F7</f>
        <v>14098550.041435797</v>
      </c>
      <c r="G9" s="591">
        <f ca="1">G7</f>
        <v>10332366.69429053</v>
      </c>
      <c r="H9" s="591">
        <f ca="1">H7</f>
        <v>0</v>
      </c>
      <c r="I9" s="591">
        <f ca="1">I7</f>
        <v>-18830916.735726323</v>
      </c>
      <c r="J9" s="592"/>
      <c r="K9" s="592">
        <f ca="1">SUM(E9:I9)</f>
        <v>7000000.0000000037</v>
      </c>
      <c r="M9" s="122"/>
    </row>
    <row r="10" spans="1:13">
      <c r="A10" s="109"/>
      <c r="B10" s="593"/>
      <c r="E10" s="582"/>
      <c r="F10" s="583"/>
      <c r="G10" s="583"/>
      <c r="H10" s="583"/>
      <c r="I10" s="583"/>
      <c r="J10" s="584"/>
      <c r="K10" s="584"/>
    </row>
    <row r="11" spans="1:13">
      <c r="A11" s="109"/>
      <c r="B11" s="593"/>
      <c r="E11" s="582"/>
      <c r="F11" s="583"/>
      <c r="G11" s="583"/>
      <c r="H11" s="583"/>
      <c r="I11" s="583"/>
      <c r="J11" s="584"/>
      <c r="K11" s="584"/>
      <c r="M11">
        <f>2752572/7000000</f>
        <v>0.39322457142857142</v>
      </c>
    </row>
    <row r="12" spans="1:13">
      <c r="A12" s="109">
        <f>1400000</f>
        <v>1400000</v>
      </c>
      <c r="B12" s="593" t="s">
        <v>797</v>
      </c>
      <c r="E12" s="582"/>
      <c r="F12" s="583"/>
      <c r="G12" s="583"/>
      <c r="H12" s="583"/>
      <c r="I12" s="583"/>
      <c r="J12" s="584"/>
      <c r="K12" s="584"/>
      <c r="M12" s="59"/>
    </row>
    <row r="13" spans="1:13">
      <c r="A13" s="109"/>
      <c r="B13" s="594" t="s">
        <v>796</v>
      </c>
      <c r="E13" s="1584">
        <f>A12*0.4</f>
        <v>560000</v>
      </c>
      <c r="F13" s="1587"/>
      <c r="G13" s="583"/>
      <c r="H13" s="583"/>
      <c r="I13" s="583"/>
      <c r="J13" s="584"/>
      <c r="K13" s="584">
        <f>SUM(E13:I13)</f>
        <v>560000</v>
      </c>
    </row>
    <row r="14" spans="1:13">
      <c r="A14" s="109"/>
      <c r="B14" s="594" t="s">
        <v>592</v>
      </c>
      <c r="E14" s="1585"/>
      <c r="G14" s="583"/>
      <c r="H14" s="583"/>
      <c r="I14" s="583"/>
      <c r="J14" s="584"/>
      <c r="K14" s="584"/>
    </row>
    <row r="15" spans="1:13">
      <c r="A15" s="109"/>
      <c r="B15" s="594"/>
      <c r="C15" t="s">
        <v>502</v>
      </c>
      <c r="E15" s="1585">
        <f ca="1">A12*D21</f>
        <v>336000</v>
      </c>
      <c r="F15" s="1587"/>
      <c r="G15" s="583"/>
      <c r="H15" s="583"/>
      <c r="I15" s="583"/>
      <c r="J15" s="584"/>
      <c r="K15" s="584">
        <f ca="1">SUM(E15:I15)</f>
        <v>336000</v>
      </c>
    </row>
    <row r="16" spans="1:13">
      <c r="A16" s="595"/>
      <c r="B16" s="589"/>
      <c r="C16" t="s">
        <v>412</v>
      </c>
      <c r="E16" s="1586">
        <f ca="1">A12*D22</f>
        <v>503999.99999999977</v>
      </c>
      <c r="F16" s="617"/>
      <c r="G16" s="596"/>
      <c r="H16" s="596"/>
      <c r="I16" s="596"/>
      <c r="J16" s="588"/>
      <c r="K16" s="584">
        <f ca="1">SUM(E16:I16)</f>
        <v>503999.99999999977</v>
      </c>
    </row>
    <row r="17" spans="1:15">
      <c r="A17" s="595"/>
      <c r="B17" s="589"/>
      <c r="E17" s="582"/>
      <c r="F17" s="596"/>
      <c r="G17" s="596"/>
      <c r="H17" s="596"/>
      <c r="I17" s="596"/>
      <c r="J17" s="588"/>
      <c r="K17" s="588"/>
    </row>
    <row r="18" spans="1:15">
      <c r="A18" s="109">
        <f>A9-A12</f>
        <v>5600000</v>
      </c>
      <c r="B18" s="589" t="s">
        <v>542</v>
      </c>
      <c r="D18" s="90">
        <v>0.8</v>
      </c>
      <c r="E18" s="582">
        <f ca="1">E9-SUM(E13:E16)</f>
        <v>0</v>
      </c>
      <c r="F18" s="583">
        <f ca="1">F9-SUM(F13:F16)</f>
        <v>14098550.041435797</v>
      </c>
      <c r="G18" s="583">
        <f ca="1">G9-G13+G15</f>
        <v>10332366.69429053</v>
      </c>
      <c r="H18" s="583">
        <f ca="1">H9-H13+H15</f>
        <v>0</v>
      </c>
      <c r="I18" s="583">
        <f ca="1">I9-I13+I15</f>
        <v>-18830916.735726323</v>
      </c>
      <c r="J18" s="584"/>
      <c r="K18" s="584">
        <f ca="1">SUM(E18:I18)</f>
        <v>5600000.0000000037</v>
      </c>
    </row>
    <row r="19" spans="1:15">
      <c r="A19" s="109"/>
      <c r="B19" s="593"/>
      <c r="D19" s="90"/>
      <c r="E19" s="582"/>
      <c r="F19" s="596"/>
      <c r="G19" s="596"/>
      <c r="H19" s="596"/>
      <c r="I19" s="596"/>
      <c r="J19" s="588"/>
      <c r="K19" s="588"/>
      <c r="M19" s="109"/>
    </row>
    <row r="20" spans="1:15">
      <c r="A20" s="109">
        <f ca="1">A18*D20</f>
        <v>2239999.9999999991</v>
      </c>
      <c r="B20" s="589" t="s">
        <v>543</v>
      </c>
      <c r="D20" s="984">
        <f ca="1">O29</f>
        <v>0.3999999999999998</v>
      </c>
      <c r="E20" s="582">
        <f ca="1">E18*0.3</f>
        <v>0</v>
      </c>
      <c r="F20" s="596">
        <f ca="1">F18*D20</f>
        <v>5639420.0165743157</v>
      </c>
      <c r="G20" s="596">
        <f ca="1">G18*D20</f>
        <v>4132946.67771621</v>
      </c>
      <c r="H20" s="596">
        <f ca="1">H18*D20</f>
        <v>0</v>
      </c>
      <c r="I20" s="596">
        <f ca="1">I18*D20</f>
        <v>-7532366.6942905253</v>
      </c>
      <c r="J20" s="597"/>
      <c r="K20" s="597">
        <f ca="1">SUM(E20:I20)</f>
        <v>2240000.0000000009</v>
      </c>
    </row>
    <row r="21" spans="1:15" s="2" customFormat="1">
      <c r="A21" s="109">
        <f ca="1">A18*D21</f>
        <v>1344000</v>
      </c>
      <c r="B21" s="589" t="s">
        <v>544</v>
      </c>
      <c r="D21" s="984">
        <f ca="1">O31</f>
        <v>0.24000000000000002</v>
      </c>
      <c r="E21" s="582">
        <f ca="1">E18*0.28</f>
        <v>0</v>
      </c>
      <c r="F21" s="596">
        <f ca="1">F18*D21</f>
        <v>3383652.0099445917</v>
      </c>
      <c r="G21" s="596">
        <f ca="1">G18*D21</f>
        <v>2479768.0066297273</v>
      </c>
      <c r="H21" s="596">
        <f ca="1">H18*D21</f>
        <v>0</v>
      </c>
      <c r="I21" s="596">
        <f ca="1">I18*D21</f>
        <v>-4519420.0165743176</v>
      </c>
      <c r="J21" s="584"/>
      <c r="K21" s="598">
        <f ca="1">SUM(E21:I21)</f>
        <v>1344000.0000000019</v>
      </c>
    </row>
    <row r="22" spans="1:15">
      <c r="A22" s="109">
        <f ca="1">A18*D22</f>
        <v>2015999.9999999991</v>
      </c>
      <c r="B22" s="589" t="s">
        <v>545</v>
      </c>
      <c r="D22" s="984">
        <f ca="1">O30</f>
        <v>0.35999999999999982</v>
      </c>
      <c r="E22" s="582">
        <f ca="1">E18*0.42</f>
        <v>0</v>
      </c>
      <c r="F22" s="596">
        <f ca="1">F18*D22</f>
        <v>5075478.0149168847</v>
      </c>
      <c r="G22" s="596">
        <f ca="1">G18*D22</f>
        <v>3719652.0099445889</v>
      </c>
      <c r="H22" s="596">
        <f ca="1">H18*D22</f>
        <v>0</v>
      </c>
      <c r="I22" s="596">
        <f ca="1">I18*D22</f>
        <v>-6779130.0248614727</v>
      </c>
      <c r="J22" s="588"/>
      <c r="K22" s="597">
        <f ca="1">SUM(E22:I22)</f>
        <v>2016000.0000000009</v>
      </c>
    </row>
    <row r="23" spans="1:15">
      <c r="E23" s="599"/>
      <c r="F23" s="596"/>
      <c r="G23" s="596"/>
      <c r="H23" s="597"/>
      <c r="I23" s="596"/>
      <c r="J23" s="588"/>
      <c r="K23" s="59"/>
    </row>
    <row r="24" spans="1:15">
      <c r="B24" s="109" t="s">
        <v>413</v>
      </c>
      <c r="C24" s="600" t="s">
        <v>414</v>
      </c>
      <c r="D24" s="601"/>
      <c r="E24" s="602">
        <f ca="1">E13+E20</f>
        <v>560000</v>
      </c>
      <c r="F24" s="603">
        <f ca="1">F13+F20</f>
        <v>5639420.0165743157</v>
      </c>
      <c r="G24" s="603">
        <f t="shared" ref="F24:I26" ca="1" si="0">G13+G20</f>
        <v>4132946.67771621</v>
      </c>
      <c r="H24" s="603">
        <f t="shared" ca="1" si="0"/>
        <v>0</v>
      </c>
      <c r="I24" s="603">
        <f t="shared" ca="1" si="0"/>
        <v>-7532366.6942905253</v>
      </c>
      <c r="J24" s="604"/>
      <c r="K24" s="605">
        <f ca="1">SUM(E24:I24)</f>
        <v>2800000.0000000009</v>
      </c>
      <c r="L24" s="463"/>
      <c r="M24" s="109"/>
    </row>
    <row r="25" spans="1:15">
      <c r="C25" s="606" t="s">
        <v>503</v>
      </c>
      <c r="D25" s="21"/>
      <c r="E25" s="607">
        <f ca="1">E15+E21</f>
        <v>336000</v>
      </c>
      <c r="F25" s="608">
        <f t="shared" ca="1" si="0"/>
        <v>3383652.0099445917</v>
      </c>
      <c r="G25" s="608">
        <f t="shared" ca="1" si="0"/>
        <v>2479768.0066297273</v>
      </c>
      <c r="H25" s="608">
        <f t="shared" ca="1" si="0"/>
        <v>0</v>
      </c>
      <c r="I25" s="608">
        <f t="shared" ca="1" si="0"/>
        <v>-4519420.0165743176</v>
      </c>
      <c r="J25" s="609"/>
      <c r="K25" s="610">
        <f ca="1">SUM(E25:I25)</f>
        <v>1680000.0000000019</v>
      </c>
      <c r="L25" s="463"/>
      <c r="M25" s="109"/>
      <c r="O25" s="59"/>
    </row>
    <row r="26" spans="1:15">
      <c r="C26" s="611" t="s">
        <v>415</v>
      </c>
      <c r="D26" s="612"/>
      <c r="E26" s="613">
        <f ca="1">E16+E22</f>
        <v>503999.99999999977</v>
      </c>
      <c r="F26" s="614">
        <f ca="1">F15+F22</f>
        <v>5075478.0149168847</v>
      </c>
      <c r="G26" s="614">
        <f t="shared" ca="1" si="0"/>
        <v>3719652.0099445889</v>
      </c>
      <c r="H26" s="614">
        <f t="shared" ca="1" si="0"/>
        <v>0</v>
      </c>
      <c r="I26" s="614">
        <f t="shared" ca="1" si="0"/>
        <v>-6779130.0248614727</v>
      </c>
      <c r="J26" s="615"/>
      <c r="K26" s="616">
        <f ca="1">SUM(E26:I26)</f>
        <v>2520000.0000000009</v>
      </c>
      <c r="L26" s="463"/>
      <c r="M26" s="109"/>
      <c r="O26" s="59"/>
    </row>
    <row r="27" spans="1:15">
      <c r="E27" s="617"/>
      <c r="F27" s="618"/>
      <c r="G27" s="619"/>
      <c r="H27" s="619"/>
      <c r="I27" s="620"/>
      <c r="J27" s="618"/>
      <c r="K27" s="618"/>
    </row>
    <row r="28" spans="1:15">
      <c r="B28" s="621" t="s">
        <v>528</v>
      </c>
      <c r="E28" s="59"/>
      <c r="F28" s="59"/>
      <c r="G28" s="59"/>
      <c r="H28" s="59"/>
      <c r="I28" s="59"/>
      <c r="J28" s="59"/>
      <c r="K28" s="59"/>
      <c r="L28" s="80"/>
    </row>
    <row r="29" spans="1:15">
      <c r="B29" s="622" t="s">
        <v>416</v>
      </c>
      <c r="E29" s="59"/>
      <c r="F29" s="59"/>
      <c r="G29" s="59"/>
      <c r="H29" s="59"/>
      <c r="I29" s="59"/>
      <c r="J29" s="59"/>
      <c r="K29" s="59"/>
      <c r="L29" s="623"/>
      <c r="M29" t="s">
        <v>665</v>
      </c>
      <c r="N29" s="1497">
        <f>K7*0.4</f>
        <v>2800000</v>
      </c>
      <c r="O29" s="90">
        <f ca="1">N29/K9</f>
        <v>0.3999999999999998</v>
      </c>
    </row>
    <row r="30" spans="1:15">
      <c r="B30" s="622" t="s">
        <v>417</v>
      </c>
      <c r="E30" s="59"/>
      <c r="F30" s="59"/>
      <c r="G30" s="59"/>
      <c r="H30" s="59"/>
      <c r="I30" s="59"/>
      <c r="J30" s="59"/>
      <c r="K30" s="59"/>
      <c r="L30" s="1497"/>
      <c r="M30" t="s">
        <v>789</v>
      </c>
      <c r="N30" s="1497">
        <f>(K7*0.6)*0.6</f>
        <v>2520000</v>
      </c>
      <c r="O30" s="90">
        <f ca="1">N30/K9</f>
        <v>0.35999999999999982</v>
      </c>
    </row>
    <row r="31" spans="1:15">
      <c r="B31"/>
      <c r="E31" s="59"/>
      <c r="F31" s="59"/>
      <c r="G31" s="59"/>
      <c r="H31" s="59"/>
      <c r="I31" s="59"/>
      <c r="J31" s="59"/>
      <c r="K31" s="59"/>
      <c r="M31" t="s">
        <v>790</v>
      </c>
      <c r="N31" s="1499">
        <f ca="1">(K9*0.6)*0.4</f>
        <v>1680000.0000000009</v>
      </c>
      <c r="O31" s="1498">
        <f ca="1">N31/K9</f>
        <v>0.24000000000000002</v>
      </c>
    </row>
    <row r="32" spans="1:15">
      <c r="B32" s="621"/>
      <c r="E32" s="59"/>
      <c r="F32" s="59"/>
      <c r="G32" s="59"/>
      <c r="H32" s="59"/>
      <c r="I32" s="59"/>
      <c r="J32" s="59"/>
      <c r="K32" s="59"/>
      <c r="M32" s="122"/>
      <c r="N32" s="1497">
        <f ca="1">N29+N30+N31</f>
        <v>7000000.0000000009</v>
      </c>
      <c r="O32" s="90">
        <f ca="1">O29+O30+O31</f>
        <v>0.99999999999999956</v>
      </c>
    </row>
    <row r="33" spans="5:6">
      <c r="E33" s="109"/>
      <c r="F33" s="59"/>
    </row>
    <row r="34" spans="5:6">
      <c r="F34" s="109"/>
    </row>
    <row r="35" spans="5:6">
      <c r="E35" s="109"/>
    </row>
    <row r="36" spans="5:6">
      <c r="E36" s="109"/>
    </row>
  </sheetData>
  <pageMargins left="0.7" right="0.7" top="0.75" bottom="0.75" header="0.3" footer="0.3"/>
  <pageSetup scale="7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2D5F4-DAAC-41FB-B602-685EBDB253E5}">
  <dimension ref="B2:F113"/>
  <sheetViews>
    <sheetView zoomScale="80" zoomScaleNormal="80" workbookViewId="0">
      <selection activeCell="E20" sqref="E20"/>
    </sheetView>
  </sheetViews>
  <sheetFormatPr baseColWidth="10" defaultColWidth="8.83203125" defaultRowHeight="15"/>
  <cols>
    <col min="1" max="1" width="8.83203125" style="167"/>
    <col min="2" max="2" width="23" style="167" customWidth="1"/>
    <col min="3" max="3" width="26.5" style="167" customWidth="1"/>
    <col min="4" max="4" width="14.83203125" style="167" customWidth="1"/>
    <col min="5" max="5" width="20.5" style="167" customWidth="1"/>
    <col min="6" max="6" width="14.5" style="167" customWidth="1"/>
    <col min="7" max="7" width="14.1640625" style="167" bestFit="1" customWidth="1"/>
    <col min="8" max="8" width="11.5" style="167" bestFit="1" customWidth="1"/>
    <col min="9" max="9" width="8.83203125" style="167"/>
    <col min="10" max="10" width="15.5" style="167" bestFit="1" customWidth="1"/>
    <col min="11" max="16384" width="8.83203125" style="167"/>
  </cols>
  <sheetData>
    <row r="2" spans="2:6">
      <c r="C2" s="1697" t="s">
        <v>801</v>
      </c>
      <c r="D2" s="1697"/>
    </row>
    <row r="3" spans="2:6">
      <c r="C3" s="1554" t="s">
        <v>802</v>
      </c>
      <c r="D3" s="1555">
        <f ca="1">'Development Budget'!J94</f>
        <v>24658651.552295014</v>
      </c>
    </row>
    <row r="4" spans="2:6">
      <c r="D4" s="1556">
        <f ca="1">SUM(D3:D3)</f>
        <v>24658651.552295014</v>
      </c>
      <c r="E4" s="1557" t="s">
        <v>803</v>
      </c>
      <c r="F4" s="1558">
        <f ca="1">D4*0.5</f>
        <v>12329325.776147507</v>
      </c>
    </row>
    <row r="5" spans="2:6">
      <c r="E5" s="1557" t="s">
        <v>804</v>
      </c>
      <c r="F5" s="1558">
        <f ca="1">D4*0.55</f>
        <v>13562258.35376226</v>
      </c>
    </row>
    <row r="6" spans="2:6">
      <c r="C6" s="1554" t="s">
        <v>805</v>
      </c>
      <c r="D6" s="1559">
        <f ca="1">F5</f>
        <v>13562258.35376226</v>
      </c>
    </row>
    <row r="8" spans="2:6">
      <c r="C8" s="1553" t="s">
        <v>806</v>
      </c>
      <c r="D8" s="1553"/>
    </row>
    <row r="10" spans="2:6">
      <c r="C10" s="1554" t="s">
        <v>807</v>
      </c>
      <c r="D10" s="1560">
        <f ca="1">D6/D4</f>
        <v>0.55000000000000004</v>
      </c>
      <c r="E10" s="1560"/>
      <c r="F10" s="1561" t="s">
        <v>808</v>
      </c>
    </row>
    <row r="15" spans="2:6" ht="17">
      <c r="B15" s="1562"/>
      <c r="E15" s="1563"/>
      <c r="F15" s="1564"/>
    </row>
    <row r="16" spans="2:6" ht="17">
      <c r="B16" s="1562"/>
      <c r="E16" s="1563"/>
    </row>
    <row r="17" spans="2:5">
      <c r="B17" s="1557"/>
    </row>
    <row r="18" spans="2:5">
      <c r="B18" s="1557"/>
      <c r="D18" s="588"/>
      <c r="E18" s="588"/>
    </row>
    <row r="19" spans="2:5">
      <c r="B19" s="1565"/>
      <c r="D19" s="588"/>
      <c r="E19" s="588"/>
    </row>
    <row r="20" spans="2:5">
      <c r="B20" s="1566"/>
      <c r="D20" s="588"/>
      <c r="E20" s="588"/>
    </row>
    <row r="21" spans="2:5">
      <c r="B21" s="1565"/>
      <c r="D21" s="588"/>
      <c r="E21" s="588"/>
    </row>
    <row r="22" spans="2:5">
      <c r="B22" s="1565"/>
      <c r="D22" s="588"/>
      <c r="E22" s="588"/>
    </row>
    <row r="23" spans="2:5">
      <c r="B23" s="1565"/>
      <c r="D23" s="588"/>
      <c r="E23" s="588"/>
    </row>
    <row r="24" spans="2:5">
      <c r="B24" s="1565"/>
      <c r="D24" s="588"/>
      <c r="E24" s="588"/>
    </row>
    <row r="25" spans="2:5">
      <c r="B25" s="1565"/>
      <c r="D25" s="588"/>
      <c r="E25" s="588"/>
    </row>
    <row r="26" spans="2:5">
      <c r="B26" s="1565"/>
      <c r="D26" s="588"/>
      <c r="E26" s="588"/>
    </row>
    <row r="27" spans="2:5">
      <c r="B27" s="1565"/>
      <c r="D27" s="588"/>
      <c r="E27" s="588"/>
    </row>
    <row r="28" spans="2:5">
      <c r="B28" s="1557"/>
      <c r="D28" s="588"/>
      <c r="E28" s="588"/>
    </row>
    <row r="29" spans="2:5">
      <c r="B29" s="1565"/>
      <c r="D29" s="588"/>
      <c r="E29" s="588"/>
    </row>
    <row r="30" spans="2:5">
      <c r="B30" s="1565"/>
      <c r="D30" s="588"/>
      <c r="E30" s="588"/>
    </row>
    <row r="31" spans="2:5">
      <c r="B31" s="1565"/>
      <c r="D31" s="588"/>
      <c r="E31" s="588"/>
    </row>
    <row r="32" spans="2:5">
      <c r="B32" s="1565"/>
      <c r="D32" s="588"/>
      <c r="E32" s="588"/>
    </row>
    <row r="33" spans="2:6">
      <c r="B33" s="1565"/>
      <c r="D33" s="588"/>
      <c r="E33" s="588"/>
    </row>
    <row r="34" spans="2:6">
      <c r="B34" s="1565"/>
      <c r="D34" s="588"/>
      <c r="E34" s="588"/>
    </row>
    <row r="35" spans="2:6">
      <c r="B35" s="1565"/>
      <c r="D35" s="588"/>
      <c r="E35" s="588"/>
    </row>
    <row r="36" spans="2:6">
      <c r="B36" s="1557"/>
      <c r="D36" s="588"/>
      <c r="E36" s="588"/>
    </row>
    <row r="37" spans="2:6">
      <c r="B37" s="1565"/>
      <c r="D37" s="588"/>
      <c r="E37" s="588"/>
    </row>
    <row r="38" spans="2:6">
      <c r="B38" s="1565"/>
      <c r="D38" s="588"/>
      <c r="E38" s="588"/>
      <c r="F38" s="1564"/>
    </row>
    <row r="39" spans="2:6">
      <c r="B39" s="1565"/>
      <c r="D39" s="588"/>
      <c r="E39" s="588"/>
    </row>
    <row r="40" spans="2:6">
      <c r="B40" s="1565"/>
      <c r="D40" s="588"/>
      <c r="E40" s="588"/>
    </row>
    <row r="41" spans="2:6">
      <c r="B41" s="1565"/>
      <c r="D41" s="588"/>
      <c r="E41" s="588"/>
    </row>
    <row r="42" spans="2:6">
      <c r="B42" s="1565"/>
      <c r="D42" s="588"/>
      <c r="E42" s="588"/>
    </row>
    <row r="43" spans="2:6">
      <c r="B43" s="1557"/>
      <c r="D43" s="588"/>
      <c r="E43" s="588"/>
    </row>
    <row r="44" spans="2:6">
      <c r="B44" s="1565"/>
      <c r="D44" s="588"/>
      <c r="E44" s="588"/>
    </row>
    <row r="45" spans="2:6">
      <c r="B45" s="1565"/>
      <c r="D45" s="588"/>
      <c r="E45" s="588"/>
    </row>
    <row r="46" spans="2:6">
      <c r="B46" s="1565"/>
      <c r="D46" s="588"/>
      <c r="E46" s="588"/>
    </row>
    <row r="47" spans="2:6">
      <c r="B47" s="1565"/>
      <c r="D47" s="588"/>
      <c r="E47" s="588"/>
    </row>
    <row r="48" spans="2:6">
      <c r="B48" s="1565"/>
      <c r="D48" s="588"/>
      <c r="E48" s="588"/>
    </row>
    <row r="49" spans="2:6">
      <c r="B49" s="1565"/>
      <c r="D49" s="588"/>
      <c r="E49" s="588"/>
    </row>
    <row r="50" spans="2:6">
      <c r="B50" s="1565"/>
      <c r="D50" s="588"/>
      <c r="E50" s="588"/>
    </row>
    <row r="51" spans="2:6">
      <c r="B51" s="1565"/>
      <c r="D51" s="588"/>
      <c r="E51" s="588"/>
    </row>
    <row r="52" spans="2:6">
      <c r="B52" s="1565"/>
      <c r="D52" s="588"/>
      <c r="E52" s="588"/>
    </row>
    <row r="53" spans="2:6">
      <c r="B53" s="1565"/>
      <c r="D53" s="588"/>
      <c r="E53" s="588"/>
    </row>
    <row r="54" spans="2:6">
      <c r="B54" s="1565"/>
      <c r="D54" s="588"/>
      <c r="E54" s="588"/>
    </row>
    <row r="55" spans="2:6">
      <c r="B55" s="1565"/>
      <c r="D55" s="588"/>
      <c r="E55" s="588"/>
    </row>
    <row r="56" spans="2:6">
      <c r="B56" s="1557"/>
      <c r="D56" s="588"/>
      <c r="E56" s="588"/>
    </row>
    <row r="57" spans="2:6">
      <c r="B57" s="1565"/>
      <c r="D57" s="588"/>
      <c r="E57" s="588"/>
    </row>
    <row r="58" spans="2:6">
      <c r="B58" s="1565"/>
      <c r="D58" s="588"/>
      <c r="E58" s="588"/>
    </row>
    <row r="59" spans="2:6">
      <c r="B59" s="1565"/>
      <c r="D59" s="588"/>
      <c r="E59" s="588"/>
    </row>
    <row r="60" spans="2:6">
      <c r="B60" s="1565"/>
      <c r="D60" s="588"/>
      <c r="E60" s="588"/>
    </row>
    <row r="61" spans="2:6">
      <c r="B61" s="1565"/>
      <c r="D61" s="588"/>
      <c r="E61" s="588"/>
    </row>
    <row r="62" spans="2:6">
      <c r="B62" s="1557"/>
      <c r="D62" s="588"/>
      <c r="E62" s="588"/>
      <c r="F62" s="1561"/>
    </row>
    <row r="63" spans="2:6">
      <c r="B63" s="1565"/>
      <c r="D63" s="588"/>
      <c r="E63" s="588"/>
    </row>
    <row r="64" spans="2:6">
      <c r="B64" s="1565"/>
      <c r="D64" s="588"/>
      <c r="E64" s="588"/>
    </row>
    <row r="65" spans="2:5">
      <c r="B65" s="1565"/>
      <c r="D65" s="588"/>
      <c r="E65" s="588"/>
    </row>
    <row r="66" spans="2:5">
      <c r="B66" s="1565"/>
      <c r="D66" s="588"/>
      <c r="E66" s="588"/>
    </row>
    <row r="67" spans="2:5">
      <c r="B67" s="1565"/>
      <c r="D67" s="588"/>
      <c r="E67" s="588"/>
    </row>
    <row r="68" spans="2:5">
      <c r="B68" s="1565"/>
      <c r="D68" s="588"/>
      <c r="E68" s="588"/>
    </row>
    <row r="69" spans="2:5">
      <c r="B69" s="1565"/>
      <c r="D69" s="588"/>
      <c r="E69" s="588"/>
    </row>
    <row r="70" spans="2:5">
      <c r="B70" s="1565"/>
      <c r="D70" s="588"/>
      <c r="E70" s="588"/>
    </row>
    <row r="71" spans="2:5">
      <c r="B71" s="1565"/>
      <c r="D71" s="588"/>
      <c r="E71" s="588"/>
    </row>
    <row r="72" spans="2:5">
      <c r="B72" s="1565"/>
      <c r="D72" s="588"/>
      <c r="E72" s="588"/>
    </row>
    <row r="73" spans="2:5">
      <c r="B73" s="1565"/>
      <c r="D73" s="588"/>
      <c r="E73" s="588"/>
    </row>
    <row r="74" spans="2:5">
      <c r="B74" s="1557"/>
      <c r="D74" s="588"/>
      <c r="E74" s="588"/>
    </row>
    <row r="75" spans="2:5">
      <c r="B75" s="1565"/>
      <c r="D75" s="588"/>
      <c r="E75" s="588"/>
    </row>
    <row r="76" spans="2:5">
      <c r="B76" s="1565"/>
      <c r="D76" s="588"/>
      <c r="E76" s="588"/>
    </row>
    <row r="77" spans="2:5">
      <c r="B77" s="1565"/>
      <c r="D77" s="588"/>
      <c r="E77" s="588"/>
    </row>
    <row r="78" spans="2:5">
      <c r="B78" s="1565"/>
      <c r="D78" s="588"/>
      <c r="E78" s="588"/>
    </row>
    <row r="79" spans="2:5">
      <c r="B79" s="1565"/>
      <c r="D79" s="588"/>
      <c r="E79" s="588"/>
    </row>
    <row r="80" spans="2:5">
      <c r="B80" s="1565"/>
      <c r="D80" s="588"/>
      <c r="E80" s="588"/>
    </row>
    <row r="81" spans="2:5">
      <c r="B81" s="1557"/>
      <c r="D81" s="588"/>
      <c r="E81" s="588"/>
    </row>
    <row r="82" spans="2:5">
      <c r="B82" s="1565"/>
      <c r="D82" s="588"/>
      <c r="E82" s="588"/>
    </row>
    <row r="83" spans="2:5">
      <c r="B83" s="1565"/>
      <c r="D83" s="588"/>
      <c r="E83" s="588"/>
    </row>
    <row r="84" spans="2:5">
      <c r="B84" s="1565"/>
      <c r="D84" s="588"/>
      <c r="E84" s="588"/>
    </row>
    <row r="85" spans="2:5">
      <c r="B85" s="1565"/>
      <c r="D85" s="588"/>
      <c r="E85" s="588"/>
    </row>
    <row r="86" spans="2:5">
      <c r="B86" s="1565"/>
      <c r="D86" s="588"/>
      <c r="E86" s="588"/>
    </row>
    <row r="87" spans="2:5">
      <c r="B87" s="1565"/>
      <c r="D87" s="588"/>
      <c r="E87" s="588"/>
    </row>
    <row r="88" spans="2:5">
      <c r="B88" s="1565"/>
      <c r="D88" s="588"/>
      <c r="E88" s="588"/>
    </row>
    <row r="89" spans="2:5">
      <c r="B89" s="1565"/>
      <c r="D89" s="588"/>
      <c r="E89" s="588"/>
    </row>
    <row r="90" spans="2:5">
      <c r="B90" s="1565"/>
      <c r="D90" s="588"/>
      <c r="E90" s="588"/>
    </row>
    <row r="91" spans="2:5">
      <c r="B91" s="1565"/>
      <c r="D91" s="588"/>
      <c r="E91" s="588"/>
    </row>
    <row r="92" spans="2:5">
      <c r="B92" s="1557"/>
      <c r="D92" s="588"/>
      <c r="E92" s="588"/>
    </row>
    <row r="93" spans="2:5">
      <c r="B93" s="1565"/>
      <c r="D93" s="588"/>
      <c r="E93" s="588"/>
    </row>
    <row r="94" spans="2:5">
      <c r="B94" s="1565"/>
      <c r="D94" s="588"/>
      <c r="E94" s="588"/>
    </row>
    <row r="95" spans="2:5">
      <c r="B95" s="1565"/>
      <c r="D95" s="588"/>
      <c r="E95" s="588"/>
    </row>
    <row r="96" spans="2:5">
      <c r="B96" s="1565"/>
      <c r="D96" s="588"/>
      <c r="E96" s="588"/>
    </row>
    <row r="97" spans="2:5">
      <c r="B97" s="1565"/>
      <c r="D97" s="588"/>
      <c r="E97" s="588"/>
    </row>
    <row r="98" spans="2:5">
      <c r="B98" s="1557"/>
      <c r="D98" s="588"/>
      <c r="E98" s="588"/>
    </row>
    <row r="99" spans="2:5">
      <c r="B99" s="1565"/>
      <c r="D99" s="588"/>
      <c r="E99" s="588"/>
    </row>
    <row r="100" spans="2:5">
      <c r="B100" s="1565"/>
      <c r="D100" s="588"/>
      <c r="E100" s="588"/>
    </row>
    <row r="101" spans="2:5">
      <c r="B101" s="1565"/>
      <c r="D101" s="588"/>
      <c r="E101" s="588"/>
    </row>
    <row r="102" spans="2:5">
      <c r="B102" s="1565"/>
      <c r="D102" s="588"/>
      <c r="E102" s="588"/>
    </row>
    <row r="103" spans="2:5">
      <c r="B103" s="1565"/>
      <c r="D103" s="588"/>
      <c r="E103" s="588"/>
    </row>
    <row r="104" spans="2:5">
      <c r="B104" s="1565"/>
      <c r="D104" s="588"/>
      <c r="E104" s="588"/>
    </row>
    <row r="105" spans="2:5">
      <c r="B105" s="1565"/>
      <c r="D105" s="588"/>
      <c r="E105" s="588"/>
    </row>
    <row r="106" spans="2:5">
      <c r="B106" s="1565"/>
      <c r="D106" s="588"/>
      <c r="E106" s="588"/>
    </row>
    <row r="107" spans="2:5">
      <c r="B107" s="1557"/>
      <c r="D107" s="588"/>
      <c r="E107" s="588"/>
    </row>
    <row r="108" spans="2:5">
      <c r="B108" s="1565"/>
      <c r="D108" s="588"/>
      <c r="E108" s="588"/>
    </row>
    <row r="109" spans="2:5">
      <c r="B109" s="1565"/>
      <c r="D109" s="588"/>
      <c r="E109" s="588"/>
    </row>
    <row r="110" spans="2:5">
      <c r="D110" s="588"/>
      <c r="E110" s="588"/>
    </row>
    <row r="111" spans="2:5">
      <c r="B111" s="1557"/>
      <c r="D111" s="588"/>
      <c r="E111" s="588"/>
    </row>
    <row r="112" spans="2:5">
      <c r="B112" s="1557"/>
      <c r="D112" s="588"/>
      <c r="E112" s="588"/>
    </row>
    <row r="113" spans="2:5">
      <c r="B113" s="1557"/>
      <c r="D113" s="1567"/>
      <c r="E113" s="1567"/>
    </row>
  </sheetData>
  <mergeCells count="1">
    <mergeCell ref="C2: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DBD4C-BAA0-48E5-90E2-90FDE308C178}">
  <dimension ref="A1:W53"/>
  <sheetViews>
    <sheetView zoomScale="110" zoomScaleNormal="110" workbookViewId="0">
      <selection activeCell="Q42" sqref="Q42"/>
    </sheetView>
  </sheetViews>
  <sheetFormatPr baseColWidth="10" defaultColWidth="9.1640625" defaultRowHeight="12.75" customHeight="1"/>
  <cols>
    <col min="1" max="15" width="10.5" style="1053" customWidth="1"/>
    <col min="16" max="16" width="3.5" style="1053" customWidth="1"/>
    <col min="17" max="17" width="14" style="1053" customWidth="1"/>
    <col min="18" max="18" width="12.5" style="1053" customWidth="1"/>
    <col min="19" max="16384" width="9.1640625" style="1053"/>
  </cols>
  <sheetData>
    <row r="1" spans="1:23" ht="12.75" customHeight="1">
      <c r="A1" s="1716" t="str">
        <f>[1]Input!B1&amp;", "&amp;TEXT(TtlUnits,"0,0")&amp;" units ("&amp;Tenancy&amp;"), "&amp;[1]Input!E2&amp;", "&amp;[1]Input!H2&amp;", "&amp;[1]Input!$R$1</f>
        <v>Flats at Lake View, 80 units (Family), Warner Robins, Houston County, GA</v>
      </c>
      <c r="B1" s="1716"/>
      <c r="C1" s="1716"/>
      <c r="D1" s="1716"/>
      <c r="E1" s="1716"/>
      <c r="F1" s="1716"/>
      <c r="G1" s="1716"/>
      <c r="H1" s="1716"/>
      <c r="I1" s="1716"/>
      <c r="J1" s="1716"/>
      <c r="K1" s="1716"/>
      <c r="L1" s="1716"/>
      <c r="M1" s="1716"/>
      <c r="N1" s="1716"/>
      <c r="O1" s="1716"/>
      <c r="P1" s="1716"/>
      <c r="Q1" s="1716"/>
      <c r="R1" s="1716"/>
    </row>
    <row r="2" spans="1:23" ht="12.75" customHeight="1">
      <c r="A2" s="1717" t="s">
        <v>600</v>
      </c>
      <c r="B2" s="1717"/>
      <c r="C2" s="1717"/>
      <c r="D2" s="1717"/>
      <c r="E2" s="1717"/>
      <c r="F2" s="1717"/>
      <c r="G2" s="1717"/>
      <c r="H2" s="1717"/>
      <c r="I2" s="1717"/>
      <c r="J2" s="1717"/>
      <c r="K2" s="1717"/>
      <c r="L2" s="1717"/>
      <c r="M2" s="1717"/>
      <c r="N2" s="1717"/>
      <c r="O2" s="1717"/>
      <c r="P2" s="1717"/>
      <c r="Q2" s="1717"/>
      <c r="R2" s="1717"/>
    </row>
    <row r="3" spans="1:23" ht="12.75" customHeight="1" thickBot="1">
      <c r="A3" s="1054"/>
      <c r="D3" s="1055"/>
      <c r="E3" s="1055"/>
      <c r="F3" s="1055"/>
      <c r="G3" s="1055"/>
      <c r="H3" s="1055"/>
      <c r="I3" s="1055"/>
      <c r="J3" s="1055"/>
      <c r="K3" s="1055"/>
      <c r="M3" s="1056" t="s">
        <v>601</v>
      </c>
      <c r="N3" s="1057">
        <f>A6*B6/SUM(B6,B14)+A14*B14/SUM(B6,B14)</f>
        <v>0.56507936507936507</v>
      </c>
      <c r="O3" s="1058"/>
      <c r="P3" s="1058"/>
      <c r="Q3" s="1718" t="s">
        <v>602</v>
      </c>
      <c r="R3" s="1719"/>
    </row>
    <row r="4" spans="1:23" ht="12.75" customHeight="1" thickTop="1" thickBot="1">
      <c r="A4" s="1722" t="s">
        <v>603</v>
      </c>
      <c r="B4" s="1059" t="s">
        <v>604</v>
      </c>
      <c r="C4" s="1724" t="s">
        <v>605</v>
      </c>
      <c r="D4" s="1725"/>
      <c r="E4" s="1726"/>
      <c r="F4" s="1243" t="s">
        <v>606</v>
      </c>
      <c r="G4" s="1243" t="s">
        <v>607</v>
      </c>
      <c r="H4" s="1243" t="s">
        <v>4</v>
      </c>
      <c r="I4" s="1243" t="s">
        <v>608</v>
      </c>
      <c r="J4" s="1243" t="s">
        <v>270</v>
      </c>
      <c r="K4" s="1243" t="s">
        <v>4</v>
      </c>
      <c r="L4" s="1243" t="s">
        <v>343</v>
      </c>
      <c r="M4" s="1243" t="s">
        <v>609</v>
      </c>
      <c r="N4" s="1244" t="s">
        <v>610</v>
      </c>
      <c r="Q4" s="1720"/>
      <c r="R4" s="1721"/>
      <c r="U4" s="1062"/>
      <c r="V4" s="1062" t="s">
        <v>343</v>
      </c>
      <c r="W4" s="1062"/>
    </row>
    <row r="5" spans="1:23" ht="12.75" customHeight="1" thickTop="1" thickBot="1">
      <c r="A5" s="1723"/>
      <c r="B5" s="1063" t="s">
        <v>611</v>
      </c>
      <c r="C5" s="1055" t="s">
        <v>612</v>
      </c>
      <c r="D5" s="1063" t="s">
        <v>613</v>
      </c>
      <c r="E5" s="1064" t="s">
        <v>614</v>
      </c>
      <c r="F5" s="1055" t="s">
        <v>615</v>
      </c>
      <c r="G5" s="1055" t="s">
        <v>616</v>
      </c>
      <c r="H5" s="1055" t="s">
        <v>617</v>
      </c>
      <c r="I5" s="1055" t="s">
        <v>343</v>
      </c>
      <c r="J5" s="1055" t="s">
        <v>618</v>
      </c>
      <c r="K5" s="1055" t="s">
        <v>619</v>
      </c>
      <c r="L5" s="1055" t="s">
        <v>620</v>
      </c>
      <c r="M5" s="1055" t="s">
        <v>621</v>
      </c>
      <c r="N5" s="1065" t="s">
        <v>622</v>
      </c>
      <c r="O5" s="1066"/>
      <c r="Q5" s="1053" t="s">
        <v>623</v>
      </c>
      <c r="R5" s="1067">
        <f>K30*12</f>
        <v>982800</v>
      </c>
      <c r="U5" s="1068" t="s">
        <v>235</v>
      </c>
      <c r="V5" s="1068" t="s">
        <v>624</v>
      </c>
      <c r="W5" s="1068" t="s">
        <v>625</v>
      </c>
    </row>
    <row r="6" spans="1:23" ht="12.75" customHeight="1" thickTop="1">
      <c r="A6" s="1114">
        <v>0.5</v>
      </c>
      <c r="B6" s="1702">
        <f>SUM(F6:F13)/TtlUnits</f>
        <v>0.27500000000000002</v>
      </c>
      <c r="C6" s="1245">
        <f>IFERROR(VLOOKUP(D6,'[1]Unit Mix'!$V$7:$W$21,2,FALSE),0)</f>
        <v>1</v>
      </c>
      <c r="D6" s="1246" t="s">
        <v>626</v>
      </c>
      <c r="E6" s="1247">
        <v>1</v>
      </c>
      <c r="F6" s="1117">
        <v>6</v>
      </c>
      <c r="G6" s="1145" t="e">
        <f>IF(OR(F6=0,F6=""),0,SUMIF('[1]Unit Mix'!$V$7:$V$21,D6,'[1]Unit Mix'!$X$7:$X$21))</f>
        <v>#VALUE!</v>
      </c>
      <c r="H6" s="1122" t="e">
        <f t="shared" ref="H6:H29" si="0">G6*F6</f>
        <v>#VALUE!</v>
      </c>
      <c r="I6" s="1120">
        <f t="shared" ref="I6:I13" si="1">IFERROR(IF(F6=0,0,HLOOKUP(C6,$K$32:$O$53,8,FALSE)),0)</f>
        <v>677</v>
      </c>
      <c r="J6" s="1121">
        <v>715</v>
      </c>
      <c r="K6" s="1122">
        <f t="shared" ref="K6:K29" si="2">IFERROR(IF(F6=0,"",F6*J6),0)</f>
        <v>4290</v>
      </c>
      <c r="L6" s="1123">
        <f t="shared" ref="L6:L29" si="3">IF(F6=0,"",IFERROR(J6/G6,0))</f>
        <v>0</v>
      </c>
      <c r="M6" s="1147">
        <f t="shared" ref="M6:M29" si="4">IF($F6=0,"",((J6+SUMIF($E$43:$H$43,$C6,$E$53:$H$53))*12)/0.3)</f>
        <v>37000</v>
      </c>
      <c r="N6" s="1148">
        <f t="shared" ref="N6:N29" si="5">IF(F6=0,"",M6/2080)</f>
        <v>17.78846153846154</v>
      </c>
      <c r="O6" s="1705" t="str">
        <f>Tenancy</f>
        <v>Family</v>
      </c>
      <c r="P6" s="1081">
        <f t="shared" ref="P6:P29" si="6">IF(F6=0,"",M6*(F6/TtlUnits))</f>
        <v>2775</v>
      </c>
      <c r="Q6" s="1053" t="s">
        <v>627</v>
      </c>
      <c r="R6" s="1067">
        <f>CommSqFt*CommRent</f>
        <v>0</v>
      </c>
      <c r="U6" s="1053">
        <v>1319</v>
      </c>
      <c r="V6" s="1082">
        <f t="shared" ref="V6:V25" si="7">U6-J6</f>
        <v>604</v>
      </c>
      <c r="W6" s="1083">
        <f t="shared" ref="W6:W25" si="8">V6/U6</f>
        <v>0.45792266868840031</v>
      </c>
    </row>
    <row r="7" spans="1:23" ht="12.75" customHeight="1">
      <c r="A7" s="1084" t="s">
        <v>205</v>
      </c>
      <c r="B7" s="1703"/>
      <c r="C7" s="1248">
        <f>IFERROR(VLOOKUP(D7,'[1]Unit Mix'!$V$7:$W$21,2,FALSE),0)</f>
        <v>2</v>
      </c>
      <c r="D7" s="1249" t="s">
        <v>628</v>
      </c>
      <c r="E7" s="1250">
        <f t="shared" ref="E7:E12" si="9">IF(OR(LEFT(D7,1)="0",LEFT(D7,1)="1"),1,2)</f>
        <v>2</v>
      </c>
      <c r="F7" s="1088">
        <v>8</v>
      </c>
      <c r="G7" s="1089" t="e">
        <f>IF(OR(F7=0,F7=""),0,SUMIF('[1]Unit Mix'!$V$7:$V$21,D7,'[1]Unit Mix'!$X$7:$X$21))</f>
        <v>#VALUE!</v>
      </c>
      <c r="H7" s="1090" t="e">
        <f t="shared" si="0"/>
        <v>#VALUE!</v>
      </c>
      <c r="I7" s="1091">
        <f t="shared" si="1"/>
        <v>786</v>
      </c>
      <c r="J7" s="1251">
        <v>855</v>
      </c>
      <c r="K7" s="1090">
        <f t="shared" si="2"/>
        <v>6840</v>
      </c>
      <c r="L7" s="1093">
        <f t="shared" si="3"/>
        <v>0</v>
      </c>
      <c r="M7" s="1094">
        <f t="shared" si="4"/>
        <v>45360</v>
      </c>
      <c r="N7" s="1095">
        <f t="shared" si="5"/>
        <v>21.807692307692307</v>
      </c>
      <c r="O7" s="1706"/>
      <c r="P7" s="1081">
        <f t="shared" si="6"/>
        <v>4536</v>
      </c>
      <c r="Q7" s="1053" t="s">
        <v>629</v>
      </c>
      <c r="R7" s="1067">
        <f>[1]Input!H33</f>
        <v>8000</v>
      </c>
      <c r="U7" s="1053">
        <v>1438</v>
      </c>
      <c r="V7" s="1082">
        <f t="shared" si="7"/>
        <v>583</v>
      </c>
      <c r="W7" s="1083">
        <f t="shared" si="8"/>
        <v>0.40542420027816412</v>
      </c>
    </row>
    <row r="8" spans="1:23" ht="12.75" customHeight="1">
      <c r="A8" s="1096" t="str">
        <f>A7</f>
        <v>LIHTC</v>
      </c>
      <c r="B8" s="1703"/>
      <c r="C8" s="1248">
        <f>IFERROR(VLOOKUP(D8,'[1]Unit Mix'!$V$7:$W$21,2,FALSE),0)</f>
        <v>3</v>
      </c>
      <c r="D8" s="1249" t="s">
        <v>630</v>
      </c>
      <c r="E8" s="1250">
        <f t="shared" si="9"/>
        <v>2</v>
      </c>
      <c r="F8" s="1088">
        <v>3</v>
      </c>
      <c r="G8" s="1089" t="e">
        <f>IF(OR(F8=0,F8=""),0,SUMIF('[1]Unit Mix'!$V$7:$V$21,D8,'[1]Unit Mix'!$X$7:$X$21))</f>
        <v>#VALUE!</v>
      </c>
      <c r="H8" s="1090" t="e">
        <f t="shared" si="0"/>
        <v>#VALUE!</v>
      </c>
      <c r="I8" s="1091">
        <f t="shared" si="1"/>
        <v>881</v>
      </c>
      <c r="J8" s="1251">
        <v>975</v>
      </c>
      <c r="K8" s="1090">
        <f t="shared" si="2"/>
        <v>2925</v>
      </c>
      <c r="L8" s="1093">
        <f t="shared" si="3"/>
        <v>0</v>
      </c>
      <c r="M8" s="1094">
        <f t="shared" si="4"/>
        <v>52960</v>
      </c>
      <c r="N8" s="1095">
        <f t="shared" si="5"/>
        <v>25.46153846153846</v>
      </c>
      <c r="O8" s="1706"/>
      <c r="P8" s="1081">
        <f t="shared" si="6"/>
        <v>1986</v>
      </c>
      <c r="Q8" s="1053" t="s">
        <v>631</v>
      </c>
      <c r="R8" s="1097">
        <f>SUM(R5:R7)</f>
        <v>990800</v>
      </c>
      <c r="U8" s="1053">
        <v>1758</v>
      </c>
      <c r="V8" s="1082">
        <f t="shared" si="7"/>
        <v>783</v>
      </c>
      <c r="W8" s="1083">
        <f t="shared" si="8"/>
        <v>0.44539249146757681</v>
      </c>
    </row>
    <row r="9" spans="1:23" ht="12.75" customHeight="1">
      <c r="A9" s="1096">
        <f>A5</f>
        <v>0</v>
      </c>
      <c r="B9" s="1703"/>
      <c r="C9" s="1252">
        <f>IFERROR(VLOOKUP(D9,'[1]Unit Mix'!$V$7:$W$21,2,FALSE),0)</f>
        <v>4</v>
      </c>
      <c r="D9" s="1249" t="s">
        <v>632</v>
      </c>
      <c r="E9" s="1253">
        <f>IF(OR(LEFT(D9,1)="0",LEFT(D9,1)="1"),1,2)</f>
        <v>2</v>
      </c>
      <c r="F9" s="1088">
        <v>1</v>
      </c>
      <c r="G9" s="1089" t="e">
        <f>IF(OR(F9=0,F9=""),0,SUMIF('[1]Unit Mix'!$V$7:$V$21,D9,'[1]Unit Mix'!$X$7:$X$21))</f>
        <v>#VALUE!</v>
      </c>
      <c r="H9" s="1090" t="e">
        <f>G9*F9</f>
        <v>#VALUE!</v>
      </c>
      <c r="I9" s="1091">
        <f t="shared" si="1"/>
        <v>1372</v>
      </c>
      <c r="J9" s="1251">
        <v>1075</v>
      </c>
      <c r="K9" s="1090">
        <f>IFERROR(IF(F9=0,"",F9*J9),0)</f>
        <v>1075</v>
      </c>
      <c r="L9" s="1093">
        <f>IF(F9=0,"",IFERROR(J9/G9,0))</f>
        <v>0</v>
      </c>
      <c r="M9" s="1094">
        <f t="shared" si="4"/>
        <v>43000</v>
      </c>
      <c r="N9" s="1095">
        <f>IF(F9=0,"",M9/2080)</f>
        <v>20.673076923076923</v>
      </c>
      <c r="O9" s="1706"/>
      <c r="P9" s="1081">
        <f t="shared" si="6"/>
        <v>537.5</v>
      </c>
      <c r="Q9" s="1053" t="s">
        <v>223</v>
      </c>
      <c r="R9" s="1067">
        <f>-R8*Vacancy</f>
        <v>-69356</v>
      </c>
      <c r="U9" s="1053">
        <v>1869</v>
      </c>
      <c r="V9" s="1082">
        <f t="shared" si="7"/>
        <v>794</v>
      </c>
      <c r="W9" s="1083">
        <f t="shared" si="8"/>
        <v>0.42482611021936867</v>
      </c>
    </row>
    <row r="10" spans="1:23" ht="12.75" customHeight="1">
      <c r="A10" s="1096">
        <f>A6</f>
        <v>0.5</v>
      </c>
      <c r="B10" s="1703"/>
      <c r="C10" s="1252">
        <f>IFERROR(VLOOKUP(D10,'[1]Unit Mix'!$V$7:$W$21,2,FALSE),0)</f>
        <v>4</v>
      </c>
      <c r="D10" s="1249" t="s">
        <v>633</v>
      </c>
      <c r="E10" s="1253">
        <f>IF(OR(LEFT(D10,1)="0",LEFT(D10,1)="1"),1,2)</f>
        <v>2</v>
      </c>
      <c r="F10" s="1088">
        <v>1</v>
      </c>
      <c r="G10" s="1089" t="e">
        <f>IF(OR(F10=0,F10=""),0,SUMIF('[1]Unit Mix'!$V$7:$V$21,D10,'[1]Unit Mix'!$X$7:$X$21))</f>
        <v>#VALUE!</v>
      </c>
      <c r="H10" s="1090" t="e">
        <f>G10*F10</f>
        <v>#VALUE!</v>
      </c>
      <c r="I10" s="1091">
        <f t="shared" si="1"/>
        <v>1372</v>
      </c>
      <c r="J10" s="1251">
        <v>1075</v>
      </c>
      <c r="K10" s="1090">
        <f>IFERROR(IF(F10=0,"",F10*J10),0)</f>
        <v>1075</v>
      </c>
      <c r="L10" s="1093">
        <f>IF(F10=0,"",IFERROR(J10/G10,0))</f>
        <v>0</v>
      </c>
      <c r="M10" s="1094">
        <f t="shared" si="4"/>
        <v>43000</v>
      </c>
      <c r="N10" s="1095">
        <f>IF(F10=0,"",M10/2080)</f>
        <v>20.673076923076923</v>
      </c>
      <c r="O10" s="1706"/>
      <c r="P10" s="1081">
        <f t="shared" si="6"/>
        <v>537.5</v>
      </c>
      <c r="Q10" s="1053" t="s">
        <v>634</v>
      </c>
      <c r="R10" s="1100">
        <f>SUM(R8:R9)</f>
        <v>921444</v>
      </c>
      <c r="U10" s="1053">
        <v>1869</v>
      </c>
      <c r="V10" s="1082">
        <f t="shared" si="7"/>
        <v>794</v>
      </c>
      <c r="W10" s="1083">
        <f t="shared" si="8"/>
        <v>0.42482611021936867</v>
      </c>
    </row>
    <row r="11" spans="1:23" ht="12.75" customHeight="1">
      <c r="A11" s="1096" t="str">
        <f>A7</f>
        <v>LIHTC</v>
      </c>
      <c r="B11" s="1703"/>
      <c r="C11" s="1252">
        <f>IFERROR(VLOOKUP(D11,'[1]Unit Mix'!$V$7:$W$21,2,FALSE),0)</f>
        <v>3</v>
      </c>
      <c r="D11" s="1249" t="s">
        <v>635</v>
      </c>
      <c r="E11" s="1253">
        <f>IF(OR(LEFT(D11,1)="0",LEFT(D11,1)="1"),1,2)</f>
        <v>2</v>
      </c>
      <c r="F11" s="1088">
        <v>1</v>
      </c>
      <c r="G11" s="1089" t="e">
        <f>IF(OR(F11=0,F11=""),0,SUMIF('[1]Unit Mix'!$V$7:$V$21,D11,'[1]Unit Mix'!$X$7:$X$21))</f>
        <v>#VALUE!</v>
      </c>
      <c r="H11" s="1090" t="e">
        <f>G11*F11</f>
        <v>#VALUE!</v>
      </c>
      <c r="I11" s="1091">
        <f t="shared" si="1"/>
        <v>881</v>
      </c>
      <c r="J11" s="1251">
        <v>975</v>
      </c>
      <c r="K11" s="1090">
        <f>IFERROR(IF(F11=0,"",F11*J11),0)</f>
        <v>975</v>
      </c>
      <c r="L11" s="1093">
        <f>IF(F11=0,"",IFERROR(J11/G11,0))</f>
        <v>0</v>
      </c>
      <c r="M11" s="1094">
        <f t="shared" si="4"/>
        <v>52960</v>
      </c>
      <c r="N11" s="1095">
        <f>IF(F11=0,"",M11/2080)</f>
        <v>25.46153846153846</v>
      </c>
      <c r="O11" s="1706"/>
      <c r="P11" s="1081">
        <f t="shared" si="6"/>
        <v>662</v>
      </c>
      <c r="Q11" s="1053" t="s">
        <v>636</v>
      </c>
      <c r="R11" s="1067">
        <f>-(GrossOpEx-PropTaxes-ReplRes)</f>
        <v>-402315.65</v>
      </c>
      <c r="U11" s="1053">
        <v>1758</v>
      </c>
      <c r="V11" s="1082">
        <f t="shared" si="7"/>
        <v>783</v>
      </c>
      <c r="W11" s="1083">
        <f t="shared" si="8"/>
        <v>0.44539249146757681</v>
      </c>
    </row>
    <row r="12" spans="1:23" ht="12.75" customHeight="1">
      <c r="A12" s="1096" t="str">
        <f>A8</f>
        <v>LIHTC</v>
      </c>
      <c r="B12" s="1703"/>
      <c r="C12" s="1248">
        <f>IFERROR(VLOOKUP(D12,'[1]Unit Mix'!$V$7:$W$21,2,FALSE),0)</f>
        <v>2</v>
      </c>
      <c r="D12" s="1249" t="s">
        <v>637</v>
      </c>
      <c r="E12" s="1250">
        <f t="shared" si="9"/>
        <v>2</v>
      </c>
      <c r="F12" s="1088">
        <v>1</v>
      </c>
      <c r="G12" s="1089" t="e">
        <f>IF(OR(F12=0,F12=""),0,SUMIF('[1]Unit Mix'!$V$7:$V$21,D12,'[1]Unit Mix'!$X$7:$X$21))</f>
        <v>#VALUE!</v>
      </c>
      <c r="H12" s="1090" t="e">
        <f t="shared" si="0"/>
        <v>#VALUE!</v>
      </c>
      <c r="I12" s="1091">
        <f t="shared" si="1"/>
        <v>786</v>
      </c>
      <c r="J12" s="1251">
        <v>855</v>
      </c>
      <c r="K12" s="1090">
        <f t="shared" si="2"/>
        <v>855</v>
      </c>
      <c r="L12" s="1093">
        <f t="shared" si="3"/>
        <v>0</v>
      </c>
      <c r="M12" s="1094">
        <f t="shared" si="4"/>
        <v>45360</v>
      </c>
      <c r="N12" s="1095">
        <f t="shared" si="5"/>
        <v>21.807692307692307</v>
      </c>
      <c r="O12" s="1706"/>
      <c r="P12" s="1081">
        <f t="shared" si="6"/>
        <v>567</v>
      </c>
      <c r="Q12" s="1254">
        <v>1</v>
      </c>
      <c r="R12" s="1067">
        <f>-PropTaxes</f>
        <v>-87345.622000000003</v>
      </c>
      <c r="U12" s="1053">
        <v>1438</v>
      </c>
      <c r="V12" s="1082">
        <f t="shared" si="7"/>
        <v>583</v>
      </c>
      <c r="W12" s="1083">
        <f t="shared" si="8"/>
        <v>0.40542420027816412</v>
      </c>
    </row>
    <row r="13" spans="1:23" ht="12.75" customHeight="1" thickBot="1">
      <c r="A13" s="1102" t="str">
        <f>A12</f>
        <v>LIHTC</v>
      </c>
      <c r="B13" s="1704"/>
      <c r="C13" s="1103">
        <f>IFERROR(VLOOKUP(D13,'[1]Unit Mix'!$V$7:$W$21,2,FALSE),0)</f>
        <v>1</v>
      </c>
      <c r="D13" s="1104" t="s">
        <v>638</v>
      </c>
      <c r="E13" s="1105">
        <v>1</v>
      </c>
      <c r="F13" s="1106">
        <v>1</v>
      </c>
      <c r="G13" s="1107" t="e">
        <f>IF(OR(F13=0,F13=""),0,SUMIF('[1]Unit Mix'!$V$7:$V$21,D13,'[1]Unit Mix'!$X$7:$X$21))</f>
        <v>#VALUE!</v>
      </c>
      <c r="H13" s="1108" t="e">
        <f t="shared" si="0"/>
        <v>#VALUE!</v>
      </c>
      <c r="I13" s="1109">
        <f t="shared" si="1"/>
        <v>677</v>
      </c>
      <c r="J13" s="1110">
        <v>715</v>
      </c>
      <c r="K13" s="1108">
        <f t="shared" si="2"/>
        <v>715</v>
      </c>
      <c r="L13" s="1111">
        <f t="shared" si="3"/>
        <v>0</v>
      </c>
      <c r="M13" s="1112">
        <f t="shared" si="4"/>
        <v>37000</v>
      </c>
      <c r="N13" s="1113">
        <f t="shared" si="5"/>
        <v>17.78846153846154</v>
      </c>
      <c r="O13" s="1707"/>
      <c r="P13" s="1081">
        <f t="shared" si="6"/>
        <v>462.5</v>
      </c>
      <c r="Q13" s="1053" t="s">
        <v>639</v>
      </c>
      <c r="R13" s="1067">
        <f>-ReplRes</f>
        <v>-20000</v>
      </c>
      <c r="U13" s="1053">
        <v>1319</v>
      </c>
      <c r="V13" s="1082">
        <f t="shared" si="7"/>
        <v>604</v>
      </c>
      <c r="W13" s="1083">
        <f t="shared" si="8"/>
        <v>0.45792266868840031</v>
      </c>
    </row>
    <row r="14" spans="1:23" ht="12.75" customHeight="1" thickTop="1">
      <c r="A14" s="1114">
        <v>0.6</v>
      </c>
      <c r="B14" s="1702">
        <f>SUM(F14:F21)/TtlUnits</f>
        <v>0.51249999999999996</v>
      </c>
      <c r="C14" s="1255">
        <f>IFERROR(VLOOKUP(D14,'[1]Unit Mix'!$V$7:$W$21,2,FALSE),0)</f>
        <v>1</v>
      </c>
      <c r="D14" s="1115" t="str">
        <f t="shared" ref="D14:E29" si="10">D6</f>
        <v>A</v>
      </c>
      <c r="E14" s="1116">
        <f t="shared" si="10"/>
        <v>1</v>
      </c>
      <c r="F14" s="1117">
        <v>12</v>
      </c>
      <c r="G14" s="1118" t="e">
        <f>IF(OR(F14=0,F14=""),0,SUMIF('[1]Unit Mix'!$V$7:$V$21,D14,'[1]Unit Mix'!$X$7:$X$21))</f>
        <v>#VALUE!</v>
      </c>
      <c r="H14" s="1119" t="e">
        <f t="shared" si="0"/>
        <v>#VALUE!</v>
      </c>
      <c r="I14" s="1120">
        <f t="shared" ref="I14:I21" si="11">IFERROR(IF(F14=0,0,HLOOKUP(C14,$K$32:$O$53,10,FALSE)),0)</f>
        <v>855</v>
      </c>
      <c r="J14" s="1121">
        <v>850</v>
      </c>
      <c r="K14" s="1122">
        <f t="shared" si="2"/>
        <v>10200</v>
      </c>
      <c r="L14" s="1123">
        <f t="shared" si="3"/>
        <v>0</v>
      </c>
      <c r="M14" s="1124">
        <f t="shared" si="4"/>
        <v>42400</v>
      </c>
      <c r="N14" s="1125">
        <f t="shared" si="5"/>
        <v>20.384615384615383</v>
      </c>
      <c r="O14" s="1705" t="str">
        <f>Tenancy</f>
        <v>Family</v>
      </c>
      <c r="P14" s="1081">
        <f t="shared" si="6"/>
        <v>6360</v>
      </c>
      <c r="Q14" s="1053" t="s">
        <v>640</v>
      </c>
      <c r="R14" s="1097">
        <f>SUM(R11:R13)</f>
        <v>-509661.272</v>
      </c>
      <c r="U14" s="1053">
        <v>1319</v>
      </c>
      <c r="V14" s="1082">
        <f t="shared" si="7"/>
        <v>469</v>
      </c>
      <c r="W14" s="1083">
        <f t="shared" si="8"/>
        <v>0.35557240333586049</v>
      </c>
    </row>
    <row r="15" spans="1:23" ht="12.75" customHeight="1" thickBot="1">
      <c r="A15" s="1126" t="s">
        <v>205</v>
      </c>
      <c r="B15" s="1703"/>
      <c r="C15" s="1256">
        <f>IFERROR(VLOOKUP(D15,'[1]Unit Mix'!$V$7:$W$21,2,FALSE),0)</f>
        <v>2</v>
      </c>
      <c r="D15" s="1257" t="str">
        <f t="shared" si="10"/>
        <v>B</v>
      </c>
      <c r="E15" s="1258">
        <f t="shared" si="10"/>
        <v>2</v>
      </c>
      <c r="F15" s="1088">
        <v>16</v>
      </c>
      <c r="G15" s="1129" t="e">
        <f>IF(OR(F15=0,F15=""),0,SUMIF('[1]Unit Mix'!$V$7:$V$21,D15,'[1]Unit Mix'!$X$7:$X$21))</f>
        <v>#VALUE!</v>
      </c>
      <c r="H15" s="1130" t="e">
        <f t="shared" si="0"/>
        <v>#VALUE!</v>
      </c>
      <c r="I15" s="1091">
        <f t="shared" si="11"/>
        <v>999</v>
      </c>
      <c r="J15" s="1251">
        <v>1000</v>
      </c>
      <c r="K15" s="1090">
        <f t="shared" si="2"/>
        <v>16000</v>
      </c>
      <c r="L15" s="1093">
        <f t="shared" si="3"/>
        <v>0</v>
      </c>
      <c r="M15" s="1131">
        <f t="shared" si="4"/>
        <v>51160</v>
      </c>
      <c r="N15" s="1132">
        <f t="shared" si="5"/>
        <v>24.596153846153847</v>
      </c>
      <c r="O15" s="1706"/>
      <c r="P15" s="1081">
        <f t="shared" si="6"/>
        <v>10232</v>
      </c>
      <c r="Q15" s="1053" t="s">
        <v>641</v>
      </c>
      <c r="R15" s="1133">
        <f>R10+R14</f>
        <v>411782.728</v>
      </c>
      <c r="U15" s="1053">
        <v>1438</v>
      </c>
      <c r="V15" s="1082">
        <f t="shared" si="7"/>
        <v>438</v>
      </c>
      <c r="W15" s="1083">
        <f t="shared" si="8"/>
        <v>0.30458970792767731</v>
      </c>
    </row>
    <row r="16" spans="1:23" ht="12.75" customHeight="1" thickTop="1">
      <c r="A16" s="1134" t="str">
        <f>A15</f>
        <v>LIHTC</v>
      </c>
      <c r="B16" s="1703"/>
      <c r="C16" s="1256">
        <f>IFERROR(VLOOKUP(D16,'[1]Unit Mix'!$V$7:$W$21,2,FALSE),0)</f>
        <v>3</v>
      </c>
      <c r="D16" s="1257" t="str">
        <f t="shared" si="10"/>
        <v>C</v>
      </c>
      <c r="E16" s="1258">
        <f t="shared" si="10"/>
        <v>2</v>
      </c>
      <c r="F16" s="1088">
        <v>8</v>
      </c>
      <c r="G16" s="1129" t="e">
        <f>IF(OR(F16=0,F16=""),0,SUMIF('[1]Unit Mix'!$V$7:$V$21,D16,'[1]Unit Mix'!$X$7:$X$21))</f>
        <v>#VALUE!</v>
      </c>
      <c r="H16" s="1130" t="e">
        <f t="shared" si="0"/>
        <v>#VALUE!</v>
      </c>
      <c r="I16" s="1091">
        <f t="shared" si="11"/>
        <v>1127</v>
      </c>
      <c r="J16" s="1251">
        <v>1100</v>
      </c>
      <c r="K16" s="1090">
        <f t="shared" si="2"/>
        <v>8800</v>
      </c>
      <c r="L16" s="1093">
        <f t="shared" si="3"/>
        <v>0</v>
      </c>
      <c r="M16" s="1131">
        <f t="shared" si="4"/>
        <v>57960</v>
      </c>
      <c r="N16" s="1132">
        <f t="shared" si="5"/>
        <v>27.865384615384617</v>
      </c>
      <c r="O16" s="1706"/>
      <c r="P16" s="1081">
        <f t="shared" si="6"/>
        <v>5796</v>
      </c>
      <c r="R16" s="1067">
        <f>R15-NOI</f>
        <v>0</v>
      </c>
      <c r="U16" s="1053">
        <v>1758</v>
      </c>
      <c r="V16" s="1082">
        <f t="shared" si="7"/>
        <v>658</v>
      </c>
      <c r="W16" s="1083">
        <f t="shared" si="8"/>
        <v>0.37428896473265072</v>
      </c>
    </row>
    <row r="17" spans="1:23" ht="12.75" customHeight="1" thickBot="1">
      <c r="A17" s="1134" t="str">
        <f>A13</f>
        <v>LIHTC</v>
      </c>
      <c r="B17" s="1703"/>
      <c r="C17" s="1259">
        <f>IFERROR(VLOOKUP(D17,'[1]Unit Mix'!$V$7:$W$21,2,FALSE),0)</f>
        <v>4</v>
      </c>
      <c r="D17" s="1260" t="str">
        <f t="shared" si="10"/>
        <v>D</v>
      </c>
      <c r="E17" s="1258">
        <f t="shared" si="10"/>
        <v>2</v>
      </c>
      <c r="F17" s="1088">
        <v>5</v>
      </c>
      <c r="G17" s="1129" t="e">
        <f>IF(OR(F17=0,F17=""),0,SUMIF('[1]Unit Mix'!$V$7:$V$21,D17,'[1]Unit Mix'!$X$7:$X$21))</f>
        <v>#VALUE!</v>
      </c>
      <c r="H17" s="1130" t="e">
        <f>G17*F17</f>
        <v>#VALUE!</v>
      </c>
      <c r="I17" s="1091">
        <f t="shared" si="11"/>
        <v>1647</v>
      </c>
      <c r="J17" s="1251">
        <v>1200</v>
      </c>
      <c r="K17" s="1090">
        <f>IFERROR(IF(F17=0,"",F17*J17),0)</f>
        <v>6000</v>
      </c>
      <c r="L17" s="1093">
        <f>IF(F17=0,"",IFERROR(J17/G17,0))</f>
        <v>0</v>
      </c>
      <c r="M17" s="1131">
        <f t="shared" si="4"/>
        <v>48000</v>
      </c>
      <c r="N17" s="1132">
        <f>IF(F17=0,"",M17/2080)</f>
        <v>23.076923076923077</v>
      </c>
      <c r="O17" s="1706"/>
      <c r="P17" s="1081">
        <f t="shared" si="6"/>
        <v>3000</v>
      </c>
      <c r="Q17" s="1082"/>
      <c r="U17" s="1053">
        <v>1869</v>
      </c>
      <c r="V17" s="1082">
        <f t="shared" si="7"/>
        <v>669</v>
      </c>
      <c r="W17" s="1083">
        <f t="shared" si="8"/>
        <v>0.3579454253611557</v>
      </c>
    </row>
    <row r="18" spans="1:23" ht="12.75" customHeight="1" thickTop="1">
      <c r="A18" s="1096">
        <f>A14</f>
        <v>0.6</v>
      </c>
      <c r="B18" s="1703"/>
      <c r="C18" s="1252">
        <f>IFERROR(VLOOKUP(D18,'[1]Unit Mix'!$V$7:$W$21,2,FALSE),0)</f>
        <v>4</v>
      </c>
      <c r="D18" s="1260" t="str">
        <f t="shared" si="10"/>
        <v>E</v>
      </c>
      <c r="E18" s="1258">
        <f t="shared" si="10"/>
        <v>2</v>
      </c>
      <c r="F18" s="1088">
        <v>0</v>
      </c>
      <c r="G18" s="1129">
        <f>IF(OR(F18=0,F18=""),0,SUMIF('[1]Unit Mix'!$V$7:$V$21,D18,'[1]Unit Mix'!$X$7:$X$21))</f>
        <v>0</v>
      </c>
      <c r="H18" s="1130">
        <f>G18*F18</f>
        <v>0</v>
      </c>
      <c r="I18" s="1091">
        <f t="shared" si="11"/>
        <v>0</v>
      </c>
      <c r="J18" s="1251"/>
      <c r="K18" s="1090" t="str">
        <f>IFERROR(IF(F18=0,"",F18*J18),0)</f>
        <v/>
      </c>
      <c r="L18" s="1093" t="str">
        <f>IF(F18=0,"",IFERROR(J18/G18,0))</f>
        <v/>
      </c>
      <c r="M18" s="1131" t="str">
        <f t="shared" si="4"/>
        <v/>
      </c>
      <c r="N18" s="1132" t="str">
        <f>IF(F18=0,"",M18/2080)</f>
        <v/>
      </c>
      <c r="O18" s="1706"/>
      <c r="P18" s="1081" t="str">
        <f t="shared" si="6"/>
        <v/>
      </c>
      <c r="Q18" s="1708" t="s">
        <v>671</v>
      </c>
      <c r="R18" s="1709"/>
      <c r="V18" s="1082"/>
      <c r="W18" s="1083"/>
    </row>
    <row r="19" spans="1:23" ht="12.75" customHeight="1">
      <c r="A19" s="1096" t="str">
        <f>A15</f>
        <v>LIHTC</v>
      </c>
      <c r="B19" s="1703"/>
      <c r="C19" s="1252">
        <f>IFERROR(VLOOKUP(D19,'[1]Unit Mix'!$V$7:$W$21,2,FALSE),0)</f>
        <v>3</v>
      </c>
      <c r="D19" s="1260" t="str">
        <f t="shared" si="10"/>
        <v>F</v>
      </c>
      <c r="E19" s="1258">
        <f t="shared" si="10"/>
        <v>2</v>
      </c>
      <c r="F19" s="1088"/>
      <c r="G19" s="1129">
        <f>IF(OR(F19=0,F19=""),0,SUMIF('[1]Unit Mix'!$V$7:$V$21,D19,'[1]Unit Mix'!$X$7:$X$21))</f>
        <v>0</v>
      </c>
      <c r="H19" s="1130">
        <f>G19*F19</f>
        <v>0</v>
      </c>
      <c r="I19" s="1091">
        <f t="shared" si="11"/>
        <v>0</v>
      </c>
      <c r="J19" s="1251"/>
      <c r="K19" s="1090" t="str">
        <f>IFERROR(IF(F19=0,"",F19*J19),0)</f>
        <v/>
      </c>
      <c r="L19" s="1093" t="str">
        <f>IF(F19=0,"",IFERROR(J19/G19,0))</f>
        <v/>
      </c>
      <c r="M19" s="1131" t="str">
        <f t="shared" si="4"/>
        <v/>
      </c>
      <c r="N19" s="1132" t="str">
        <f>IF(F19=0,"",M19/2080)</f>
        <v/>
      </c>
      <c r="O19" s="1706"/>
      <c r="P19" s="1081" t="str">
        <f t="shared" si="6"/>
        <v/>
      </c>
      <c r="Q19" s="1710"/>
      <c r="R19" s="1711"/>
      <c r="V19" s="1082"/>
      <c r="W19" s="1083"/>
    </row>
    <row r="20" spans="1:23" ht="12.75" customHeight="1">
      <c r="A20" s="1096" t="str">
        <f>A16</f>
        <v>LIHTC</v>
      </c>
      <c r="B20" s="1703"/>
      <c r="C20" s="1248">
        <f>IFERROR(VLOOKUP(D20,'[1]Unit Mix'!$V$7:$W$21,2,FALSE),0)</f>
        <v>2</v>
      </c>
      <c r="D20" s="1257" t="str">
        <f t="shared" si="10"/>
        <v>G</v>
      </c>
      <c r="E20" s="1258">
        <f t="shared" si="10"/>
        <v>2</v>
      </c>
      <c r="F20" s="1088"/>
      <c r="G20" s="1129">
        <f>IF(OR(F20=0,F20=""),0,SUMIF('[1]Unit Mix'!$V$7:$V$21,D20,'[1]Unit Mix'!$X$7:$X$21))</f>
        <v>0</v>
      </c>
      <c r="H20" s="1130">
        <f t="shared" si="0"/>
        <v>0</v>
      </c>
      <c r="I20" s="1091">
        <f t="shared" si="11"/>
        <v>0</v>
      </c>
      <c r="J20" s="1251"/>
      <c r="K20" s="1090" t="str">
        <f t="shared" si="2"/>
        <v/>
      </c>
      <c r="L20" s="1093" t="str">
        <f t="shared" si="3"/>
        <v/>
      </c>
      <c r="M20" s="1131" t="str">
        <f t="shared" si="4"/>
        <v/>
      </c>
      <c r="N20" s="1132" t="str">
        <f t="shared" si="5"/>
        <v/>
      </c>
      <c r="O20" s="1706"/>
      <c r="P20" s="1081" t="str">
        <f t="shared" si="6"/>
        <v/>
      </c>
      <c r="Q20" s="1136" t="s">
        <v>642</v>
      </c>
      <c r="R20" s="1137"/>
      <c r="V20" s="1082"/>
      <c r="W20" s="1083"/>
    </row>
    <row r="21" spans="1:23" ht="12.75" customHeight="1" thickBot="1">
      <c r="A21" s="1102" t="str">
        <f>A20</f>
        <v>LIHTC</v>
      </c>
      <c r="B21" s="1704"/>
      <c r="C21" s="1103">
        <f>IFERROR(VLOOKUP(D21,'[1]Unit Mix'!$V$7:$W$21,2,FALSE),0)</f>
        <v>1</v>
      </c>
      <c r="D21" s="1138" t="str">
        <f t="shared" si="10"/>
        <v>H</v>
      </c>
      <c r="E21" s="1139">
        <f t="shared" si="10"/>
        <v>1</v>
      </c>
      <c r="F21" s="1106"/>
      <c r="G21" s="1140">
        <f>IF(OR(F21=0,F21=""),0,SUMIF('[1]Unit Mix'!$V$7:$V$21,D21,'[1]Unit Mix'!$X$7:$X$21))</f>
        <v>0</v>
      </c>
      <c r="H21" s="1141">
        <f t="shared" si="0"/>
        <v>0</v>
      </c>
      <c r="I21" s="1109">
        <f t="shared" si="11"/>
        <v>0</v>
      </c>
      <c r="J21" s="1110"/>
      <c r="K21" s="1108" t="str">
        <f t="shared" si="2"/>
        <v/>
      </c>
      <c r="L21" s="1111" t="str">
        <f t="shared" si="3"/>
        <v/>
      </c>
      <c r="M21" s="1142" t="str">
        <f t="shared" si="4"/>
        <v/>
      </c>
      <c r="N21" s="1113" t="str">
        <f t="shared" si="5"/>
        <v/>
      </c>
      <c r="O21" s="1707"/>
      <c r="P21" s="1081" t="str">
        <f t="shared" si="6"/>
        <v/>
      </c>
      <c r="Q21" s="1712" t="s">
        <v>672</v>
      </c>
      <c r="R21" s="1713"/>
      <c r="V21" s="1082"/>
      <c r="W21" s="1083"/>
    </row>
    <row r="22" spans="1:23" ht="12.75" customHeight="1" thickTop="1" thickBot="1">
      <c r="A22" s="1114">
        <v>1</v>
      </c>
      <c r="B22" s="1702" t="e">
        <f>SUM(F22:F29)/TtlUnits</f>
        <v>#VALUE!</v>
      </c>
      <c r="C22" s="1245">
        <f>IFERROR(VLOOKUP(D22,'[1]Unit Mix'!$V$7:$W$21,2,FALSE),0)</f>
        <v>1</v>
      </c>
      <c r="D22" s="1115" t="str">
        <f t="shared" si="10"/>
        <v>A</v>
      </c>
      <c r="E22" s="1116">
        <f t="shared" si="10"/>
        <v>1</v>
      </c>
      <c r="F22" s="1117">
        <v>5</v>
      </c>
      <c r="G22" s="1145" t="e">
        <f>IF(OR(F22=0,F22=""),0,SUMIF('[1]Unit Mix'!$V$7:$V$21,D22,'[1]Unit Mix'!$X$7:$X$21))</f>
        <v>#VALUE!</v>
      </c>
      <c r="H22" s="1122" t="e">
        <f t="shared" si="0"/>
        <v>#VALUE!</v>
      </c>
      <c r="I22" s="1146">
        <f t="shared" ref="I22:I29" si="12">IFERROR(HLOOKUP(C22,$K$32:$O$53,4,FALSE),"N/A")</f>
        <v>322</v>
      </c>
      <c r="J22" s="1121">
        <v>1175</v>
      </c>
      <c r="K22" s="1122">
        <f t="shared" si="2"/>
        <v>5875</v>
      </c>
      <c r="L22" s="1123">
        <f t="shared" si="3"/>
        <v>0</v>
      </c>
      <c r="M22" s="1147">
        <f t="shared" si="4"/>
        <v>55400</v>
      </c>
      <c r="N22" s="1148">
        <f t="shared" si="5"/>
        <v>26.634615384615383</v>
      </c>
      <c r="O22" s="1705" t="str">
        <f>Tenancy</f>
        <v>Family</v>
      </c>
      <c r="P22" s="1081">
        <f t="shared" si="6"/>
        <v>3462.5</v>
      </c>
      <c r="Q22" s="1714"/>
      <c r="R22" s="1715"/>
      <c r="U22" s="1053">
        <v>1319</v>
      </c>
      <c r="V22" s="1082">
        <f t="shared" si="7"/>
        <v>144</v>
      </c>
      <c r="W22" s="1083">
        <f t="shared" si="8"/>
        <v>0.10917361637604246</v>
      </c>
    </row>
    <row r="23" spans="1:23" ht="12.75" customHeight="1" thickTop="1">
      <c r="A23" s="1149">
        <f t="shared" ref="A23:A29" si="13">A22</f>
        <v>1</v>
      </c>
      <c r="B23" s="1703"/>
      <c r="C23" s="1248">
        <f>IFERROR(VLOOKUP(D23,'[1]Unit Mix'!$V$7:$W$21,2,FALSE),0)</f>
        <v>2</v>
      </c>
      <c r="D23" s="1257" t="str">
        <f t="shared" si="10"/>
        <v>B</v>
      </c>
      <c r="E23" s="1258">
        <f t="shared" si="10"/>
        <v>2</v>
      </c>
      <c r="F23" s="1088">
        <v>7</v>
      </c>
      <c r="G23" s="1089" t="e">
        <f>IF(OR(F23=0,F23=""),0,SUMIF('[1]Unit Mix'!$V$7:$V$21,D23,'[1]Unit Mix'!$X$7:$X$21))</f>
        <v>#VALUE!</v>
      </c>
      <c r="H23" s="1090" t="e">
        <f t="shared" si="0"/>
        <v>#VALUE!</v>
      </c>
      <c r="I23" s="1150">
        <f t="shared" si="12"/>
        <v>149</v>
      </c>
      <c r="J23" s="1251">
        <v>1275</v>
      </c>
      <c r="K23" s="1090">
        <f t="shared" si="2"/>
        <v>8925</v>
      </c>
      <c r="L23" s="1093">
        <f t="shared" si="3"/>
        <v>0</v>
      </c>
      <c r="M23" s="1094">
        <f t="shared" si="4"/>
        <v>62160</v>
      </c>
      <c r="N23" s="1095">
        <f t="shared" si="5"/>
        <v>29.884615384615383</v>
      </c>
      <c r="O23" s="1706"/>
      <c r="P23" s="1081">
        <f t="shared" si="6"/>
        <v>5439</v>
      </c>
      <c r="U23" s="1053">
        <v>1438</v>
      </c>
      <c r="V23" s="1082">
        <f t="shared" si="7"/>
        <v>163</v>
      </c>
      <c r="W23" s="1083">
        <f t="shared" si="8"/>
        <v>0.1133518776077886</v>
      </c>
    </row>
    <row r="24" spans="1:23" ht="12.75" customHeight="1">
      <c r="A24" s="1096">
        <f t="shared" si="13"/>
        <v>1</v>
      </c>
      <c r="B24" s="1703"/>
      <c r="C24" s="1248">
        <f>IFERROR(VLOOKUP(D24,'[1]Unit Mix'!$V$7:$W$21,2,FALSE),0)</f>
        <v>3</v>
      </c>
      <c r="D24" s="1257" t="str">
        <f t="shared" si="10"/>
        <v>C</v>
      </c>
      <c r="E24" s="1258">
        <f t="shared" si="10"/>
        <v>2</v>
      </c>
      <c r="F24" s="1088">
        <v>4</v>
      </c>
      <c r="G24" s="1089" t="e">
        <f>IF(OR(F24=0,F24=""),0,SUMIF('[1]Unit Mix'!$V$7:$V$21,D24,'[1]Unit Mix'!$X$7:$X$21))</f>
        <v>#VALUE!</v>
      </c>
      <c r="H24" s="1090" t="e">
        <f t="shared" si="0"/>
        <v>#VALUE!</v>
      </c>
      <c r="I24" s="1150">
        <f t="shared" si="12"/>
        <v>145</v>
      </c>
      <c r="J24" s="1251">
        <v>1450</v>
      </c>
      <c r="K24" s="1090">
        <f t="shared" si="2"/>
        <v>5800</v>
      </c>
      <c r="L24" s="1093">
        <f t="shared" si="3"/>
        <v>0</v>
      </c>
      <c r="M24" s="1094">
        <f t="shared" si="4"/>
        <v>71960</v>
      </c>
      <c r="N24" s="1095">
        <f t="shared" si="5"/>
        <v>34.596153846153847</v>
      </c>
      <c r="O24" s="1706"/>
      <c r="P24" s="1151">
        <f t="shared" si="6"/>
        <v>3598</v>
      </c>
      <c r="Q24" s="1698" t="s">
        <v>643</v>
      </c>
      <c r="R24" s="1699"/>
      <c r="U24" s="1053">
        <v>1758</v>
      </c>
      <c r="V24" s="1082">
        <f t="shared" si="7"/>
        <v>308</v>
      </c>
      <c r="W24" s="1083">
        <f t="shared" si="8"/>
        <v>0.1751990898748578</v>
      </c>
    </row>
    <row r="25" spans="1:23" ht="12.75" customHeight="1">
      <c r="A25" s="1096">
        <f t="shared" si="13"/>
        <v>1</v>
      </c>
      <c r="B25" s="1703"/>
      <c r="C25" s="1252">
        <f>IFERROR(VLOOKUP(D25,'[1]Unit Mix'!$V$7:$W$21,2,FALSE),0)</f>
        <v>4</v>
      </c>
      <c r="D25" s="1260" t="str">
        <f t="shared" si="10"/>
        <v>D</v>
      </c>
      <c r="E25" s="1258">
        <f t="shared" si="10"/>
        <v>2</v>
      </c>
      <c r="F25" s="1088">
        <v>1</v>
      </c>
      <c r="G25" s="1089" t="e">
        <f>IF(OR(F25=0,F25=""),0,SUMIF('[1]Unit Mix'!$V$7:$V$21,D25,'[1]Unit Mix'!$X$7:$X$21))</f>
        <v>#VALUE!</v>
      </c>
      <c r="H25" s="1090" t="e">
        <f>G25*F25</f>
        <v>#VALUE!</v>
      </c>
      <c r="I25" s="1150">
        <f t="shared" si="12"/>
        <v>823</v>
      </c>
      <c r="J25" s="1251">
        <v>1550</v>
      </c>
      <c r="K25" s="1090">
        <f>IFERROR(IF(F25=0,"",F25*J25),0)</f>
        <v>1550</v>
      </c>
      <c r="L25" s="1093">
        <f>IF(F25=0,"",IFERROR(J25/G25,0))</f>
        <v>0</v>
      </c>
      <c r="M25" s="1094">
        <f t="shared" si="4"/>
        <v>62000</v>
      </c>
      <c r="N25" s="1095">
        <f>IF(F25=0,"",M25/2080)</f>
        <v>29.807692307692307</v>
      </c>
      <c r="O25" s="1706"/>
      <c r="P25" s="1151">
        <f t="shared" si="6"/>
        <v>775</v>
      </c>
      <c r="Q25" s="1261" t="str">
        <f t="shared" ref="Q25:Q32" si="14">D6</f>
        <v>A</v>
      </c>
      <c r="R25" s="1262" t="str">
        <f>IFERROR(($A$6*(F6/(SUMIF('[1]Unit Mix'!$C$5:$Q$5,Q25,'[1]Unit Mix'!$C$7:$Q$7)-F22)))+($A$14*(F14/(SUMIF('[1]Unit Mix'!$C$5:$Q$5,Q25,'[1]Unit Mix'!$C$7:$Q$7)-F22))),"N/A")</f>
        <v>N/A</v>
      </c>
      <c r="U25" s="1053">
        <v>1869</v>
      </c>
      <c r="V25" s="1082">
        <f t="shared" si="7"/>
        <v>319</v>
      </c>
      <c r="W25" s="1083">
        <f t="shared" si="8"/>
        <v>0.17067950775815943</v>
      </c>
    </row>
    <row r="26" spans="1:23" ht="12.75" customHeight="1">
      <c r="A26" s="1096">
        <f t="shared" si="13"/>
        <v>1</v>
      </c>
      <c r="B26" s="1703"/>
      <c r="C26" s="1252">
        <f>IFERROR(VLOOKUP(D26,'[1]Unit Mix'!$V$7:$W$21,2,FALSE),0)</f>
        <v>4</v>
      </c>
      <c r="D26" s="1260" t="str">
        <f t="shared" si="10"/>
        <v>E</v>
      </c>
      <c r="E26" s="1258">
        <f t="shared" si="10"/>
        <v>2</v>
      </c>
      <c r="F26" s="1088" t="e">
        <f>SUMIF('[1]Unit Mix'!$V$7:$V$21,D26,'[1]Unit Mix'!$AA$7:$AA$21)</f>
        <v>#VALUE!</v>
      </c>
      <c r="G26" s="1089" t="e">
        <f>IF(OR(F26=0,F26=""),0,SUMIF('[1]Unit Mix'!$V$7:$V$21,D26,'[1]Unit Mix'!$X$7:$X$21))</f>
        <v>#VALUE!</v>
      </c>
      <c r="H26" s="1090" t="e">
        <f>G26*F26</f>
        <v>#VALUE!</v>
      </c>
      <c r="I26" s="1150">
        <f t="shared" si="12"/>
        <v>823</v>
      </c>
      <c r="J26" s="1251" t="e">
        <f>IF(F26=0,0,SUMIF('[1]Unit Mix'!$V$7:$V$21,D26,'[1]Unit Mix'!$Z$7:$Z$21))</f>
        <v>#VALUE!</v>
      </c>
      <c r="K26" s="1090">
        <f>IFERROR(IF(F26=0,"",F26*J26),0)</f>
        <v>0</v>
      </c>
      <c r="L26" s="1093" t="e">
        <f>IF(F26=0,"",IFERROR(J26/G26,0))</f>
        <v>#VALUE!</v>
      </c>
      <c r="M26" s="1094" t="e">
        <f t="shared" si="4"/>
        <v>#VALUE!</v>
      </c>
      <c r="N26" s="1095" t="e">
        <f>IF(F26=0,"",M26/2080)</f>
        <v>#VALUE!</v>
      </c>
      <c r="O26" s="1706"/>
      <c r="P26" s="1053" t="e">
        <f t="shared" si="6"/>
        <v>#VALUE!</v>
      </c>
      <c r="Q26" s="1261" t="str">
        <f t="shared" si="14"/>
        <v>B</v>
      </c>
      <c r="R26" s="1262" t="str">
        <f>IFERROR(($A$6*(F7/(SUMIF('[1]Unit Mix'!$C$5:$Q$5,Q26,'[1]Unit Mix'!$C$7:$Q$7)-F23)))+($A$14*(F15/(SUMIF('[1]Unit Mix'!$C$5:$Q$5,Q26,'[1]Unit Mix'!$C$7:$Q$7)-F23))),"N/A")</f>
        <v>N/A</v>
      </c>
    </row>
    <row r="27" spans="1:23" ht="12.75" customHeight="1">
      <c r="A27" s="1096">
        <f t="shared" si="13"/>
        <v>1</v>
      </c>
      <c r="B27" s="1703"/>
      <c r="C27" s="1252">
        <f>IFERROR(VLOOKUP(D27,'[1]Unit Mix'!$V$7:$W$21,2,FALSE),0)</f>
        <v>3</v>
      </c>
      <c r="D27" s="1260" t="str">
        <f t="shared" si="10"/>
        <v>F</v>
      </c>
      <c r="E27" s="1258">
        <f t="shared" si="10"/>
        <v>2</v>
      </c>
      <c r="F27" s="1088" t="e">
        <f>SUMIF('[1]Unit Mix'!$V$7:$V$21,D27,'[1]Unit Mix'!$AA$7:$AA$21)</f>
        <v>#VALUE!</v>
      </c>
      <c r="G27" s="1089" t="e">
        <f>IF(OR(F27=0,F27=""),0,SUMIF('[1]Unit Mix'!$V$7:$V$21,D27,'[1]Unit Mix'!$X$7:$X$21))</f>
        <v>#VALUE!</v>
      </c>
      <c r="H27" s="1090" t="e">
        <f>G27*F27</f>
        <v>#VALUE!</v>
      </c>
      <c r="I27" s="1150">
        <f t="shared" si="12"/>
        <v>145</v>
      </c>
      <c r="J27" s="1251" t="e">
        <f>IF(F27=0,0,SUMIF('[1]Unit Mix'!$V$7:$V$21,D27,'[1]Unit Mix'!$Z$7:$Z$21))</f>
        <v>#VALUE!</v>
      </c>
      <c r="K27" s="1090">
        <f>IFERROR(IF(F27=0,"",F27*J27),0)</f>
        <v>0</v>
      </c>
      <c r="L27" s="1093" t="e">
        <f>IF(F27=0,"",IFERROR(J27/G27,0))</f>
        <v>#VALUE!</v>
      </c>
      <c r="M27" s="1094" t="e">
        <f t="shared" si="4"/>
        <v>#VALUE!</v>
      </c>
      <c r="N27" s="1095" t="e">
        <f>IF(F27=0,"",M27/2080)</f>
        <v>#VALUE!</v>
      </c>
      <c r="O27" s="1706"/>
      <c r="P27" s="1053" t="e">
        <f t="shared" si="6"/>
        <v>#VALUE!</v>
      </c>
      <c r="Q27" s="1261" t="str">
        <f t="shared" si="14"/>
        <v>C</v>
      </c>
      <c r="R27" s="1262" t="str">
        <f>IFERROR(($A$6*(F8/(SUMIF('[1]Unit Mix'!$C$5:$Q$5,Q27,'[1]Unit Mix'!$C$7:$Q$7)-F24)))+($A$14*(F16/(SUMIF('[1]Unit Mix'!$C$5:$Q$5,Q27,'[1]Unit Mix'!$C$7:$Q$7)-F24))),"N/A")</f>
        <v>N/A</v>
      </c>
    </row>
    <row r="28" spans="1:23" ht="12.75" customHeight="1">
      <c r="A28" s="1096">
        <f t="shared" si="13"/>
        <v>1</v>
      </c>
      <c r="B28" s="1703"/>
      <c r="C28" s="1248">
        <f>IFERROR(VLOOKUP(D28,'[1]Unit Mix'!$V$7:$W$21,2,FALSE),0)</f>
        <v>2</v>
      </c>
      <c r="D28" s="1257" t="str">
        <f t="shared" si="10"/>
        <v>G</v>
      </c>
      <c r="E28" s="1258">
        <f t="shared" si="10"/>
        <v>2</v>
      </c>
      <c r="F28" s="1088" t="e">
        <f>SUMIF('[1]Unit Mix'!$V$7:$V$21,D28,'[1]Unit Mix'!$AA$7:$AA$21)</f>
        <v>#VALUE!</v>
      </c>
      <c r="G28" s="1089" t="e">
        <f>IF(OR(F28=0,F28=""),0,SUMIF('[1]Unit Mix'!$V$7:$V$21,D28,'[1]Unit Mix'!$X$7:$X$21))</f>
        <v>#VALUE!</v>
      </c>
      <c r="H28" s="1090" t="e">
        <f t="shared" si="0"/>
        <v>#VALUE!</v>
      </c>
      <c r="I28" s="1150">
        <f t="shared" si="12"/>
        <v>149</v>
      </c>
      <c r="J28" s="1251" t="e">
        <f>IF(F28=0,0,SUMIF('[1]Unit Mix'!$V$7:$V$21,D28,'[1]Unit Mix'!$Z$7:$Z$21))</f>
        <v>#VALUE!</v>
      </c>
      <c r="K28" s="1090">
        <f t="shared" si="2"/>
        <v>0</v>
      </c>
      <c r="L28" s="1093" t="e">
        <f t="shared" si="3"/>
        <v>#VALUE!</v>
      </c>
      <c r="M28" s="1094" t="e">
        <f t="shared" si="4"/>
        <v>#VALUE!</v>
      </c>
      <c r="N28" s="1095" t="e">
        <f t="shared" si="5"/>
        <v>#VALUE!</v>
      </c>
      <c r="O28" s="1706"/>
      <c r="P28" s="1053" t="e">
        <f t="shared" si="6"/>
        <v>#VALUE!</v>
      </c>
      <c r="Q28" s="1261" t="str">
        <f t="shared" si="14"/>
        <v>D</v>
      </c>
      <c r="R28" s="1262" t="str">
        <f>IFERROR(($A$6*(F9/(SUMIF('[1]Unit Mix'!$C$5:$Q$5,Q28,'[1]Unit Mix'!$C$7:$Q$7)-F25)))+($A$14*(F17/(SUMIF('[1]Unit Mix'!$C$5:$Q$5,Q28,'[1]Unit Mix'!$C$7:$Q$7)-F25))),"N/A")</f>
        <v>N/A</v>
      </c>
    </row>
    <row r="29" spans="1:23" ht="12.75" customHeight="1" thickBot="1">
      <c r="A29" s="1102">
        <f t="shared" si="13"/>
        <v>1</v>
      </c>
      <c r="B29" s="1704"/>
      <c r="C29" s="1103">
        <f>IFERROR(VLOOKUP(D29,'[1]Unit Mix'!$V$7:$W$21,2,FALSE),0)</f>
        <v>1</v>
      </c>
      <c r="D29" s="1138" t="str">
        <f t="shared" si="10"/>
        <v>H</v>
      </c>
      <c r="E29" s="1139">
        <f t="shared" si="10"/>
        <v>1</v>
      </c>
      <c r="F29" s="1106" t="e">
        <f>SUMIF('[1]Unit Mix'!$V$7:$V$21,D29,'[1]Unit Mix'!$AA$7:$AA$21)</f>
        <v>#VALUE!</v>
      </c>
      <c r="G29" s="1107" t="e">
        <f>IF(OR(F29=0,F29=""),0,SUMIF('[1]Unit Mix'!$V$7:$V$21,D29,'[1]Unit Mix'!$X$7:$X$21))</f>
        <v>#VALUE!</v>
      </c>
      <c r="H29" s="1108" t="e">
        <f t="shared" si="0"/>
        <v>#VALUE!</v>
      </c>
      <c r="I29" s="1154">
        <f t="shared" si="12"/>
        <v>322</v>
      </c>
      <c r="J29" s="1110" t="e">
        <f>IF(F29=0,0,SUMIF('[1]Unit Mix'!$V$7:$V$21,D29,'[1]Unit Mix'!$Z$7:$Z$21))</f>
        <v>#VALUE!</v>
      </c>
      <c r="K29" s="1108">
        <f t="shared" si="2"/>
        <v>0</v>
      </c>
      <c r="L29" s="1111" t="e">
        <f t="shared" si="3"/>
        <v>#VALUE!</v>
      </c>
      <c r="M29" s="1112" t="e">
        <f t="shared" si="4"/>
        <v>#VALUE!</v>
      </c>
      <c r="N29" s="1113" t="e">
        <f t="shared" si="5"/>
        <v>#VALUE!</v>
      </c>
      <c r="O29" s="1707"/>
      <c r="P29" s="1053" t="e">
        <f t="shared" si="6"/>
        <v>#VALUE!</v>
      </c>
      <c r="Q29" s="1261" t="str">
        <f t="shared" si="14"/>
        <v>E</v>
      </c>
      <c r="R29" s="1262" t="str">
        <f>IFERROR(($A$6*(F10/(SUMIF('[1]Unit Mix'!$C$5:$Q$5,Q29,'[1]Unit Mix'!$C$7:$Q$7)-F26)))+($A$14*(F18/(SUMIF('[1]Unit Mix'!$C$5:$Q$5,Q29,'[1]Unit Mix'!$C$7:$Q$7)-F26))),"N/A")</f>
        <v>N/A</v>
      </c>
    </row>
    <row r="30" spans="1:23" ht="12.75" customHeight="1" thickTop="1" thickBot="1">
      <c r="A30" s="1155"/>
      <c r="B30" s="1067"/>
      <c r="C30" s="1067"/>
      <c r="D30" s="1067"/>
      <c r="E30" s="1156" t="s">
        <v>644</v>
      </c>
      <c r="F30" s="1157" t="e">
        <f>SUM(F6:F29)</f>
        <v>#VALUE!</v>
      </c>
      <c r="G30" s="1090"/>
      <c r="H30" s="1157" t="e">
        <f>SUM(H6:H29)</f>
        <v>#VALUE!</v>
      </c>
      <c r="I30" s="1090"/>
      <c r="J30" s="1090"/>
      <c r="K30" s="1157">
        <f>SUM(K6:K29)</f>
        <v>81900</v>
      </c>
      <c r="L30" s="1158"/>
      <c r="M30" s="1159" t="e">
        <f>SUM(P6:P29)</f>
        <v>#VALUE!</v>
      </c>
      <c r="N30" s="1160" t="s">
        <v>645</v>
      </c>
      <c r="Q30" s="1261" t="str">
        <f t="shared" si="14"/>
        <v>F</v>
      </c>
      <c r="R30" s="1262" t="str">
        <f>IFERROR(($A$6*(F11/(SUMIF('[1]Unit Mix'!$C$5:$Q$5,Q30,'[1]Unit Mix'!$C$7:$Q$7)-F27)))+($A$14*(F19/(SUMIF('[1]Unit Mix'!$C$5:$Q$5,Q30,'[1]Unit Mix'!$C$7:$Q$7)-F27))),"N/A")</f>
        <v>N/A</v>
      </c>
    </row>
    <row r="31" spans="1:23" ht="12.75" customHeight="1" thickTop="1" thickBot="1">
      <c r="E31" s="1161"/>
      <c r="F31" s="1162"/>
      <c r="G31" s="1162"/>
      <c r="H31" s="1163"/>
      <c r="I31" s="1090"/>
      <c r="J31" s="1164"/>
      <c r="M31" s="1055"/>
      <c r="N31" s="1055"/>
      <c r="Q31" s="1261" t="str">
        <f t="shared" si="14"/>
        <v>G</v>
      </c>
      <c r="R31" s="1262" t="str">
        <f>IFERROR(($A$6*(F12/(SUMIF('[1]Unit Mix'!$C$5:$Q$5,Q31,'[1]Unit Mix'!$C$7:$Q$7)-F28)))+($A$14*(F20/(SUMIF('[1]Unit Mix'!$C$5:$Q$5,Q31,'[1]Unit Mix'!$C$7:$Q$7)-F28))),"N/A")</f>
        <v>N/A</v>
      </c>
    </row>
    <row r="32" spans="1:23" ht="12.75" customHeight="1" thickTop="1" thickBot="1">
      <c r="A32" s="1165"/>
      <c r="B32" s="1166">
        <v>1</v>
      </c>
      <c r="C32" s="1167">
        <f>B32+1</f>
        <v>2</v>
      </c>
      <c r="D32" s="1167">
        <f>C32+1</f>
        <v>3</v>
      </c>
      <c r="E32" s="1167">
        <f>D32+1</f>
        <v>4</v>
      </c>
      <c r="F32" s="1167">
        <f>E32+1</f>
        <v>5</v>
      </c>
      <c r="G32" s="1168">
        <f>F32+1</f>
        <v>6</v>
      </c>
      <c r="J32" s="1169"/>
      <c r="K32" s="1170">
        <f>D43</f>
        <v>0</v>
      </c>
      <c r="L32" s="1171">
        <f>E43</f>
        <v>1</v>
      </c>
      <c r="M32" s="1171">
        <f>F43</f>
        <v>2</v>
      </c>
      <c r="N32" s="1171">
        <f>G43</f>
        <v>3</v>
      </c>
      <c r="O32" s="1172">
        <f>H43</f>
        <v>4</v>
      </c>
      <c r="Q32" s="1261" t="str">
        <f t="shared" si="14"/>
        <v>H</v>
      </c>
      <c r="R32" s="1262" t="str">
        <f>IFERROR(($A$6*(F13/(SUMIF('[1]Unit Mix'!$C$5:$Q$5,Q32,'[1]Unit Mix'!$C$7:$Q$7)-F29)))+($A$14*(F21/(SUMIF('[1]Unit Mix'!$C$5:$Q$5,Q32,'[1]Unit Mix'!$C$7:$Q$7)-F29))),"N/A")</f>
        <v>N/A</v>
      </c>
    </row>
    <row r="33" spans="1:18" ht="12.75" customHeight="1">
      <c r="A33" s="1173">
        <v>0.3</v>
      </c>
      <c r="B33" s="1174">
        <f t="shared" ref="B33:G34" si="15">ROUNDDOWN(B$35*($A33/$A$35),-1)</f>
        <v>19890</v>
      </c>
      <c r="C33" s="1263">
        <f t="shared" si="15"/>
        <v>22710</v>
      </c>
      <c r="D33" s="1263">
        <f t="shared" si="15"/>
        <v>25560</v>
      </c>
      <c r="E33" s="1263">
        <f t="shared" si="15"/>
        <v>28380</v>
      </c>
      <c r="F33" s="1263">
        <f t="shared" si="15"/>
        <v>30660</v>
      </c>
      <c r="G33" s="1176">
        <f t="shared" si="15"/>
        <v>32940</v>
      </c>
      <c r="H33" s="1177"/>
      <c r="J33" s="1136" t="s">
        <v>646</v>
      </c>
      <c r="K33" s="1178">
        <f>-D53</f>
        <v>0</v>
      </c>
      <c r="L33" s="1178">
        <f>-'Income (2)'!E53</f>
        <v>-210</v>
      </c>
      <c r="M33" s="1179">
        <f>-'Income (2)'!F53</f>
        <v>-279</v>
      </c>
      <c r="N33" s="1179">
        <f>-'Income (2)'!G53</f>
        <v>-349</v>
      </c>
      <c r="O33" s="1180">
        <f>-'Income (2)'!H53</f>
        <v>0</v>
      </c>
    </row>
    <row r="34" spans="1:18" ht="12.75" customHeight="1">
      <c r="A34" s="1173">
        <v>0.4</v>
      </c>
      <c r="B34" s="1174">
        <f t="shared" si="15"/>
        <v>26520</v>
      </c>
      <c r="C34" s="1263">
        <f t="shared" si="15"/>
        <v>30280</v>
      </c>
      <c r="D34" s="1263">
        <f t="shared" si="15"/>
        <v>34080</v>
      </c>
      <c r="E34" s="1263">
        <f t="shared" si="15"/>
        <v>37840</v>
      </c>
      <c r="F34" s="1263">
        <f t="shared" si="15"/>
        <v>40880</v>
      </c>
      <c r="G34" s="1176">
        <f t="shared" si="15"/>
        <v>43920</v>
      </c>
      <c r="H34" s="1177"/>
      <c r="J34" s="1181">
        <f>A33</f>
        <v>0.3</v>
      </c>
      <c r="K34" s="1182">
        <f>ROUNDDOWN(SUM('Income (2)'!B33)*0.3/12,0)</f>
        <v>497</v>
      </c>
      <c r="L34" s="1182">
        <f>ROUNDDOWN(SUM('Income (2)'!B33:C33)/2*0.3/12,0)</f>
        <v>532</v>
      </c>
      <c r="M34" s="1183">
        <f>ROUNDDOWN(SUM('Income (2)'!D33)*0.3/12,0)*0+428</f>
        <v>428</v>
      </c>
      <c r="N34" s="1183">
        <f>ROUNDDOWN(SUM('Income (2)'!E33:F33)/2*0.3/12,0)*0+494</f>
        <v>494</v>
      </c>
      <c r="O34" s="1184">
        <f>ROUNDDOWN(SUM('Income (2)'!G33)*0.3/12,0)</f>
        <v>823</v>
      </c>
      <c r="Q34" s="1698" t="s">
        <v>647</v>
      </c>
      <c r="R34" s="1699"/>
    </row>
    <row r="35" spans="1:18" ht="12.75" customHeight="1" thickBot="1">
      <c r="A35" s="1173">
        <v>0.5</v>
      </c>
      <c r="B35" s="1185">
        <v>33150</v>
      </c>
      <c r="C35" s="1264">
        <v>37850</v>
      </c>
      <c r="D35" s="1264">
        <v>42600</v>
      </c>
      <c r="E35" s="1264">
        <v>47300</v>
      </c>
      <c r="F35" s="1264">
        <v>51100</v>
      </c>
      <c r="G35" s="1187">
        <v>54900</v>
      </c>
      <c r="H35" s="1177"/>
      <c r="J35" s="1188" t="s">
        <v>648</v>
      </c>
      <c r="K35" s="1189">
        <f>K34+K$33</f>
        <v>497</v>
      </c>
      <c r="L35" s="1189">
        <f>L34+L$33</f>
        <v>322</v>
      </c>
      <c r="M35" s="1189">
        <f>M34+M$33</f>
        <v>149</v>
      </c>
      <c r="N35" s="1189">
        <f>N34+N$33</f>
        <v>145</v>
      </c>
      <c r="O35" s="1190">
        <f>O34+O$33</f>
        <v>823</v>
      </c>
      <c r="Q35" s="1261">
        <v>1</v>
      </c>
      <c r="R35" s="1262">
        <f>((F6+F13)*$A$6)/SUMIF($C$6:$C$21,$Q$35,$F$6:$F$21)+((F14+F21)*$A$14)/SUMIF($C$6:$C$21,$Q$35,$F$6:$F$21)</f>
        <v>0.56315789473684208</v>
      </c>
    </row>
    <row r="36" spans="1:18" ht="12.75" customHeight="1" thickTop="1">
      <c r="A36" s="1173">
        <v>0.6</v>
      </c>
      <c r="B36" s="1174">
        <f t="shared" ref="B36:G39" si="16">ROUNDDOWN(B$35*($A36/$A$35),-1)</f>
        <v>39780</v>
      </c>
      <c r="C36" s="1263">
        <f t="shared" si="16"/>
        <v>45420</v>
      </c>
      <c r="D36" s="1263">
        <f t="shared" si="16"/>
        <v>51120</v>
      </c>
      <c r="E36" s="1263">
        <f t="shared" si="16"/>
        <v>56760</v>
      </c>
      <c r="F36" s="1263">
        <f t="shared" si="16"/>
        <v>61320</v>
      </c>
      <c r="G36" s="1176">
        <f t="shared" si="16"/>
        <v>65880</v>
      </c>
      <c r="H36" s="1177"/>
      <c r="J36" s="1181">
        <f>A34</f>
        <v>0.4</v>
      </c>
      <c r="K36" s="1182">
        <f>ROUNDDOWN(SUM('Income (2)'!B34)*0.3/12,0)</f>
        <v>663</v>
      </c>
      <c r="L36" s="1182">
        <f>ROUNDDOWN(SUM('Income (2)'!B34:C34)/2*0.3/12,0)</f>
        <v>710</v>
      </c>
      <c r="M36" s="1183">
        <f>ROUNDDOWN(SUM('Income (2)'!D34)*0.3/12,0)</f>
        <v>852</v>
      </c>
      <c r="N36" s="1183">
        <f>ROUNDDOWN(SUM('Income (2)'!E34:F34)/2*0.3/12,0)</f>
        <v>984</v>
      </c>
      <c r="O36" s="1184">
        <f>ROUNDDOWN(SUM('Income (2)'!G34)*0.3/12,0)</f>
        <v>1098</v>
      </c>
      <c r="Q36" s="1261">
        <v>2</v>
      </c>
      <c r="R36" s="1262">
        <f>((F7+F12)*$A$6)/SUMIF($C$6:$C$21,$Q$36,$F$6:$F$21)+((F15+F20)*$A$14)/SUMIF($C$6:$C$21,$Q$36,$F$6:$F$21)</f>
        <v>0.56400000000000006</v>
      </c>
    </row>
    <row r="37" spans="1:18" ht="12.75" customHeight="1" thickBot="1">
      <c r="A37" s="1173">
        <v>0.7</v>
      </c>
      <c r="B37" s="1174">
        <f t="shared" si="16"/>
        <v>46410</v>
      </c>
      <c r="C37" s="1263">
        <f t="shared" si="16"/>
        <v>52990</v>
      </c>
      <c r="D37" s="1263">
        <f t="shared" si="16"/>
        <v>59640</v>
      </c>
      <c r="E37" s="1263">
        <f t="shared" si="16"/>
        <v>66220</v>
      </c>
      <c r="F37" s="1263">
        <f t="shared" si="16"/>
        <v>71540</v>
      </c>
      <c r="G37" s="1176">
        <f t="shared" si="16"/>
        <v>76860</v>
      </c>
      <c r="H37" s="1177"/>
      <c r="J37" s="1188" t="s">
        <v>648</v>
      </c>
      <c r="K37" s="1189">
        <f>K36+K$33</f>
        <v>663</v>
      </c>
      <c r="L37" s="1189">
        <f>L36+L$33</f>
        <v>500</v>
      </c>
      <c r="M37" s="1189">
        <f>M36+M$33</f>
        <v>573</v>
      </c>
      <c r="N37" s="1189">
        <f>N36+N$33</f>
        <v>635</v>
      </c>
      <c r="O37" s="1190">
        <f>O36+O$33</f>
        <v>1098</v>
      </c>
      <c r="Q37" s="1261">
        <v>3</v>
      </c>
      <c r="R37" s="1262">
        <f>((F8+F11)*$A$6)/SUMIF($C$6:$C$21,$Q$37,$F$6:$F$21)+((F16+F19)*$A$14)/SUMIF($C$6:$C$21,$Q$37,$F$6:$F$21)</f>
        <v>0.56666666666666665</v>
      </c>
    </row>
    <row r="38" spans="1:18" ht="12.75" customHeight="1" thickTop="1">
      <c r="A38" s="1191">
        <v>0.8</v>
      </c>
      <c r="B38" s="1174">
        <f t="shared" si="16"/>
        <v>53040</v>
      </c>
      <c r="C38" s="1263">
        <f t="shared" si="16"/>
        <v>60560</v>
      </c>
      <c r="D38" s="1263">
        <f t="shared" si="16"/>
        <v>68160</v>
      </c>
      <c r="E38" s="1263">
        <f t="shared" si="16"/>
        <v>75680</v>
      </c>
      <c r="F38" s="1263">
        <f t="shared" si="16"/>
        <v>81760</v>
      </c>
      <c r="G38" s="1176">
        <f t="shared" si="16"/>
        <v>87840</v>
      </c>
      <c r="H38" s="1177"/>
      <c r="J38" s="1181">
        <f>A35</f>
        <v>0.5</v>
      </c>
      <c r="K38" s="1182">
        <f>ROUNDDOWN(SUM('Income (2)'!B35)*0.3/12,0)</f>
        <v>828</v>
      </c>
      <c r="L38" s="1182">
        <f>ROUNDDOWN(SUM('Income (2)'!B35:C35)/2*0.3/12,0)</f>
        <v>887</v>
      </c>
      <c r="M38" s="1183">
        <f>ROUNDDOWN(SUM('Income (2)'!D35)*0.3/12,0)</f>
        <v>1065</v>
      </c>
      <c r="N38" s="1183">
        <f>ROUNDDOWN(SUM('Income (2)'!E35:F35)/2*0.3/12,0)</f>
        <v>1230</v>
      </c>
      <c r="O38" s="1184">
        <f>ROUNDDOWN(SUM('Income (2)'!G35)*0.3/12,0)</f>
        <v>1372</v>
      </c>
      <c r="Q38" s="1261">
        <v>4</v>
      </c>
      <c r="R38" s="1262">
        <f>((F9+F10)*$A$6)/SUMIF($C$6:$C$21,$Q$38,$F$6:$F$21)+((F17+F18)*$A$14)/SUMIF($C$6:$C$21,$Q$38,$F$6:$F$21)</f>
        <v>0.5714285714285714</v>
      </c>
    </row>
    <row r="39" spans="1:18" ht="12.75" customHeight="1" thickBot="1">
      <c r="A39" s="1192">
        <v>1</v>
      </c>
      <c r="B39" s="1193">
        <f t="shared" si="16"/>
        <v>66300</v>
      </c>
      <c r="C39" s="1194">
        <f t="shared" si="16"/>
        <v>75700</v>
      </c>
      <c r="D39" s="1194">
        <f t="shared" si="16"/>
        <v>85200</v>
      </c>
      <c r="E39" s="1194">
        <f t="shared" si="16"/>
        <v>94600</v>
      </c>
      <c r="F39" s="1194">
        <f t="shared" si="16"/>
        <v>102200</v>
      </c>
      <c r="G39" s="1195">
        <f t="shared" si="16"/>
        <v>109800</v>
      </c>
      <c r="H39" s="1177"/>
      <c r="J39" s="1188" t="s">
        <v>648</v>
      </c>
      <c r="K39" s="1189">
        <f>K38+K$33</f>
        <v>828</v>
      </c>
      <c r="L39" s="1189">
        <f>L38+L$33</f>
        <v>677</v>
      </c>
      <c r="M39" s="1189">
        <f>M38+M$33</f>
        <v>786</v>
      </c>
      <c r="N39" s="1189">
        <f>N38+N$33</f>
        <v>881</v>
      </c>
      <c r="O39" s="1190">
        <f>O38+O$33</f>
        <v>1372</v>
      </c>
    </row>
    <row r="40" spans="1:18" ht="12.75" customHeight="1" thickTop="1" thickBot="1">
      <c r="C40" s="1177"/>
      <c r="D40" s="1177"/>
      <c r="E40" s="1177"/>
      <c r="F40" s="1177"/>
      <c r="G40" s="1177"/>
      <c r="H40" s="1177"/>
      <c r="J40" s="1181">
        <f>A36</f>
        <v>0.6</v>
      </c>
      <c r="K40" s="1182">
        <f>ROUNDDOWN(SUM('Income (2)'!B36)*0.3/12,0)</f>
        <v>994</v>
      </c>
      <c r="L40" s="1182">
        <f>ROUNDDOWN(SUM('Income (2)'!B36:C36)/2*0.3/12,0)</f>
        <v>1065</v>
      </c>
      <c r="M40" s="1183">
        <f>ROUNDDOWN(SUM('Income (2)'!D36)*0.3/12,0)</f>
        <v>1278</v>
      </c>
      <c r="N40" s="1183">
        <f>ROUNDDOWN(SUM('Income (2)'!E36:F36)/2*0.3/12,0)</f>
        <v>1476</v>
      </c>
      <c r="O40" s="1184">
        <f>ROUNDDOWN(SUM('Income (2)'!G36)*0.3/12,0)</f>
        <v>1647</v>
      </c>
    </row>
    <row r="41" spans="1:18" ht="12.75" customHeight="1" thickTop="1" thickBot="1">
      <c r="A41" s="1196"/>
      <c r="B41" s="1197"/>
      <c r="C41" s="1197"/>
      <c r="D41" s="1197"/>
      <c r="E41" s="1197"/>
      <c r="F41" s="1197"/>
      <c r="G41" s="1198" t="s">
        <v>649</v>
      </c>
      <c r="H41" s="1199" t="s">
        <v>650</v>
      </c>
      <c r="J41" s="1188" t="s">
        <v>648</v>
      </c>
      <c r="K41" s="1189">
        <f>K40+K$33</f>
        <v>994</v>
      </c>
      <c r="L41" s="1189">
        <f>L40+L$33</f>
        <v>855</v>
      </c>
      <c r="M41" s="1189">
        <f>M40+M$33</f>
        <v>999</v>
      </c>
      <c r="N41" s="1189">
        <f>N40+N$33</f>
        <v>1127</v>
      </c>
      <c r="O41" s="1190">
        <f>O40+O$33</f>
        <v>1647</v>
      </c>
    </row>
    <row r="42" spans="1:18" ht="12.75" customHeight="1" thickTop="1">
      <c r="A42" s="1200" t="s">
        <v>651</v>
      </c>
      <c r="C42" s="1700" t="s">
        <v>670</v>
      </c>
      <c r="D42" s="1701"/>
      <c r="E42" s="1201"/>
      <c r="G42" s="1202" t="s">
        <v>652</v>
      </c>
      <c r="H42" s="1203">
        <v>45658</v>
      </c>
      <c r="J42" s="1181">
        <f>A37</f>
        <v>0.7</v>
      </c>
      <c r="K42" s="1182">
        <f>ROUNDDOWN(SUM('Income (2)'!B37)*0.3/12,0)</f>
        <v>1160</v>
      </c>
      <c r="L42" s="1182">
        <f>ROUNDDOWN(SUM('Income (2)'!B37:C37)/2*0.3/12,0)</f>
        <v>1242</v>
      </c>
      <c r="M42" s="1183">
        <f>ROUNDDOWN(SUM('Income (2)'!D37)*0.3/12,0)</f>
        <v>1491</v>
      </c>
      <c r="N42" s="1183">
        <f>ROUNDDOWN(SUM('Income (2)'!E37:F37)/2*0.3/12,0)</f>
        <v>1722</v>
      </c>
      <c r="O42" s="1184">
        <f>ROUNDDOWN(SUM('Income (2)'!G37)*0.3/12,0)</f>
        <v>1921</v>
      </c>
    </row>
    <row r="43" spans="1:18" ht="12.75" customHeight="1" thickBot="1">
      <c r="A43" s="1204" t="s">
        <v>653</v>
      </c>
      <c r="B43" s="1265"/>
      <c r="C43" s="1266" t="s">
        <v>654</v>
      </c>
      <c r="D43" s="1267">
        <v>0</v>
      </c>
      <c r="E43" s="1267">
        <v>1</v>
      </c>
      <c r="F43" s="1267">
        <f>E43+1</f>
        <v>2</v>
      </c>
      <c r="G43" s="1267">
        <f>F43+1</f>
        <v>3</v>
      </c>
      <c r="H43" s="1208">
        <f>G43+1</f>
        <v>4</v>
      </c>
      <c r="J43" s="1188" t="s">
        <v>648</v>
      </c>
      <c r="K43" s="1189">
        <f>K42+K$33</f>
        <v>1160</v>
      </c>
      <c r="L43" s="1189">
        <f>L42+L$33</f>
        <v>1032</v>
      </c>
      <c r="M43" s="1189">
        <f>M42+M$33</f>
        <v>1212</v>
      </c>
      <c r="N43" s="1189">
        <f>N42+N$33</f>
        <v>1373</v>
      </c>
      <c r="O43" s="1190">
        <f>O42+O$33</f>
        <v>1921</v>
      </c>
    </row>
    <row r="44" spans="1:18" ht="12.75" customHeight="1" thickTop="1">
      <c r="A44" s="1209" t="s">
        <v>655</v>
      </c>
      <c r="B44" s="1210"/>
      <c r="C44" s="1268" t="s">
        <v>275</v>
      </c>
      <c r="D44" s="1269"/>
      <c r="E44" s="1213">
        <v>19</v>
      </c>
      <c r="F44" s="1213">
        <v>22</v>
      </c>
      <c r="G44" s="1213">
        <v>26</v>
      </c>
      <c r="H44" s="1213"/>
      <c r="J44" s="1181">
        <f>A38</f>
        <v>0.8</v>
      </c>
      <c r="K44" s="1182">
        <f>ROUNDDOWN(SUM('Income (2)'!B38)*0.3/12,0)</f>
        <v>1326</v>
      </c>
      <c r="L44" s="1182">
        <f>ROUNDDOWN(SUM('Income (2)'!B38:C38)/2*0.3/12,0)</f>
        <v>1420</v>
      </c>
      <c r="M44" s="1183">
        <f>ROUNDDOWN(SUM('Income (2)'!D38)*0.3/12,0)</f>
        <v>1704</v>
      </c>
      <c r="N44" s="1183">
        <f>ROUNDDOWN(SUM('Income (2)'!E38:F38)/2*0.3/12,0)</f>
        <v>1968</v>
      </c>
      <c r="O44" s="1184">
        <f>ROUNDDOWN(SUM('Income (2)'!G38)*0.3/12,0)</f>
        <v>2196</v>
      </c>
    </row>
    <row r="45" spans="1:18" ht="12.75" customHeight="1" thickBot="1">
      <c r="A45" s="1209" t="s">
        <v>656</v>
      </c>
      <c r="B45" s="1210"/>
      <c r="C45" s="1268" t="s">
        <v>275</v>
      </c>
      <c r="D45" s="1269"/>
      <c r="E45" s="1213">
        <v>11</v>
      </c>
      <c r="F45" s="1213">
        <v>16</v>
      </c>
      <c r="G45" s="1213">
        <v>21</v>
      </c>
      <c r="H45" s="1213"/>
      <c r="J45" s="1188" t="s">
        <v>648</v>
      </c>
      <c r="K45" s="1189">
        <f>K44+K$33</f>
        <v>1326</v>
      </c>
      <c r="L45" s="1189">
        <f>L44+L$33</f>
        <v>1210</v>
      </c>
      <c r="M45" s="1189">
        <f>M44+M$33</f>
        <v>1425</v>
      </c>
      <c r="N45" s="1189">
        <f>N44+N$33</f>
        <v>1619</v>
      </c>
      <c r="O45" s="1190">
        <f>O44+O$33</f>
        <v>2196</v>
      </c>
    </row>
    <row r="46" spans="1:18" ht="12.75" customHeight="1" thickTop="1">
      <c r="A46" s="1214" t="s">
        <v>657</v>
      </c>
      <c r="B46" s="1270" t="s">
        <v>512</v>
      </c>
      <c r="C46" s="1268" t="s">
        <v>275</v>
      </c>
      <c r="D46" s="1269"/>
      <c r="E46" s="1213">
        <v>43</v>
      </c>
      <c r="F46" s="1213">
        <v>59</v>
      </c>
      <c r="G46" s="1213">
        <v>76</v>
      </c>
      <c r="H46" s="1213"/>
      <c r="J46" s="1181">
        <f>A39</f>
        <v>1</v>
      </c>
      <c r="K46" s="1182">
        <f>ROUNDDOWN(SUM('Income (2)'!B39)*0.3/12,0)</f>
        <v>1657</v>
      </c>
      <c r="L46" s="1182">
        <f>ROUNDDOWN(SUM('Income (2)'!B39:C39)/2*0.3/12,0)</f>
        <v>1775</v>
      </c>
      <c r="M46" s="1183">
        <f>ROUNDDOWN(SUM('Income (2)'!D39)*0.3/12,0)</f>
        <v>2130</v>
      </c>
      <c r="N46" s="1183">
        <f>ROUNDDOWN(SUM('Income (2)'!E39:F39)/2*0.3/12,0)</f>
        <v>2460</v>
      </c>
      <c r="O46" s="1184">
        <f>ROUNDDOWN(SUM('Income (2)'!G39)*0.3/12,0)</f>
        <v>2745</v>
      </c>
    </row>
    <row r="47" spans="1:18" ht="12.75" customHeight="1" thickBot="1">
      <c r="A47" s="1209" t="s">
        <v>657</v>
      </c>
      <c r="B47" s="1270" t="s">
        <v>658</v>
      </c>
      <c r="C47" s="1268" t="s">
        <v>275</v>
      </c>
      <c r="D47" s="1269"/>
      <c r="E47" s="1213">
        <v>38</v>
      </c>
      <c r="F47" s="1213">
        <v>53</v>
      </c>
      <c r="G47" s="1213">
        <v>68</v>
      </c>
      <c r="H47" s="1213"/>
      <c r="J47" s="1188" t="s">
        <v>648</v>
      </c>
      <c r="K47" s="1189">
        <f>K46+K$33</f>
        <v>1657</v>
      </c>
      <c r="L47" s="1189">
        <f>L46+L$33</f>
        <v>1565</v>
      </c>
      <c r="M47" s="1189">
        <f>M46+M$33</f>
        <v>1851</v>
      </c>
      <c r="N47" s="1189">
        <f>N46+N$33</f>
        <v>2111</v>
      </c>
      <c r="O47" s="1190">
        <f>O46+O$33</f>
        <v>2745</v>
      </c>
    </row>
    <row r="48" spans="1:18" ht="12.75" customHeight="1" thickTop="1">
      <c r="A48" s="1209" t="s">
        <v>659</v>
      </c>
      <c r="B48" s="1210"/>
      <c r="C48" s="1268" t="s">
        <v>275</v>
      </c>
      <c r="D48" s="1269"/>
      <c r="E48" s="1213">
        <v>25</v>
      </c>
      <c r="F48" s="1213">
        <v>32</v>
      </c>
      <c r="G48" s="1213">
        <v>39</v>
      </c>
      <c r="H48" s="1213"/>
      <c r="J48" s="1216" t="s">
        <v>660</v>
      </c>
      <c r="K48" s="1217"/>
      <c r="L48" s="1217"/>
      <c r="M48" s="1218"/>
      <c r="N48" s="1218"/>
      <c r="O48" s="1219"/>
    </row>
    <row r="49" spans="1:15" ht="12.75" customHeight="1" thickBot="1">
      <c r="A49" s="1214" t="s">
        <v>517</v>
      </c>
      <c r="B49" s="1210"/>
      <c r="C49" s="1268" t="s">
        <v>275</v>
      </c>
      <c r="D49" s="1269"/>
      <c r="E49" s="1213">
        <v>30</v>
      </c>
      <c r="F49" s="1213">
        <v>40</v>
      </c>
      <c r="G49" s="1213">
        <v>49</v>
      </c>
      <c r="H49" s="1213"/>
      <c r="J49" s="1188" t="str">
        <f>J37</f>
        <v>Max Rent</v>
      </c>
      <c r="K49" s="1189" t="str">
        <f>IF(K48=0,"",K48+K$33)</f>
        <v/>
      </c>
      <c r="L49" s="1189" t="str">
        <f>IF(L48=0,"",L48+L$33)</f>
        <v/>
      </c>
      <c r="M49" s="1189" t="str">
        <f>IF(M48=0,"",M48+M$33)</f>
        <v/>
      </c>
      <c r="N49" s="1189" t="str">
        <f>IF(N48=0,"",N48+N$33)</f>
        <v/>
      </c>
      <c r="O49" s="1190" t="str">
        <f>IF(O48=0,"",O48+O$33)</f>
        <v/>
      </c>
    </row>
    <row r="50" spans="1:15" ht="12.75" customHeight="1" thickTop="1">
      <c r="A50" s="1214" t="s">
        <v>518</v>
      </c>
      <c r="B50" s="1210"/>
      <c r="C50" s="1268" t="s">
        <v>275</v>
      </c>
      <c r="D50" s="1269"/>
      <c r="E50" s="1213">
        <v>44</v>
      </c>
      <c r="F50" s="1213">
        <v>57</v>
      </c>
      <c r="G50" s="1213">
        <v>70</v>
      </c>
      <c r="H50" s="1213"/>
      <c r="J50" s="1216" t="s">
        <v>661</v>
      </c>
      <c r="K50" s="1217"/>
      <c r="L50" s="1217"/>
      <c r="M50" s="1218"/>
      <c r="N50" s="1218"/>
      <c r="O50" s="1219"/>
    </row>
    <row r="51" spans="1:15" ht="12.75" customHeight="1" thickBot="1">
      <c r="A51" s="1214" t="s">
        <v>662</v>
      </c>
      <c r="B51" s="1210"/>
      <c r="C51" s="1268" t="s">
        <v>276</v>
      </c>
      <c r="D51" s="1271"/>
      <c r="E51" s="1213"/>
      <c r="F51" s="1213"/>
      <c r="G51" s="1213"/>
      <c r="H51" s="1213"/>
      <c r="J51" s="1188" t="str">
        <f>J39</f>
        <v>Max Rent</v>
      </c>
      <c r="K51" s="1189" t="str">
        <f>IF(K50=0,"",K50+K$33)</f>
        <v/>
      </c>
      <c r="L51" s="1189" t="str">
        <f>IF(L50=0,"",L50+L$33)</f>
        <v/>
      </c>
      <c r="M51" s="1189" t="str">
        <f>IF(M50=0,"",M50+M$33)</f>
        <v/>
      </c>
      <c r="N51" s="1189" t="str">
        <f>IF(N50=0,"",N50+N$33)</f>
        <v/>
      </c>
      <c r="O51" s="1190" t="str">
        <f>IF(O50=0,"",O50+O$33)</f>
        <v/>
      </c>
    </row>
    <row r="52" spans="1:15" ht="12.75" customHeight="1" thickTop="1">
      <c r="A52" s="1214" t="s">
        <v>657</v>
      </c>
      <c r="B52" s="1270"/>
      <c r="C52" s="1268"/>
      <c r="D52" s="1271"/>
      <c r="E52" s="1213">
        <v>15</v>
      </c>
      <c r="F52" s="1213">
        <v>15</v>
      </c>
      <c r="G52" s="1213">
        <v>15</v>
      </c>
      <c r="H52" s="1213"/>
      <c r="J52" s="1216" t="s">
        <v>663</v>
      </c>
      <c r="K52" s="1217"/>
      <c r="L52" s="1217"/>
      <c r="M52" s="1218"/>
      <c r="N52" s="1218"/>
      <c r="O52" s="1219"/>
    </row>
    <row r="53" spans="1:15" ht="12.75" customHeight="1" thickBot="1">
      <c r="A53" s="1222"/>
      <c r="B53" s="1223"/>
      <c r="C53" s="1224" t="s">
        <v>664</v>
      </c>
      <c r="D53" s="1225">
        <f>ROUNDUP(SUMIF($C$44:$C$52,"Y",D44:D52),0)</f>
        <v>0</v>
      </c>
      <c r="E53" s="1225">
        <f>ROUNDUP(SUMIF($C$44:$C$52,"Y",E44:E52),0)</f>
        <v>210</v>
      </c>
      <c r="F53" s="1225">
        <f>ROUNDUP(SUMIF($C$44:$C$52,"Y",F44:F52),0)</f>
        <v>279</v>
      </c>
      <c r="G53" s="1225">
        <f>ROUNDUP(SUMIF($C$44:$C$52,"Y",G44:G52),0)</f>
        <v>349</v>
      </c>
      <c r="H53" s="1226">
        <f>ROUNDUP(SUMIF($C$44:$C$52,"Y",H44:H52),0)</f>
        <v>0</v>
      </c>
      <c r="J53" s="1227" t="str">
        <f>J41</f>
        <v>Max Rent</v>
      </c>
      <c r="K53" s="1228" t="str">
        <f>IF(K52=0,"",K52+K$33)</f>
        <v/>
      </c>
      <c r="L53" s="1229" t="str">
        <f>IF(L52=0,"",L52+L$33)</f>
        <v/>
      </c>
      <c r="M53" s="1229" t="str">
        <f>IF(M52=0,"",M52+M$33)</f>
        <v/>
      </c>
      <c r="N53" s="1229" t="str">
        <f>IF(N52=0,"",N52+N$33)</f>
        <v/>
      </c>
      <c r="O53" s="1230" t="str">
        <f>IF(O52=0,"",O52+O$33)</f>
        <v/>
      </c>
    </row>
  </sheetData>
  <mergeCells count="17">
    <mergeCell ref="B6:B13"/>
    <mergeCell ref="O6:O13"/>
    <mergeCell ref="A1:R1"/>
    <mergeCell ref="A2:R2"/>
    <mergeCell ref="Q3:R4"/>
    <mergeCell ref="A4:A5"/>
    <mergeCell ref="C4:E4"/>
    <mergeCell ref="Q34:R34"/>
    <mergeCell ref="C42:D42"/>
    <mergeCell ref="B14:B21"/>
    <mergeCell ref="O14:O21"/>
    <mergeCell ref="Q18:R19"/>
    <mergeCell ref="Q21:R21"/>
    <mergeCell ref="B22:B29"/>
    <mergeCell ref="O22:O29"/>
    <mergeCell ref="Q22:R22"/>
    <mergeCell ref="Q24:R24"/>
  </mergeCells>
  <conditionalFormatting sqref="R25:R32 R35:R38">
    <cfRule type="expression" dxfId="1" priority="1">
      <formula>R25&gt;0.6</formula>
    </cfRule>
  </conditionalFormatting>
  <dataValidations count="3">
    <dataValidation type="list" allowBlank="1" showInputMessage="1" showErrorMessage="1" sqref="A15 A7" xr:uid="{96EDC473-71A6-4573-B36C-5BFBC3283823}">
      <formula1>"LIHTC,HOME,NHTF,Voucher"</formula1>
    </dataValidation>
    <dataValidation type="list" allowBlank="1" showInputMessage="1" showErrorMessage="1" sqref="A22 A6 A14" xr:uid="{AACA79EF-34FA-4F51-B55B-EA23F5D6C411}">
      <formula1>$A$33:$A$39</formula1>
    </dataValidation>
    <dataValidation type="list" allowBlank="1" showInputMessage="1" showErrorMessage="1" sqref="C44:C52" xr:uid="{422132E8-F101-4847-9FA4-B350B1BB0F9D}">
      <formula1>"Y,N"</formula1>
    </dataValidation>
  </dataValidations>
  <printOptions horizontalCentered="1"/>
  <pageMargins left="0.25" right="0.25" top="0.5" bottom="0.5" header="0.25" footer="0.25"/>
  <pageSetup scale="65" orientation="landscape" cellComments="asDisplayed" horizontalDpi="1200" verticalDpi="1200" r:id="rId1"/>
  <headerFooter alignWithMargins="0">
    <oddHeader xml:space="preserve">&amp;C&amp;"Times New Roman,Regular"&amp;F&amp;R&amp;8
</oddHeader>
    <oddFooter>&amp;L&amp;"Times New Roman,Regular"&amp;D&amp;C&amp;"Times New Roman,Regular"DRAFT - FOR DISCUSSION PURPOSES ONLY&amp;R&amp;"Times New Roman,Regular"&amp;P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4A473-7DC1-46FA-99C0-1FE459B552BE}">
  <sheetPr>
    <tabColor rgb="FF0033CC"/>
  </sheetPr>
  <dimension ref="A1:W53"/>
  <sheetViews>
    <sheetView zoomScale="110" zoomScaleNormal="110" workbookViewId="0">
      <selection activeCell="R43" sqref="R43"/>
    </sheetView>
  </sheetViews>
  <sheetFormatPr baseColWidth="10" defaultColWidth="9.1640625" defaultRowHeight="12.75" customHeight="1"/>
  <cols>
    <col min="1" max="15" width="10.5" style="1053" customWidth="1"/>
    <col min="16" max="16" width="3.5" style="1053" customWidth="1"/>
    <col min="17" max="17" width="14" style="1053" customWidth="1"/>
    <col min="18" max="18" width="12.5" style="1053" customWidth="1"/>
    <col min="19" max="16384" width="9.1640625" style="1053"/>
  </cols>
  <sheetData>
    <row r="1" spans="1:23" ht="12.75" customHeight="1">
      <c r="A1" s="1716" t="str">
        <f>'Summary Sources-Uses'!A2</f>
        <v>Project Name</v>
      </c>
      <c r="B1" s="1716"/>
      <c r="C1" s="1716"/>
      <c r="D1" s="1716"/>
      <c r="E1" s="1716"/>
      <c r="F1" s="1716"/>
      <c r="G1" s="1716"/>
      <c r="H1" s="1716"/>
      <c r="I1" s="1716"/>
      <c r="J1" s="1716"/>
      <c r="K1" s="1716"/>
      <c r="L1" s="1716"/>
      <c r="M1" s="1716"/>
      <c r="N1" s="1716"/>
      <c r="O1" s="1716"/>
      <c r="P1" s="1716"/>
      <c r="Q1" s="1716"/>
      <c r="R1" s="1716"/>
    </row>
    <row r="2" spans="1:23" ht="12.75" customHeight="1">
      <c r="A2" s="1717" t="s">
        <v>600</v>
      </c>
      <c r="B2" s="1717"/>
      <c r="C2" s="1717"/>
      <c r="D2" s="1717"/>
      <c r="E2" s="1717"/>
      <c r="F2" s="1717"/>
      <c r="G2" s="1717"/>
      <c r="H2" s="1717"/>
      <c r="I2" s="1717"/>
      <c r="J2" s="1717"/>
      <c r="K2" s="1717"/>
      <c r="L2" s="1717"/>
      <c r="M2" s="1717"/>
      <c r="N2" s="1717"/>
      <c r="O2" s="1717"/>
      <c r="P2" s="1717"/>
      <c r="Q2" s="1717"/>
      <c r="R2" s="1717"/>
    </row>
    <row r="3" spans="1:23" ht="12.75" customHeight="1" thickBot="1">
      <c r="A3" s="1054"/>
      <c r="D3" s="1055"/>
      <c r="E3" s="1055"/>
      <c r="F3" s="1055"/>
      <c r="G3" s="1055"/>
      <c r="H3" s="1055"/>
      <c r="I3" s="1055"/>
      <c r="J3" s="1055"/>
      <c r="K3" s="1055"/>
      <c r="M3" s="1056" t="s">
        <v>601</v>
      </c>
      <c r="N3" s="1057">
        <f>A6*B6/SUM(B6,B14)+A14*B14/SUM(B6,B14)</f>
        <v>0.56507936507936507</v>
      </c>
      <c r="O3" s="1058"/>
      <c r="P3" s="1058"/>
      <c r="Q3" s="1718" t="s">
        <v>602</v>
      </c>
      <c r="R3" s="1719"/>
    </row>
    <row r="4" spans="1:23" ht="12.75" customHeight="1" thickTop="1" thickBot="1">
      <c r="A4" s="1729" t="s">
        <v>603</v>
      </c>
      <c r="B4" s="1059" t="s">
        <v>604</v>
      </c>
      <c r="C4" s="1724" t="s">
        <v>605</v>
      </c>
      <c r="D4" s="1725"/>
      <c r="E4" s="1730"/>
      <c r="F4" s="1060" t="s">
        <v>606</v>
      </c>
      <c r="G4" s="1060" t="s">
        <v>607</v>
      </c>
      <c r="H4" s="1060" t="s">
        <v>4</v>
      </c>
      <c r="I4" s="1060" t="s">
        <v>608</v>
      </c>
      <c r="J4" s="1060" t="s">
        <v>270</v>
      </c>
      <c r="K4" s="1060" t="s">
        <v>4</v>
      </c>
      <c r="L4" s="1060" t="s">
        <v>343</v>
      </c>
      <c r="M4" s="1060" t="s">
        <v>609</v>
      </c>
      <c r="N4" s="1061" t="s">
        <v>610</v>
      </c>
      <c r="Q4" s="1720"/>
      <c r="R4" s="1721"/>
      <c r="U4" s="1062"/>
      <c r="V4" s="1062" t="s">
        <v>343</v>
      </c>
      <c r="W4" s="1062"/>
    </row>
    <row r="5" spans="1:23" ht="12.75" customHeight="1" thickTop="1" thickBot="1">
      <c r="A5" s="1723"/>
      <c r="B5" s="1063" t="s">
        <v>611</v>
      </c>
      <c r="C5" s="1055" t="s">
        <v>612</v>
      </c>
      <c r="D5" s="1063" t="s">
        <v>613</v>
      </c>
      <c r="E5" s="1064" t="s">
        <v>614</v>
      </c>
      <c r="F5" s="1055" t="s">
        <v>615</v>
      </c>
      <c r="G5" s="1055" t="s">
        <v>616</v>
      </c>
      <c r="H5" s="1055" t="s">
        <v>617</v>
      </c>
      <c r="I5" s="1055" t="s">
        <v>343</v>
      </c>
      <c r="J5" s="1055" t="s">
        <v>618</v>
      </c>
      <c r="K5" s="1055" t="s">
        <v>619</v>
      </c>
      <c r="L5" s="1055" t="s">
        <v>620</v>
      </c>
      <c r="M5" s="1055" t="s">
        <v>621</v>
      </c>
      <c r="N5" s="1065" t="s">
        <v>622</v>
      </c>
      <c r="O5" s="1066"/>
      <c r="Q5" s="1053" t="s">
        <v>623</v>
      </c>
      <c r="R5" s="1067">
        <f>GrossRentIncomeY1</f>
        <v>3724992</v>
      </c>
      <c r="U5" s="1068" t="s">
        <v>235</v>
      </c>
      <c r="V5" s="1068" t="s">
        <v>624</v>
      </c>
      <c r="W5" s="1068" t="s">
        <v>625</v>
      </c>
    </row>
    <row r="6" spans="1:23" ht="12.75" customHeight="1" thickTop="1">
      <c r="A6" s="1069">
        <v>0.5</v>
      </c>
      <c r="B6" s="1727">
        <f>SUM(F6:F13)/TtlUnits</f>
        <v>0.27500000000000002</v>
      </c>
      <c r="C6" s="1070">
        <v>1</v>
      </c>
      <c r="D6" s="1071" t="s">
        <v>626</v>
      </c>
      <c r="E6" s="1072">
        <v>1</v>
      </c>
      <c r="F6" s="1073">
        <v>6</v>
      </c>
      <c r="G6" s="1074">
        <v>0</v>
      </c>
      <c r="H6" s="1075">
        <f t="shared" ref="H6:H29" si="0">G6*F6</f>
        <v>0</v>
      </c>
      <c r="I6" s="1076">
        <f t="shared" ref="I6:I13" si="1">IFERROR(IF(F6=0,0,HLOOKUP(C6,$K$32:$O$53,8,FALSE)),0)</f>
        <v>662</v>
      </c>
      <c r="J6" s="1077">
        <v>715</v>
      </c>
      <c r="K6" s="1075">
        <f t="shared" ref="K6:K29" si="2">IFERROR(IF(F6=0,"",F6*J6),0)</f>
        <v>4290</v>
      </c>
      <c r="L6" s="1078">
        <f t="shared" ref="L6:L29" si="3">IF(F6=0,"",IFERROR(J6/G6,0))</f>
        <v>0</v>
      </c>
      <c r="M6" s="1079">
        <f t="shared" ref="M6:M29" si="4">IF($F6=0,"",((J6+SUMIF($E$43:$H$43,$C6,$E$53:$H$53))*12)/0.3)</f>
        <v>37600</v>
      </c>
      <c r="N6" s="1080">
        <f t="shared" ref="N6:N29" si="5">IF(F6=0,"",M6/2080)</f>
        <v>18.076923076923077</v>
      </c>
      <c r="O6" s="1728" t="str">
        <f>Tenancy</f>
        <v>Family</v>
      </c>
      <c r="P6" s="1081">
        <f t="shared" ref="P6:P29" si="6">IF(F6=0,"",M6*(F6/TtlUnits))</f>
        <v>2820</v>
      </c>
      <c r="Q6" s="1053" t="s">
        <v>627</v>
      </c>
      <c r="R6" s="1067">
        <f>'Rent Schedule'!K36</f>
        <v>100</v>
      </c>
      <c r="U6" s="1053">
        <v>1319</v>
      </c>
      <c r="V6" s="1082">
        <f t="shared" ref="V6:V25" si="7">U6-J6</f>
        <v>604</v>
      </c>
      <c r="W6" s="1083">
        <f t="shared" ref="W6:W25" si="8">V6/U6</f>
        <v>0.45792266868840031</v>
      </c>
    </row>
    <row r="7" spans="1:23" ht="12.75" customHeight="1">
      <c r="A7" s="1084" t="s">
        <v>205</v>
      </c>
      <c r="B7" s="1703"/>
      <c r="C7" s="1085">
        <v>2</v>
      </c>
      <c r="D7" s="1086" t="s">
        <v>628</v>
      </c>
      <c r="E7" s="1087">
        <f t="shared" ref="E7:E12" si="9">IF(OR(LEFT(D7,1)="0",LEFT(D7,1)="1"),1,2)</f>
        <v>2</v>
      </c>
      <c r="F7" s="1088">
        <v>8</v>
      </c>
      <c r="G7" s="1089">
        <v>0</v>
      </c>
      <c r="H7" s="1090">
        <f t="shared" si="0"/>
        <v>0</v>
      </c>
      <c r="I7" s="1091">
        <f t="shared" si="1"/>
        <v>771</v>
      </c>
      <c r="J7" s="1092">
        <v>855</v>
      </c>
      <c r="K7" s="1090">
        <f t="shared" si="2"/>
        <v>6840</v>
      </c>
      <c r="L7" s="1093">
        <f t="shared" si="3"/>
        <v>0</v>
      </c>
      <c r="M7" s="1094">
        <f t="shared" si="4"/>
        <v>45960</v>
      </c>
      <c r="N7" s="1095">
        <f t="shared" si="5"/>
        <v>22.096153846153847</v>
      </c>
      <c r="O7" s="1706"/>
      <c r="P7" s="1081">
        <f t="shared" si="6"/>
        <v>4596</v>
      </c>
      <c r="Q7" s="1053" t="s">
        <v>629</v>
      </c>
      <c r="R7" s="1067">
        <f>AddRevY1</f>
        <v>31824</v>
      </c>
      <c r="U7" s="1053">
        <v>1438</v>
      </c>
      <c r="V7" s="1082">
        <f t="shared" si="7"/>
        <v>583</v>
      </c>
      <c r="W7" s="1083">
        <f t="shared" si="8"/>
        <v>0.40542420027816412</v>
      </c>
    </row>
    <row r="8" spans="1:23" ht="12.75" customHeight="1">
      <c r="A8" s="1096" t="str">
        <f>A7</f>
        <v>LIHTC</v>
      </c>
      <c r="B8" s="1703"/>
      <c r="C8" s="1085">
        <v>3</v>
      </c>
      <c r="D8" s="1086" t="s">
        <v>630</v>
      </c>
      <c r="E8" s="1087">
        <f t="shared" si="9"/>
        <v>2</v>
      </c>
      <c r="F8" s="1088">
        <v>3</v>
      </c>
      <c r="G8" s="1089">
        <v>0</v>
      </c>
      <c r="H8" s="1090">
        <f t="shared" si="0"/>
        <v>0</v>
      </c>
      <c r="I8" s="1091">
        <f t="shared" si="1"/>
        <v>866</v>
      </c>
      <c r="J8" s="1092">
        <v>975</v>
      </c>
      <c r="K8" s="1090">
        <f t="shared" si="2"/>
        <v>2925</v>
      </c>
      <c r="L8" s="1093">
        <f t="shared" si="3"/>
        <v>0</v>
      </c>
      <c r="M8" s="1094">
        <f t="shared" si="4"/>
        <v>53560</v>
      </c>
      <c r="N8" s="1095">
        <f t="shared" si="5"/>
        <v>25.75</v>
      </c>
      <c r="O8" s="1706"/>
      <c r="P8" s="1081">
        <f t="shared" si="6"/>
        <v>2008.5</v>
      </c>
      <c r="Q8" s="1053" t="s">
        <v>631</v>
      </c>
      <c r="R8" s="1097">
        <f>SUM(R5:R7)</f>
        <v>3756916</v>
      </c>
      <c r="U8" s="1053">
        <v>1758</v>
      </c>
      <c r="V8" s="1082">
        <f t="shared" si="7"/>
        <v>783</v>
      </c>
      <c r="W8" s="1083">
        <f t="shared" si="8"/>
        <v>0.44539249146757681</v>
      </c>
    </row>
    <row r="9" spans="1:23" ht="12.75" customHeight="1">
      <c r="A9" s="1096">
        <f>A5</f>
        <v>0</v>
      </c>
      <c r="B9" s="1703"/>
      <c r="C9" s="1098">
        <v>4</v>
      </c>
      <c r="D9" s="1086" t="s">
        <v>632</v>
      </c>
      <c r="E9" s="1099">
        <f>IF(OR(LEFT(D9,1)="0",LEFT(D9,1)="1"),1,2)</f>
        <v>2</v>
      </c>
      <c r="F9" s="1088">
        <v>1</v>
      </c>
      <c r="G9" s="1089">
        <v>0</v>
      </c>
      <c r="H9" s="1090">
        <f>G9*F9</f>
        <v>0</v>
      </c>
      <c r="I9" s="1091">
        <f t="shared" si="1"/>
        <v>1372</v>
      </c>
      <c r="J9" s="1092">
        <v>1075</v>
      </c>
      <c r="K9" s="1090">
        <f>IFERROR(IF(F9=0,"",F9*J9),0)</f>
        <v>1075</v>
      </c>
      <c r="L9" s="1093">
        <f>IF(F9=0,"",IFERROR(J9/G9,0))</f>
        <v>0</v>
      </c>
      <c r="M9" s="1094">
        <f t="shared" si="4"/>
        <v>43000</v>
      </c>
      <c r="N9" s="1095">
        <f>IF(F9=0,"",M9/2080)</f>
        <v>20.673076923076923</v>
      </c>
      <c r="O9" s="1706"/>
      <c r="P9" s="1081">
        <f t="shared" si="6"/>
        <v>537.5</v>
      </c>
      <c r="Q9" s="1053" t="s">
        <v>223</v>
      </c>
      <c r="R9" s="1067">
        <f>-R8*Vacancy</f>
        <v>-262984.12000000005</v>
      </c>
      <c r="U9" s="1053">
        <v>1869</v>
      </c>
      <c r="V9" s="1082">
        <f t="shared" si="7"/>
        <v>794</v>
      </c>
      <c r="W9" s="1083">
        <f t="shared" si="8"/>
        <v>0.42482611021936867</v>
      </c>
    </row>
    <row r="10" spans="1:23" ht="12.75" customHeight="1">
      <c r="A10" s="1096">
        <f>A6</f>
        <v>0.5</v>
      </c>
      <c r="B10" s="1703"/>
      <c r="C10" s="1098">
        <v>4</v>
      </c>
      <c r="D10" s="1086" t="s">
        <v>633</v>
      </c>
      <c r="E10" s="1099">
        <f>IF(OR(LEFT(D10,1)="0",LEFT(D10,1)="1"),1,2)</f>
        <v>2</v>
      </c>
      <c r="F10" s="1088">
        <v>1</v>
      </c>
      <c r="G10" s="1089">
        <v>0</v>
      </c>
      <c r="H10" s="1090">
        <f>G10*F10</f>
        <v>0</v>
      </c>
      <c r="I10" s="1091">
        <f t="shared" si="1"/>
        <v>1372</v>
      </c>
      <c r="J10" s="1092">
        <v>1075</v>
      </c>
      <c r="K10" s="1090">
        <f>IFERROR(IF(F10=0,"",F10*J10),0)</f>
        <v>1075</v>
      </c>
      <c r="L10" s="1093">
        <f>IF(F10=0,"",IFERROR(J10/G10,0))</f>
        <v>0</v>
      </c>
      <c r="M10" s="1094">
        <f t="shared" si="4"/>
        <v>43000</v>
      </c>
      <c r="N10" s="1095">
        <f>IF(F10=0,"",M10/2080)</f>
        <v>20.673076923076923</v>
      </c>
      <c r="O10" s="1706"/>
      <c r="P10" s="1081">
        <f t="shared" si="6"/>
        <v>537.5</v>
      </c>
      <c r="Q10" s="1053" t="s">
        <v>634</v>
      </c>
      <c r="R10" s="1100">
        <f>SUM(R8:R9)</f>
        <v>3493931.88</v>
      </c>
      <c r="U10" s="1053">
        <v>1869</v>
      </c>
      <c r="V10" s="1082">
        <f t="shared" si="7"/>
        <v>794</v>
      </c>
      <c r="W10" s="1083">
        <f t="shared" si="8"/>
        <v>0.42482611021936867</v>
      </c>
    </row>
    <row r="11" spans="1:23" ht="12.75" customHeight="1">
      <c r="A11" s="1096" t="str">
        <f>A7</f>
        <v>LIHTC</v>
      </c>
      <c r="B11" s="1703"/>
      <c r="C11" s="1098">
        <v>3</v>
      </c>
      <c r="D11" s="1086" t="s">
        <v>635</v>
      </c>
      <c r="E11" s="1099">
        <f>IF(OR(LEFT(D11,1)="0",LEFT(D11,1)="1"),1,2)</f>
        <v>2</v>
      </c>
      <c r="F11" s="1088">
        <v>1</v>
      </c>
      <c r="G11" s="1089">
        <v>0</v>
      </c>
      <c r="H11" s="1090">
        <f>G11*F11</f>
        <v>0</v>
      </c>
      <c r="I11" s="1091">
        <f t="shared" si="1"/>
        <v>866</v>
      </c>
      <c r="J11" s="1092">
        <v>975</v>
      </c>
      <c r="K11" s="1090">
        <f>IFERROR(IF(F11=0,"",F11*J11),0)</f>
        <v>975</v>
      </c>
      <c r="L11" s="1093">
        <f>IF(F11=0,"",IFERROR(J11/G11,0))</f>
        <v>0</v>
      </c>
      <c r="M11" s="1094">
        <f t="shared" si="4"/>
        <v>53560</v>
      </c>
      <c r="N11" s="1095">
        <f>IF(F11=0,"",M11/2080)</f>
        <v>25.75</v>
      </c>
      <c r="O11" s="1706"/>
      <c r="P11" s="1081">
        <f t="shared" si="6"/>
        <v>669.5</v>
      </c>
      <c r="Q11" s="1053" t="s">
        <v>636</v>
      </c>
      <c r="R11" s="1067">
        <f ca="1">-ExpTotalY1</f>
        <v>-1915198.1711537624</v>
      </c>
      <c r="U11" s="1053">
        <v>1758</v>
      </c>
      <c r="V11" s="1082">
        <f t="shared" si="7"/>
        <v>783</v>
      </c>
      <c r="W11" s="1083">
        <f t="shared" si="8"/>
        <v>0.44539249146757681</v>
      </c>
    </row>
    <row r="12" spans="1:23" ht="12.75" customHeight="1">
      <c r="A12" s="1096" t="str">
        <f>A8</f>
        <v>LIHTC</v>
      </c>
      <c r="B12" s="1703"/>
      <c r="C12" s="1085">
        <v>2</v>
      </c>
      <c r="D12" s="1086" t="s">
        <v>637</v>
      </c>
      <c r="E12" s="1087">
        <f t="shared" si="9"/>
        <v>2</v>
      </c>
      <c r="F12" s="1088">
        <v>1</v>
      </c>
      <c r="G12" s="1089">
        <v>0</v>
      </c>
      <c r="H12" s="1090">
        <f t="shared" si="0"/>
        <v>0</v>
      </c>
      <c r="I12" s="1091">
        <f t="shared" si="1"/>
        <v>771</v>
      </c>
      <c r="J12" s="1092">
        <v>855</v>
      </c>
      <c r="K12" s="1090">
        <f t="shared" si="2"/>
        <v>855</v>
      </c>
      <c r="L12" s="1093">
        <f t="shared" si="3"/>
        <v>0</v>
      </c>
      <c r="M12" s="1094">
        <f t="shared" si="4"/>
        <v>45960</v>
      </c>
      <c r="N12" s="1095">
        <f t="shared" si="5"/>
        <v>22.096153846153847</v>
      </c>
      <c r="O12" s="1706"/>
      <c r="P12" s="1081">
        <f t="shared" si="6"/>
        <v>574.5</v>
      </c>
      <c r="Q12" s="1101">
        <v>1</v>
      </c>
      <c r="R12" s="1067">
        <v>0</v>
      </c>
      <c r="U12" s="1053">
        <v>1438</v>
      </c>
      <c r="V12" s="1082">
        <f t="shared" si="7"/>
        <v>583</v>
      </c>
      <c r="W12" s="1083">
        <f t="shared" si="8"/>
        <v>0.40542420027816412</v>
      </c>
    </row>
    <row r="13" spans="1:23" ht="12.75" customHeight="1" thickBot="1">
      <c r="A13" s="1102" t="str">
        <f>A12</f>
        <v>LIHTC</v>
      </c>
      <c r="B13" s="1704"/>
      <c r="C13" s="1103">
        <v>1</v>
      </c>
      <c r="D13" s="1104" t="s">
        <v>638</v>
      </c>
      <c r="E13" s="1105">
        <v>1</v>
      </c>
      <c r="F13" s="1106">
        <v>1</v>
      </c>
      <c r="G13" s="1107">
        <v>0</v>
      </c>
      <c r="H13" s="1108">
        <f t="shared" si="0"/>
        <v>0</v>
      </c>
      <c r="I13" s="1109">
        <f t="shared" si="1"/>
        <v>662</v>
      </c>
      <c r="J13" s="1110">
        <v>715</v>
      </c>
      <c r="K13" s="1108">
        <f t="shared" si="2"/>
        <v>715</v>
      </c>
      <c r="L13" s="1111">
        <f t="shared" si="3"/>
        <v>0</v>
      </c>
      <c r="M13" s="1112">
        <f t="shared" si="4"/>
        <v>37600</v>
      </c>
      <c r="N13" s="1113">
        <f t="shared" si="5"/>
        <v>18.076923076923077</v>
      </c>
      <c r="O13" s="1707"/>
      <c r="P13" s="1081">
        <f t="shared" si="6"/>
        <v>470</v>
      </c>
      <c r="Q13" s="1053" t="s">
        <v>639</v>
      </c>
      <c r="R13" s="1067">
        <f>-'Operating Expense'!E21</f>
        <v>-66300</v>
      </c>
      <c r="U13" s="1053">
        <v>1319</v>
      </c>
      <c r="V13" s="1082">
        <f t="shared" si="7"/>
        <v>604</v>
      </c>
      <c r="W13" s="1083">
        <f t="shared" si="8"/>
        <v>0.45792266868840031</v>
      </c>
    </row>
    <row r="14" spans="1:23" ht="12.75" customHeight="1" thickTop="1">
      <c r="A14" s="1114">
        <v>0.6</v>
      </c>
      <c r="B14" s="1702">
        <f>SUM(F14:F21)/TtlUnits</f>
        <v>0.51249999999999996</v>
      </c>
      <c r="C14" s="1070">
        <v>1</v>
      </c>
      <c r="D14" s="1115" t="str">
        <f t="shared" ref="D14:E29" si="10">D6</f>
        <v>A</v>
      </c>
      <c r="E14" s="1116">
        <f t="shared" si="10"/>
        <v>1</v>
      </c>
      <c r="F14" s="1117">
        <v>12</v>
      </c>
      <c r="G14" s="1118">
        <v>0</v>
      </c>
      <c r="H14" s="1119">
        <f t="shared" si="0"/>
        <v>0</v>
      </c>
      <c r="I14" s="1120">
        <f t="shared" ref="I14:I21" si="11">IFERROR(IF(F14=0,0,HLOOKUP(C14,$K$32:$O$53,10,FALSE)),0)</f>
        <v>840</v>
      </c>
      <c r="J14" s="1121">
        <v>850</v>
      </c>
      <c r="K14" s="1122">
        <f t="shared" si="2"/>
        <v>10200</v>
      </c>
      <c r="L14" s="1123">
        <f t="shared" si="3"/>
        <v>0</v>
      </c>
      <c r="M14" s="1124">
        <f t="shared" si="4"/>
        <v>43000</v>
      </c>
      <c r="N14" s="1125">
        <f t="shared" si="5"/>
        <v>20.673076923076923</v>
      </c>
      <c r="O14" s="1705" t="str">
        <f>Tenancy</f>
        <v>Family</v>
      </c>
      <c r="P14" s="1081">
        <f t="shared" si="6"/>
        <v>6450</v>
      </c>
      <c r="Q14" s="1053" t="s">
        <v>640</v>
      </c>
      <c r="R14" s="1097">
        <f ca="1">SUM(R11:R13)</f>
        <v>-1981498.1711537624</v>
      </c>
      <c r="U14" s="1053">
        <v>1319</v>
      </c>
      <c r="V14" s="1082">
        <f t="shared" si="7"/>
        <v>469</v>
      </c>
      <c r="W14" s="1083">
        <f t="shared" si="8"/>
        <v>0.35557240333586049</v>
      </c>
    </row>
    <row r="15" spans="1:23" ht="12.75" customHeight="1" thickBot="1">
      <c r="A15" s="1126" t="s">
        <v>205</v>
      </c>
      <c r="B15" s="1703"/>
      <c r="C15" s="1085">
        <v>2</v>
      </c>
      <c r="D15" s="1127" t="str">
        <f t="shared" si="10"/>
        <v>B</v>
      </c>
      <c r="E15" s="1128">
        <f t="shared" si="10"/>
        <v>2</v>
      </c>
      <c r="F15" s="1088">
        <v>16</v>
      </c>
      <c r="G15" s="1129">
        <v>0</v>
      </c>
      <c r="H15" s="1130">
        <f t="shared" si="0"/>
        <v>0</v>
      </c>
      <c r="I15" s="1091">
        <f t="shared" si="11"/>
        <v>984</v>
      </c>
      <c r="J15" s="1092">
        <v>1000</v>
      </c>
      <c r="K15" s="1090">
        <f t="shared" si="2"/>
        <v>16000</v>
      </c>
      <c r="L15" s="1093">
        <f t="shared" si="3"/>
        <v>0</v>
      </c>
      <c r="M15" s="1131">
        <f t="shared" si="4"/>
        <v>51760</v>
      </c>
      <c r="N15" s="1132">
        <f t="shared" si="5"/>
        <v>24.884615384615383</v>
      </c>
      <c r="O15" s="1706"/>
      <c r="P15" s="1081">
        <f t="shared" si="6"/>
        <v>10352</v>
      </c>
      <c r="Q15" s="1053" t="s">
        <v>641</v>
      </c>
      <c r="R15" s="1133">
        <f ca="1">R10+R14</f>
        <v>1512433.7088462375</v>
      </c>
      <c r="U15" s="1053">
        <v>1438</v>
      </c>
      <c r="V15" s="1082">
        <f t="shared" si="7"/>
        <v>438</v>
      </c>
      <c r="W15" s="1083">
        <f t="shared" si="8"/>
        <v>0.30458970792767731</v>
      </c>
    </row>
    <row r="16" spans="1:23" ht="12.75" customHeight="1" thickTop="1">
      <c r="A16" s="1134" t="str">
        <f>A15</f>
        <v>LIHTC</v>
      </c>
      <c r="B16" s="1703"/>
      <c r="C16" s="1085">
        <v>3</v>
      </c>
      <c r="D16" s="1127" t="str">
        <f t="shared" si="10"/>
        <v>C</v>
      </c>
      <c r="E16" s="1128">
        <f t="shared" si="10"/>
        <v>2</v>
      </c>
      <c r="F16" s="1088">
        <v>8</v>
      </c>
      <c r="G16" s="1129">
        <v>0</v>
      </c>
      <c r="H16" s="1130">
        <f t="shared" si="0"/>
        <v>0</v>
      </c>
      <c r="I16" s="1091">
        <f t="shared" si="11"/>
        <v>1112</v>
      </c>
      <c r="J16" s="1092">
        <v>1100</v>
      </c>
      <c r="K16" s="1090">
        <f t="shared" si="2"/>
        <v>8800</v>
      </c>
      <c r="L16" s="1093">
        <f t="shared" si="3"/>
        <v>0</v>
      </c>
      <c r="M16" s="1131">
        <f t="shared" si="4"/>
        <v>58560</v>
      </c>
      <c r="N16" s="1132">
        <f t="shared" si="5"/>
        <v>28.153846153846153</v>
      </c>
      <c r="O16" s="1706"/>
      <c r="P16" s="1081">
        <f t="shared" si="6"/>
        <v>5856</v>
      </c>
      <c r="R16" s="1067">
        <f ca="1">R15-NOI</f>
        <v>0</v>
      </c>
      <c r="U16" s="1053">
        <v>1758</v>
      </c>
      <c r="V16" s="1082">
        <f t="shared" si="7"/>
        <v>658</v>
      </c>
      <c r="W16" s="1083">
        <f t="shared" si="8"/>
        <v>0.37428896473265072</v>
      </c>
    </row>
    <row r="17" spans="1:23" ht="12.75" customHeight="1" thickBot="1">
      <c r="A17" s="1134" t="str">
        <f>A13</f>
        <v>LIHTC</v>
      </c>
      <c r="B17" s="1703"/>
      <c r="C17" s="1098">
        <v>4</v>
      </c>
      <c r="D17" s="1135" t="str">
        <f t="shared" si="10"/>
        <v>D</v>
      </c>
      <c r="E17" s="1128">
        <f t="shared" si="10"/>
        <v>2</v>
      </c>
      <c r="F17" s="1088">
        <v>5</v>
      </c>
      <c r="G17" s="1129">
        <v>0</v>
      </c>
      <c r="H17" s="1130">
        <f>G17*F17</f>
        <v>0</v>
      </c>
      <c r="I17" s="1091">
        <f t="shared" si="11"/>
        <v>1647</v>
      </c>
      <c r="J17" s="1092">
        <v>1200</v>
      </c>
      <c r="K17" s="1090">
        <f>IFERROR(IF(F17=0,"",F17*J17),0)</f>
        <v>6000</v>
      </c>
      <c r="L17" s="1093">
        <f>IF(F17=0,"",IFERROR(J17/G17,0))</f>
        <v>0</v>
      </c>
      <c r="M17" s="1131">
        <f t="shared" si="4"/>
        <v>48000</v>
      </c>
      <c r="N17" s="1132">
        <f>IF(F17=0,"",M17/2080)</f>
        <v>23.076923076923077</v>
      </c>
      <c r="O17" s="1706"/>
      <c r="P17" s="1081">
        <f t="shared" si="6"/>
        <v>3000</v>
      </c>
      <c r="Q17" s="1082"/>
      <c r="U17" s="1053">
        <v>1869</v>
      </c>
      <c r="V17" s="1082">
        <f t="shared" si="7"/>
        <v>669</v>
      </c>
      <c r="W17" s="1083">
        <f t="shared" si="8"/>
        <v>0.3579454253611557</v>
      </c>
    </row>
    <row r="18" spans="1:23" ht="12.75" customHeight="1" thickTop="1">
      <c r="A18" s="1096">
        <f>A14</f>
        <v>0.6</v>
      </c>
      <c r="B18" s="1703"/>
      <c r="C18" s="1098">
        <v>4</v>
      </c>
      <c r="D18" s="1135" t="str">
        <f t="shared" si="10"/>
        <v>E</v>
      </c>
      <c r="E18" s="1128">
        <f t="shared" si="10"/>
        <v>2</v>
      </c>
      <c r="F18" s="1088">
        <v>0</v>
      </c>
      <c r="G18" s="1129">
        <v>0</v>
      </c>
      <c r="H18" s="1130">
        <f>G18*F18</f>
        <v>0</v>
      </c>
      <c r="I18" s="1091">
        <f t="shared" si="11"/>
        <v>0</v>
      </c>
      <c r="J18" s="1092"/>
      <c r="K18" s="1090" t="str">
        <f>IFERROR(IF(F18=0,"",F18*J18),0)</f>
        <v/>
      </c>
      <c r="L18" s="1093" t="str">
        <f>IF(F18=0,"",IFERROR(J18/G18,0))</f>
        <v/>
      </c>
      <c r="M18" s="1131" t="str">
        <f t="shared" si="4"/>
        <v/>
      </c>
      <c r="N18" s="1132" t="str">
        <f>IF(F18=0,"",M18/2080)</f>
        <v/>
      </c>
      <c r="O18" s="1706"/>
      <c r="P18" s="1081" t="str">
        <f t="shared" si="6"/>
        <v/>
      </c>
      <c r="Q18" s="1708"/>
      <c r="R18" s="1709"/>
      <c r="V18" s="1082"/>
      <c r="W18" s="1083"/>
    </row>
    <row r="19" spans="1:23" ht="12.75" customHeight="1">
      <c r="A19" s="1096" t="str">
        <f>A15</f>
        <v>LIHTC</v>
      </c>
      <c r="B19" s="1703"/>
      <c r="C19" s="1098">
        <v>3</v>
      </c>
      <c r="D19" s="1135" t="str">
        <f t="shared" si="10"/>
        <v>F</v>
      </c>
      <c r="E19" s="1128">
        <f t="shared" si="10"/>
        <v>2</v>
      </c>
      <c r="F19" s="1088"/>
      <c r="G19" s="1129">
        <v>0</v>
      </c>
      <c r="H19" s="1130">
        <f>G19*F19</f>
        <v>0</v>
      </c>
      <c r="I19" s="1091">
        <f t="shared" si="11"/>
        <v>0</v>
      </c>
      <c r="J19" s="1092"/>
      <c r="K19" s="1090" t="str">
        <f>IFERROR(IF(F19=0,"",F19*J19),0)</f>
        <v/>
      </c>
      <c r="L19" s="1093" t="str">
        <f>IF(F19=0,"",IFERROR(J19/G19,0))</f>
        <v/>
      </c>
      <c r="M19" s="1131" t="str">
        <f t="shared" si="4"/>
        <v/>
      </c>
      <c r="N19" s="1132" t="str">
        <f>IF(F19=0,"",M19/2080)</f>
        <v/>
      </c>
      <c r="O19" s="1706"/>
      <c r="P19" s="1081" t="str">
        <f t="shared" si="6"/>
        <v/>
      </c>
      <c r="Q19" s="1710"/>
      <c r="R19" s="1711"/>
      <c r="V19" s="1082"/>
      <c r="W19" s="1083"/>
    </row>
    <row r="20" spans="1:23" ht="12.75" customHeight="1">
      <c r="A20" s="1096" t="str">
        <f>A16</f>
        <v>LIHTC</v>
      </c>
      <c r="B20" s="1703"/>
      <c r="C20" s="1085">
        <v>2</v>
      </c>
      <c r="D20" s="1127" t="str">
        <f t="shared" si="10"/>
        <v>G</v>
      </c>
      <c r="E20" s="1128">
        <f t="shared" si="10"/>
        <v>2</v>
      </c>
      <c r="F20" s="1088"/>
      <c r="G20" s="1129">
        <v>0</v>
      </c>
      <c r="H20" s="1130">
        <f t="shared" si="0"/>
        <v>0</v>
      </c>
      <c r="I20" s="1091">
        <f t="shared" si="11"/>
        <v>0</v>
      </c>
      <c r="J20" s="1092"/>
      <c r="K20" s="1090" t="str">
        <f t="shared" si="2"/>
        <v/>
      </c>
      <c r="L20" s="1093" t="str">
        <f t="shared" si="3"/>
        <v/>
      </c>
      <c r="M20" s="1131" t="str">
        <f t="shared" si="4"/>
        <v/>
      </c>
      <c r="N20" s="1132" t="str">
        <f t="shared" si="5"/>
        <v/>
      </c>
      <c r="O20" s="1706"/>
      <c r="P20" s="1081" t="str">
        <f t="shared" si="6"/>
        <v/>
      </c>
      <c r="Q20" s="1136" t="s">
        <v>642</v>
      </c>
      <c r="R20" s="1137">
        <v>52400</v>
      </c>
      <c r="V20" s="1082"/>
      <c r="W20" s="1083"/>
    </row>
    <row r="21" spans="1:23" ht="12.75" customHeight="1" thickBot="1">
      <c r="A21" s="1102" t="str">
        <f>A20</f>
        <v>LIHTC</v>
      </c>
      <c r="B21" s="1704"/>
      <c r="C21" s="1103">
        <v>1</v>
      </c>
      <c r="D21" s="1138" t="str">
        <f t="shared" si="10"/>
        <v>H</v>
      </c>
      <c r="E21" s="1139">
        <f t="shared" si="10"/>
        <v>1</v>
      </c>
      <c r="F21" s="1106"/>
      <c r="G21" s="1140">
        <v>0</v>
      </c>
      <c r="H21" s="1141">
        <f t="shared" si="0"/>
        <v>0</v>
      </c>
      <c r="I21" s="1109">
        <f t="shared" si="11"/>
        <v>0</v>
      </c>
      <c r="J21" s="1110"/>
      <c r="K21" s="1108" t="str">
        <f t="shared" si="2"/>
        <v/>
      </c>
      <c r="L21" s="1111" t="str">
        <f t="shared" si="3"/>
        <v/>
      </c>
      <c r="M21" s="1142" t="str">
        <f t="shared" si="4"/>
        <v/>
      </c>
      <c r="N21" s="1113" t="str">
        <f t="shared" si="5"/>
        <v/>
      </c>
      <c r="O21" s="1707"/>
      <c r="P21" s="1081" t="str">
        <f t="shared" si="6"/>
        <v/>
      </c>
      <c r="Q21" s="1712" t="s">
        <v>666</v>
      </c>
      <c r="R21" s="1713"/>
      <c r="V21" s="1082"/>
      <c r="W21" s="1083"/>
    </row>
    <row r="22" spans="1:23" ht="12.75" customHeight="1" thickTop="1" thickBot="1">
      <c r="A22" s="1069">
        <v>1</v>
      </c>
      <c r="B22" s="1702" t="e">
        <f>SUM(F22:F29)/TtlUnits</f>
        <v>#VALUE!</v>
      </c>
      <c r="C22" s="1070">
        <v>1</v>
      </c>
      <c r="D22" s="1143" t="str">
        <f t="shared" si="10"/>
        <v>A</v>
      </c>
      <c r="E22" s="1144">
        <f t="shared" si="10"/>
        <v>1</v>
      </c>
      <c r="F22" s="1073">
        <v>5</v>
      </c>
      <c r="G22" s="1145">
        <v>0</v>
      </c>
      <c r="H22" s="1122">
        <f t="shared" si="0"/>
        <v>0</v>
      </c>
      <c r="I22" s="1146">
        <f t="shared" ref="I22:I29" si="12">IFERROR(HLOOKUP(C22,$K$32:$O$53,4,FALSE),"N/A")</f>
        <v>307</v>
      </c>
      <c r="J22" s="1077">
        <v>1175</v>
      </c>
      <c r="K22" s="1122">
        <f t="shared" si="2"/>
        <v>5875</v>
      </c>
      <c r="L22" s="1123">
        <f t="shared" si="3"/>
        <v>0</v>
      </c>
      <c r="M22" s="1147">
        <f t="shared" si="4"/>
        <v>56000</v>
      </c>
      <c r="N22" s="1148">
        <f t="shared" si="5"/>
        <v>26.923076923076923</v>
      </c>
      <c r="O22" s="1705" t="str">
        <f>Tenancy</f>
        <v>Family</v>
      </c>
      <c r="P22" s="1081">
        <f t="shared" si="6"/>
        <v>3500</v>
      </c>
      <c r="Q22" s="1714">
        <v>82000</v>
      </c>
      <c r="R22" s="1715"/>
      <c r="U22" s="1053">
        <v>1319</v>
      </c>
      <c r="V22" s="1082">
        <f t="shared" si="7"/>
        <v>144</v>
      </c>
      <c r="W22" s="1083">
        <f t="shared" si="8"/>
        <v>0.10917361637604246</v>
      </c>
    </row>
    <row r="23" spans="1:23" ht="12.75" customHeight="1" thickTop="1">
      <c r="A23" s="1149">
        <f t="shared" ref="A23:A29" si="13">A22</f>
        <v>1</v>
      </c>
      <c r="B23" s="1703"/>
      <c r="C23" s="1085">
        <v>2</v>
      </c>
      <c r="D23" s="1127" t="str">
        <f t="shared" si="10"/>
        <v>B</v>
      </c>
      <c r="E23" s="1128">
        <f t="shared" si="10"/>
        <v>2</v>
      </c>
      <c r="F23" s="1088">
        <v>7</v>
      </c>
      <c r="G23" s="1089">
        <v>0</v>
      </c>
      <c r="H23" s="1090">
        <f t="shared" si="0"/>
        <v>0</v>
      </c>
      <c r="I23" s="1150">
        <f t="shared" si="12"/>
        <v>134</v>
      </c>
      <c r="J23" s="1092">
        <v>1275</v>
      </c>
      <c r="K23" s="1090">
        <f t="shared" si="2"/>
        <v>8925</v>
      </c>
      <c r="L23" s="1093">
        <f t="shared" si="3"/>
        <v>0</v>
      </c>
      <c r="M23" s="1094">
        <f t="shared" si="4"/>
        <v>62760</v>
      </c>
      <c r="N23" s="1095">
        <f t="shared" si="5"/>
        <v>30.173076923076923</v>
      </c>
      <c r="O23" s="1706"/>
      <c r="P23" s="1081">
        <f t="shared" si="6"/>
        <v>5491.5</v>
      </c>
      <c r="U23" s="1053">
        <v>1438</v>
      </c>
      <c r="V23" s="1082">
        <f t="shared" si="7"/>
        <v>163</v>
      </c>
      <c r="W23" s="1083">
        <f t="shared" si="8"/>
        <v>0.1133518776077886</v>
      </c>
    </row>
    <row r="24" spans="1:23" ht="12.75" customHeight="1">
      <c r="A24" s="1096">
        <f t="shared" si="13"/>
        <v>1</v>
      </c>
      <c r="B24" s="1703"/>
      <c r="C24" s="1085">
        <v>3</v>
      </c>
      <c r="D24" s="1127" t="str">
        <f t="shared" si="10"/>
        <v>C</v>
      </c>
      <c r="E24" s="1128">
        <f t="shared" si="10"/>
        <v>2</v>
      </c>
      <c r="F24" s="1088">
        <v>4</v>
      </c>
      <c r="G24" s="1089">
        <v>0</v>
      </c>
      <c r="H24" s="1090">
        <f t="shared" si="0"/>
        <v>0</v>
      </c>
      <c r="I24" s="1150">
        <f t="shared" si="12"/>
        <v>130</v>
      </c>
      <c r="J24" s="1092">
        <v>1450</v>
      </c>
      <c r="K24" s="1090">
        <f t="shared" si="2"/>
        <v>5800</v>
      </c>
      <c r="L24" s="1093">
        <f t="shared" si="3"/>
        <v>0</v>
      </c>
      <c r="M24" s="1094">
        <f t="shared" si="4"/>
        <v>72560</v>
      </c>
      <c r="N24" s="1095">
        <f t="shared" si="5"/>
        <v>34.884615384615387</v>
      </c>
      <c r="O24" s="1706"/>
      <c r="P24" s="1151">
        <f t="shared" si="6"/>
        <v>3628</v>
      </c>
      <c r="Q24" s="1731" t="s">
        <v>643</v>
      </c>
      <c r="R24" s="1699"/>
      <c r="U24" s="1053">
        <v>1758</v>
      </c>
      <c r="V24" s="1082">
        <f t="shared" si="7"/>
        <v>308</v>
      </c>
      <c r="W24" s="1083">
        <f t="shared" si="8"/>
        <v>0.1751990898748578</v>
      </c>
    </row>
    <row r="25" spans="1:23" ht="12.75" customHeight="1">
      <c r="A25" s="1096">
        <f t="shared" si="13"/>
        <v>1</v>
      </c>
      <c r="B25" s="1703"/>
      <c r="C25" s="1098">
        <v>4</v>
      </c>
      <c r="D25" s="1135" t="str">
        <f t="shared" si="10"/>
        <v>D</v>
      </c>
      <c r="E25" s="1128">
        <f t="shared" si="10"/>
        <v>2</v>
      </c>
      <c r="F25" s="1088">
        <v>1</v>
      </c>
      <c r="G25" s="1089">
        <v>0</v>
      </c>
      <c r="H25" s="1090">
        <f>G25*F25</f>
        <v>0</v>
      </c>
      <c r="I25" s="1150">
        <f t="shared" si="12"/>
        <v>823</v>
      </c>
      <c r="J25" s="1092">
        <v>1550</v>
      </c>
      <c r="K25" s="1090">
        <f>IFERROR(IF(F25=0,"",F25*J25),0)</f>
        <v>1550</v>
      </c>
      <c r="L25" s="1093">
        <f>IF(F25=0,"",IFERROR(J25/G25,0))</f>
        <v>0</v>
      </c>
      <c r="M25" s="1094">
        <f t="shared" si="4"/>
        <v>62000</v>
      </c>
      <c r="N25" s="1095">
        <f>IF(F25=0,"",M25/2080)</f>
        <v>29.807692307692307</v>
      </c>
      <c r="O25" s="1706"/>
      <c r="P25" s="1151">
        <f t="shared" si="6"/>
        <v>775</v>
      </c>
      <c r="Q25" s="1152" t="str">
        <f t="shared" ref="Q25:Q32" si="14">D6</f>
        <v>A</v>
      </c>
      <c r="R25" s="1153">
        <v>0</v>
      </c>
      <c r="S25" s="1053">
        <v>0.56666666666666665</v>
      </c>
      <c r="U25" s="1053">
        <v>1869</v>
      </c>
      <c r="V25" s="1082">
        <f t="shared" si="7"/>
        <v>319</v>
      </c>
      <c r="W25" s="1083">
        <f t="shared" si="8"/>
        <v>0.17067950775815943</v>
      </c>
    </row>
    <row r="26" spans="1:23" ht="12.75" customHeight="1">
      <c r="A26" s="1096">
        <f t="shared" si="13"/>
        <v>1</v>
      </c>
      <c r="B26" s="1703"/>
      <c r="C26" s="1098">
        <v>4</v>
      </c>
      <c r="D26" s="1135" t="str">
        <f t="shared" si="10"/>
        <v>E</v>
      </c>
      <c r="E26" s="1128">
        <f t="shared" si="10"/>
        <v>2</v>
      </c>
      <c r="F26" s="1088" t="e">
        <f>SUMIF('[1]Unit Mix'!$V$7:$V$21,D26,'[1]Unit Mix'!$AA$7:$AA$21)</f>
        <v>#VALUE!</v>
      </c>
      <c r="G26" s="1089">
        <v>0</v>
      </c>
      <c r="H26" s="1090" t="e">
        <f>G26*F26</f>
        <v>#VALUE!</v>
      </c>
      <c r="I26" s="1150">
        <f t="shared" si="12"/>
        <v>823</v>
      </c>
      <c r="J26" s="1092" t="e">
        <f>IF(F26=0,0,SUMIF('[1]Unit Mix'!$V$7:$V$21,D26,'[1]Unit Mix'!$Z$7:$Z$21))</f>
        <v>#VALUE!</v>
      </c>
      <c r="K26" s="1090">
        <f>IFERROR(IF(F26=0,"",F26*J26),0)</f>
        <v>0</v>
      </c>
      <c r="L26" s="1093" t="e">
        <f>IF(F26=0,"",IFERROR(J26/G26,0))</f>
        <v>#VALUE!</v>
      </c>
      <c r="M26" s="1094" t="e">
        <f t="shared" si="4"/>
        <v>#VALUE!</v>
      </c>
      <c r="N26" s="1095" t="e">
        <f>IF(F26=0,"",M26/2080)</f>
        <v>#VALUE!</v>
      </c>
      <c r="O26" s="1706"/>
      <c r="P26" s="1053" t="e">
        <f t="shared" si="6"/>
        <v>#VALUE!</v>
      </c>
      <c r="Q26" s="1152" t="str">
        <f t="shared" si="14"/>
        <v>B</v>
      </c>
      <c r="R26" s="1153">
        <v>0</v>
      </c>
      <c r="S26" s="1053">
        <v>0.56666666666666665</v>
      </c>
    </row>
    <row r="27" spans="1:23" ht="12.75" customHeight="1">
      <c r="A27" s="1096">
        <f t="shared" si="13"/>
        <v>1</v>
      </c>
      <c r="B27" s="1703"/>
      <c r="C27" s="1098">
        <v>3</v>
      </c>
      <c r="D27" s="1135" t="str">
        <f t="shared" si="10"/>
        <v>F</v>
      </c>
      <c r="E27" s="1128">
        <f t="shared" si="10"/>
        <v>2</v>
      </c>
      <c r="F27" s="1088" t="e">
        <f>SUMIF('[1]Unit Mix'!$V$7:$V$21,D27,'[1]Unit Mix'!$AA$7:$AA$21)</f>
        <v>#VALUE!</v>
      </c>
      <c r="G27" s="1089">
        <v>0</v>
      </c>
      <c r="H27" s="1090" t="e">
        <f>G27*F27</f>
        <v>#VALUE!</v>
      </c>
      <c r="I27" s="1150">
        <f t="shared" si="12"/>
        <v>130</v>
      </c>
      <c r="J27" s="1092" t="e">
        <f>IF(F27=0,0,SUMIF('[1]Unit Mix'!$V$7:$V$21,D27,'[1]Unit Mix'!$Z$7:$Z$21))</f>
        <v>#VALUE!</v>
      </c>
      <c r="K27" s="1090">
        <f>IFERROR(IF(F27=0,"",F27*J27),0)</f>
        <v>0</v>
      </c>
      <c r="L27" s="1093" t="e">
        <f>IF(F27=0,"",IFERROR(J27/G27,0))</f>
        <v>#VALUE!</v>
      </c>
      <c r="M27" s="1094" t="e">
        <f t="shared" si="4"/>
        <v>#VALUE!</v>
      </c>
      <c r="N27" s="1095" t="e">
        <f>IF(F27=0,"",M27/2080)</f>
        <v>#VALUE!</v>
      </c>
      <c r="O27" s="1706"/>
      <c r="P27" s="1053" t="e">
        <f t="shared" si="6"/>
        <v>#VALUE!</v>
      </c>
      <c r="Q27" s="1152" t="str">
        <f t="shared" si="14"/>
        <v>C</v>
      </c>
      <c r="R27" s="1153">
        <v>0</v>
      </c>
      <c r="S27" s="1053">
        <v>0.57272727272727275</v>
      </c>
    </row>
    <row r="28" spans="1:23" ht="12.75" customHeight="1">
      <c r="A28" s="1096">
        <f t="shared" si="13"/>
        <v>1</v>
      </c>
      <c r="B28" s="1703"/>
      <c r="C28" s="1085">
        <v>2</v>
      </c>
      <c r="D28" s="1127" t="str">
        <f t="shared" si="10"/>
        <v>G</v>
      </c>
      <c r="E28" s="1128">
        <f t="shared" si="10"/>
        <v>2</v>
      </c>
      <c r="F28" s="1088" t="e">
        <f>SUMIF('[1]Unit Mix'!$V$7:$V$21,D28,'[1]Unit Mix'!$AA$7:$AA$21)</f>
        <v>#VALUE!</v>
      </c>
      <c r="G28" s="1089">
        <v>0</v>
      </c>
      <c r="H28" s="1090" t="e">
        <f t="shared" si="0"/>
        <v>#VALUE!</v>
      </c>
      <c r="I28" s="1150">
        <f t="shared" si="12"/>
        <v>134</v>
      </c>
      <c r="J28" s="1092" t="e">
        <f>IF(F28=0,0,SUMIF('[1]Unit Mix'!$V$7:$V$21,D28,'[1]Unit Mix'!$Z$7:$Z$21))</f>
        <v>#VALUE!</v>
      </c>
      <c r="K28" s="1090">
        <f t="shared" si="2"/>
        <v>0</v>
      </c>
      <c r="L28" s="1093" t="e">
        <f t="shared" si="3"/>
        <v>#VALUE!</v>
      </c>
      <c r="M28" s="1094" t="e">
        <f t="shared" si="4"/>
        <v>#VALUE!</v>
      </c>
      <c r="N28" s="1095" t="e">
        <f t="shared" si="5"/>
        <v>#VALUE!</v>
      </c>
      <c r="O28" s="1706"/>
      <c r="P28" s="1053" t="e">
        <f t="shared" si="6"/>
        <v>#VALUE!</v>
      </c>
      <c r="Q28" s="1152" t="str">
        <f t="shared" si="14"/>
        <v>D</v>
      </c>
      <c r="R28" s="1153">
        <v>0</v>
      </c>
      <c r="S28" s="1053">
        <v>0.58333333333333337</v>
      </c>
    </row>
    <row r="29" spans="1:23" ht="12.75" customHeight="1" thickBot="1">
      <c r="A29" s="1102">
        <f t="shared" si="13"/>
        <v>1</v>
      </c>
      <c r="B29" s="1704"/>
      <c r="C29" s="1103">
        <v>1</v>
      </c>
      <c r="D29" s="1138" t="str">
        <f t="shared" si="10"/>
        <v>H</v>
      </c>
      <c r="E29" s="1139">
        <f t="shared" si="10"/>
        <v>1</v>
      </c>
      <c r="F29" s="1106" t="e">
        <f>SUMIF('[1]Unit Mix'!$V$7:$V$21,D29,'[1]Unit Mix'!$AA$7:$AA$21)</f>
        <v>#VALUE!</v>
      </c>
      <c r="G29" s="1107">
        <v>0</v>
      </c>
      <c r="H29" s="1108" t="e">
        <f t="shared" si="0"/>
        <v>#VALUE!</v>
      </c>
      <c r="I29" s="1154">
        <f t="shared" si="12"/>
        <v>307</v>
      </c>
      <c r="J29" s="1110" t="e">
        <f>IF(F29=0,0,SUMIF('[1]Unit Mix'!$V$7:$V$21,D29,'[1]Unit Mix'!$Z$7:$Z$21))</f>
        <v>#VALUE!</v>
      </c>
      <c r="K29" s="1108">
        <f t="shared" si="2"/>
        <v>0</v>
      </c>
      <c r="L29" s="1111" t="e">
        <f t="shared" si="3"/>
        <v>#VALUE!</v>
      </c>
      <c r="M29" s="1112" t="e">
        <f t="shared" si="4"/>
        <v>#VALUE!</v>
      </c>
      <c r="N29" s="1113" t="e">
        <f t="shared" si="5"/>
        <v>#VALUE!</v>
      </c>
      <c r="O29" s="1707"/>
      <c r="P29" s="1053" t="e">
        <f t="shared" si="6"/>
        <v>#VALUE!</v>
      </c>
      <c r="Q29" s="1152" t="str">
        <f t="shared" si="14"/>
        <v>E</v>
      </c>
      <c r="R29" s="1153">
        <v>0</v>
      </c>
      <c r="S29" s="1053">
        <v>0.5</v>
      </c>
    </row>
    <row r="30" spans="1:23" ht="12.75" customHeight="1" thickTop="1" thickBot="1">
      <c r="A30" s="1155"/>
      <c r="B30" s="1067"/>
      <c r="C30" s="1067"/>
      <c r="D30" s="1067"/>
      <c r="E30" s="1156" t="s">
        <v>644</v>
      </c>
      <c r="F30" s="1157" t="e">
        <f>SUM(F6:F29)</f>
        <v>#VALUE!</v>
      </c>
      <c r="G30" s="1090"/>
      <c r="H30" s="1157" t="e">
        <f>SUM(H6:H29)</f>
        <v>#VALUE!</v>
      </c>
      <c r="I30" s="1090"/>
      <c r="J30" s="1090"/>
      <c r="K30" s="1157">
        <f>SUM(K6:K29)</f>
        <v>81900</v>
      </c>
      <c r="L30" s="1158"/>
      <c r="M30" s="1159" t="e">
        <f>SUM(P6:P29)</f>
        <v>#VALUE!</v>
      </c>
      <c r="N30" s="1160" t="s">
        <v>645</v>
      </c>
      <c r="Q30" s="1152" t="str">
        <f t="shared" si="14"/>
        <v>F</v>
      </c>
      <c r="R30" s="1153">
        <v>0</v>
      </c>
      <c r="S30" s="1053">
        <v>0.5</v>
      </c>
    </row>
    <row r="31" spans="1:23" ht="12.75" customHeight="1" thickTop="1" thickBot="1">
      <c r="E31" s="1161"/>
      <c r="F31" s="1162"/>
      <c r="G31" s="1162"/>
      <c r="H31" s="1163"/>
      <c r="I31" s="1090"/>
      <c r="J31" s="1164"/>
      <c r="M31" s="1055"/>
      <c r="N31" s="1055"/>
      <c r="Q31" s="1152" t="str">
        <f t="shared" si="14"/>
        <v>G</v>
      </c>
      <c r="R31" s="1153">
        <v>0</v>
      </c>
      <c r="S31" s="1053">
        <v>0.5</v>
      </c>
    </row>
    <row r="32" spans="1:23" ht="12.75" customHeight="1" thickTop="1" thickBot="1">
      <c r="A32" s="1165"/>
      <c r="B32" s="1166">
        <v>1</v>
      </c>
      <c r="C32" s="1167">
        <f>B32+1</f>
        <v>2</v>
      </c>
      <c r="D32" s="1167">
        <f>C32+1</f>
        <v>3</v>
      </c>
      <c r="E32" s="1167">
        <f>D32+1</f>
        <v>4</v>
      </c>
      <c r="F32" s="1167">
        <f>E32+1</f>
        <v>5</v>
      </c>
      <c r="G32" s="1168">
        <f>F32+1</f>
        <v>6</v>
      </c>
      <c r="J32" s="1169"/>
      <c r="K32" s="1170">
        <f>D43</f>
        <v>0</v>
      </c>
      <c r="L32" s="1171">
        <f>E43</f>
        <v>1</v>
      </c>
      <c r="M32" s="1171">
        <f>F43</f>
        <v>2</v>
      </c>
      <c r="N32" s="1171">
        <f>G43</f>
        <v>3</v>
      </c>
      <c r="O32" s="1172">
        <f>H43</f>
        <v>4</v>
      </c>
      <c r="Q32" s="1152" t="str">
        <f t="shared" si="14"/>
        <v>H</v>
      </c>
      <c r="R32" s="1153">
        <v>0</v>
      </c>
      <c r="S32" s="1053">
        <v>0.5</v>
      </c>
    </row>
    <row r="33" spans="1:18" ht="12.75" customHeight="1">
      <c r="A33" s="1173">
        <v>0.3</v>
      </c>
      <c r="B33" s="1174">
        <f t="shared" ref="B33:G34" si="15">ROUNDDOWN(B$35*($A33/$A$35),-1)</f>
        <v>19890</v>
      </c>
      <c r="C33" s="1175">
        <f t="shared" si="15"/>
        <v>22710</v>
      </c>
      <c r="D33" s="1175">
        <f t="shared" si="15"/>
        <v>25560</v>
      </c>
      <c r="E33" s="1175">
        <f t="shared" si="15"/>
        <v>28380</v>
      </c>
      <c r="F33" s="1175">
        <f t="shared" si="15"/>
        <v>30660</v>
      </c>
      <c r="G33" s="1176">
        <f t="shared" si="15"/>
        <v>32940</v>
      </c>
      <c r="H33" s="1177"/>
      <c r="J33" s="1136" t="s">
        <v>646</v>
      </c>
      <c r="K33" s="1178">
        <f>-D53</f>
        <v>0</v>
      </c>
      <c r="L33" s="1178">
        <f>-Income!E53</f>
        <v>-225</v>
      </c>
      <c r="M33" s="1179">
        <f>-Income!F53</f>
        <v>-294</v>
      </c>
      <c r="N33" s="1179">
        <f>-Income!G53</f>
        <v>-364</v>
      </c>
      <c r="O33" s="1180">
        <f>-Income!H53</f>
        <v>0</v>
      </c>
    </row>
    <row r="34" spans="1:18" ht="12.75" customHeight="1">
      <c r="A34" s="1173">
        <v>0.4</v>
      </c>
      <c r="B34" s="1174">
        <f t="shared" si="15"/>
        <v>26520</v>
      </c>
      <c r="C34" s="1175">
        <f t="shared" si="15"/>
        <v>30280</v>
      </c>
      <c r="D34" s="1175">
        <f t="shared" si="15"/>
        <v>34080</v>
      </c>
      <c r="E34" s="1175">
        <f t="shared" si="15"/>
        <v>37840</v>
      </c>
      <c r="F34" s="1175">
        <f t="shared" si="15"/>
        <v>40880</v>
      </c>
      <c r="G34" s="1176">
        <f t="shared" si="15"/>
        <v>43920</v>
      </c>
      <c r="H34" s="1177"/>
      <c r="J34" s="1181">
        <f>A33</f>
        <v>0.3</v>
      </c>
      <c r="K34" s="1182">
        <f>ROUNDDOWN(SUM(Income!B33)*0.3/12,0)</f>
        <v>497</v>
      </c>
      <c r="L34" s="1182">
        <f>ROUNDDOWN(SUM(Income!B33:C33)/2*0.3/12,0)</f>
        <v>532</v>
      </c>
      <c r="M34" s="1183">
        <f>ROUNDDOWN(SUM(Income!D33)*0.3/12,0)*0+428</f>
        <v>428</v>
      </c>
      <c r="N34" s="1183">
        <f>ROUNDDOWN(SUM(Income!E33:F33)/2*0.3/12,0)*0+494</f>
        <v>494</v>
      </c>
      <c r="O34" s="1184">
        <f>ROUNDDOWN(SUM(Income!G33)*0.3/12,0)</f>
        <v>823</v>
      </c>
      <c r="Q34" s="1731" t="s">
        <v>647</v>
      </c>
      <c r="R34" s="1699"/>
    </row>
    <row r="35" spans="1:18" ht="12.75" customHeight="1" thickBot="1">
      <c r="A35" s="1173">
        <v>0.5</v>
      </c>
      <c r="B35" s="1185">
        <v>33150</v>
      </c>
      <c r="C35" s="1186">
        <v>37850</v>
      </c>
      <c r="D35" s="1186">
        <v>42600</v>
      </c>
      <c r="E35" s="1186">
        <v>47300</v>
      </c>
      <c r="F35" s="1186">
        <v>51100</v>
      </c>
      <c r="G35" s="1187">
        <v>54900</v>
      </c>
      <c r="H35" s="1177"/>
      <c r="J35" s="1188" t="s">
        <v>648</v>
      </c>
      <c r="K35" s="1189">
        <f>K34+K$33</f>
        <v>497</v>
      </c>
      <c r="L35" s="1189">
        <f>L34+L$33</f>
        <v>307</v>
      </c>
      <c r="M35" s="1189">
        <f>M34+M$33</f>
        <v>134</v>
      </c>
      <c r="N35" s="1189">
        <f>N34+N$33</f>
        <v>130</v>
      </c>
      <c r="O35" s="1190">
        <f>O34+O$33</f>
        <v>823</v>
      </c>
      <c r="Q35" s="1152">
        <v>1</v>
      </c>
      <c r="R35" s="1153">
        <f>((F6+F13)*$A$6)/SUMIF($C$6:$C$21,$Q$35,$F$6:$F$21)+((F14+F21)*$A$14)/SUMIF($C$6:$C$21,$Q$35,$F$6:$F$21)</f>
        <v>0.56315789473684208</v>
      </c>
    </row>
    <row r="36" spans="1:18" ht="12.75" customHeight="1" thickTop="1">
      <c r="A36" s="1173">
        <v>0.6</v>
      </c>
      <c r="B36" s="1174">
        <f t="shared" ref="B36:G39" si="16">ROUNDDOWN(B$35*($A36/$A$35),-1)</f>
        <v>39780</v>
      </c>
      <c r="C36" s="1175">
        <f t="shared" si="16"/>
        <v>45420</v>
      </c>
      <c r="D36" s="1175">
        <f t="shared" si="16"/>
        <v>51120</v>
      </c>
      <c r="E36" s="1175">
        <f t="shared" si="16"/>
        <v>56760</v>
      </c>
      <c r="F36" s="1175">
        <f t="shared" si="16"/>
        <v>61320</v>
      </c>
      <c r="G36" s="1176">
        <f t="shared" si="16"/>
        <v>65880</v>
      </c>
      <c r="H36" s="1177"/>
      <c r="J36" s="1181">
        <f>A34</f>
        <v>0.4</v>
      </c>
      <c r="K36" s="1182">
        <f>ROUNDDOWN(SUM(Income!B34)*0.3/12,0)</f>
        <v>663</v>
      </c>
      <c r="L36" s="1182">
        <f>ROUNDDOWN(SUM(Income!B34:C34)/2*0.3/12,0)</f>
        <v>710</v>
      </c>
      <c r="M36" s="1183">
        <f>ROUNDDOWN(SUM(Income!D34)*0.3/12,0)</f>
        <v>852</v>
      </c>
      <c r="N36" s="1183">
        <f>ROUNDDOWN(SUM(Income!E34:F34)/2*0.3/12,0)</f>
        <v>984</v>
      </c>
      <c r="O36" s="1184">
        <f>ROUNDDOWN(SUM(Income!G34)*0.3/12,0)</f>
        <v>1098</v>
      </c>
      <c r="Q36" s="1152">
        <v>2</v>
      </c>
      <c r="R36" s="1153">
        <f>((F7+F12)*$A$6)/SUMIF($C$6:$C$21,$Q$36,$F$6:$F$21)+((F15+F20)*$A$14)/SUMIF($C$6:$C$21,$Q$36,$F$6:$F$21)</f>
        <v>0.56400000000000006</v>
      </c>
    </row>
    <row r="37" spans="1:18" ht="12.75" customHeight="1" thickBot="1">
      <c r="A37" s="1173">
        <v>0.7</v>
      </c>
      <c r="B37" s="1174">
        <f t="shared" si="16"/>
        <v>46410</v>
      </c>
      <c r="C37" s="1175">
        <f t="shared" si="16"/>
        <v>52990</v>
      </c>
      <c r="D37" s="1175">
        <f t="shared" si="16"/>
        <v>59640</v>
      </c>
      <c r="E37" s="1175">
        <f t="shared" si="16"/>
        <v>66220</v>
      </c>
      <c r="F37" s="1175">
        <f t="shared" si="16"/>
        <v>71540</v>
      </c>
      <c r="G37" s="1176">
        <f t="shared" si="16"/>
        <v>76860</v>
      </c>
      <c r="H37" s="1177"/>
      <c r="J37" s="1188" t="s">
        <v>648</v>
      </c>
      <c r="K37" s="1189">
        <f>K36+K$33</f>
        <v>663</v>
      </c>
      <c r="L37" s="1189">
        <f>L36+L$33</f>
        <v>485</v>
      </c>
      <c r="M37" s="1189">
        <f>M36+M$33</f>
        <v>558</v>
      </c>
      <c r="N37" s="1189">
        <f>N36+N$33</f>
        <v>620</v>
      </c>
      <c r="O37" s="1190">
        <f>O36+O$33</f>
        <v>1098</v>
      </c>
      <c r="Q37" s="1152">
        <v>3</v>
      </c>
      <c r="R37" s="1153">
        <f>((F8+F11)*$A$6)/SUMIF($C$6:$C$21,$Q$37,$F$6:$F$21)+((F16+F19)*$A$14)/SUMIF($C$6:$C$21,$Q$37,$F$6:$F$21)</f>
        <v>0.56666666666666665</v>
      </c>
    </row>
    <row r="38" spans="1:18" ht="12.75" customHeight="1" thickTop="1">
      <c r="A38" s="1191">
        <v>0.8</v>
      </c>
      <c r="B38" s="1174">
        <f t="shared" si="16"/>
        <v>53040</v>
      </c>
      <c r="C38" s="1175">
        <f t="shared" si="16"/>
        <v>60560</v>
      </c>
      <c r="D38" s="1175">
        <f t="shared" si="16"/>
        <v>68160</v>
      </c>
      <c r="E38" s="1175">
        <f t="shared" si="16"/>
        <v>75680</v>
      </c>
      <c r="F38" s="1175">
        <f t="shared" si="16"/>
        <v>81760</v>
      </c>
      <c r="G38" s="1176">
        <f t="shared" si="16"/>
        <v>87840</v>
      </c>
      <c r="H38" s="1177"/>
      <c r="J38" s="1181">
        <f>A35</f>
        <v>0.5</v>
      </c>
      <c r="K38" s="1182">
        <f>ROUNDDOWN(SUM(Income!B35)*0.3/12,0)</f>
        <v>828</v>
      </c>
      <c r="L38" s="1182">
        <f>ROUNDDOWN(SUM(Income!B35:C35)/2*0.3/12,0)</f>
        <v>887</v>
      </c>
      <c r="M38" s="1183">
        <f>ROUNDDOWN(SUM(Income!D35)*0.3/12,0)</f>
        <v>1065</v>
      </c>
      <c r="N38" s="1183">
        <f>ROUNDDOWN(SUM(Income!E35:F35)/2*0.3/12,0)</f>
        <v>1230</v>
      </c>
      <c r="O38" s="1184">
        <f>ROUNDDOWN(SUM(Income!G35)*0.3/12,0)</f>
        <v>1372</v>
      </c>
      <c r="Q38" s="1152">
        <v>4</v>
      </c>
      <c r="R38" s="1153">
        <f>((F9+F10)*$A$6)/SUMIF($C$6:$C$21,$Q$38,$F$6:$F$21)+((F17+F18)*$A$14)/SUMIF($C$6:$C$21,$Q$38,$F$6:$F$21)</f>
        <v>0.5714285714285714</v>
      </c>
    </row>
    <row r="39" spans="1:18" ht="12.75" customHeight="1" thickBot="1">
      <c r="A39" s="1192">
        <v>1</v>
      </c>
      <c r="B39" s="1193">
        <f t="shared" si="16"/>
        <v>66300</v>
      </c>
      <c r="C39" s="1194">
        <f t="shared" si="16"/>
        <v>75700</v>
      </c>
      <c r="D39" s="1194">
        <f t="shared" si="16"/>
        <v>85200</v>
      </c>
      <c r="E39" s="1194">
        <f t="shared" si="16"/>
        <v>94600</v>
      </c>
      <c r="F39" s="1194">
        <f t="shared" si="16"/>
        <v>102200</v>
      </c>
      <c r="G39" s="1195">
        <f t="shared" si="16"/>
        <v>109800</v>
      </c>
      <c r="H39" s="1177"/>
      <c r="J39" s="1188" t="s">
        <v>648</v>
      </c>
      <c r="K39" s="1189">
        <f>K38+K$33</f>
        <v>828</v>
      </c>
      <c r="L39" s="1189">
        <f>L38+L$33</f>
        <v>662</v>
      </c>
      <c r="M39" s="1189">
        <f>M38+M$33</f>
        <v>771</v>
      </c>
      <c r="N39" s="1189">
        <f>N38+N$33</f>
        <v>866</v>
      </c>
      <c r="O39" s="1190">
        <f>O38+O$33</f>
        <v>1372</v>
      </c>
    </row>
    <row r="40" spans="1:18" ht="12.75" customHeight="1" thickTop="1" thickBot="1">
      <c r="C40" s="1177"/>
      <c r="D40" s="1177"/>
      <c r="E40" s="1177"/>
      <c r="F40" s="1177"/>
      <c r="G40" s="1177"/>
      <c r="H40" s="1177"/>
      <c r="J40" s="1181">
        <f>A36</f>
        <v>0.6</v>
      </c>
      <c r="K40" s="1182">
        <f>ROUNDDOWN(SUM(Income!B36)*0.3/12,0)</f>
        <v>994</v>
      </c>
      <c r="L40" s="1182">
        <f>ROUNDDOWN(SUM(Income!B36:C36)/2*0.3/12,0)</f>
        <v>1065</v>
      </c>
      <c r="M40" s="1183">
        <f>ROUNDDOWN(SUM(Income!D36)*0.3/12,0)</f>
        <v>1278</v>
      </c>
      <c r="N40" s="1183">
        <f>ROUNDDOWN(SUM(Income!E36:F36)/2*0.3/12,0)</f>
        <v>1476</v>
      </c>
      <c r="O40" s="1184">
        <f>ROUNDDOWN(SUM(Income!G36)*0.3/12,0)</f>
        <v>1647</v>
      </c>
    </row>
    <row r="41" spans="1:18" ht="12.75" customHeight="1" thickTop="1" thickBot="1">
      <c r="A41" s="1196"/>
      <c r="B41" s="1197"/>
      <c r="C41" s="1197"/>
      <c r="D41" s="1197"/>
      <c r="E41" s="1197"/>
      <c r="F41" s="1197"/>
      <c r="G41" s="1198" t="s">
        <v>649</v>
      </c>
      <c r="H41" s="1199" t="s">
        <v>650</v>
      </c>
      <c r="J41" s="1188" t="s">
        <v>648</v>
      </c>
      <c r="K41" s="1189">
        <f>K40+K$33</f>
        <v>994</v>
      </c>
      <c r="L41" s="1189">
        <f>L40+L$33</f>
        <v>840</v>
      </c>
      <c r="M41" s="1189">
        <f>M40+M$33</f>
        <v>984</v>
      </c>
      <c r="N41" s="1189">
        <f>N40+N$33</f>
        <v>1112</v>
      </c>
      <c r="O41" s="1190">
        <f>O40+O$33</f>
        <v>1647</v>
      </c>
    </row>
    <row r="42" spans="1:18" ht="12.75" customHeight="1" thickTop="1">
      <c r="A42" s="1200" t="s">
        <v>651</v>
      </c>
      <c r="C42" s="1732" t="s">
        <v>665</v>
      </c>
      <c r="D42" s="1701"/>
      <c r="E42" s="1201"/>
      <c r="G42" s="1202" t="s">
        <v>652</v>
      </c>
      <c r="H42" s="1203">
        <v>44562</v>
      </c>
      <c r="J42" s="1181">
        <f>A37</f>
        <v>0.7</v>
      </c>
      <c r="K42" s="1182">
        <f>ROUNDDOWN(SUM(Income!B37)*0.3/12,0)</f>
        <v>1160</v>
      </c>
      <c r="L42" s="1182">
        <f>ROUNDDOWN(SUM(Income!B37:C37)/2*0.3/12,0)</f>
        <v>1242</v>
      </c>
      <c r="M42" s="1183">
        <f>ROUNDDOWN(SUM(Income!D37)*0.3/12,0)</f>
        <v>1491</v>
      </c>
      <c r="N42" s="1183">
        <f>ROUNDDOWN(SUM(Income!E37:F37)/2*0.3/12,0)</f>
        <v>1722</v>
      </c>
      <c r="O42" s="1184">
        <f>ROUNDDOWN(SUM(Income!G37)*0.3/12,0)</f>
        <v>1921</v>
      </c>
    </row>
    <row r="43" spans="1:18" ht="12.75" customHeight="1" thickBot="1">
      <c r="A43" s="1204" t="s">
        <v>653</v>
      </c>
      <c r="B43" s="1205"/>
      <c r="C43" s="1206" t="s">
        <v>654</v>
      </c>
      <c r="D43" s="1207">
        <v>0</v>
      </c>
      <c r="E43" s="1207">
        <v>1</v>
      </c>
      <c r="F43" s="1207">
        <f>E43+1</f>
        <v>2</v>
      </c>
      <c r="G43" s="1207">
        <f>F43+1</f>
        <v>3</v>
      </c>
      <c r="H43" s="1208">
        <f>G43+1</f>
        <v>4</v>
      </c>
      <c r="J43" s="1188" t="s">
        <v>648</v>
      </c>
      <c r="K43" s="1189">
        <f>K42+K$33</f>
        <v>1160</v>
      </c>
      <c r="L43" s="1189">
        <f>L42+L$33</f>
        <v>1017</v>
      </c>
      <c r="M43" s="1189">
        <f>M42+M$33</f>
        <v>1197</v>
      </c>
      <c r="N43" s="1189">
        <f>N42+N$33</f>
        <v>1358</v>
      </c>
      <c r="O43" s="1190">
        <f>O42+O$33</f>
        <v>1921</v>
      </c>
    </row>
    <row r="44" spans="1:18" ht="12.75" customHeight="1" thickTop="1">
      <c r="A44" s="1209" t="s">
        <v>655</v>
      </c>
      <c r="B44" s="1210"/>
      <c r="C44" s="1211" t="s">
        <v>275</v>
      </c>
      <c r="D44" s="1212"/>
      <c r="E44" s="1212">
        <v>19</v>
      </c>
      <c r="F44" s="1212">
        <v>22</v>
      </c>
      <c r="G44" s="1212">
        <v>26</v>
      </c>
      <c r="H44" s="1213"/>
      <c r="J44" s="1181">
        <f>A38</f>
        <v>0.8</v>
      </c>
      <c r="K44" s="1182">
        <f>ROUNDDOWN(SUM(Income!B38)*0.3/12,0)</f>
        <v>1326</v>
      </c>
      <c r="L44" s="1182">
        <f>ROUNDDOWN(SUM(Income!B38:C38)/2*0.3/12,0)</f>
        <v>1420</v>
      </c>
      <c r="M44" s="1183">
        <f>ROUNDDOWN(SUM(Income!D38)*0.3/12,0)</f>
        <v>1704</v>
      </c>
      <c r="N44" s="1183">
        <f>ROUNDDOWN(SUM(Income!E38:F38)/2*0.3/12,0)</f>
        <v>1968</v>
      </c>
      <c r="O44" s="1184">
        <f>ROUNDDOWN(SUM(Income!G38)*0.3/12,0)</f>
        <v>2196</v>
      </c>
    </row>
    <row r="45" spans="1:18" ht="12.75" customHeight="1" thickBot="1">
      <c r="A45" s="1209" t="s">
        <v>656</v>
      </c>
      <c r="B45" s="1210"/>
      <c r="C45" s="1211" t="s">
        <v>275</v>
      </c>
      <c r="D45" s="1212"/>
      <c r="E45" s="1212">
        <v>11</v>
      </c>
      <c r="F45" s="1212">
        <v>16</v>
      </c>
      <c r="G45" s="1212">
        <v>21</v>
      </c>
      <c r="H45" s="1213"/>
      <c r="J45" s="1188" t="s">
        <v>648</v>
      </c>
      <c r="K45" s="1189">
        <f>K44+K$33</f>
        <v>1326</v>
      </c>
      <c r="L45" s="1189">
        <f>L44+L$33</f>
        <v>1195</v>
      </c>
      <c r="M45" s="1189">
        <f>M44+M$33</f>
        <v>1410</v>
      </c>
      <c r="N45" s="1189">
        <f>N44+N$33</f>
        <v>1604</v>
      </c>
      <c r="O45" s="1190">
        <f>O44+O$33</f>
        <v>2196</v>
      </c>
    </row>
    <row r="46" spans="1:18" ht="12.75" customHeight="1" thickTop="1">
      <c r="A46" s="1214" t="s">
        <v>657</v>
      </c>
      <c r="B46" s="1215" t="s">
        <v>512</v>
      </c>
      <c r="C46" s="1211" t="s">
        <v>275</v>
      </c>
      <c r="D46" s="1212"/>
      <c r="E46" s="1212">
        <v>43</v>
      </c>
      <c r="F46" s="1212">
        <v>59</v>
      </c>
      <c r="G46" s="1212">
        <v>76</v>
      </c>
      <c r="H46" s="1213"/>
      <c r="J46" s="1181">
        <f>A39</f>
        <v>1</v>
      </c>
      <c r="K46" s="1182">
        <f>ROUNDDOWN(SUM(Income!B39)*0.3/12,0)</f>
        <v>1657</v>
      </c>
      <c r="L46" s="1182">
        <f>ROUNDDOWN(SUM(Income!B39:C39)/2*0.3/12,0)</f>
        <v>1775</v>
      </c>
      <c r="M46" s="1183">
        <f>ROUNDDOWN(SUM(Income!D39)*0.3/12,0)</f>
        <v>2130</v>
      </c>
      <c r="N46" s="1183">
        <f>ROUNDDOWN(SUM(Income!E39:F39)/2*0.3/12,0)</f>
        <v>2460</v>
      </c>
      <c r="O46" s="1184">
        <f>ROUNDDOWN(SUM(Income!G39)*0.3/12,0)</f>
        <v>2745</v>
      </c>
    </row>
    <row r="47" spans="1:18" ht="12.75" customHeight="1" thickBot="1">
      <c r="A47" s="1209" t="s">
        <v>657</v>
      </c>
      <c r="B47" s="1215" t="s">
        <v>658</v>
      </c>
      <c r="C47" s="1211" t="s">
        <v>275</v>
      </c>
      <c r="D47" s="1212"/>
      <c r="E47" s="1212">
        <v>38</v>
      </c>
      <c r="F47" s="1212">
        <v>53</v>
      </c>
      <c r="G47" s="1212">
        <v>68</v>
      </c>
      <c r="H47" s="1213"/>
      <c r="J47" s="1188" t="s">
        <v>648</v>
      </c>
      <c r="K47" s="1189">
        <f>K46+K$33</f>
        <v>1657</v>
      </c>
      <c r="L47" s="1189">
        <f>L46+L$33</f>
        <v>1550</v>
      </c>
      <c r="M47" s="1189">
        <f>M46+M$33</f>
        <v>1836</v>
      </c>
      <c r="N47" s="1189">
        <f>N46+N$33</f>
        <v>2096</v>
      </c>
      <c r="O47" s="1190">
        <f>O46+O$33</f>
        <v>2745</v>
      </c>
    </row>
    <row r="48" spans="1:18" ht="12.75" customHeight="1" thickTop="1">
      <c r="A48" s="1209" t="s">
        <v>659</v>
      </c>
      <c r="B48" s="1210"/>
      <c r="C48" s="1211" t="s">
        <v>275</v>
      </c>
      <c r="D48" s="1212"/>
      <c r="E48" s="1212">
        <v>25</v>
      </c>
      <c r="F48" s="1212">
        <v>32</v>
      </c>
      <c r="G48" s="1212">
        <v>39</v>
      </c>
      <c r="H48" s="1213"/>
      <c r="J48" s="1216" t="s">
        <v>660</v>
      </c>
      <c r="K48" s="1217">
        <v>0</v>
      </c>
      <c r="L48" s="1217">
        <v>0</v>
      </c>
      <c r="M48" s="1218">
        <v>0</v>
      </c>
      <c r="N48" s="1218">
        <v>0</v>
      </c>
      <c r="O48" s="1219">
        <v>0</v>
      </c>
    </row>
    <row r="49" spans="1:15" ht="12.75" customHeight="1" thickBot="1">
      <c r="A49" s="1214" t="s">
        <v>517</v>
      </c>
      <c r="B49" s="1210"/>
      <c r="C49" s="1211" t="s">
        <v>275</v>
      </c>
      <c r="D49" s="1212"/>
      <c r="E49" s="1212">
        <v>30</v>
      </c>
      <c r="F49" s="1212">
        <v>40</v>
      </c>
      <c r="G49" s="1212">
        <v>49</v>
      </c>
      <c r="H49" s="1213"/>
      <c r="J49" s="1188" t="str">
        <f>J37</f>
        <v>Max Rent</v>
      </c>
      <c r="K49" s="1189" t="str">
        <f>IF(K48=0,"",K48+K$33)</f>
        <v/>
      </c>
      <c r="L49" s="1189" t="str">
        <f>IF(L48=0,"",L48+L$33)</f>
        <v/>
      </c>
      <c r="M49" s="1189" t="str">
        <f>IF(M48=0,"",M48+M$33)</f>
        <v/>
      </c>
      <c r="N49" s="1189" t="str">
        <f>IF(N48=0,"",N48+N$33)</f>
        <v/>
      </c>
      <c r="O49" s="1190" t="str">
        <f>IF(O48=0,"",O48+O$33)</f>
        <v/>
      </c>
    </row>
    <row r="50" spans="1:15" ht="12.75" customHeight="1" thickTop="1">
      <c r="A50" s="1214" t="s">
        <v>518</v>
      </c>
      <c r="B50" s="1210"/>
      <c r="C50" s="1211" t="s">
        <v>275</v>
      </c>
      <c r="D50" s="1212"/>
      <c r="E50" s="1212">
        <v>44</v>
      </c>
      <c r="F50" s="1212">
        <v>57</v>
      </c>
      <c r="G50" s="1212">
        <v>70</v>
      </c>
      <c r="H50" s="1213"/>
      <c r="J50" s="1216" t="s">
        <v>661</v>
      </c>
      <c r="K50" s="1217">
        <v>0</v>
      </c>
      <c r="L50" s="1217">
        <v>0</v>
      </c>
      <c r="M50" s="1218">
        <v>0</v>
      </c>
      <c r="N50" s="1218">
        <v>0</v>
      </c>
      <c r="O50" s="1219">
        <v>0</v>
      </c>
    </row>
    <row r="51" spans="1:15" ht="12.75" customHeight="1" thickBot="1">
      <c r="A51" s="1214" t="s">
        <v>662</v>
      </c>
      <c r="B51" s="1210"/>
      <c r="C51" s="1211" t="s">
        <v>276</v>
      </c>
      <c r="D51" s="1220"/>
      <c r="E51" s="1221"/>
      <c r="F51" s="1212"/>
      <c r="G51" s="1212"/>
      <c r="H51" s="1213"/>
      <c r="J51" s="1188" t="str">
        <f>J39</f>
        <v>Max Rent</v>
      </c>
      <c r="K51" s="1189" t="str">
        <f>IF(K50=0,"",K50+K$33)</f>
        <v/>
      </c>
      <c r="L51" s="1189" t="str">
        <f>IF(L50=0,"",L50+L$33)</f>
        <v/>
      </c>
      <c r="M51" s="1189" t="str">
        <f>IF(M50=0,"",M50+M$33)</f>
        <v/>
      </c>
      <c r="N51" s="1189" t="str">
        <f>IF(N50=0,"",N50+N$33)</f>
        <v/>
      </c>
      <c r="O51" s="1190" t="str">
        <f>IF(O50=0,"",O50+O$33)</f>
        <v/>
      </c>
    </row>
    <row r="52" spans="1:15" ht="12.75" customHeight="1" thickTop="1">
      <c r="A52" s="1214" t="s">
        <v>657</v>
      </c>
      <c r="B52" s="1215"/>
      <c r="C52" s="1211" t="s">
        <v>275</v>
      </c>
      <c r="D52" s="1220"/>
      <c r="E52" s="1221">
        <v>15</v>
      </c>
      <c r="F52" s="1212">
        <v>15</v>
      </c>
      <c r="G52" s="1212">
        <v>15</v>
      </c>
      <c r="H52" s="1213"/>
      <c r="J52" s="1216" t="s">
        <v>663</v>
      </c>
      <c r="K52" s="1217">
        <v>0</v>
      </c>
      <c r="L52" s="1217">
        <v>0</v>
      </c>
      <c r="M52" s="1218">
        <v>0</v>
      </c>
      <c r="N52" s="1218">
        <v>0</v>
      </c>
      <c r="O52" s="1219">
        <v>0</v>
      </c>
    </row>
    <row r="53" spans="1:15" ht="12.75" customHeight="1" thickBot="1">
      <c r="A53" s="1222"/>
      <c r="B53" s="1223"/>
      <c r="C53" s="1224" t="s">
        <v>664</v>
      </c>
      <c r="D53" s="1225">
        <f>ROUNDUP(SUMIF($C$44:$C$52,"Y",D44:D52),0)</f>
        <v>0</v>
      </c>
      <c r="E53" s="1225">
        <f>ROUNDUP(SUMIF($C$44:$C$52,"Y",E44:E52),0)</f>
        <v>225</v>
      </c>
      <c r="F53" s="1225">
        <f>ROUNDUP(SUMIF($C$44:$C$52,"Y",F44:F52),0)</f>
        <v>294</v>
      </c>
      <c r="G53" s="1225">
        <f>ROUNDUP(SUMIF($C$44:$C$52,"Y",G44:G52),0)</f>
        <v>364</v>
      </c>
      <c r="H53" s="1226">
        <f>ROUNDUP(SUMIF($C$44:$C$52,"Y",H44:H52),0)</f>
        <v>0</v>
      </c>
      <c r="J53" s="1227" t="str">
        <f>J41</f>
        <v>Max Rent</v>
      </c>
      <c r="K53" s="1228" t="str">
        <f>IF(K52=0,"",K52+K$33)</f>
        <v/>
      </c>
      <c r="L53" s="1229" t="str">
        <f>IF(L52=0,"",L52+L$33)</f>
        <v/>
      </c>
      <c r="M53" s="1229" t="str">
        <f>IF(M52=0,"",M52+M$33)</f>
        <v/>
      </c>
      <c r="N53" s="1229" t="str">
        <f>IF(N52=0,"",N52+N$33)</f>
        <v/>
      </c>
      <c r="O53" s="1230" t="str">
        <f>IF(O52=0,"",O52+O$33)</f>
        <v/>
      </c>
    </row>
  </sheetData>
  <mergeCells count="17">
    <mergeCell ref="Q34:R34"/>
    <mergeCell ref="C42:D42"/>
    <mergeCell ref="B14:B21"/>
    <mergeCell ref="O14:O21"/>
    <mergeCell ref="Q18:R19"/>
    <mergeCell ref="Q21:R21"/>
    <mergeCell ref="B22:B29"/>
    <mergeCell ref="O22:O29"/>
    <mergeCell ref="Q22:R22"/>
    <mergeCell ref="Q24:R24"/>
    <mergeCell ref="B6:B13"/>
    <mergeCell ref="O6:O13"/>
    <mergeCell ref="A1:R1"/>
    <mergeCell ref="A2:R2"/>
    <mergeCell ref="Q3:R4"/>
    <mergeCell ref="A4:A5"/>
    <mergeCell ref="C4:E4"/>
  </mergeCells>
  <conditionalFormatting sqref="R25:R32 R35:R38">
    <cfRule type="expression" dxfId="0" priority="1">
      <formula>R25&gt;0.6</formula>
    </cfRule>
  </conditionalFormatting>
  <dataValidations disablePrompts="1" count="3">
    <dataValidation type="list" allowBlank="1" showInputMessage="1" showErrorMessage="1" sqref="A15 A7" xr:uid="{01CDFA38-A35B-4E22-A8CC-406E386B945D}">
      <formula1>"LIHTC,HOME,NHTF,Voucher"</formula1>
    </dataValidation>
    <dataValidation type="list" allowBlank="1" showInputMessage="1" showErrorMessage="1" sqref="A22 A6 A14" xr:uid="{18EC0540-9678-4F20-848F-718EA51F709B}">
      <formula1>$A$33:$A$39</formula1>
    </dataValidation>
    <dataValidation type="list" allowBlank="1" showInputMessage="1" showErrorMessage="1" sqref="C44:C52" xr:uid="{AAFD245F-6565-4957-8FBC-F59007CE330E}">
      <formula1>"Y,N"</formula1>
    </dataValidation>
  </dataValidations>
  <printOptions horizontalCentered="1"/>
  <pageMargins left="0.25" right="0.25" top="0.5" bottom="0.5" header="0.25" footer="0.25"/>
  <pageSetup scale="65" orientation="landscape" cellComments="asDisplayed" horizontalDpi="1200" verticalDpi="1200" r:id="rId1"/>
  <headerFooter alignWithMargins="0">
    <oddHeader xml:space="preserve">&amp;C&amp;"Times New Roman,Regular"&amp;F&amp;R&amp;8
</oddHeader>
    <oddFooter>&amp;L&amp;"Times New Roman,Regular"&amp;D&amp;C&amp;"Times New Roman,Regular"DRAFT - FOR DISCUSSION PURPOSES ONLY&amp;R&amp;"Times New Roman,Regular"&amp;P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5F1B9-0783-4DDA-A7B7-2C2AFDE9E0F0}">
  <sheetPr>
    <tabColor rgb="FFC00000"/>
  </sheetPr>
  <dimension ref="A1:U126"/>
  <sheetViews>
    <sheetView topLeftCell="A12" workbookViewId="0">
      <selection activeCell="R8" sqref="R8"/>
    </sheetView>
  </sheetViews>
  <sheetFormatPr baseColWidth="10" defaultColWidth="8.83203125" defaultRowHeight="15"/>
  <cols>
    <col min="1" max="1" width="44.5" customWidth="1"/>
    <col min="2" max="2" width="25.5" style="627" customWidth="1"/>
    <col min="3" max="3" width="18.5" style="627" bestFit="1" customWidth="1"/>
    <col min="4" max="4" width="1.5" style="627" customWidth="1"/>
    <col min="5" max="5" width="18.5" style="627" bestFit="1" customWidth="1"/>
    <col min="6" max="6" width="1.5" style="627" customWidth="1"/>
    <col min="7" max="7" width="16.5" style="627" customWidth="1"/>
    <col min="8" max="8" width="1.5" style="627" customWidth="1"/>
    <col min="9" max="9" width="15.5" style="627" bestFit="1" customWidth="1"/>
    <col min="10" max="10" width="1.5" style="627" customWidth="1"/>
    <col min="11" max="11" width="15.5" style="627" bestFit="1" customWidth="1"/>
    <col min="12" max="12" width="1.5" style="627" customWidth="1"/>
    <col min="13" max="13" width="2.5" style="627" hidden="1" customWidth="1"/>
    <col min="14" max="14" width="16.5" style="627" customWidth="1"/>
    <col min="15" max="15" width="2" style="627" customWidth="1"/>
    <col min="16" max="16" width="15.5" style="627" customWidth="1"/>
    <col min="17" max="18" width="14.5" customWidth="1"/>
    <col min="19" max="19" width="16.5" customWidth="1"/>
    <col min="20" max="20" width="9.5" customWidth="1"/>
    <col min="21" max="21" width="14.5" bestFit="1" customWidth="1"/>
    <col min="257" max="257" width="44.5" customWidth="1"/>
    <col min="258" max="258" width="0" hidden="1" customWidth="1"/>
    <col min="259" max="259" width="18.5" bestFit="1" customWidth="1"/>
    <col min="260" max="260" width="1.5" customWidth="1"/>
    <col min="261" max="261" width="18.5" bestFit="1" customWidth="1"/>
    <col min="262" max="262" width="1.5" customWidth="1"/>
    <col min="263" max="263" width="16.5" customWidth="1"/>
    <col min="264" max="264" width="1.5" customWidth="1"/>
    <col min="265" max="265" width="15.5" bestFit="1" customWidth="1"/>
    <col min="266" max="266" width="1.5" customWidth="1"/>
    <col min="267" max="267" width="15.5" bestFit="1" customWidth="1"/>
    <col min="268" max="268" width="1.5" customWidth="1"/>
    <col min="269" max="269" width="0" hidden="1" customWidth="1"/>
    <col min="270" max="270" width="16.5" customWidth="1"/>
    <col min="271" max="271" width="2" customWidth="1"/>
    <col min="272" max="272" width="15.5" bestFit="1" customWidth="1"/>
    <col min="273" max="274" width="0" hidden="1" customWidth="1"/>
    <col min="275" max="275" width="14.5" bestFit="1" customWidth="1"/>
    <col min="277" max="277" width="14.5" bestFit="1" customWidth="1"/>
    <col min="513" max="513" width="44.5" customWidth="1"/>
    <col min="514" max="514" width="0" hidden="1" customWidth="1"/>
    <col min="515" max="515" width="18.5" bestFit="1" customWidth="1"/>
    <col min="516" max="516" width="1.5" customWidth="1"/>
    <col min="517" max="517" width="18.5" bestFit="1" customWidth="1"/>
    <col min="518" max="518" width="1.5" customWidth="1"/>
    <col min="519" max="519" width="16.5" customWidth="1"/>
    <col min="520" max="520" width="1.5" customWidth="1"/>
    <col min="521" max="521" width="15.5" bestFit="1" customWidth="1"/>
    <col min="522" max="522" width="1.5" customWidth="1"/>
    <col min="523" max="523" width="15.5" bestFit="1" customWidth="1"/>
    <col min="524" max="524" width="1.5" customWidth="1"/>
    <col min="525" max="525" width="0" hidden="1" customWidth="1"/>
    <col min="526" max="526" width="16.5" customWidth="1"/>
    <col min="527" max="527" width="2" customWidth="1"/>
    <col min="528" max="528" width="15.5" bestFit="1" customWidth="1"/>
    <col min="529" max="530" width="0" hidden="1" customWidth="1"/>
    <col min="531" max="531" width="14.5" bestFit="1" customWidth="1"/>
    <col min="533" max="533" width="14.5" bestFit="1" customWidth="1"/>
    <col min="769" max="769" width="44.5" customWidth="1"/>
    <col min="770" max="770" width="0" hidden="1" customWidth="1"/>
    <col min="771" max="771" width="18.5" bestFit="1" customWidth="1"/>
    <col min="772" max="772" width="1.5" customWidth="1"/>
    <col min="773" max="773" width="18.5" bestFit="1" customWidth="1"/>
    <col min="774" max="774" width="1.5" customWidth="1"/>
    <col min="775" max="775" width="16.5" customWidth="1"/>
    <col min="776" max="776" width="1.5" customWidth="1"/>
    <col min="777" max="777" width="15.5" bestFit="1" customWidth="1"/>
    <col min="778" max="778" width="1.5" customWidth="1"/>
    <col min="779" max="779" width="15.5" bestFit="1" customWidth="1"/>
    <col min="780" max="780" width="1.5" customWidth="1"/>
    <col min="781" max="781" width="0" hidden="1" customWidth="1"/>
    <col min="782" max="782" width="16.5" customWidth="1"/>
    <col min="783" max="783" width="2" customWidth="1"/>
    <col min="784" max="784" width="15.5" bestFit="1" customWidth="1"/>
    <col min="785" max="786" width="0" hidden="1" customWidth="1"/>
    <col min="787" max="787" width="14.5" bestFit="1" customWidth="1"/>
    <col min="789" max="789" width="14.5" bestFit="1" customWidth="1"/>
    <col min="1025" max="1025" width="44.5" customWidth="1"/>
    <col min="1026" max="1026" width="0" hidden="1" customWidth="1"/>
    <col min="1027" max="1027" width="18.5" bestFit="1" customWidth="1"/>
    <col min="1028" max="1028" width="1.5" customWidth="1"/>
    <col min="1029" max="1029" width="18.5" bestFit="1" customWidth="1"/>
    <col min="1030" max="1030" width="1.5" customWidth="1"/>
    <col min="1031" max="1031" width="16.5" customWidth="1"/>
    <col min="1032" max="1032" width="1.5" customWidth="1"/>
    <col min="1033" max="1033" width="15.5" bestFit="1" customWidth="1"/>
    <col min="1034" max="1034" width="1.5" customWidth="1"/>
    <col min="1035" max="1035" width="15.5" bestFit="1" customWidth="1"/>
    <col min="1036" max="1036" width="1.5" customWidth="1"/>
    <col min="1037" max="1037" width="0" hidden="1" customWidth="1"/>
    <col min="1038" max="1038" width="16.5" customWidth="1"/>
    <col min="1039" max="1039" width="2" customWidth="1"/>
    <col min="1040" max="1040" width="15.5" bestFit="1" customWidth="1"/>
    <col min="1041" max="1042" width="0" hidden="1" customWidth="1"/>
    <col min="1043" max="1043" width="14.5" bestFit="1" customWidth="1"/>
    <col min="1045" max="1045" width="14.5" bestFit="1" customWidth="1"/>
    <col min="1281" max="1281" width="44.5" customWidth="1"/>
    <col min="1282" max="1282" width="0" hidden="1" customWidth="1"/>
    <col min="1283" max="1283" width="18.5" bestFit="1" customWidth="1"/>
    <col min="1284" max="1284" width="1.5" customWidth="1"/>
    <col min="1285" max="1285" width="18.5" bestFit="1" customWidth="1"/>
    <col min="1286" max="1286" width="1.5" customWidth="1"/>
    <col min="1287" max="1287" width="16.5" customWidth="1"/>
    <col min="1288" max="1288" width="1.5" customWidth="1"/>
    <col min="1289" max="1289" width="15.5" bestFit="1" customWidth="1"/>
    <col min="1290" max="1290" width="1.5" customWidth="1"/>
    <col min="1291" max="1291" width="15.5" bestFit="1" customWidth="1"/>
    <col min="1292" max="1292" width="1.5" customWidth="1"/>
    <col min="1293" max="1293" width="0" hidden="1" customWidth="1"/>
    <col min="1294" max="1294" width="16.5" customWidth="1"/>
    <col min="1295" max="1295" width="2" customWidth="1"/>
    <col min="1296" max="1296" width="15.5" bestFit="1" customWidth="1"/>
    <col min="1297" max="1298" width="0" hidden="1" customWidth="1"/>
    <col min="1299" max="1299" width="14.5" bestFit="1" customWidth="1"/>
    <col min="1301" max="1301" width="14.5" bestFit="1" customWidth="1"/>
    <col min="1537" max="1537" width="44.5" customWidth="1"/>
    <col min="1538" max="1538" width="0" hidden="1" customWidth="1"/>
    <col min="1539" max="1539" width="18.5" bestFit="1" customWidth="1"/>
    <col min="1540" max="1540" width="1.5" customWidth="1"/>
    <col min="1541" max="1541" width="18.5" bestFit="1" customWidth="1"/>
    <col min="1542" max="1542" width="1.5" customWidth="1"/>
    <col min="1543" max="1543" width="16.5" customWidth="1"/>
    <col min="1544" max="1544" width="1.5" customWidth="1"/>
    <col min="1545" max="1545" width="15.5" bestFit="1" customWidth="1"/>
    <col min="1546" max="1546" width="1.5" customWidth="1"/>
    <col min="1547" max="1547" width="15.5" bestFit="1" customWidth="1"/>
    <col min="1548" max="1548" width="1.5" customWidth="1"/>
    <col min="1549" max="1549" width="0" hidden="1" customWidth="1"/>
    <col min="1550" max="1550" width="16.5" customWidth="1"/>
    <col min="1551" max="1551" width="2" customWidth="1"/>
    <col min="1552" max="1552" width="15.5" bestFit="1" customWidth="1"/>
    <col min="1553" max="1554" width="0" hidden="1" customWidth="1"/>
    <col min="1555" max="1555" width="14.5" bestFit="1" customWidth="1"/>
    <col min="1557" max="1557" width="14.5" bestFit="1" customWidth="1"/>
    <col min="1793" max="1793" width="44.5" customWidth="1"/>
    <col min="1794" max="1794" width="0" hidden="1" customWidth="1"/>
    <col min="1795" max="1795" width="18.5" bestFit="1" customWidth="1"/>
    <col min="1796" max="1796" width="1.5" customWidth="1"/>
    <col min="1797" max="1797" width="18.5" bestFit="1" customWidth="1"/>
    <col min="1798" max="1798" width="1.5" customWidth="1"/>
    <col min="1799" max="1799" width="16.5" customWidth="1"/>
    <col min="1800" max="1800" width="1.5" customWidth="1"/>
    <col min="1801" max="1801" width="15.5" bestFit="1" customWidth="1"/>
    <col min="1802" max="1802" width="1.5" customWidth="1"/>
    <col min="1803" max="1803" width="15.5" bestFit="1" customWidth="1"/>
    <col min="1804" max="1804" width="1.5" customWidth="1"/>
    <col min="1805" max="1805" width="0" hidden="1" customWidth="1"/>
    <col min="1806" max="1806" width="16.5" customWidth="1"/>
    <col min="1807" max="1807" width="2" customWidth="1"/>
    <col min="1808" max="1808" width="15.5" bestFit="1" customWidth="1"/>
    <col min="1809" max="1810" width="0" hidden="1" customWidth="1"/>
    <col min="1811" max="1811" width="14.5" bestFit="1" customWidth="1"/>
    <col min="1813" max="1813" width="14.5" bestFit="1" customWidth="1"/>
    <col min="2049" max="2049" width="44.5" customWidth="1"/>
    <col min="2050" max="2050" width="0" hidden="1" customWidth="1"/>
    <col min="2051" max="2051" width="18.5" bestFit="1" customWidth="1"/>
    <col min="2052" max="2052" width="1.5" customWidth="1"/>
    <col min="2053" max="2053" width="18.5" bestFit="1" customWidth="1"/>
    <col min="2054" max="2054" width="1.5" customWidth="1"/>
    <col min="2055" max="2055" width="16.5" customWidth="1"/>
    <col min="2056" max="2056" width="1.5" customWidth="1"/>
    <col min="2057" max="2057" width="15.5" bestFit="1" customWidth="1"/>
    <col min="2058" max="2058" width="1.5" customWidth="1"/>
    <col min="2059" max="2059" width="15.5" bestFit="1" customWidth="1"/>
    <col min="2060" max="2060" width="1.5" customWidth="1"/>
    <col min="2061" max="2061" width="0" hidden="1" customWidth="1"/>
    <col min="2062" max="2062" width="16.5" customWidth="1"/>
    <col min="2063" max="2063" width="2" customWidth="1"/>
    <col min="2064" max="2064" width="15.5" bestFit="1" customWidth="1"/>
    <col min="2065" max="2066" width="0" hidden="1" customWidth="1"/>
    <col min="2067" max="2067" width="14.5" bestFit="1" customWidth="1"/>
    <col min="2069" max="2069" width="14.5" bestFit="1" customWidth="1"/>
    <col min="2305" max="2305" width="44.5" customWidth="1"/>
    <col min="2306" max="2306" width="0" hidden="1" customWidth="1"/>
    <col min="2307" max="2307" width="18.5" bestFit="1" customWidth="1"/>
    <col min="2308" max="2308" width="1.5" customWidth="1"/>
    <col min="2309" max="2309" width="18.5" bestFit="1" customWidth="1"/>
    <col min="2310" max="2310" width="1.5" customWidth="1"/>
    <col min="2311" max="2311" width="16.5" customWidth="1"/>
    <col min="2312" max="2312" width="1.5" customWidth="1"/>
    <col min="2313" max="2313" width="15.5" bestFit="1" customWidth="1"/>
    <col min="2314" max="2314" width="1.5" customWidth="1"/>
    <col min="2315" max="2315" width="15.5" bestFit="1" customWidth="1"/>
    <col min="2316" max="2316" width="1.5" customWidth="1"/>
    <col min="2317" max="2317" width="0" hidden="1" customWidth="1"/>
    <col min="2318" max="2318" width="16.5" customWidth="1"/>
    <col min="2319" max="2319" width="2" customWidth="1"/>
    <col min="2320" max="2320" width="15.5" bestFit="1" customWidth="1"/>
    <col min="2321" max="2322" width="0" hidden="1" customWidth="1"/>
    <col min="2323" max="2323" width="14.5" bestFit="1" customWidth="1"/>
    <col min="2325" max="2325" width="14.5" bestFit="1" customWidth="1"/>
    <col min="2561" max="2561" width="44.5" customWidth="1"/>
    <col min="2562" max="2562" width="0" hidden="1" customWidth="1"/>
    <col min="2563" max="2563" width="18.5" bestFit="1" customWidth="1"/>
    <col min="2564" max="2564" width="1.5" customWidth="1"/>
    <col min="2565" max="2565" width="18.5" bestFit="1" customWidth="1"/>
    <col min="2566" max="2566" width="1.5" customWidth="1"/>
    <col min="2567" max="2567" width="16.5" customWidth="1"/>
    <col min="2568" max="2568" width="1.5" customWidth="1"/>
    <col min="2569" max="2569" width="15.5" bestFit="1" customWidth="1"/>
    <col min="2570" max="2570" width="1.5" customWidth="1"/>
    <col min="2571" max="2571" width="15.5" bestFit="1" customWidth="1"/>
    <col min="2572" max="2572" width="1.5" customWidth="1"/>
    <col min="2573" max="2573" width="0" hidden="1" customWidth="1"/>
    <col min="2574" max="2574" width="16.5" customWidth="1"/>
    <col min="2575" max="2575" width="2" customWidth="1"/>
    <col min="2576" max="2576" width="15.5" bestFit="1" customWidth="1"/>
    <col min="2577" max="2578" width="0" hidden="1" customWidth="1"/>
    <col min="2579" max="2579" width="14.5" bestFit="1" customWidth="1"/>
    <col min="2581" max="2581" width="14.5" bestFit="1" customWidth="1"/>
    <col min="2817" max="2817" width="44.5" customWidth="1"/>
    <col min="2818" max="2818" width="0" hidden="1" customWidth="1"/>
    <col min="2819" max="2819" width="18.5" bestFit="1" customWidth="1"/>
    <col min="2820" max="2820" width="1.5" customWidth="1"/>
    <col min="2821" max="2821" width="18.5" bestFit="1" customWidth="1"/>
    <col min="2822" max="2822" width="1.5" customWidth="1"/>
    <col min="2823" max="2823" width="16.5" customWidth="1"/>
    <col min="2824" max="2824" width="1.5" customWidth="1"/>
    <col min="2825" max="2825" width="15.5" bestFit="1" customWidth="1"/>
    <col min="2826" max="2826" width="1.5" customWidth="1"/>
    <col min="2827" max="2827" width="15.5" bestFit="1" customWidth="1"/>
    <col min="2828" max="2828" width="1.5" customWidth="1"/>
    <col min="2829" max="2829" width="0" hidden="1" customWidth="1"/>
    <col min="2830" max="2830" width="16.5" customWidth="1"/>
    <col min="2831" max="2831" width="2" customWidth="1"/>
    <col min="2832" max="2832" width="15.5" bestFit="1" customWidth="1"/>
    <col min="2833" max="2834" width="0" hidden="1" customWidth="1"/>
    <col min="2835" max="2835" width="14.5" bestFit="1" customWidth="1"/>
    <col min="2837" max="2837" width="14.5" bestFit="1" customWidth="1"/>
    <col min="3073" max="3073" width="44.5" customWidth="1"/>
    <col min="3074" max="3074" width="0" hidden="1" customWidth="1"/>
    <col min="3075" max="3075" width="18.5" bestFit="1" customWidth="1"/>
    <col min="3076" max="3076" width="1.5" customWidth="1"/>
    <col min="3077" max="3077" width="18.5" bestFit="1" customWidth="1"/>
    <col min="3078" max="3078" width="1.5" customWidth="1"/>
    <col min="3079" max="3079" width="16.5" customWidth="1"/>
    <col min="3080" max="3080" width="1.5" customWidth="1"/>
    <col min="3081" max="3081" width="15.5" bestFit="1" customWidth="1"/>
    <col min="3082" max="3082" width="1.5" customWidth="1"/>
    <col min="3083" max="3083" width="15.5" bestFit="1" customWidth="1"/>
    <col min="3084" max="3084" width="1.5" customWidth="1"/>
    <col min="3085" max="3085" width="0" hidden="1" customWidth="1"/>
    <col min="3086" max="3086" width="16.5" customWidth="1"/>
    <col min="3087" max="3087" width="2" customWidth="1"/>
    <col min="3088" max="3088" width="15.5" bestFit="1" customWidth="1"/>
    <col min="3089" max="3090" width="0" hidden="1" customWidth="1"/>
    <col min="3091" max="3091" width="14.5" bestFit="1" customWidth="1"/>
    <col min="3093" max="3093" width="14.5" bestFit="1" customWidth="1"/>
    <col min="3329" max="3329" width="44.5" customWidth="1"/>
    <col min="3330" max="3330" width="0" hidden="1" customWidth="1"/>
    <col min="3331" max="3331" width="18.5" bestFit="1" customWidth="1"/>
    <col min="3332" max="3332" width="1.5" customWidth="1"/>
    <col min="3333" max="3333" width="18.5" bestFit="1" customWidth="1"/>
    <col min="3334" max="3334" width="1.5" customWidth="1"/>
    <col min="3335" max="3335" width="16.5" customWidth="1"/>
    <col min="3336" max="3336" width="1.5" customWidth="1"/>
    <col min="3337" max="3337" width="15.5" bestFit="1" customWidth="1"/>
    <col min="3338" max="3338" width="1.5" customWidth="1"/>
    <col min="3339" max="3339" width="15.5" bestFit="1" customWidth="1"/>
    <col min="3340" max="3340" width="1.5" customWidth="1"/>
    <col min="3341" max="3341" width="0" hidden="1" customWidth="1"/>
    <col min="3342" max="3342" width="16.5" customWidth="1"/>
    <col min="3343" max="3343" width="2" customWidth="1"/>
    <col min="3344" max="3344" width="15.5" bestFit="1" customWidth="1"/>
    <col min="3345" max="3346" width="0" hidden="1" customWidth="1"/>
    <col min="3347" max="3347" width="14.5" bestFit="1" customWidth="1"/>
    <col min="3349" max="3349" width="14.5" bestFit="1" customWidth="1"/>
    <col min="3585" max="3585" width="44.5" customWidth="1"/>
    <col min="3586" max="3586" width="0" hidden="1" customWidth="1"/>
    <col min="3587" max="3587" width="18.5" bestFit="1" customWidth="1"/>
    <col min="3588" max="3588" width="1.5" customWidth="1"/>
    <col min="3589" max="3589" width="18.5" bestFit="1" customWidth="1"/>
    <col min="3590" max="3590" width="1.5" customWidth="1"/>
    <col min="3591" max="3591" width="16.5" customWidth="1"/>
    <col min="3592" max="3592" width="1.5" customWidth="1"/>
    <col min="3593" max="3593" width="15.5" bestFit="1" customWidth="1"/>
    <col min="3594" max="3594" width="1.5" customWidth="1"/>
    <col min="3595" max="3595" width="15.5" bestFit="1" customWidth="1"/>
    <col min="3596" max="3596" width="1.5" customWidth="1"/>
    <col min="3597" max="3597" width="0" hidden="1" customWidth="1"/>
    <col min="3598" max="3598" width="16.5" customWidth="1"/>
    <col min="3599" max="3599" width="2" customWidth="1"/>
    <col min="3600" max="3600" width="15.5" bestFit="1" customWidth="1"/>
    <col min="3601" max="3602" width="0" hidden="1" customWidth="1"/>
    <col min="3603" max="3603" width="14.5" bestFit="1" customWidth="1"/>
    <col min="3605" max="3605" width="14.5" bestFit="1" customWidth="1"/>
    <col min="3841" max="3841" width="44.5" customWidth="1"/>
    <col min="3842" max="3842" width="0" hidden="1" customWidth="1"/>
    <col min="3843" max="3843" width="18.5" bestFit="1" customWidth="1"/>
    <col min="3844" max="3844" width="1.5" customWidth="1"/>
    <col min="3845" max="3845" width="18.5" bestFit="1" customWidth="1"/>
    <col min="3846" max="3846" width="1.5" customWidth="1"/>
    <col min="3847" max="3847" width="16.5" customWidth="1"/>
    <col min="3848" max="3848" width="1.5" customWidth="1"/>
    <col min="3849" max="3849" width="15.5" bestFit="1" customWidth="1"/>
    <col min="3850" max="3850" width="1.5" customWidth="1"/>
    <col min="3851" max="3851" width="15.5" bestFit="1" customWidth="1"/>
    <col min="3852" max="3852" width="1.5" customWidth="1"/>
    <col min="3853" max="3853" width="0" hidden="1" customWidth="1"/>
    <col min="3854" max="3854" width="16.5" customWidth="1"/>
    <col min="3855" max="3855" width="2" customWidth="1"/>
    <col min="3856" max="3856" width="15.5" bestFit="1" customWidth="1"/>
    <col min="3857" max="3858" width="0" hidden="1" customWidth="1"/>
    <col min="3859" max="3859" width="14.5" bestFit="1" customWidth="1"/>
    <col min="3861" max="3861" width="14.5" bestFit="1" customWidth="1"/>
    <col min="4097" max="4097" width="44.5" customWidth="1"/>
    <col min="4098" max="4098" width="0" hidden="1" customWidth="1"/>
    <col min="4099" max="4099" width="18.5" bestFit="1" customWidth="1"/>
    <col min="4100" max="4100" width="1.5" customWidth="1"/>
    <col min="4101" max="4101" width="18.5" bestFit="1" customWidth="1"/>
    <col min="4102" max="4102" width="1.5" customWidth="1"/>
    <col min="4103" max="4103" width="16.5" customWidth="1"/>
    <col min="4104" max="4104" width="1.5" customWidth="1"/>
    <col min="4105" max="4105" width="15.5" bestFit="1" customWidth="1"/>
    <col min="4106" max="4106" width="1.5" customWidth="1"/>
    <col min="4107" max="4107" width="15.5" bestFit="1" customWidth="1"/>
    <col min="4108" max="4108" width="1.5" customWidth="1"/>
    <col min="4109" max="4109" width="0" hidden="1" customWidth="1"/>
    <col min="4110" max="4110" width="16.5" customWidth="1"/>
    <col min="4111" max="4111" width="2" customWidth="1"/>
    <col min="4112" max="4112" width="15.5" bestFit="1" customWidth="1"/>
    <col min="4113" max="4114" width="0" hidden="1" customWidth="1"/>
    <col min="4115" max="4115" width="14.5" bestFit="1" customWidth="1"/>
    <col min="4117" max="4117" width="14.5" bestFit="1" customWidth="1"/>
    <col min="4353" max="4353" width="44.5" customWidth="1"/>
    <col min="4354" max="4354" width="0" hidden="1" customWidth="1"/>
    <col min="4355" max="4355" width="18.5" bestFit="1" customWidth="1"/>
    <col min="4356" max="4356" width="1.5" customWidth="1"/>
    <col min="4357" max="4357" width="18.5" bestFit="1" customWidth="1"/>
    <col min="4358" max="4358" width="1.5" customWidth="1"/>
    <col min="4359" max="4359" width="16.5" customWidth="1"/>
    <col min="4360" max="4360" width="1.5" customWidth="1"/>
    <col min="4361" max="4361" width="15.5" bestFit="1" customWidth="1"/>
    <col min="4362" max="4362" width="1.5" customWidth="1"/>
    <col min="4363" max="4363" width="15.5" bestFit="1" customWidth="1"/>
    <col min="4364" max="4364" width="1.5" customWidth="1"/>
    <col min="4365" max="4365" width="0" hidden="1" customWidth="1"/>
    <col min="4366" max="4366" width="16.5" customWidth="1"/>
    <col min="4367" max="4367" width="2" customWidth="1"/>
    <col min="4368" max="4368" width="15.5" bestFit="1" customWidth="1"/>
    <col min="4369" max="4370" width="0" hidden="1" customWidth="1"/>
    <col min="4371" max="4371" width="14.5" bestFit="1" customWidth="1"/>
    <col min="4373" max="4373" width="14.5" bestFit="1" customWidth="1"/>
    <col min="4609" max="4609" width="44.5" customWidth="1"/>
    <col min="4610" max="4610" width="0" hidden="1" customWidth="1"/>
    <col min="4611" max="4611" width="18.5" bestFit="1" customWidth="1"/>
    <col min="4612" max="4612" width="1.5" customWidth="1"/>
    <col min="4613" max="4613" width="18.5" bestFit="1" customWidth="1"/>
    <col min="4614" max="4614" width="1.5" customWidth="1"/>
    <col min="4615" max="4615" width="16.5" customWidth="1"/>
    <col min="4616" max="4616" width="1.5" customWidth="1"/>
    <col min="4617" max="4617" width="15.5" bestFit="1" customWidth="1"/>
    <col min="4618" max="4618" width="1.5" customWidth="1"/>
    <col min="4619" max="4619" width="15.5" bestFit="1" customWidth="1"/>
    <col min="4620" max="4620" width="1.5" customWidth="1"/>
    <col min="4621" max="4621" width="0" hidden="1" customWidth="1"/>
    <col min="4622" max="4622" width="16.5" customWidth="1"/>
    <col min="4623" max="4623" width="2" customWidth="1"/>
    <col min="4624" max="4624" width="15.5" bestFit="1" customWidth="1"/>
    <col min="4625" max="4626" width="0" hidden="1" customWidth="1"/>
    <col min="4627" max="4627" width="14.5" bestFit="1" customWidth="1"/>
    <col min="4629" max="4629" width="14.5" bestFit="1" customWidth="1"/>
    <col min="4865" max="4865" width="44.5" customWidth="1"/>
    <col min="4866" max="4866" width="0" hidden="1" customWidth="1"/>
    <col min="4867" max="4867" width="18.5" bestFit="1" customWidth="1"/>
    <col min="4868" max="4868" width="1.5" customWidth="1"/>
    <col min="4869" max="4869" width="18.5" bestFit="1" customWidth="1"/>
    <col min="4870" max="4870" width="1.5" customWidth="1"/>
    <col min="4871" max="4871" width="16.5" customWidth="1"/>
    <col min="4872" max="4872" width="1.5" customWidth="1"/>
    <col min="4873" max="4873" width="15.5" bestFit="1" customWidth="1"/>
    <col min="4874" max="4874" width="1.5" customWidth="1"/>
    <col min="4875" max="4875" width="15.5" bestFit="1" customWidth="1"/>
    <col min="4876" max="4876" width="1.5" customWidth="1"/>
    <col min="4877" max="4877" width="0" hidden="1" customWidth="1"/>
    <col min="4878" max="4878" width="16.5" customWidth="1"/>
    <col min="4879" max="4879" width="2" customWidth="1"/>
    <col min="4880" max="4880" width="15.5" bestFit="1" customWidth="1"/>
    <col min="4881" max="4882" width="0" hidden="1" customWidth="1"/>
    <col min="4883" max="4883" width="14.5" bestFit="1" customWidth="1"/>
    <col min="4885" max="4885" width="14.5" bestFit="1" customWidth="1"/>
    <col min="5121" max="5121" width="44.5" customWidth="1"/>
    <col min="5122" max="5122" width="0" hidden="1" customWidth="1"/>
    <col min="5123" max="5123" width="18.5" bestFit="1" customWidth="1"/>
    <col min="5124" max="5124" width="1.5" customWidth="1"/>
    <col min="5125" max="5125" width="18.5" bestFit="1" customWidth="1"/>
    <col min="5126" max="5126" width="1.5" customWidth="1"/>
    <col min="5127" max="5127" width="16.5" customWidth="1"/>
    <col min="5128" max="5128" width="1.5" customWidth="1"/>
    <col min="5129" max="5129" width="15.5" bestFit="1" customWidth="1"/>
    <col min="5130" max="5130" width="1.5" customWidth="1"/>
    <col min="5131" max="5131" width="15.5" bestFit="1" customWidth="1"/>
    <col min="5132" max="5132" width="1.5" customWidth="1"/>
    <col min="5133" max="5133" width="0" hidden="1" customWidth="1"/>
    <col min="5134" max="5134" width="16.5" customWidth="1"/>
    <col min="5135" max="5135" width="2" customWidth="1"/>
    <col min="5136" max="5136" width="15.5" bestFit="1" customWidth="1"/>
    <col min="5137" max="5138" width="0" hidden="1" customWidth="1"/>
    <col min="5139" max="5139" width="14.5" bestFit="1" customWidth="1"/>
    <col min="5141" max="5141" width="14.5" bestFit="1" customWidth="1"/>
    <col min="5377" max="5377" width="44.5" customWidth="1"/>
    <col min="5378" max="5378" width="0" hidden="1" customWidth="1"/>
    <col min="5379" max="5379" width="18.5" bestFit="1" customWidth="1"/>
    <col min="5380" max="5380" width="1.5" customWidth="1"/>
    <col min="5381" max="5381" width="18.5" bestFit="1" customWidth="1"/>
    <col min="5382" max="5382" width="1.5" customWidth="1"/>
    <col min="5383" max="5383" width="16.5" customWidth="1"/>
    <col min="5384" max="5384" width="1.5" customWidth="1"/>
    <col min="5385" max="5385" width="15.5" bestFit="1" customWidth="1"/>
    <col min="5386" max="5386" width="1.5" customWidth="1"/>
    <col min="5387" max="5387" width="15.5" bestFit="1" customWidth="1"/>
    <col min="5388" max="5388" width="1.5" customWidth="1"/>
    <col min="5389" max="5389" width="0" hidden="1" customWidth="1"/>
    <col min="5390" max="5390" width="16.5" customWidth="1"/>
    <col min="5391" max="5391" width="2" customWidth="1"/>
    <col min="5392" max="5392" width="15.5" bestFit="1" customWidth="1"/>
    <col min="5393" max="5394" width="0" hidden="1" customWidth="1"/>
    <col min="5395" max="5395" width="14.5" bestFit="1" customWidth="1"/>
    <col min="5397" max="5397" width="14.5" bestFit="1" customWidth="1"/>
    <col min="5633" max="5633" width="44.5" customWidth="1"/>
    <col min="5634" max="5634" width="0" hidden="1" customWidth="1"/>
    <col min="5635" max="5635" width="18.5" bestFit="1" customWidth="1"/>
    <col min="5636" max="5636" width="1.5" customWidth="1"/>
    <col min="5637" max="5637" width="18.5" bestFit="1" customWidth="1"/>
    <col min="5638" max="5638" width="1.5" customWidth="1"/>
    <col min="5639" max="5639" width="16.5" customWidth="1"/>
    <col min="5640" max="5640" width="1.5" customWidth="1"/>
    <col min="5641" max="5641" width="15.5" bestFit="1" customWidth="1"/>
    <col min="5642" max="5642" width="1.5" customWidth="1"/>
    <col min="5643" max="5643" width="15.5" bestFit="1" customWidth="1"/>
    <col min="5644" max="5644" width="1.5" customWidth="1"/>
    <col min="5645" max="5645" width="0" hidden="1" customWidth="1"/>
    <col min="5646" max="5646" width="16.5" customWidth="1"/>
    <col min="5647" max="5647" width="2" customWidth="1"/>
    <col min="5648" max="5648" width="15.5" bestFit="1" customWidth="1"/>
    <col min="5649" max="5650" width="0" hidden="1" customWidth="1"/>
    <col min="5651" max="5651" width="14.5" bestFit="1" customWidth="1"/>
    <col min="5653" max="5653" width="14.5" bestFit="1" customWidth="1"/>
    <col min="5889" max="5889" width="44.5" customWidth="1"/>
    <col min="5890" max="5890" width="0" hidden="1" customWidth="1"/>
    <col min="5891" max="5891" width="18.5" bestFit="1" customWidth="1"/>
    <col min="5892" max="5892" width="1.5" customWidth="1"/>
    <col min="5893" max="5893" width="18.5" bestFit="1" customWidth="1"/>
    <col min="5894" max="5894" width="1.5" customWidth="1"/>
    <col min="5895" max="5895" width="16.5" customWidth="1"/>
    <col min="5896" max="5896" width="1.5" customWidth="1"/>
    <col min="5897" max="5897" width="15.5" bestFit="1" customWidth="1"/>
    <col min="5898" max="5898" width="1.5" customWidth="1"/>
    <col min="5899" max="5899" width="15.5" bestFit="1" customWidth="1"/>
    <col min="5900" max="5900" width="1.5" customWidth="1"/>
    <col min="5901" max="5901" width="0" hidden="1" customWidth="1"/>
    <col min="5902" max="5902" width="16.5" customWidth="1"/>
    <col min="5903" max="5903" width="2" customWidth="1"/>
    <col min="5904" max="5904" width="15.5" bestFit="1" customWidth="1"/>
    <col min="5905" max="5906" width="0" hidden="1" customWidth="1"/>
    <col min="5907" max="5907" width="14.5" bestFit="1" customWidth="1"/>
    <col min="5909" max="5909" width="14.5" bestFit="1" customWidth="1"/>
    <col min="6145" max="6145" width="44.5" customWidth="1"/>
    <col min="6146" max="6146" width="0" hidden="1" customWidth="1"/>
    <col min="6147" max="6147" width="18.5" bestFit="1" customWidth="1"/>
    <col min="6148" max="6148" width="1.5" customWidth="1"/>
    <col min="6149" max="6149" width="18.5" bestFit="1" customWidth="1"/>
    <col min="6150" max="6150" width="1.5" customWidth="1"/>
    <col min="6151" max="6151" width="16.5" customWidth="1"/>
    <col min="6152" max="6152" width="1.5" customWidth="1"/>
    <col min="6153" max="6153" width="15.5" bestFit="1" customWidth="1"/>
    <col min="6154" max="6154" width="1.5" customWidth="1"/>
    <col min="6155" max="6155" width="15.5" bestFit="1" customWidth="1"/>
    <col min="6156" max="6156" width="1.5" customWidth="1"/>
    <col min="6157" max="6157" width="0" hidden="1" customWidth="1"/>
    <col min="6158" max="6158" width="16.5" customWidth="1"/>
    <col min="6159" max="6159" width="2" customWidth="1"/>
    <col min="6160" max="6160" width="15.5" bestFit="1" customWidth="1"/>
    <col min="6161" max="6162" width="0" hidden="1" customWidth="1"/>
    <col min="6163" max="6163" width="14.5" bestFit="1" customWidth="1"/>
    <col min="6165" max="6165" width="14.5" bestFit="1" customWidth="1"/>
    <col min="6401" max="6401" width="44.5" customWidth="1"/>
    <col min="6402" max="6402" width="0" hidden="1" customWidth="1"/>
    <col min="6403" max="6403" width="18.5" bestFit="1" customWidth="1"/>
    <col min="6404" max="6404" width="1.5" customWidth="1"/>
    <col min="6405" max="6405" width="18.5" bestFit="1" customWidth="1"/>
    <col min="6406" max="6406" width="1.5" customWidth="1"/>
    <col min="6407" max="6407" width="16.5" customWidth="1"/>
    <col min="6408" max="6408" width="1.5" customWidth="1"/>
    <col min="6409" max="6409" width="15.5" bestFit="1" customWidth="1"/>
    <col min="6410" max="6410" width="1.5" customWidth="1"/>
    <col min="6411" max="6411" width="15.5" bestFit="1" customWidth="1"/>
    <col min="6412" max="6412" width="1.5" customWidth="1"/>
    <col min="6413" max="6413" width="0" hidden="1" customWidth="1"/>
    <col min="6414" max="6414" width="16.5" customWidth="1"/>
    <col min="6415" max="6415" width="2" customWidth="1"/>
    <col min="6416" max="6416" width="15.5" bestFit="1" customWidth="1"/>
    <col min="6417" max="6418" width="0" hidden="1" customWidth="1"/>
    <col min="6419" max="6419" width="14.5" bestFit="1" customWidth="1"/>
    <col min="6421" max="6421" width="14.5" bestFit="1" customWidth="1"/>
    <col min="6657" max="6657" width="44.5" customWidth="1"/>
    <col min="6658" max="6658" width="0" hidden="1" customWidth="1"/>
    <col min="6659" max="6659" width="18.5" bestFit="1" customWidth="1"/>
    <col min="6660" max="6660" width="1.5" customWidth="1"/>
    <col min="6661" max="6661" width="18.5" bestFit="1" customWidth="1"/>
    <col min="6662" max="6662" width="1.5" customWidth="1"/>
    <col min="6663" max="6663" width="16.5" customWidth="1"/>
    <col min="6664" max="6664" width="1.5" customWidth="1"/>
    <col min="6665" max="6665" width="15.5" bestFit="1" customWidth="1"/>
    <col min="6666" max="6666" width="1.5" customWidth="1"/>
    <col min="6667" max="6667" width="15.5" bestFit="1" customWidth="1"/>
    <col min="6668" max="6668" width="1.5" customWidth="1"/>
    <col min="6669" max="6669" width="0" hidden="1" customWidth="1"/>
    <col min="6670" max="6670" width="16.5" customWidth="1"/>
    <col min="6671" max="6671" width="2" customWidth="1"/>
    <col min="6672" max="6672" width="15.5" bestFit="1" customWidth="1"/>
    <col min="6673" max="6674" width="0" hidden="1" customWidth="1"/>
    <col min="6675" max="6675" width="14.5" bestFit="1" customWidth="1"/>
    <col min="6677" max="6677" width="14.5" bestFit="1" customWidth="1"/>
    <col min="6913" max="6913" width="44.5" customWidth="1"/>
    <col min="6914" max="6914" width="0" hidden="1" customWidth="1"/>
    <col min="6915" max="6915" width="18.5" bestFit="1" customWidth="1"/>
    <col min="6916" max="6916" width="1.5" customWidth="1"/>
    <col min="6917" max="6917" width="18.5" bestFit="1" customWidth="1"/>
    <col min="6918" max="6918" width="1.5" customWidth="1"/>
    <col min="6919" max="6919" width="16.5" customWidth="1"/>
    <col min="6920" max="6920" width="1.5" customWidth="1"/>
    <col min="6921" max="6921" width="15.5" bestFit="1" customWidth="1"/>
    <col min="6922" max="6922" width="1.5" customWidth="1"/>
    <col min="6923" max="6923" width="15.5" bestFit="1" customWidth="1"/>
    <col min="6924" max="6924" width="1.5" customWidth="1"/>
    <col min="6925" max="6925" width="0" hidden="1" customWidth="1"/>
    <col min="6926" max="6926" width="16.5" customWidth="1"/>
    <col min="6927" max="6927" width="2" customWidth="1"/>
    <col min="6928" max="6928" width="15.5" bestFit="1" customWidth="1"/>
    <col min="6929" max="6930" width="0" hidden="1" customWidth="1"/>
    <col min="6931" max="6931" width="14.5" bestFit="1" customWidth="1"/>
    <col min="6933" max="6933" width="14.5" bestFit="1" customWidth="1"/>
    <col min="7169" max="7169" width="44.5" customWidth="1"/>
    <col min="7170" max="7170" width="0" hidden="1" customWidth="1"/>
    <col min="7171" max="7171" width="18.5" bestFit="1" customWidth="1"/>
    <col min="7172" max="7172" width="1.5" customWidth="1"/>
    <col min="7173" max="7173" width="18.5" bestFit="1" customWidth="1"/>
    <col min="7174" max="7174" width="1.5" customWidth="1"/>
    <col min="7175" max="7175" width="16.5" customWidth="1"/>
    <col min="7176" max="7176" width="1.5" customWidth="1"/>
    <col min="7177" max="7177" width="15.5" bestFit="1" customWidth="1"/>
    <col min="7178" max="7178" width="1.5" customWidth="1"/>
    <col min="7179" max="7179" width="15.5" bestFit="1" customWidth="1"/>
    <col min="7180" max="7180" width="1.5" customWidth="1"/>
    <col min="7181" max="7181" width="0" hidden="1" customWidth="1"/>
    <col min="7182" max="7182" width="16.5" customWidth="1"/>
    <col min="7183" max="7183" width="2" customWidth="1"/>
    <col min="7184" max="7184" width="15.5" bestFit="1" customWidth="1"/>
    <col min="7185" max="7186" width="0" hidden="1" customWidth="1"/>
    <col min="7187" max="7187" width="14.5" bestFit="1" customWidth="1"/>
    <col min="7189" max="7189" width="14.5" bestFit="1" customWidth="1"/>
    <col min="7425" max="7425" width="44.5" customWidth="1"/>
    <col min="7426" max="7426" width="0" hidden="1" customWidth="1"/>
    <col min="7427" max="7427" width="18.5" bestFit="1" customWidth="1"/>
    <col min="7428" max="7428" width="1.5" customWidth="1"/>
    <col min="7429" max="7429" width="18.5" bestFit="1" customWidth="1"/>
    <col min="7430" max="7430" width="1.5" customWidth="1"/>
    <col min="7431" max="7431" width="16.5" customWidth="1"/>
    <col min="7432" max="7432" width="1.5" customWidth="1"/>
    <col min="7433" max="7433" width="15.5" bestFit="1" customWidth="1"/>
    <col min="7434" max="7434" width="1.5" customWidth="1"/>
    <col min="7435" max="7435" width="15.5" bestFit="1" customWidth="1"/>
    <col min="7436" max="7436" width="1.5" customWidth="1"/>
    <col min="7437" max="7437" width="0" hidden="1" customWidth="1"/>
    <col min="7438" max="7438" width="16.5" customWidth="1"/>
    <col min="7439" max="7439" width="2" customWidth="1"/>
    <col min="7440" max="7440" width="15.5" bestFit="1" customWidth="1"/>
    <col min="7441" max="7442" width="0" hidden="1" customWidth="1"/>
    <col min="7443" max="7443" width="14.5" bestFit="1" customWidth="1"/>
    <col min="7445" max="7445" width="14.5" bestFit="1" customWidth="1"/>
    <col min="7681" max="7681" width="44.5" customWidth="1"/>
    <col min="7682" max="7682" width="0" hidden="1" customWidth="1"/>
    <col min="7683" max="7683" width="18.5" bestFit="1" customWidth="1"/>
    <col min="7684" max="7684" width="1.5" customWidth="1"/>
    <col min="7685" max="7685" width="18.5" bestFit="1" customWidth="1"/>
    <col min="7686" max="7686" width="1.5" customWidth="1"/>
    <col min="7687" max="7687" width="16.5" customWidth="1"/>
    <col min="7688" max="7688" width="1.5" customWidth="1"/>
    <col min="7689" max="7689" width="15.5" bestFit="1" customWidth="1"/>
    <col min="7690" max="7690" width="1.5" customWidth="1"/>
    <col min="7691" max="7691" width="15.5" bestFit="1" customWidth="1"/>
    <col min="7692" max="7692" width="1.5" customWidth="1"/>
    <col min="7693" max="7693" width="0" hidden="1" customWidth="1"/>
    <col min="7694" max="7694" width="16.5" customWidth="1"/>
    <col min="7695" max="7695" width="2" customWidth="1"/>
    <col min="7696" max="7696" width="15.5" bestFit="1" customWidth="1"/>
    <col min="7697" max="7698" width="0" hidden="1" customWidth="1"/>
    <col min="7699" max="7699" width="14.5" bestFit="1" customWidth="1"/>
    <col min="7701" max="7701" width="14.5" bestFit="1" customWidth="1"/>
    <col min="7937" max="7937" width="44.5" customWidth="1"/>
    <col min="7938" max="7938" width="0" hidden="1" customWidth="1"/>
    <col min="7939" max="7939" width="18.5" bestFit="1" customWidth="1"/>
    <col min="7940" max="7940" width="1.5" customWidth="1"/>
    <col min="7941" max="7941" width="18.5" bestFit="1" customWidth="1"/>
    <col min="7942" max="7942" width="1.5" customWidth="1"/>
    <col min="7943" max="7943" width="16.5" customWidth="1"/>
    <col min="7944" max="7944" width="1.5" customWidth="1"/>
    <col min="7945" max="7945" width="15.5" bestFit="1" customWidth="1"/>
    <col min="7946" max="7946" width="1.5" customWidth="1"/>
    <col min="7947" max="7947" width="15.5" bestFit="1" customWidth="1"/>
    <col min="7948" max="7948" width="1.5" customWidth="1"/>
    <col min="7949" max="7949" width="0" hidden="1" customWidth="1"/>
    <col min="7950" max="7950" width="16.5" customWidth="1"/>
    <col min="7951" max="7951" width="2" customWidth="1"/>
    <col min="7952" max="7952" width="15.5" bestFit="1" customWidth="1"/>
    <col min="7953" max="7954" width="0" hidden="1" customWidth="1"/>
    <col min="7955" max="7955" width="14.5" bestFit="1" customWidth="1"/>
    <col min="7957" max="7957" width="14.5" bestFit="1" customWidth="1"/>
    <col min="8193" max="8193" width="44.5" customWidth="1"/>
    <col min="8194" max="8194" width="0" hidden="1" customWidth="1"/>
    <col min="8195" max="8195" width="18.5" bestFit="1" customWidth="1"/>
    <col min="8196" max="8196" width="1.5" customWidth="1"/>
    <col min="8197" max="8197" width="18.5" bestFit="1" customWidth="1"/>
    <col min="8198" max="8198" width="1.5" customWidth="1"/>
    <col min="8199" max="8199" width="16.5" customWidth="1"/>
    <col min="8200" max="8200" width="1.5" customWidth="1"/>
    <col min="8201" max="8201" width="15.5" bestFit="1" customWidth="1"/>
    <col min="8202" max="8202" width="1.5" customWidth="1"/>
    <col min="8203" max="8203" width="15.5" bestFit="1" customWidth="1"/>
    <col min="8204" max="8204" width="1.5" customWidth="1"/>
    <col min="8205" max="8205" width="0" hidden="1" customWidth="1"/>
    <col min="8206" max="8206" width="16.5" customWidth="1"/>
    <col min="8207" max="8207" width="2" customWidth="1"/>
    <col min="8208" max="8208" width="15.5" bestFit="1" customWidth="1"/>
    <col min="8209" max="8210" width="0" hidden="1" customWidth="1"/>
    <col min="8211" max="8211" width="14.5" bestFit="1" customWidth="1"/>
    <col min="8213" max="8213" width="14.5" bestFit="1" customWidth="1"/>
    <col min="8449" max="8449" width="44.5" customWidth="1"/>
    <col min="8450" max="8450" width="0" hidden="1" customWidth="1"/>
    <col min="8451" max="8451" width="18.5" bestFit="1" customWidth="1"/>
    <col min="8452" max="8452" width="1.5" customWidth="1"/>
    <col min="8453" max="8453" width="18.5" bestFit="1" customWidth="1"/>
    <col min="8454" max="8454" width="1.5" customWidth="1"/>
    <col min="8455" max="8455" width="16.5" customWidth="1"/>
    <col min="8456" max="8456" width="1.5" customWidth="1"/>
    <col min="8457" max="8457" width="15.5" bestFit="1" customWidth="1"/>
    <col min="8458" max="8458" width="1.5" customWidth="1"/>
    <col min="8459" max="8459" width="15.5" bestFit="1" customWidth="1"/>
    <col min="8460" max="8460" width="1.5" customWidth="1"/>
    <col min="8461" max="8461" width="0" hidden="1" customWidth="1"/>
    <col min="8462" max="8462" width="16.5" customWidth="1"/>
    <col min="8463" max="8463" width="2" customWidth="1"/>
    <col min="8464" max="8464" width="15.5" bestFit="1" customWidth="1"/>
    <col min="8465" max="8466" width="0" hidden="1" customWidth="1"/>
    <col min="8467" max="8467" width="14.5" bestFit="1" customWidth="1"/>
    <col min="8469" max="8469" width="14.5" bestFit="1" customWidth="1"/>
    <col min="8705" max="8705" width="44.5" customWidth="1"/>
    <col min="8706" max="8706" width="0" hidden="1" customWidth="1"/>
    <col min="8707" max="8707" width="18.5" bestFit="1" customWidth="1"/>
    <col min="8708" max="8708" width="1.5" customWidth="1"/>
    <col min="8709" max="8709" width="18.5" bestFit="1" customWidth="1"/>
    <col min="8710" max="8710" width="1.5" customWidth="1"/>
    <col min="8711" max="8711" width="16.5" customWidth="1"/>
    <col min="8712" max="8712" width="1.5" customWidth="1"/>
    <col min="8713" max="8713" width="15.5" bestFit="1" customWidth="1"/>
    <col min="8714" max="8714" width="1.5" customWidth="1"/>
    <col min="8715" max="8715" width="15.5" bestFit="1" customWidth="1"/>
    <col min="8716" max="8716" width="1.5" customWidth="1"/>
    <col min="8717" max="8717" width="0" hidden="1" customWidth="1"/>
    <col min="8718" max="8718" width="16.5" customWidth="1"/>
    <col min="8719" max="8719" width="2" customWidth="1"/>
    <col min="8720" max="8720" width="15.5" bestFit="1" customWidth="1"/>
    <col min="8721" max="8722" width="0" hidden="1" customWidth="1"/>
    <col min="8723" max="8723" width="14.5" bestFit="1" customWidth="1"/>
    <col min="8725" max="8725" width="14.5" bestFit="1" customWidth="1"/>
    <col min="8961" max="8961" width="44.5" customWidth="1"/>
    <col min="8962" max="8962" width="0" hidden="1" customWidth="1"/>
    <col min="8963" max="8963" width="18.5" bestFit="1" customWidth="1"/>
    <col min="8964" max="8964" width="1.5" customWidth="1"/>
    <col min="8965" max="8965" width="18.5" bestFit="1" customWidth="1"/>
    <col min="8966" max="8966" width="1.5" customWidth="1"/>
    <col min="8967" max="8967" width="16.5" customWidth="1"/>
    <col min="8968" max="8968" width="1.5" customWidth="1"/>
    <col min="8969" max="8969" width="15.5" bestFit="1" customWidth="1"/>
    <col min="8970" max="8970" width="1.5" customWidth="1"/>
    <col min="8971" max="8971" width="15.5" bestFit="1" customWidth="1"/>
    <col min="8972" max="8972" width="1.5" customWidth="1"/>
    <col min="8973" max="8973" width="0" hidden="1" customWidth="1"/>
    <col min="8974" max="8974" width="16.5" customWidth="1"/>
    <col min="8975" max="8975" width="2" customWidth="1"/>
    <col min="8976" max="8976" width="15.5" bestFit="1" customWidth="1"/>
    <col min="8977" max="8978" width="0" hidden="1" customWidth="1"/>
    <col min="8979" max="8979" width="14.5" bestFit="1" customWidth="1"/>
    <col min="8981" max="8981" width="14.5" bestFit="1" customWidth="1"/>
    <col min="9217" max="9217" width="44.5" customWidth="1"/>
    <col min="9218" max="9218" width="0" hidden="1" customWidth="1"/>
    <col min="9219" max="9219" width="18.5" bestFit="1" customWidth="1"/>
    <col min="9220" max="9220" width="1.5" customWidth="1"/>
    <col min="9221" max="9221" width="18.5" bestFit="1" customWidth="1"/>
    <col min="9222" max="9222" width="1.5" customWidth="1"/>
    <col min="9223" max="9223" width="16.5" customWidth="1"/>
    <col min="9224" max="9224" width="1.5" customWidth="1"/>
    <col min="9225" max="9225" width="15.5" bestFit="1" customWidth="1"/>
    <col min="9226" max="9226" width="1.5" customWidth="1"/>
    <col min="9227" max="9227" width="15.5" bestFit="1" customWidth="1"/>
    <col min="9228" max="9228" width="1.5" customWidth="1"/>
    <col min="9229" max="9229" width="0" hidden="1" customWidth="1"/>
    <col min="9230" max="9230" width="16.5" customWidth="1"/>
    <col min="9231" max="9231" width="2" customWidth="1"/>
    <col min="9232" max="9232" width="15.5" bestFit="1" customWidth="1"/>
    <col min="9233" max="9234" width="0" hidden="1" customWidth="1"/>
    <col min="9235" max="9235" width="14.5" bestFit="1" customWidth="1"/>
    <col min="9237" max="9237" width="14.5" bestFit="1" customWidth="1"/>
    <col min="9473" max="9473" width="44.5" customWidth="1"/>
    <col min="9474" max="9474" width="0" hidden="1" customWidth="1"/>
    <col min="9475" max="9475" width="18.5" bestFit="1" customWidth="1"/>
    <col min="9476" max="9476" width="1.5" customWidth="1"/>
    <col min="9477" max="9477" width="18.5" bestFit="1" customWidth="1"/>
    <col min="9478" max="9478" width="1.5" customWidth="1"/>
    <col min="9479" max="9479" width="16.5" customWidth="1"/>
    <col min="9480" max="9480" width="1.5" customWidth="1"/>
    <col min="9481" max="9481" width="15.5" bestFit="1" customWidth="1"/>
    <col min="9482" max="9482" width="1.5" customWidth="1"/>
    <col min="9483" max="9483" width="15.5" bestFit="1" customWidth="1"/>
    <col min="9484" max="9484" width="1.5" customWidth="1"/>
    <col min="9485" max="9485" width="0" hidden="1" customWidth="1"/>
    <col min="9486" max="9486" width="16.5" customWidth="1"/>
    <col min="9487" max="9487" width="2" customWidth="1"/>
    <col min="9488" max="9488" width="15.5" bestFit="1" customWidth="1"/>
    <col min="9489" max="9490" width="0" hidden="1" customWidth="1"/>
    <col min="9491" max="9491" width="14.5" bestFit="1" customWidth="1"/>
    <col min="9493" max="9493" width="14.5" bestFit="1" customWidth="1"/>
    <col min="9729" max="9729" width="44.5" customWidth="1"/>
    <col min="9730" max="9730" width="0" hidden="1" customWidth="1"/>
    <col min="9731" max="9731" width="18.5" bestFit="1" customWidth="1"/>
    <col min="9732" max="9732" width="1.5" customWidth="1"/>
    <col min="9733" max="9733" width="18.5" bestFit="1" customWidth="1"/>
    <col min="9734" max="9734" width="1.5" customWidth="1"/>
    <col min="9735" max="9735" width="16.5" customWidth="1"/>
    <col min="9736" max="9736" width="1.5" customWidth="1"/>
    <col min="9737" max="9737" width="15.5" bestFit="1" customWidth="1"/>
    <col min="9738" max="9738" width="1.5" customWidth="1"/>
    <col min="9739" max="9739" width="15.5" bestFit="1" customWidth="1"/>
    <col min="9740" max="9740" width="1.5" customWidth="1"/>
    <col min="9741" max="9741" width="0" hidden="1" customWidth="1"/>
    <col min="9742" max="9742" width="16.5" customWidth="1"/>
    <col min="9743" max="9743" width="2" customWidth="1"/>
    <col min="9744" max="9744" width="15.5" bestFit="1" customWidth="1"/>
    <col min="9745" max="9746" width="0" hidden="1" customWidth="1"/>
    <col min="9747" max="9747" width="14.5" bestFit="1" customWidth="1"/>
    <col min="9749" max="9749" width="14.5" bestFit="1" customWidth="1"/>
    <col min="9985" max="9985" width="44.5" customWidth="1"/>
    <col min="9986" max="9986" width="0" hidden="1" customWidth="1"/>
    <col min="9987" max="9987" width="18.5" bestFit="1" customWidth="1"/>
    <col min="9988" max="9988" width="1.5" customWidth="1"/>
    <col min="9989" max="9989" width="18.5" bestFit="1" customWidth="1"/>
    <col min="9990" max="9990" width="1.5" customWidth="1"/>
    <col min="9991" max="9991" width="16.5" customWidth="1"/>
    <col min="9992" max="9992" width="1.5" customWidth="1"/>
    <col min="9993" max="9993" width="15.5" bestFit="1" customWidth="1"/>
    <col min="9994" max="9994" width="1.5" customWidth="1"/>
    <col min="9995" max="9995" width="15.5" bestFit="1" customWidth="1"/>
    <col min="9996" max="9996" width="1.5" customWidth="1"/>
    <col min="9997" max="9997" width="0" hidden="1" customWidth="1"/>
    <col min="9998" max="9998" width="16.5" customWidth="1"/>
    <col min="9999" max="9999" width="2" customWidth="1"/>
    <col min="10000" max="10000" width="15.5" bestFit="1" customWidth="1"/>
    <col min="10001" max="10002" width="0" hidden="1" customWidth="1"/>
    <col min="10003" max="10003" width="14.5" bestFit="1" customWidth="1"/>
    <col min="10005" max="10005" width="14.5" bestFit="1" customWidth="1"/>
    <col min="10241" max="10241" width="44.5" customWidth="1"/>
    <col min="10242" max="10242" width="0" hidden="1" customWidth="1"/>
    <col min="10243" max="10243" width="18.5" bestFit="1" customWidth="1"/>
    <col min="10244" max="10244" width="1.5" customWidth="1"/>
    <col min="10245" max="10245" width="18.5" bestFit="1" customWidth="1"/>
    <col min="10246" max="10246" width="1.5" customWidth="1"/>
    <col min="10247" max="10247" width="16.5" customWidth="1"/>
    <col min="10248" max="10248" width="1.5" customWidth="1"/>
    <col min="10249" max="10249" width="15.5" bestFit="1" customWidth="1"/>
    <col min="10250" max="10250" width="1.5" customWidth="1"/>
    <col min="10251" max="10251" width="15.5" bestFit="1" customWidth="1"/>
    <col min="10252" max="10252" width="1.5" customWidth="1"/>
    <col min="10253" max="10253" width="0" hidden="1" customWidth="1"/>
    <col min="10254" max="10254" width="16.5" customWidth="1"/>
    <col min="10255" max="10255" width="2" customWidth="1"/>
    <col min="10256" max="10256" width="15.5" bestFit="1" customWidth="1"/>
    <col min="10257" max="10258" width="0" hidden="1" customWidth="1"/>
    <col min="10259" max="10259" width="14.5" bestFit="1" customWidth="1"/>
    <col min="10261" max="10261" width="14.5" bestFit="1" customWidth="1"/>
    <col min="10497" max="10497" width="44.5" customWidth="1"/>
    <col min="10498" max="10498" width="0" hidden="1" customWidth="1"/>
    <col min="10499" max="10499" width="18.5" bestFit="1" customWidth="1"/>
    <col min="10500" max="10500" width="1.5" customWidth="1"/>
    <col min="10501" max="10501" width="18.5" bestFit="1" customWidth="1"/>
    <col min="10502" max="10502" width="1.5" customWidth="1"/>
    <col min="10503" max="10503" width="16.5" customWidth="1"/>
    <col min="10504" max="10504" width="1.5" customWidth="1"/>
    <col min="10505" max="10505" width="15.5" bestFit="1" customWidth="1"/>
    <col min="10506" max="10506" width="1.5" customWidth="1"/>
    <col min="10507" max="10507" width="15.5" bestFit="1" customWidth="1"/>
    <col min="10508" max="10508" width="1.5" customWidth="1"/>
    <col min="10509" max="10509" width="0" hidden="1" customWidth="1"/>
    <col min="10510" max="10510" width="16.5" customWidth="1"/>
    <col min="10511" max="10511" width="2" customWidth="1"/>
    <col min="10512" max="10512" width="15.5" bestFit="1" customWidth="1"/>
    <col min="10513" max="10514" width="0" hidden="1" customWidth="1"/>
    <col min="10515" max="10515" width="14.5" bestFit="1" customWidth="1"/>
    <col min="10517" max="10517" width="14.5" bestFit="1" customWidth="1"/>
    <col min="10753" max="10753" width="44.5" customWidth="1"/>
    <col min="10754" max="10754" width="0" hidden="1" customWidth="1"/>
    <col min="10755" max="10755" width="18.5" bestFit="1" customWidth="1"/>
    <col min="10756" max="10756" width="1.5" customWidth="1"/>
    <col min="10757" max="10757" width="18.5" bestFit="1" customWidth="1"/>
    <col min="10758" max="10758" width="1.5" customWidth="1"/>
    <col min="10759" max="10759" width="16.5" customWidth="1"/>
    <col min="10760" max="10760" width="1.5" customWidth="1"/>
    <col min="10761" max="10761" width="15.5" bestFit="1" customWidth="1"/>
    <col min="10762" max="10762" width="1.5" customWidth="1"/>
    <col min="10763" max="10763" width="15.5" bestFit="1" customWidth="1"/>
    <col min="10764" max="10764" width="1.5" customWidth="1"/>
    <col min="10765" max="10765" width="0" hidden="1" customWidth="1"/>
    <col min="10766" max="10766" width="16.5" customWidth="1"/>
    <col min="10767" max="10767" width="2" customWidth="1"/>
    <col min="10768" max="10768" width="15.5" bestFit="1" customWidth="1"/>
    <col min="10769" max="10770" width="0" hidden="1" customWidth="1"/>
    <col min="10771" max="10771" width="14.5" bestFit="1" customWidth="1"/>
    <col min="10773" max="10773" width="14.5" bestFit="1" customWidth="1"/>
    <col min="11009" max="11009" width="44.5" customWidth="1"/>
    <col min="11010" max="11010" width="0" hidden="1" customWidth="1"/>
    <col min="11011" max="11011" width="18.5" bestFit="1" customWidth="1"/>
    <col min="11012" max="11012" width="1.5" customWidth="1"/>
    <col min="11013" max="11013" width="18.5" bestFit="1" customWidth="1"/>
    <col min="11014" max="11014" width="1.5" customWidth="1"/>
    <col min="11015" max="11015" width="16.5" customWidth="1"/>
    <col min="11016" max="11016" width="1.5" customWidth="1"/>
    <col min="11017" max="11017" width="15.5" bestFit="1" customWidth="1"/>
    <col min="11018" max="11018" width="1.5" customWidth="1"/>
    <col min="11019" max="11019" width="15.5" bestFit="1" customWidth="1"/>
    <col min="11020" max="11020" width="1.5" customWidth="1"/>
    <col min="11021" max="11021" width="0" hidden="1" customWidth="1"/>
    <col min="11022" max="11022" width="16.5" customWidth="1"/>
    <col min="11023" max="11023" width="2" customWidth="1"/>
    <col min="11024" max="11024" width="15.5" bestFit="1" customWidth="1"/>
    <col min="11025" max="11026" width="0" hidden="1" customWidth="1"/>
    <col min="11027" max="11027" width="14.5" bestFit="1" customWidth="1"/>
    <col min="11029" max="11029" width="14.5" bestFit="1" customWidth="1"/>
    <col min="11265" max="11265" width="44.5" customWidth="1"/>
    <col min="11266" max="11266" width="0" hidden="1" customWidth="1"/>
    <col min="11267" max="11267" width="18.5" bestFit="1" customWidth="1"/>
    <col min="11268" max="11268" width="1.5" customWidth="1"/>
    <col min="11269" max="11269" width="18.5" bestFit="1" customWidth="1"/>
    <col min="11270" max="11270" width="1.5" customWidth="1"/>
    <col min="11271" max="11271" width="16.5" customWidth="1"/>
    <col min="11272" max="11272" width="1.5" customWidth="1"/>
    <col min="11273" max="11273" width="15.5" bestFit="1" customWidth="1"/>
    <col min="11274" max="11274" width="1.5" customWidth="1"/>
    <col min="11275" max="11275" width="15.5" bestFit="1" customWidth="1"/>
    <col min="11276" max="11276" width="1.5" customWidth="1"/>
    <col min="11277" max="11277" width="0" hidden="1" customWidth="1"/>
    <col min="11278" max="11278" width="16.5" customWidth="1"/>
    <col min="11279" max="11279" width="2" customWidth="1"/>
    <col min="11280" max="11280" width="15.5" bestFit="1" customWidth="1"/>
    <col min="11281" max="11282" width="0" hidden="1" customWidth="1"/>
    <col min="11283" max="11283" width="14.5" bestFit="1" customWidth="1"/>
    <col min="11285" max="11285" width="14.5" bestFit="1" customWidth="1"/>
    <col min="11521" max="11521" width="44.5" customWidth="1"/>
    <col min="11522" max="11522" width="0" hidden="1" customWidth="1"/>
    <col min="11523" max="11523" width="18.5" bestFit="1" customWidth="1"/>
    <col min="11524" max="11524" width="1.5" customWidth="1"/>
    <col min="11525" max="11525" width="18.5" bestFit="1" customWidth="1"/>
    <col min="11526" max="11526" width="1.5" customWidth="1"/>
    <col min="11527" max="11527" width="16.5" customWidth="1"/>
    <col min="11528" max="11528" width="1.5" customWidth="1"/>
    <col min="11529" max="11529" width="15.5" bestFit="1" customWidth="1"/>
    <col min="11530" max="11530" width="1.5" customWidth="1"/>
    <col min="11531" max="11531" width="15.5" bestFit="1" customWidth="1"/>
    <col min="11532" max="11532" width="1.5" customWidth="1"/>
    <col min="11533" max="11533" width="0" hidden="1" customWidth="1"/>
    <col min="11534" max="11534" width="16.5" customWidth="1"/>
    <col min="11535" max="11535" width="2" customWidth="1"/>
    <col min="11536" max="11536" width="15.5" bestFit="1" customWidth="1"/>
    <col min="11537" max="11538" width="0" hidden="1" customWidth="1"/>
    <col min="11539" max="11539" width="14.5" bestFit="1" customWidth="1"/>
    <col min="11541" max="11541" width="14.5" bestFit="1" customWidth="1"/>
    <col min="11777" max="11777" width="44.5" customWidth="1"/>
    <col min="11778" max="11778" width="0" hidden="1" customWidth="1"/>
    <col min="11779" max="11779" width="18.5" bestFit="1" customWidth="1"/>
    <col min="11780" max="11780" width="1.5" customWidth="1"/>
    <col min="11781" max="11781" width="18.5" bestFit="1" customWidth="1"/>
    <col min="11782" max="11782" width="1.5" customWidth="1"/>
    <col min="11783" max="11783" width="16.5" customWidth="1"/>
    <col min="11784" max="11784" width="1.5" customWidth="1"/>
    <col min="11785" max="11785" width="15.5" bestFit="1" customWidth="1"/>
    <col min="11786" max="11786" width="1.5" customWidth="1"/>
    <col min="11787" max="11787" width="15.5" bestFit="1" customWidth="1"/>
    <col min="11788" max="11788" width="1.5" customWidth="1"/>
    <col min="11789" max="11789" width="0" hidden="1" customWidth="1"/>
    <col min="11790" max="11790" width="16.5" customWidth="1"/>
    <col min="11791" max="11791" width="2" customWidth="1"/>
    <col min="11792" max="11792" width="15.5" bestFit="1" customWidth="1"/>
    <col min="11793" max="11794" width="0" hidden="1" customWidth="1"/>
    <col min="11795" max="11795" width="14.5" bestFit="1" customWidth="1"/>
    <col min="11797" max="11797" width="14.5" bestFit="1" customWidth="1"/>
    <col min="12033" max="12033" width="44.5" customWidth="1"/>
    <col min="12034" max="12034" width="0" hidden="1" customWidth="1"/>
    <col min="12035" max="12035" width="18.5" bestFit="1" customWidth="1"/>
    <col min="12036" max="12036" width="1.5" customWidth="1"/>
    <col min="12037" max="12037" width="18.5" bestFit="1" customWidth="1"/>
    <col min="12038" max="12038" width="1.5" customWidth="1"/>
    <col min="12039" max="12039" width="16.5" customWidth="1"/>
    <col min="12040" max="12040" width="1.5" customWidth="1"/>
    <col min="12041" max="12041" width="15.5" bestFit="1" customWidth="1"/>
    <col min="12042" max="12042" width="1.5" customWidth="1"/>
    <col min="12043" max="12043" width="15.5" bestFit="1" customWidth="1"/>
    <col min="12044" max="12044" width="1.5" customWidth="1"/>
    <col min="12045" max="12045" width="0" hidden="1" customWidth="1"/>
    <col min="12046" max="12046" width="16.5" customWidth="1"/>
    <col min="12047" max="12047" width="2" customWidth="1"/>
    <col min="12048" max="12048" width="15.5" bestFit="1" customWidth="1"/>
    <col min="12049" max="12050" width="0" hidden="1" customWidth="1"/>
    <col min="12051" max="12051" width="14.5" bestFit="1" customWidth="1"/>
    <col min="12053" max="12053" width="14.5" bestFit="1" customWidth="1"/>
    <col min="12289" max="12289" width="44.5" customWidth="1"/>
    <col min="12290" max="12290" width="0" hidden="1" customWidth="1"/>
    <col min="12291" max="12291" width="18.5" bestFit="1" customWidth="1"/>
    <col min="12292" max="12292" width="1.5" customWidth="1"/>
    <col min="12293" max="12293" width="18.5" bestFit="1" customWidth="1"/>
    <col min="12294" max="12294" width="1.5" customWidth="1"/>
    <col min="12295" max="12295" width="16.5" customWidth="1"/>
    <col min="12296" max="12296" width="1.5" customWidth="1"/>
    <col min="12297" max="12297" width="15.5" bestFit="1" customWidth="1"/>
    <col min="12298" max="12298" width="1.5" customWidth="1"/>
    <col min="12299" max="12299" width="15.5" bestFit="1" customWidth="1"/>
    <col min="12300" max="12300" width="1.5" customWidth="1"/>
    <col min="12301" max="12301" width="0" hidden="1" customWidth="1"/>
    <col min="12302" max="12302" width="16.5" customWidth="1"/>
    <col min="12303" max="12303" width="2" customWidth="1"/>
    <col min="12304" max="12304" width="15.5" bestFit="1" customWidth="1"/>
    <col min="12305" max="12306" width="0" hidden="1" customWidth="1"/>
    <col min="12307" max="12307" width="14.5" bestFit="1" customWidth="1"/>
    <col min="12309" max="12309" width="14.5" bestFit="1" customWidth="1"/>
    <col min="12545" max="12545" width="44.5" customWidth="1"/>
    <col min="12546" max="12546" width="0" hidden="1" customWidth="1"/>
    <col min="12547" max="12547" width="18.5" bestFit="1" customWidth="1"/>
    <col min="12548" max="12548" width="1.5" customWidth="1"/>
    <col min="12549" max="12549" width="18.5" bestFit="1" customWidth="1"/>
    <col min="12550" max="12550" width="1.5" customWidth="1"/>
    <col min="12551" max="12551" width="16.5" customWidth="1"/>
    <col min="12552" max="12552" width="1.5" customWidth="1"/>
    <col min="12553" max="12553" width="15.5" bestFit="1" customWidth="1"/>
    <col min="12554" max="12554" width="1.5" customWidth="1"/>
    <col min="12555" max="12555" width="15.5" bestFit="1" customWidth="1"/>
    <col min="12556" max="12556" width="1.5" customWidth="1"/>
    <col min="12557" max="12557" width="0" hidden="1" customWidth="1"/>
    <col min="12558" max="12558" width="16.5" customWidth="1"/>
    <col min="12559" max="12559" width="2" customWidth="1"/>
    <col min="12560" max="12560" width="15.5" bestFit="1" customWidth="1"/>
    <col min="12561" max="12562" width="0" hidden="1" customWidth="1"/>
    <col min="12563" max="12563" width="14.5" bestFit="1" customWidth="1"/>
    <col min="12565" max="12565" width="14.5" bestFit="1" customWidth="1"/>
    <col min="12801" max="12801" width="44.5" customWidth="1"/>
    <col min="12802" max="12802" width="0" hidden="1" customWidth="1"/>
    <col min="12803" max="12803" width="18.5" bestFit="1" customWidth="1"/>
    <col min="12804" max="12804" width="1.5" customWidth="1"/>
    <col min="12805" max="12805" width="18.5" bestFit="1" customWidth="1"/>
    <col min="12806" max="12806" width="1.5" customWidth="1"/>
    <col min="12807" max="12807" width="16.5" customWidth="1"/>
    <col min="12808" max="12808" width="1.5" customWidth="1"/>
    <col min="12809" max="12809" width="15.5" bestFit="1" customWidth="1"/>
    <col min="12810" max="12810" width="1.5" customWidth="1"/>
    <col min="12811" max="12811" width="15.5" bestFit="1" customWidth="1"/>
    <col min="12812" max="12812" width="1.5" customWidth="1"/>
    <col min="12813" max="12813" width="0" hidden="1" customWidth="1"/>
    <col min="12814" max="12814" width="16.5" customWidth="1"/>
    <col min="12815" max="12815" width="2" customWidth="1"/>
    <col min="12816" max="12816" width="15.5" bestFit="1" customWidth="1"/>
    <col min="12817" max="12818" width="0" hidden="1" customWidth="1"/>
    <col min="12819" max="12819" width="14.5" bestFit="1" customWidth="1"/>
    <col min="12821" max="12821" width="14.5" bestFit="1" customWidth="1"/>
    <col min="13057" max="13057" width="44.5" customWidth="1"/>
    <col min="13058" max="13058" width="0" hidden="1" customWidth="1"/>
    <col min="13059" max="13059" width="18.5" bestFit="1" customWidth="1"/>
    <col min="13060" max="13060" width="1.5" customWidth="1"/>
    <col min="13061" max="13061" width="18.5" bestFit="1" customWidth="1"/>
    <col min="13062" max="13062" width="1.5" customWidth="1"/>
    <col min="13063" max="13063" width="16.5" customWidth="1"/>
    <col min="13064" max="13064" width="1.5" customWidth="1"/>
    <col min="13065" max="13065" width="15.5" bestFit="1" customWidth="1"/>
    <col min="13066" max="13066" width="1.5" customWidth="1"/>
    <col min="13067" max="13067" width="15.5" bestFit="1" customWidth="1"/>
    <col min="13068" max="13068" width="1.5" customWidth="1"/>
    <col min="13069" max="13069" width="0" hidden="1" customWidth="1"/>
    <col min="13070" max="13070" width="16.5" customWidth="1"/>
    <col min="13071" max="13071" width="2" customWidth="1"/>
    <col min="13072" max="13072" width="15.5" bestFit="1" customWidth="1"/>
    <col min="13073" max="13074" width="0" hidden="1" customWidth="1"/>
    <col min="13075" max="13075" width="14.5" bestFit="1" customWidth="1"/>
    <col min="13077" max="13077" width="14.5" bestFit="1" customWidth="1"/>
    <col min="13313" max="13313" width="44.5" customWidth="1"/>
    <col min="13314" max="13314" width="0" hidden="1" customWidth="1"/>
    <col min="13315" max="13315" width="18.5" bestFit="1" customWidth="1"/>
    <col min="13316" max="13316" width="1.5" customWidth="1"/>
    <col min="13317" max="13317" width="18.5" bestFit="1" customWidth="1"/>
    <col min="13318" max="13318" width="1.5" customWidth="1"/>
    <col min="13319" max="13319" width="16.5" customWidth="1"/>
    <col min="13320" max="13320" width="1.5" customWidth="1"/>
    <col min="13321" max="13321" width="15.5" bestFit="1" customWidth="1"/>
    <col min="13322" max="13322" width="1.5" customWidth="1"/>
    <col min="13323" max="13323" width="15.5" bestFit="1" customWidth="1"/>
    <col min="13324" max="13324" width="1.5" customWidth="1"/>
    <col min="13325" max="13325" width="0" hidden="1" customWidth="1"/>
    <col min="13326" max="13326" width="16.5" customWidth="1"/>
    <col min="13327" max="13327" width="2" customWidth="1"/>
    <col min="13328" max="13328" width="15.5" bestFit="1" customWidth="1"/>
    <col min="13329" max="13330" width="0" hidden="1" customWidth="1"/>
    <col min="13331" max="13331" width="14.5" bestFit="1" customWidth="1"/>
    <col min="13333" max="13333" width="14.5" bestFit="1" customWidth="1"/>
    <col min="13569" max="13569" width="44.5" customWidth="1"/>
    <col min="13570" max="13570" width="0" hidden="1" customWidth="1"/>
    <col min="13571" max="13571" width="18.5" bestFit="1" customWidth="1"/>
    <col min="13572" max="13572" width="1.5" customWidth="1"/>
    <col min="13573" max="13573" width="18.5" bestFit="1" customWidth="1"/>
    <col min="13574" max="13574" width="1.5" customWidth="1"/>
    <col min="13575" max="13575" width="16.5" customWidth="1"/>
    <col min="13576" max="13576" width="1.5" customWidth="1"/>
    <col min="13577" max="13577" width="15.5" bestFit="1" customWidth="1"/>
    <col min="13578" max="13578" width="1.5" customWidth="1"/>
    <col min="13579" max="13579" width="15.5" bestFit="1" customWidth="1"/>
    <col min="13580" max="13580" width="1.5" customWidth="1"/>
    <col min="13581" max="13581" width="0" hidden="1" customWidth="1"/>
    <col min="13582" max="13582" width="16.5" customWidth="1"/>
    <col min="13583" max="13583" width="2" customWidth="1"/>
    <col min="13584" max="13584" width="15.5" bestFit="1" customWidth="1"/>
    <col min="13585" max="13586" width="0" hidden="1" customWidth="1"/>
    <col min="13587" max="13587" width="14.5" bestFit="1" customWidth="1"/>
    <col min="13589" max="13589" width="14.5" bestFit="1" customWidth="1"/>
    <col min="13825" max="13825" width="44.5" customWidth="1"/>
    <col min="13826" max="13826" width="0" hidden="1" customWidth="1"/>
    <col min="13827" max="13827" width="18.5" bestFit="1" customWidth="1"/>
    <col min="13828" max="13828" width="1.5" customWidth="1"/>
    <col min="13829" max="13829" width="18.5" bestFit="1" customWidth="1"/>
    <col min="13830" max="13830" width="1.5" customWidth="1"/>
    <col min="13831" max="13831" width="16.5" customWidth="1"/>
    <col min="13832" max="13832" width="1.5" customWidth="1"/>
    <col min="13833" max="13833" width="15.5" bestFit="1" customWidth="1"/>
    <col min="13834" max="13834" width="1.5" customWidth="1"/>
    <col min="13835" max="13835" width="15.5" bestFit="1" customWidth="1"/>
    <col min="13836" max="13836" width="1.5" customWidth="1"/>
    <col min="13837" max="13837" width="0" hidden="1" customWidth="1"/>
    <col min="13838" max="13838" width="16.5" customWidth="1"/>
    <col min="13839" max="13839" width="2" customWidth="1"/>
    <col min="13840" max="13840" width="15.5" bestFit="1" customWidth="1"/>
    <col min="13841" max="13842" width="0" hidden="1" customWidth="1"/>
    <col min="13843" max="13843" width="14.5" bestFit="1" customWidth="1"/>
    <col min="13845" max="13845" width="14.5" bestFit="1" customWidth="1"/>
    <col min="14081" max="14081" width="44.5" customWidth="1"/>
    <col min="14082" max="14082" width="0" hidden="1" customWidth="1"/>
    <col min="14083" max="14083" width="18.5" bestFit="1" customWidth="1"/>
    <col min="14084" max="14084" width="1.5" customWidth="1"/>
    <col min="14085" max="14085" width="18.5" bestFit="1" customWidth="1"/>
    <col min="14086" max="14086" width="1.5" customWidth="1"/>
    <col min="14087" max="14087" width="16.5" customWidth="1"/>
    <col min="14088" max="14088" width="1.5" customWidth="1"/>
    <col min="14089" max="14089" width="15.5" bestFit="1" customWidth="1"/>
    <col min="14090" max="14090" width="1.5" customWidth="1"/>
    <col min="14091" max="14091" width="15.5" bestFit="1" customWidth="1"/>
    <col min="14092" max="14092" width="1.5" customWidth="1"/>
    <col min="14093" max="14093" width="0" hidden="1" customWidth="1"/>
    <col min="14094" max="14094" width="16.5" customWidth="1"/>
    <col min="14095" max="14095" width="2" customWidth="1"/>
    <col min="14096" max="14096" width="15.5" bestFit="1" customWidth="1"/>
    <col min="14097" max="14098" width="0" hidden="1" customWidth="1"/>
    <col min="14099" max="14099" width="14.5" bestFit="1" customWidth="1"/>
    <col min="14101" max="14101" width="14.5" bestFit="1" customWidth="1"/>
    <col min="14337" max="14337" width="44.5" customWidth="1"/>
    <col min="14338" max="14338" width="0" hidden="1" customWidth="1"/>
    <col min="14339" max="14339" width="18.5" bestFit="1" customWidth="1"/>
    <col min="14340" max="14340" width="1.5" customWidth="1"/>
    <col min="14341" max="14341" width="18.5" bestFit="1" customWidth="1"/>
    <col min="14342" max="14342" width="1.5" customWidth="1"/>
    <col min="14343" max="14343" width="16.5" customWidth="1"/>
    <col min="14344" max="14344" width="1.5" customWidth="1"/>
    <col min="14345" max="14345" width="15.5" bestFit="1" customWidth="1"/>
    <col min="14346" max="14346" width="1.5" customWidth="1"/>
    <col min="14347" max="14347" width="15.5" bestFit="1" customWidth="1"/>
    <col min="14348" max="14348" width="1.5" customWidth="1"/>
    <col min="14349" max="14349" width="0" hidden="1" customWidth="1"/>
    <col min="14350" max="14350" width="16.5" customWidth="1"/>
    <col min="14351" max="14351" width="2" customWidth="1"/>
    <col min="14352" max="14352" width="15.5" bestFit="1" customWidth="1"/>
    <col min="14353" max="14354" width="0" hidden="1" customWidth="1"/>
    <col min="14355" max="14355" width="14.5" bestFit="1" customWidth="1"/>
    <col min="14357" max="14357" width="14.5" bestFit="1" customWidth="1"/>
    <col min="14593" max="14593" width="44.5" customWidth="1"/>
    <col min="14594" max="14594" width="0" hidden="1" customWidth="1"/>
    <col min="14595" max="14595" width="18.5" bestFit="1" customWidth="1"/>
    <col min="14596" max="14596" width="1.5" customWidth="1"/>
    <col min="14597" max="14597" width="18.5" bestFit="1" customWidth="1"/>
    <col min="14598" max="14598" width="1.5" customWidth="1"/>
    <col min="14599" max="14599" width="16.5" customWidth="1"/>
    <col min="14600" max="14600" width="1.5" customWidth="1"/>
    <col min="14601" max="14601" width="15.5" bestFit="1" customWidth="1"/>
    <col min="14602" max="14602" width="1.5" customWidth="1"/>
    <col min="14603" max="14603" width="15.5" bestFit="1" customWidth="1"/>
    <col min="14604" max="14604" width="1.5" customWidth="1"/>
    <col min="14605" max="14605" width="0" hidden="1" customWidth="1"/>
    <col min="14606" max="14606" width="16.5" customWidth="1"/>
    <col min="14607" max="14607" width="2" customWidth="1"/>
    <col min="14608" max="14608" width="15.5" bestFit="1" customWidth="1"/>
    <col min="14609" max="14610" width="0" hidden="1" customWidth="1"/>
    <col min="14611" max="14611" width="14.5" bestFit="1" customWidth="1"/>
    <col min="14613" max="14613" width="14.5" bestFit="1" customWidth="1"/>
    <col min="14849" max="14849" width="44.5" customWidth="1"/>
    <col min="14850" max="14850" width="0" hidden="1" customWidth="1"/>
    <col min="14851" max="14851" width="18.5" bestFit="1" customWidth="1"/>
    <col min="14852" max="14852" width="1.5" customWidth="1"/>
    <col min="14853" max="14853" width="18.5" bestFit="1" customWidth="1"/>
    <col min="14854" max="14854" width="1.5" customWidth="1"/>
    <col min="14855" max="14855" width="16.5" customWidth="1"/>
    <col min="14856" max="14856" width="1.5" customWidth="1"/>
    <col min="14857" max="14857" width="15.5" bestFit="1" customWidth="1"/>
    <col min="14858" max="14858" width="1.5" customWidth="1"/>
    <col min="14859" max="14859" width="15.5" bestFit="1" customWidth="1"/>
    <col min="14860" max="14860" width="1.5" customWidth="1"/>
    <col min="14861" max="14861" width="0" hidden="1" customWidth="1"/>
    <col min="14862" max="14862" width="16.5" customWidth="1"/>
    <col min="14863" max="14863" width="2" customWidth="1"/>
    <col min="14864" max="14864" width="15.5" bestFit="1" customWidth="1"/>
    <col min="14865" max="14866" width="0" hidden="1" customWidth="1"/>
    <col min="14867" max="14867" width="14.5" bestFit="1" customWidth="1"/>
    <col min="14869" max="14869" width="14.5" bestFit="1" customWidth="1"/>
    <col min="15105" max="15105" width="44.5" customWidth="1"/>
    <col min="15106" max="15106" width="0" hidden="1" customWidth="1"/>
    <col min="15107" max="15107" width="18.5" bestFit="1" customWidth="1"/>
    <col min="15108" max="15108" width="1.5" customWidth="1"/>
    <col min="15109" max="15109" width="18.5" bestFit="1" customWidth="1"/>
    <col min="15110" max="15110" width="1.5" customWidth="1"/>
    <col min="15111" max="15111" width="16.5" customWidth="1"/>
    <col min="15112" max="15112" width="1.5" customWidth="1"/>
    <col min="15113" max="15113" width="15.5" bestFit="1" customWidth="1"/>
    <col min="15114" max="15114" width="1.5" customWidth="1"/>
    <col min="15115" max="15115" width="15.5" bestFit="1" customWidth="1"/>
    <col min="15116" max="15116" width="1.5" customWidth="1"/>
    <col min="15117" max="15117" width="0" hidden="1" customWidth="1"/>
    <col min="15118" max="15118" width="16.5" customWidth="1"/>
    <col min="15119" max="15119" width="2" customWidth="1"/>
    <col min="15120" max="15120" width="15.5" bestFit="1" customWidth="1"/>
    <col min="15121" max="15122" width="0" hidden="1" customWidth="1"/>
    <col min="15123" max="15123" width="14.5" bestFit="1" customWidth="1"/>
    <col min="15125" max="15125" width="14.5" bestFit="1" customWidth="1"/>
    <col min="15361" max="15361" width="44.5" customWidth="1"/>
    <col min="15362" max="15362" width="0" hidden="1" customWidth="1"/>
    <col min="15363" max="15363" width="18.5" bestFit="1" customWidth="1"/>
    <col min="15364" max="15364" width="1.5" customWidth="1"/>
    <col min="15365" max="15365" width="18.5" bestFit="1" customWidth="1"/>
    <col min="15366" max="15366" width="1.5" customWidth="1"/>
    <col min="15367" max="15367" width="16.5" customWidth="1"/>
    <col min="15368" max="15368" width="1.5" customWidth="1"/>
    <col min="15369" max="15369" width="15.5" bestFit="1" customWidth="1"/>
    <col min="15370" max="15370" width="1.5" customWidth="1"/>
    <col min="15371" max="15371" width="15.5" bestFit="1" customWidth="1"/>
    <col min="15372" max="15372" width="1.5" customWidth="1"/>
    <col min="15373" max="15373" width="0" hidden="1" customWidth="1"/>
    <col min="15374" max="15374" width="16.5" customWidth="1"/>
    <col min="15375" max="15375" width="2" customWidth="1"/>
    <col min="15376" max="15376" width="15.5" bestFit="1" customWidth="1"/>
    <col min="15377" max="15378" width="0" hidden="1" customWidth="1"/>
    <col min="15379" max="15379" width="14.5" bestFit="1" customWidth="1"/>
    <col min="15381" max="15381" width="14.5" bestFit="1" customWidth="1"/>
    <col min="15617" max="15617" width="44.5" customWidth="1"/>
    <col min="15618" max="15618" width="0" hidden="1" customWidth="1"/>
    <col min="15619" max="15619" width="18.5" bestFit="1" customWidth="1"/>
    <col min="15620" max="15620" width="1.5" customWidth="1"/>
    <col min="15621" max="15621" width="18.5" bestFit="1" customWidth="1"/>
    <col min="15622" max="15622" width="1.5" customWidth="1"/>
    <col min="15623" max="15623" width="16.5" customWidth="1"/>
    <col min="15624" max="15624" width="1.5" customWidth="1"/>
    <col min="15625" max="15625" width="15.5" bestFit="1" customWidth="1"/>
    <col min="15626" max="15626" width="1.5" customWidth="1"/>
    <col min="15627" max="15627" width="15.5" bestFit="1" customWidth="1"/>
    <col min="15628" max="15628" width="1.5" customWidth="1"/>
    <col min="15629" max="15629" width="0" hidden="1" customWidth="1"/>
    <col min="15630" max="15630" width="16.5" customWidth="1"/>
    <col min="15631" max="15631" width="2" customWidth="1"/>
    <col min="15632" max="15632" width="15.5" bestFit="1" customWidth="1"/>
    <col min="15633" max="15634" width="0" hidden="1" customWidth="1"/>
    <col min="15635" max="15635" width="14.5" bestFit="1" customWidth="1"/>
    <col min="15637" max="15637" width="14.5" bestFit="1" customWidth="1"/>
    <col min="15873" max="15873" width="44.5" customWidth="1"/>
    <col min="15874" max="15874" width="0" hidden="1" customWidth="1"/>
    <col min="15875" max="15875" width="18.5" bestFit="1" customWidth="1"/>
    <col min="15876" max="15876" width="1.5" customWidth="1"/>
    <col min="15877" max="15877" width="18.5" bestFit="1" customWidth="1"/>
    <col min="15878" max="15878" width="1.5" customWidth="1"/>
    <col min="15879" max="15879" width="16.5" customWidth="1"/>
    <col min="15880" max="15880" width="1.5" customWidth="1"/>
    <col min="15881" max="15881" width="15.5" bestFit="1" customWidth="1"/>
    <col min="15882" max="15882" width="1.5" customWidth="1"/>
    <col min="15883" max="15883" width="15.5" bestFit="1" customWidth="1"/>
    <col min="15884" max="15884" width="1.5" customWidth="1"/>
    <col min="15885" max="15885" width="0" hidden="1" customWidth="1"/>
    <col min="15886" max="15886" width="16.5" customWidth="1"/>
    <col min="15887" max="15887" width="2" customWidth="1"/>
    <col min="15888" max="15888" width="15.5" bestFit="1" customWidth="1"/>
    <col min="15889" max="15890" width="0" hidden="1" customWidth="1"/>
    <col min="15891" max="15891" width="14.5" bestFit="1" customWidth="1"/>
    <col min="15893" max="15893" width="14.5" bestFit="1" customWidth="1"/>
    <col min="16129" max="16129" width="44.5" customWidth="1"/>
    <col min="16130" max="16130" width="0" hidden="1" customWidth="1"/>
    <col min="16131" max="16131" width="18.5" bestFit="1" customWidth="1"/>
    <col min="16132" max="16132" width="1.5" customWidth="1"/>
    <col min="16133" max="16133" width="18.5" bestFit="1" customWidth="1"/>
    <col min="16134" max="16134" width="1.5" customWidth="1"/>
    <col min="16135" max="16135" width="16.5" customWidth="1"/>
    <col min="16136" max="16136" width="1.5" customWidth="1"/>
    <col min="16137" max="16137" width="15.5" bestFit="1" customWidth="1"/>
    <col min="16138" max="16138" width="1.5" customWidth="1"/>
    <col min="16139" max="16139" width="15.5" bestFit="1" customWidth="1"/>
    <col min="16140" max="16140" width="1.5" customWidth="1"/>
    <col min="16141" max="16141" width="0" hidden="1" customWidth="1"/>
    <col min="16142" max="16142" width="16.5" customWidth="1"/>
    <col min="16143" max="16143" width="2" customWidth="1"/>
    <col min="16144" max="16144" width="15.5" bestFit="1" customWidth="1"/>
    <col min="16145" max="16146" width="0" hidden="1" customWidth="1"/>
    <col min="16147" max="16147" width="14.5" bestFit="1" customWidth="1"/>
    <col min="16149" max="16149" width="14.5" bestFit="1" customWidth="1"/>
  </cols>
  <sheetData>
    <row r="1" spans="1:21" ht="21">
      <c r="A1" s="626" t="s">
        <v>419</v>
      </c>
      <c r="P1" s="628" t="str">
        <f>'[6]Summary_Sources-Uses'!L2</f>
        <v>Financial Proforma Model 5.5</v>
      </c>
    </row>
    <row r="2" spans="1:21" ht="16">
      <c r="A2" s="629" t="str">
        <f>'[6]Summary_Sources-Uses'!A2</f>
        <v>2100 Memorial Redevelopment - Houston</v>
      </c>
      <c r="B2" s="630"/>
      <c r="G2" s="631"/>
      <c r="K2" s="627" t="s">
        <v>420</v>
      </c>
      <c r="N2" s="627" t="s">
        <v>420</v>
      </c>
      <c r="O2" s="627" t="s">
        <v>420</v>
      </c>
      <c r="P2" s="632">
        <f>'[6]Summary_Sources-Uses'!L1</f>
        <v>44403</v>
      </c>
    </row>
    <row r="3" spans="1:21">
      <c r="G3" s="633"/>
    </row>
    <row r="4" spans="1:21">
      <c r="A4" s="542"/>
      <c r="B4" s="634"/>
      <c r="C4" s="635" t="s">
        <v>421</v>
      </c>
      <c r="D4" s="636"/>
      <c r="E4" s="637" t="s">
        <v>421</v>
      </c>
      <c r="F4" s="638"/>
      <c r="G4" s="637" t="s">
        <v>422</v>
      </c>
      <c r="H4" s="636"/>
      <c r="I4" s="637" t="s">
        <v>422</v>
      </c>
      <c r="J4" s="636"/>
      <c r="K4" s="639" t="s">
        <v>61</v>
      </c>
      <c r="L4" s="638"/>
      <c r="M4" s="638"/>
      <c r="N4" s="639" t="s">
        <v>423</v>
      </c>
      <c r="O4" s="638"/>
      <c r="P4" s="637" t="s">
        <v>424</v>
      </c>
    </row>
    <row r="5" spans="1:21">
      <c r="A5" s="309"/>
      <c r="B5" s="640"/>
      <c r="C5" s="641" t="s">
        <v>425</v>
      </c>
      <c r="E5" s="642" t="s">
        <v>426</v>
      </c>
      <c r="G5" s="642" t="s">
        <v>427</v>
      </c>
      <c r="I5" s="643" t="s">
        <v>428</v>
      </c>
      <c r="K5" s="643"/>
      <c r="N5" s="643"/>
      <c r="P5" s="644" t="s">
        <v>429</v>
      </c>
    </row>
    <row r="6" spans="1:21">
      <c r="A6" s="645" t="s">
        <v>430</v>
      </c>
      <c r="B6" s="646"/>
      <c r="C6" s="647"/>
      <c r="E6" s="643"/>
      <c r="G6" s="643"/>
      <c r="I6" s="643"/>
      <c r="K6" s="643"/>
      <c r="N6" s="643"/>
      <c r="P6" s="643"/>
    </row>
    <row r="7" spans="1:21" ht="6.75" customHeight="1">
      <c r="A7" s="648"/>
      <c r="B7" s="649"/>
      <c r="C7" s="647"/>
      <c r="E7" s="643"/>
      <c r="G7" s="643"/>
      <c r="I7" s="643"/>
      <c r="K7" s="643"/>
      <c r="N7" s="643"/>
      <c r="P7" s="643"/>
    </row>
    <row r="8" spans="1:21">
      <c r="A8" s="650" t="s">
        <v>431</v>
      </c>
      <c r="B8" s="651"/>
      <c r="C8" s="647">
        <v>32000000</v>
      </c>
      <c r="E8" s="643"/>
      <c r="G8" s="643"/>
      <c r="I8" s="643"/>
      <c r="K8" s="643"/>
      <c r="N8" s="643"/>
      <c r="P8" s="643">
        <f>SUM(C8:O8)</f>
        <v>32000000</v>
      </c>
      <c r="S8" s="122"/>
    </row>
    <row r="9" spans="1:21">
      <c r="A9" s="650" t="s">
        <v>432</v>
      </c>
      <c r="B9" s="651"/>
      <c r="C9" s="647">
        <v>0</v>
      </c>
      <c r="E9" s="643"/>
      <c r="G9" s="643"/>
      <c r="I9" s="643"/>
      <c r="K9" s="643"/>
      <c r="N9" s="643"/>
      <c r="P9" s="643">
        <f>SUM(C9:O9)</f>
        <v>0</v>
      </c>
    </row>
    <row r="10" spans="1:21">
      <c r="A10" s="652" t="s">
        <v>433</v>
      </c>
      <c r="B10" s="653"/>
      <c r="C10" s="654"/>
      <c r="D10" s="653"/>
      <c r="E10" s="654"/>
      <c r="F10" s="653"/>
      <c r="G10" s="654">
        <f>'[6]Flow of Funds'!H8</f>
        <v>8000000</v>
      </c>
      <c r="H10" s="653"/>
      <c r="I10" s="654"/>
      <c r="J10" s="653"/>
      <c r="K10" s="654"/>
      <c r="L10" s="653"/>
      <c r="M10" s="653"/>
      <c r="N10" s="654"/>
      <c r="O10" s="653"/>
      <c r="P10" s="654">
        <f>SUM(D10:O10)</f>
        <v>8000000</v>
      </c>
    </row>
    <row r="11" spans="1:21">
      <c r="A11" s="399" t="s">
        <v>434</v>
      </c>
      <c r="C11" s="647"/>
      <c r="E11" s="643"/>
      <c r="G11" s="643">
        <v>7568802.8799999999</v>
      </c>
      <c r="I11" s="643"/>
      <c r="K11" s="643"/>
      <c r="N11" s="643"/>
      <c r="P11" s="643">
        <f>SUM(D11:O11)</f>
        <v>7568802.8799999999</v>
      </c>
    </row>
    <row r="12" spans="1:21">
      <c r="A12" s="652" t="s">
        <v>435</v>
      </c>
      <c r="B12" s="653"/>
      <c r="C12" s="654"/>
      <c r="D12" s="653"/>
      <c r="E12" s="654"/>
      <c r="F12" s="653"/>
      <c r="G12" s="654"/>
      <c r="H12" s="653"/>
      <c r="I12" s="654">
        <v>5092079</v>
      </c>
      <c r="J12" s="653"/>
      <c r="K12" s="654"/>
      <c r="L12" s="653"/>
      <c r="M12" s="653"/>
      <c r="N12" s="654"/>
      <c r="O12" s="653"/>
      <c r="P12" s="654">
        <f>SUM(D12:O12)</f>
        <v>5092079</v>
      </c>
    </row>
    <row r="13" spans="1:21">
      <c r="A13" s="399" t="s">
        <v>436</v>
      </c>
      <c r="B13" s="651"/>
      <c r="C13" s="647"/>
      <c r="E13" s="643"/>
      <c r="G13" s="643"/>
      <c r="I13" s="643"/>
      <c r="K13" s="643">
        <f>'[6]Flow of Funds'!J11+'[6]Flow of Funds'!N11</f>
        <v>3576491</v>
      </c>
      <c r="N13" s="643"/>
      <c r="P13" s="643">
        <f>SUM(D13:O13)</f>
        <v>3576491</v>
      </c>
      <c r="R13" s="655"/>
      <c r="S13" s="656"/>
      <c r="T13" s="657"/>
      <c r="U13" s="122"/>
    </row>
    <row r="14" spans="1:21">
      <c r="A14" s="309" t="s">
        <v>437</v>
      </c>
      <c r="B14" s="640"/>
      <c r="C14" s="647"/>
      <c r="E14" s="643"/>
      <c r="G14" s="643"/>
      <c r="I14" s="643"/>
      <c r="K14" s="643"/>
      <c r="N14" s="643">
        <v>0</v>
      </c>
      <c r="P14" s="643">
        <f>SUM(C14:O14)</f>
        <v>0</v>
      </c>
      <c r="S14" s="122">
        <f>S16-P16</f>
        <v>-538877.33402498066</v>
      </c>
    </row>
    <row r="15" spans="1:21" ht="7.5" customHeight="1">
      <c r="A15" s="309"/>
      <c r="B15" s="640"/>
      <c r="C15" s="647"/>
      <c r="E15" s="643"/>
      <c r="G15" s="643"/>
      <c r="I15" s="643"/>
      <c r="K15" s="643"/>
      <c r="N15" s="643"/>
      <c r="P15" s="643"/>
    </row>
    <row r="16" spans="1:21">
      <c r="A16" s="658" t="s">
        <v>438</v>
      </c>
      <c r="B16" s="659"/>
      <c r="C16" s="660">
        <f>SUM(C8:C14)</f>
        <v>32000000</v>
      </c>
      <c r="D16" s="661"/>
      <c r="E16" s="662">
        <f>SUM(E8:E14)</f>
        <v>0</v>
      </c>
      <c r="F16" s="661"/>
      <c r="G16" s="662">
        <f>SUM(G8:G14)</f>
        <v>15568802.879999999</v>
      </c>
      <c r="H16" s="661"/>
      <c r="I16" s="662">
        <f>SUM(I8:I14)</f>
        <v>5092079</v>
      </c>
      <c r="J16" s="661"/>
      <c r="K16" s="662">
        <f>SUM(K8:K14)</f>
        <v>3576491</v>
      </c>
      <c r="L16" s="661"/>
      <c r="M16" s="661"/>
      <c r="N16" s="662">
        <f>SUM(N8:N14)</f>
        <v>0</v>
      </c>
      <c r="O16" s="661"/>
      <c r="P16" s="662">
        <f>SUM(P8:P14)</f>
        <v>56237372.880000003</v>
      </c>
      <c r="Q16" s="2"/>
      <c r="R16" s="663">
        <f>SUM(C16:N16)</f>
        <v>56237372.879999995</v>
      </c>
      <c r="S16" s="664">
        <f>SUM('[6]Flow of Funds'!H102:AM102)</f>
        <v>55698495.545975022</v>
      </c>
      <c r="T16" s="657"/>
      <c r="U16" s="215"/>
    </row>
    <row r="17" spans="1:21">
      <c r="A17" s="665"/>
      <c r="B17" s="643"/>
      <c r="C17" s="647"/>
      <c r="E17" s="643"/>
      <c r="G17" s="643"/>
      <c r="I17" s="643"/>
      <c r="K17" s="643"/>
      <c r="N17" s="643"/>
      <c r="P17" s="643"/>
      <c r="S17" s="122">
        <f>S16-P16</f>
        <v>-538877.33402498066</v>
      </c>
    </row>
    <row r="18" spans="1:21">
      <c r="A18" s="645" t="s">
        <v>439</v>
      </c>
      <c r="B18" s="666"/>
      <c r="C18" s="647"/>
      <c r="E18" s="643"/>
      <c r="G18" s="643"/>
      <c r="I18" s="643"/>
      <c r="K18" s="643"/>
      <c r="N18" s="643"/>
      <c r="P18" s="643"/>
    </row>
    <row r="19" spans="1:21" ht="7.5" customHeight="1">
      <c r="A19" s="667"/>
      <c r="B19" s="668"/>
      <c r="C19" s="647"/>
      <c r="E19" s="643"/>
      <c r="G19" s="643"/>
      <c r="I19" s="643"/>
      <c r="K19" s="643"/>
      <c r="N19" s="643"/>
      <c r="P19" s="643"/>
    </row>
    <row r="20" spans="1:21">
      <c r="A20" s="667" t="s">
        <v>440</v>
      </c>
      <c r="B20" s="668"/>
      <c r="C20" s="647"/>
      <c r="E20" s="643"/>
      <c r="G20" s="643"/>
      <c r="I20" s="643"/>
      <c r="K20" s="643"/>
      <c r="N20" s="643"/>
      <c r="P20" s="643"/>
    </row>
    <row r="21" spans="1:21">
      <c r="A21" s="669" t="s">
        <v>441</v>
      </c>
      <c r="B21" s="670">
        <v>0</v>
      </c>
      <c r="C21" s="654">
        <v>0</v>
      </c>
      <c r="D21" s="653"/>
      <c r="E21" s="654"/>
      <c r="F21" s="653"/>
      <c r="G21" s="654">
        <v>0</v>
      </c>
      <c r="H21" s="653"/>
      <c r="I21" s="654">
        <v>0</v>
      </c>
      <c r="J21" s="653"/>
      <c r="K21" s="654"/>
      <c r="L21" s="653"/>
      <c r="M21" s="653"/>
      <c r="N21" s="654"/>
      <c r="O21" s="653"/>
      <c r="P21" s="654">
        <f>SUM(C21:O21)</f>
        <v>0</v>
      </c>
      <c r="Q21" s="122">
        <f>B21-P21</f>
        <v>0</v>
      </c>
      <c r="R21" s="109">
        <f t="shared" ref="R21:R91" si="0">B21-P21</f>
        <v>0</v>
      </c>
      <c r="S21" s="643"/>
      <c r="T21" s="627"/>
      <c r="U21" s="643"/>
    </row>
    <row r="22" spans="1:21">
      <c r="A22" s="652" t="s">
        <v>442</v>
      </c>
      <c r="B22" s="654">
        <f>'[6]Development_Budget_(detail)'!G9</f>
        <v>4656689.82</v>
      </c>
      <c r="C22" s="654"/>
      <c r="D22" s="653"/>
      <c r="E22" s="654"/>
      <c r="F22" s="653"/>
      <c r="G22" s="654">
        <f>B22</f>
        <v>4656689.82</v>
      </c>
      <c r="H22" s="653"/>
      <c r="I22" s="654">
        <v>0</v>
      </c>
      <c r="J22" s="653"/>
      <c r="K22" s="654"/>
      <c r="L22" s="653"/>
      <c r="M22" s="653"/>
      <c r="N22" s="654"/>
      <c r="O22" s="653"/>
      <c r="P22" s="654">
        <f t="shared" ref="P22:P93" si="1">SUM(C22:O22)</f>
        <v>4656689.82</v>
      </c>
      <c r="Q22" s="122">
        <f t="shared" ref="Q22:Q93" si="2">B22-P22</f>
        <v>0</v>
      </c>
      <c r="R22" s="109">
        <f t="shared" si="0"/>
        <v>0</v>
      </c>
    </row>
    <row r="23" spans="1:21">
      <c r="A23" s="399"/>
      <c r="B23" s="643"/>
      <c r="C23" s="647"/>
      <c r="E23" s="643"/>
      <c r="G23" s="643"/>
      <c r="I23" s="643"/>
      <c r="K23" s="643"/>
      <c r="N23" s="643"/>
      <c r="P23" s="643">
        <f t="shared" si="1"/>
        <v>0</v>
      </c>
      <c r="Q23" s="122">
        <f t="shared" si="2"/>
        <v>0</v>
      </c>
      <c r="R23" s="109">
        <f t="shared" si="0"/>
        <v>0</v>
      </c>
    </row>
    <row r="24" spans="1:21">
      <c r="A24" s="667" t="s">
        <v>443</v>
      </c>
      <c r="B24" s="668"/>
      <c r="C24" s="647"/>
      <c r="E24" s="643"/>
      <c r="G24" s="643"/>
      <c r="I24" s="643"/>
      <c r="K24" s="643"/>
      <c r="N24" s="643"/>
      <c r="P24" s="643">
        <f t="shared" si="1"/>
        <v>0</v>
      </c>
      <c r="Q24" s="122">
        <f t="shared" si="2"/>
        <v>0</v>
      </c>
      <c r="R24" s="109">
        <f t="shared" si="0"/>
        <v>0</v>
      </c>
    </row>
    <row r="25" spans="1:21">
      <c r="A25" s="669" t="s">
        <v>444</v>
      </c>
      <c r="B25" s="671">
        <f>'[6]Development_Budget_(detail)'!G10</f>
        <v>3016378</v>
      </c>
      <c r="C25" s="672">
        <f>B25</f>
        <v>3016378</v>
      </c>
      <c r="D25" s="653"/>
      <c r="E25" s="654"/>
      <c r="F25" s="653"/>
      <c r="G25" s="654"/>
      <c r="H25" s="653"/>
      <c r="I25" s="654">
        <v>0</v>
      </c>
      <c r="J25" s="653"/>
      <c r="K25" s="654"/>
      <c r="L25" s="653"/>
      <c r="M25" s="653"/>
      <c r="N25" s="654"/>
      <c r="O25" s="653"/>
      <c r="P25" s="654">
        <f t="shared" si="1"/>
        <v>3016378</v>
      </c>
      <c r="Q25" s="122">
        <f t="shared" si="2"/>
        <v>0</v>
      </c>
      <c r="R25" s="109"/>
    </row>
    <row r="26" spans="1:21">
      <c r="A26" s="669" t="s">
        <v>445</v>
      </c>
      <c r="B26" s="671">
        <f>'[6]Development_Budget_(detail)'!G11</f>
        <v>326932.18</v>
      </c>
      <c r="C26" s="672">
        <v>250000</v>
      </c>
      <c r="D26" s="653"/>
      <c r="E26" s="654"/>
      <c r="F26" s="653"/>
      <c r="G26" s="654">
        <f>B26-250000</f>
        <v>76932.179999999993</v>
      </c>
      <c r="H26" s="653"/>
      <c r="I26" s="654"/>
      <c r="J26" s="653"/>
      <c r="K26" s="654"/>
      <c r="L26" s="653"/>
      <c r="M26" s="653"/>
      <c r="N26" s="654"/>
      <c r="O26" s="653"/>
      <c r="P26" s="654">
        <f t="shared" si="1"/>
        <v>326932.18</v>
      </c>
      <c r="Q26" s="122">
        <f t="shared" si="2"/>
        <v>0</v>
      </c>
      <c r="R26" s="109"/>
    </row>
    <row r="27" spans="1:21">
      <c r="A27" s="399" t="s">
        <v>446</v>
      </c>
      <c r="B27" s="643">
        <f>'[6]Development_Budget_(detail)'!G14</f>
        <v>29663009</v>
      </c>
      <c r="C27" s="673">
        <v>20245170.23</v>
      </c>
      <c r="E27" s="643"/>
      <c r="G27" s="643">
        <f>6677902.42+94266</f>
        <v>6772168.4199999999</v>
      </c>
      <c r="I27" s="643">
        <v>2645670.35</v>
      </c>
      <c r="K27" s="643"/>
      <c r="N27" s="643"/>
      <c r="P27" s="643">
        <f t="shared" si="1"/>
        <v>29663009</v>
      </c>
      <c r="Q27" s="122">
        <f t="shared" si="2"/>
        <v>0</v>
      </c>
      <c r="R27" s="109">
        <f t="shared" si="0"/>
        <v>0</v>
      </c>
      <c r="S27" s="122">
        <f>('[7]DRAW SCHEDULE'!$E$4+'[7]DRAW SCHEDULE'!$E$9)-P27</f>
        <v>-7542929</v>
      </c>
    </row>
    <row r="28" spans="1:21">
      <c r="A28" s="399" t="s">
        <v>447</v>
      </c>
      <c r="B28" s="643">
        <f>'[6]Development_Budget_(detail)'!G15</f>
        <v>1833281</v>
      </c>
      <c r="C28" s="673">
        <f>B28</f>
        <v>1833281</v>
      </c>
      <c r="E28" s="643"/>
      <c r="G28" s="643"/>
      <c r="I28" s="643"/>
      <c r="K28" s="643">
        <v>0</v>
      </c>
      <c r="N28" s="643"/>
      <c r="P28" s="643">
        <f t="shared" si="1"/>
        <v>1833281</v>
      </c>
      <c r="Q28" s="122">
        <f t="shared" si="2"/>
        <v>0</v>
      </c>
      <c r="R28" s="109"/>
      <c r="S28" s="122"/>
    </row>
    <row r="29" spans="1:21">
      <c r="A29" s="399" t="s">
        <v>298</v>
      </c>
      <c r="B29" s="643">
        <f>'[6]Development_Budget_(detail)'!G21</f>
        <v>1795459.6</v>
      </c>
      <c r="C29" s="647">
        <v>0</v>
      </c>
      <c r="E29" s="643"/>
      <c r="G29" s="643">
        <f>B29</f>
        <v>1795459.6</v>
      </c>
      <c r="I29" s="643"/>
      <c r="K29" s="643"/>
      <c r="N29" s="643"/>
      <c r="P29" s="643">
        <f t="shared" si="1"/>
        <v>1795459.6</v>
      </c>
      <c r="Q29" s="122">
        <f t="shared" si="2"/>
        <v>0</v>
      </c>
      <c r="R29" s="109">
        <f t="shared" si="0"/>
        <v>0</v>
      </c>
    </row>
    <row r="30" spans="1:21">
      <c r="A30" s="399" t="s">
        <v>128</v>
      </c>
      <c r="B30" s="643">
        <f>'[6]Development_Budget_(detail)'!G18</f>
        <v>662560</v>
      </c>
      <c r="C30" s="673">
        <f>B30</f>
        <v>662560</v>
      </c>
      <c r="E30" s="643"/>
      <c r="G30" s="643"/>
      <c r="I30" s="643"/>
      <c r="K30" s="643"/>
      <c r="N30" s="643"/>
      <c r="P30" s="643">
        <f t="shared" si="1"/>
        <v>662560</v>
      </c>
      <c r="Q30" s="122">
        <f t="shared" si="2"/>
        <v>0</v>
      </c>
      <c r="R30" s="109">
        <f t="shared" si="0"/>
        <v>0</v>
      </c>
      <c r="S30">
        <f>'[7]DRAW SCHEDULE'!$E$13+'[7]DRAW SCHEDULE'!$E$12</f>
        <v>1659007</v>
      </c>
    </row>
    <row r="31" spans="1:21">
      <c r="A31" s="399" t="s">
        <v>127</v>
      </c>
      <c r="B31" s="643">
        <f>'[6]Development_Budget_(detail)'!G17</f>
        <v>1875171</v>
      </c>
      <c r="C31" s="673">
        <f>B31</f>
        <v>1875171</v>
      </c>
      <c r="E31" s="643"/>
      <c r="G31" s="643">
        <f>B31-C31</f>
        <v>0</v>
      </c>
      <c r="I31" s="643"/>
      <c r="K31" s="643"/>
      <c r="N31" s="643"/>
      <c r="P31" s="643">
        <f t="shared" si="1"/>
        <v>1875171</v>
      </c>
      <c r="Q31" s="122">
        <f t="shared" si="2"/>
        <v>0</v>
      </c>
      <c r="R31" s="109"/>
    </row>
    <row r="32" spans="1:21">
      <c r="A32" s="399" t="s">
        <v>448</v>
      </c>
      <c r="B32" s="643">
        <f>'[6]Development_Budget_(detail)'!G16</f>
        <v>1875171</v>
      </c>
      <c r="C32" s="673">
        <f>B32</f>
        <v>1875171</v>
      </c>
      <c r="E32" s="643"/>
      <c r="G32" s="643">
        <v>0</v>
      </c>
      <c r="I32" s="643"/>
      <c r="K32" s="643"/>
      <c r="N32" s="643"/>
      <c r="P32" s="643">
        <f t="shared" si="1"/>
        <v>1875171</v>
      </c>
      <c r="Q32" s="122">
        <f t="shared" si="2"/>
        <v>0</v>
      </c>
      <c r="R32" s="109">
        <f t="shared" si="0"/>
        <v>0</v>
      </c>
      <c r="S32" s="122">
        <f>'[7]DRAW SCHEDULE'!$E$11-I32</f>
        <v>1548407</v>
      </c>
    </row>
    <row r="33" spans="1:19">
      <c r="A33" s="399" t="s">
        <v>449</v>
      </c>
      <c r="B33" s="643">
        <f>'[6]Development_Budget_(detail)'!G20</f>
        <v>255000</v>
      </c>
      <c r="C33" s="673">
        <f>B33</f>
        <v>255000</v>
      </c>
      <c r="E33" s="643"/>
      <c r="G33" s="643"/>
      <c r="I33" s="643"/>
      <c r="K33" s="643">
        <v>0</v>
      </c>
      <c r="N33" s="643"/>
      <c r="P33" s="643">
        <f t="shared" si="1"/>
        <v>255000</v>
      </c>
      <c r="Q33" s="122">
        <f t="shared" si="2"/>
        <v>0</v>
      </c>
      <c r="R33" s="109">
        <f t="shared" si="0"/>
        <v>0</v>
      </c>
    </row>
    <row r="34" spans="1:19">
      <c r="A34" s="399" t="s">
        <v>348</v>
      </c>
      <c r="B34" s="643">
        <f>'[6]Development_Budget_(detail)'!G19</f>
        <v>400000</v>
      </c>
      <c r="C34" s="673">
        <v>305000</v>
      </c>
      <c r="E34" s="643"/>
      <c r="G34" s="643"/>
      <c r="I34" s="643">
        <v>165000</v>
      </c>
      <c r="K34" s="643">
        <v>0</v>
      </c>
      <c r="N34" s="643"/>
      <c r="P34" s="643">
        <f t="shared" si="1"/>
        <v>470000</v>
      </c>
      <c r="Q34" s="122">
        <f t="shared" si="2"/>
        <v>-70000</v>
      </c>
      <c r="R34" s="109">
        <f t="shared" si="0"/>
        <v>-70000</v>
      </c>
      <c r="S34" s="122">
        <f>SUM(P27:P34)</f>
        <v>38429651.600000001</v>
      </c>
    </row>
    <row r="35" spans="1:19" hidden="1">
      <c r="A35" s="650" t="s">
        <v>122</v>
      </c>
      <c r="B35" s="674"/>
      <c r="C35" s="647"/>
      <c r="E35" s="643"/>
      <c r="G35" s="643"/>
      <c r="I35" s="643"/>
      <c r="K35" s="643"/>
      <c r="N35" s="643"/>
      <c r="P35" s="643">
        <f t="shared" si="1"/>
        <v>0</v>
      </c>
      <c r="Q35" s="122">
        <f t="shared" si="2"/>
        <v>0</v>
      </c>
      <c r="R35" s="675">
        <f t="shared" si="0"/>
        <v>0</v>
      </c>
    </row>
    <row r="36" spans="1:19" hidden="1">
      <c r="A36" s="650" t="s">
        <v>450</v>
      </c>
      <c r="B36" s="674">
        <v>0</v>
      </c>
      <c r="C36" s="647"/>
      <c r="E36" s="643"/>
      <c r="G36" s="643"/>
      <c r="I36" s="643"/>
      <c r="K36" s="643"/>
      <c r="N36" s="643"/>
      <c r="P36" s="643">
        <f t="shared" si="1"/>
        <v>0</v>
      </c>
      <c r="Q36" s="122">
        <f t="shared" si="2"/>
        <v>0</v>
      </c>
      <c r="R36" s="675">
        <f t="shared" si="0"/>
        <v>0</v>
      </c>
    </row>
    <row r="37" spans="1:19" hidden="1">
      <c r="A37" s="650" t="s">
        <v>451</v>
      </c>
      <c r="B37" s="674">
        <v>0</v>
      </c>
      <c r="C37" s="647"/>
      <c r="E37" s="643"/>
      <c r="G37" s="643"/>
      <c r="I37" s="643"/>
      <c r="K37" s="643"/>
      <c r="N37" s="643"/>
      <c r="P37" s="643">
        <f t="shared" si="1"/>
        <v>0</v>
      </c>
      <c r="Q37" s="122">
        <f t="shared" si="2"/>
        <v>0</v>
      </c>
      <c r="R37" s="675">
        <f t="shared" si="0"/>
        <v>0</v>
      </c>
    </row>
    <row r="38" spans="1:19" hidden="1">
      <c r="A38" s="650" t="s">
        <v>452</v>
      </c>
      <c r="B38" s="674">
        <v>0</v>
      </c>
      <c r="C38" s="647"/>
      <c r="E38" s="643"/>
      <c r="G38" s="643"/>
      <c r="I38" s="643"/>
      <c r="K38" s="643"/>
      <c r="N38" s="643"/>
      <c r="P38" s="643">
        <f t="shared" si="1"/>
        <v>0</v>
      </c>
      <c r="Q38" s="122">
        <f t="shared" si="2"/>
        <v>0</v>
      </c>
      <c r="R38" s="675">
        <f t="shared" si="0"/>
        <v>0</v>
      </c>
    </row>
    <row r="39" spans="1:19" hidden="1">
      <c r="A39" s="650" t="s">
        <v>453</v>
      </c>
      <c r="B39" s="674"/>
      <c r="C39" s="647"/>
      <c r="E39" s="643"/>
      <c r="G39" s="643"/>
      <c r="I39" s="643"/>
      <c r="K39" s="643"/>
      <c r="N39" s="643"/>
      <c r="P39" s="643">
        <f t="shared" si="1"/>
        <v>0</v>
      </c>
      <c r="Q39" s="122">
        <f t="shared" si="2"/>
        <v>0</v>
      </c>
      <c r="R39" s="675">
        <f t="shared" si="0"/>
        <v>0</v>
      </c>
    </row>
    <row r="40" spans="1:19" hidden="1">
      <c r="A40" s="650" t="s">
        <v>454</v>
      </c>
      <c r="B40" s="674"/>
      <c r="C40" s="647"/>
      <c r="E40" s="643"/>
      <c r="G40" s="643"/>
      <c r="I40" s="643"/>
      <c r="K40" s="643"/>
      <c r="N40" s="643"/>
      <c r="P40" s="643">
        <f t="shared" si="1"/>
        <v>0</v>
      </c>
      <c r="Q40" s="122">
        <f t="shared" si="2"/>
        <v>0</v>
      </c>
      <c r="R40" s="675">
        <f t="shared" si="0"/>
        <v>0</v>
      </c>
    </row>
    <row r="41" spans="1:19" hidden="1">
      <c r="A41" s="650" t="s">
        <v>455</v>
      </c>
      <c r="B41" s="674">
        <v>0</v>
      </c>
      <c r="C41" s="647"/>
      <c r="E41" s="643"/>
      <c r="G41" s="643"/>
      <c r="I41" s="643"/>
      <c r="K41" s="643"/>
      <c r="N41" s="643"/>
      <c r="P41" s="643">
        <f t="shared" si="1"/>
        <v>0</v>
      </c>
      <c r="Q41" s="122">
        <f t="shared" si="2"/>
        <v>0</v>
      </c>
      <c r="R41" s="675">
        <f t="shared" si="0"/>
        <v>0</v>
      </c>
    </row>
    <row r="42" spans="1:19" hidden="1">
      <c r="A42" s="650" t="s">
        <v>456</v>
      </c>
      <c r="B42" s="674">
        <v>0</v>
      </c>
      <c r="C42" s="647"/>
      <c r="E42" s="643"/>
      <c r="G42" s="643"/>
      <c r="I42" s="643"/>
      <c r="K42" s="643"/>
      <c r="N42" s="643"/>
      <c r="P42" s="643">
        <f t="shared" si="1"/>
        <v>0</v>
      </c>
      <c r="Q42" s="122">
        <f t="shared" si="2"/>
        <v>0</v>
      </c>
      <c r="R42" s="675">
        <f t="shared" si="0"/>
        <v>0</v>
      </c>
    </row>
    <row r="43" spans="1:19" hidden="1">
      <c r="A43" s="650" t="s">
        <v>457</v>
      </c>
      <c r="B43" s="674">
        <v>0</v>
      </c>
      <c r="C43" s="647"/>
      <c r="E43" s="643"/>
      <c r="G43" s="643"/>
      <c r="I43" s="643"/>
      <c r="K43" s="643"/>
      <c r="N43" s="643"/>
      <c r="P43" s="643">
        <f t="shared" si="1"/>
        <v>0</v>
      </c>
      <c r="Q43" s="122">
        <f t="shared" si="2"/>
        <v>0</v>
      </c>
      <c r="R43" s="675">
        <f t="shared" si="0"/>
        <v>0</v>
      </c>
    </row>
    <row r="44" spans="1:19">
      <c r="A44" s="667"/>
      <c r="B44" s="668"/>
      <c r="C44" s="647"/>
      <c r="E44" s="643"/>
      <c r="G44" s="643"/>
      <c r="I44" s="643"/>
      <c r="K44" s="643"/>
      <c r="N44" s="643"/>
      <c r="P44" s="643">
        <f t="shared" si="1"/>
        <v>0</v>
      </c>
      <c r="Q44" s="122">
        <f t="shared" si="2"/>
        <v>0</v>
      </c>
      <c r="R44" s="675">
        <f t="shared" si="0"/>
        <v>0</v>
      </c>
      <c r="S44" s="122"/>
    </row>
    <row r="45" spans="1:19">
      <c r="A45" s="667" t="s">
        <v>458</v>
      </c>
      <c r="B45" s="668"/>
      <c r="C45" s="647"/>
      <c r="E45" s="643"/>
      <c r="G45" s="643"/>
      <c r="I45" s="643"/>
      <c r="K45" s="643"/>
      <c r="N45" s="643"/>
      <c r="P45" s="643">
        <f t="shared" si="1"/>
        <v>0</v>
      </c>
      <c r="Q45" s="122">
        <f t="shared" si="2"/>
        <v>0</v>
      </c>
      <c r="R45" s="675">
        <f t="shared" si="0"/>
        <v>0</v>
      </c>
    </row>
    <row r="46" spans="1:19">
      <c r="A46" s="650" t="str">
        <f>'[6]Development_Budget_(detail)'!C24</f>
        <v>Property Appraisal</v>
      </c>
      <c r="B46" s="674">
        <f>'[6]Development_Budget_(detail)'!G24</f>
        <v>20000</v>
      </c>
      <c r="C46" s="647"/>
      <c r="E46" s="643"/>
      <c r="G46" s="643"/>
      <c r="I46" s="643"/>
      <c r="K46" s="643">
        <f>B46</f>
        <v>20000</v>
      </c>
      <c r="N46" s="643"/>
      <c r="P46" s="643">
        <f t="shared" si="1"/>
        <v>20000</v>
      </c>
      <c r="Q46" s="122">
        <f t="shared" si="2"/>
        <v>0</v>
      </c>
      <c r="R46" s="675">
        <f t="shared" si="0"/>
        <v>0</v>
      </c>
    </row>
    <row r="47" spans="1:19">
      <c r="A47" s="650" t="str">
        <f>'[6]Development_Budget_(detail)'!C25</f>
        <v>Market Study</v>
      </c>
      <c r="B47" s="674">
        <f>'[6]Development_Budget_(detail)'!G25</f>
        <v>20000</v>
      </c>
      <c r="C47" s="647"/>
      <c r="E47" s="643"/>
      <c r="G47" s="643"/>
      <c r="I47" s="643"/>
      <c r="K47" s="643">
        <f t="shared" ref="K47:K52" si="3">B47</f>
        <v>20000</v>
      </c>
      <c r="N47" s="643"/>
      <c r="P47" s="643">
        <f t="shared" si="1"/>
        <v>20000</v>
      </c>
      <c r="Q47" s="122">
        <f t="shared" si="2"/>
        <v>0</v>
      </c>
      <c r="R47" s="675">
        <f t="shared" si="0"/>
        <v>0</v>
      </c>
    </row>
    <row r="48" spans="1:19">
      <c r="A48" s="650" t="str">
        <f>'[6]Development_Budget_(detail)'!C26</f>
        <v>Environmental Report(s)</v>
      </c>
      <c r="B48" s="674">
        <f>'[6]Development_Budget_(detail)'!G26</f>
        <v>25000</v>
      </c>
      <c r="C48" s="673">
        <v>16208</v>
      </c>
      <c r="E48" s="643"/>
      <c r="G48" s="643"/>
      <c r="I48" s="643"/>
      <c r="K48" s="643">
        <f>B48-C48</f>
        <v>8792</v>
      </c>
      <c r="N48" s="643"/>
      <c r="P48" s="643">
        <f t="shared" si="1"/>
        <v>25000</v>
      </c>
      <c r="Q48" s="122">
        <f t="shared" si="2"/>
        <v>0</v>
      </c>
      <c r="R48" s="675"/>
    </row>
    <row r="49" spans="1:18">
      <c r="A49" s="650" t="str">
        <f>'[6]Development_Budget_(detail)'!C27</f>
        <v>Soil Borings</v>
      </c>
      <c r="B49" s="674">
        <f>'[6]Development_Budget_(detail)'!G27</f>
        <v>80000</v>
      </c>
      <c r="C49" s="673">
        <v>85688</v>
      </c>
      <c r="E49" s="643"/>
      <c r="G49" s="643"/>
      <c r="I49" s="643"/>
      <c r="K49" s="643">
        <f>B49-C49</f>
        <v>-5688</v>
      </c>
      <c r="N49" s="643"/>
      <c r="P49" s="643">
        <f t="shared" si="1"/>
        <v>80000</v>
      </c>
      <c r="Q49" s="122">
        <f t="shared" si="2"/>
        <v>0</v>
      </c>
      <c r="R49" s="675"/>
    </row>
    <row r="50" spans="1:18">
      <c r="A50" s="650" t="str">
        <f>'[6]Development_Budget_(detail)'!C28</f>
        <v>Boundary and Topographical Survey</v>
      </c>
      <c r="B50" s="674">
        <f>'[6]Development_Budget_(detail)'!G28</f>
        <v>16000</v>
      </c>
      <c r="C50" s="647"/>
      <c r="E50" s="643"/>
      <c r="G50" s="643"/>
      <c r="I50" s="643"/>
      <c r="K50" s="643">
        <f t="shared" si="3"/>
        <v>16000</v>
      </c>
      <c r="N50" s="643"/>
      <c r="P50" s="643">
        <f t="shared" si="1"/>
        <v>16000</v>
      </c>
      <c r="Q50" s="122">
        <f t="shared" si="2"/>
        <v>0</v>
      </c>
      <c r="R50" s="675"/>
    </row>
    <row r="51" spans="1:18">
      <c r="A51" s="650" t="str">
        <f>'[6]Development_Budget_(detail)'!C29</f>
        <v>Zoning/Site Plan Fees</v>
      </c>
      <c r="B51" s="674">
        <f>'[6]Development_Budget_(detail)'!G29</f>
        <v>0</v>
      </c>
      <c r="C51" s="647"/>
      <c r="E51" s="643"/>
      <c r="G51" s="643"/>
      <c r="I51" s="643"/>
      <c r="K51" s="643">
        <f t="shared" si="3"/>
        <v>0</v>
      </c>
      <c r="N51" s="643"/>
      <c r="P51" s="643">
        <f t="shared" si="1"/>
        <v>0</v>
      </c>
      <c r="Q51" s="122">
        <f t="shared" si="2"/>
        <v>0</v>
      </c>
      <c r="R51" s="675"/>
    </row>
    <row r="52" spans="1:18">
      <c r="A52" s="650" t="str">
        <f>'[6]Development_Budget_(detail)'!C32</f>
        <v>Bond Issuer Closing Fee</v>
      </c>
      <c r="B52" s="674">
        <f>'[6]Development_Budget_(detail)'!G32</f>
        <v>320000</v>
      </c>
      <c r="C52" s="647"/>
      <c r="E52" s="643"/>
      <c r="G52" s="643"/>
      <c r="I52" s="643"/>
      <c r="K52" s="643">
        <f t="shared" si="3"/>
        <v>320000</v>
      </c>
      <c r="N52" s="643"/>
      <c r="P52" s="643">
        <f t="shared" si="1"/>
        <v>320000</v>
      </c>
      <c r="Q52" s="122">
        <f t="shared" si="2"/>
        <v>0</v>
      </c>
      <c r="R52" s="675"/>
    </row>
    <row r="53" spans="1:18">
      <c r="A53" s="650" t="str">
        <f>'[6]Development_Budget_(detail)'!C33</f>
        <v>Construction Loan fee</v>
      </c>
      <c r="B53" s="674">
        <f>'[6]Development_Budget_(detail)'!G33</f>
        <v>256000</v>
      </c>
      <c r="C53" s="647"/>
      <c r="E53" s="643"/>
      <c r="G53" s="643"/>
      <c r="I53" s="643"/>
      <c r="K53" s="643">
        <v>256000</v>
      </c>
      <c r="N53" s="643"/>
      <c r="P53" s="643">
        <f t="shared" si="1"/>
        <v>256000</v>
      </c>
      <c r="Q53" s="122">
        <f t="shared" si="2"/>
        <v>0</v>
      </c>
      <c r="R53" s="675"/>
    </row>
    <row r="54" spans="1:18">
      <c r="A54" s="650" t="str">
        <f>'[6]Development_Budget_(detail)'!C34</f>
        <v xml:space="preserve">Construction Loan Interest </v>
      </c>
      <c r="B54" s="674">
        <f>'[6]Development_Budget_(detail)'!G34</f>
        <v>2925000</v>
      </c>
      <c r="C54" s="647"/>
      <c r="E54" s="643"/>
      <c r="G54" s="643"/>
      <c r="I54" s="643">
        <f>784173.15+15000+510023.18</f>
        <v>1309196.33</v>
      </c>
      <c r="K54" s="643">
        <f>2319781-I54</f>
        <v>1010584.6699999999</v>
      </c>
      <c r="N54" s="643"/>
      <c r="P54" s="643">
        <f t="shared" si="1"/>
        <v>2319781</v>
      </c>
      <c r="Q54" s="122">
        <f t="shared" si="2"/>
        <v>605219</v>
      </c>
      <c r="R54" s="675">
        <f t="shared" si="0"/>
        <v>605219</v>
      </c>
    </row>
    <row r="55" spans="1:18">
      <c r="A55" s="650" t="str">
        <f>'[6]Development_Budget_(detail)'!C35</f>
        <v>Construction Legal Fees (Lender)</v>
      </c>
      <c r="B55" s="674">
        <f>'[6]Development_Budget_(detail)'!G35</f>
        <v>47500</v>
      </c>
      <c r="C55" s="647"/>
      <c r="E55" s="643"/>
      <c r="G55" s="643"/>
      <c r="I55" s="643"/>
      <c r="K55" s="643">
        <f>B55</f>
        <v>47500</v>
      </c>
      <c r="N55" s="643"/>
      <c r="P55" s="643">
        <f t="shared" si="1"/>
        <v>47500</v>
      </c>
      <c r="Q55" s="122">
        <f t="shared" si="2"/>
        <v>0</v>
      </c>
      <c r="R55" s="675">
        <f t="shared" si="0"/>
        <v>0</v>
      </c>
    </row>
    <row r="56" spans="1:18">
      <c r="A56" s="650" t="str">
        <f>'[6]Development_Budget_(detail)'!C36</f>
        <v>Construction loan costs</v>
      </c>
      <c r="B56" s="674">
        <f>'[6]Development_Budget_(detail)'!G36</f>
        <v>9855</v>
      </c>
      <c r="C56" s="647"/>
      <c r="E56" s="643"/>
      <c r="G56" s="643"/>
      <c r="I56" s="643"/>
      <c r="K56" s="643">
        <f>B56</f>
        <v>9855</v>
      </c>
      <c r="N56" s="643"/>
      <c r="P56" s="643">
        <f t="shared" si="1"/>
        <v>9855</v>
      </c>
      <c r="Q56" s="122">
        <f t="shared" si="2"/>
        <v>0</v>
      </c>
      <c r="R56" s="675">
        <f t="shared" si="0"/>
        <v>0</v>
      </c>
    </row>
    <row r="57" spans="1:18">
      <c r="A57" s="650" t="str">
        <f>'[6]Development_Budget_(detail)'!C37</f>
        <v>Construction Insurance</v>
      </c>
      <c r="B57" s="674">
        <f>'[6]Development_Budget_(detail)'!G37</f>
        <v>50000</v>
      </c>
      <c r="C57" s="647"/>
      <c r="E57" s="643"/>
      <c r="G57" s="643">
        <v>93183.360000000001</v>
      </c>
      <c r="I57" s="643"/>
      <c r="K57" s="643">
        <f>SUM('[6]Flow of Funds'!J54:AM54)-G57</f>
        <v>-68183.360000000001</v>
      </c>
      <c r="N57" s="643"/>
      <c r="P57" s="643">
        <f t="shared" si="1"/>
        <v>25000</v>
      </c>
      <c r="Q57" s="122">
        <f t="shared" si="2"/>
        <v>25000</v>
      </c>
      <c r="R57" s="675">
        <f t="shared" si="0"/>
        <v>25000</v>
      </c>
    </row>
    <row r="58" spans="1:18">
      <c r="A58" s="650" t="str">
        <f>'[6]Development_Budget_(detail)'!C38</f>
        <v>Bond Issuer Legal</v>
      </c>
      <c r="B58" s="674">
        <f>'[6]Development_Budget_(detail)'!G38</f>
        <v>175000</v>
      </c>
      <c r="C58" s="647"/>
      <c r="E58" s="643"/>
      <c r="G58" s="643"/>
      <c r="I58" s="643"/>
      <c r="K58" s="643">
        <f>B58</f>
        <v>175000</v>
      </c>
      <c r="N58" s="643"/>
      <c r="P58" s="643">
        <f t="shared" si="1"/>
        <v>175000</v>
      </c>
      <c r="Q58" s="122">
        <f t="shared" si="2"/>
        <v>0</v>
      </c>
      <c r="R58" s="675">
        <f t="shared" si="0"/>
        <v>0</v>
      </c>
    </row>
    <row r="59" spans="1:18">
      <c r="A59" s="650" t="str">
        <f>'[6]Development_Budget_(detail)'!C44</f>
        <v>Architectural Fee-all services and reimbursables</v>
      </c>
      <c r="B59" s="674">
        <f>'[6]Development_Budget_(detail)'!G44</f>
        <v>737600</v>
      </c>
      <c r="C59" s="673">
        <f>SUM('[6]Flow of Funds'!J57:AM57)</f>
        <v>737600.00000000012</v>
      </c>
      <c r="E59" s="643"/>
      <c r="G59" s="643"/>
      <c r="I59" s="643"/>
      <c r="K59" s="643"/>
      <c r="N59" s="643"/>
      <c r="P59" s="643">
        <f t="shared" si="1"/>
        <v>737600.00000000012</v>
      </c>
      <c r="Q59" s="122">
        <f t="shared" si="2"/>
        <v>0</v>
      </c>
      <c r="R59" s="675">
        <f t="shared" si="0"/>
        <v>0</v>
      </c>
    </row>
    <row r="60" spans="1:18">
      <c r="A60" s="650" t="str">
        <f>'[6]Development_Budget_(detail)'!C45</f>
        <v>Landscape Architect</v>
      </c>
      <c r="B60" s="674">
        <f>'[6]Development_Budget_(detail)'!G45</f>
        <v>20000</v>
      </c>
      <c r="C60" s="673">
        <f>SUM('[6]Flow of Funds'!J58:AM58)</f>
        <v>20000.000000000029</v>
      </c>
      <c r="E60" s="643"/>
      <c r="G60" s="643"/>
      <c r="I60" s="643"/>
      <c r="K60" s="643"/>
      <c r="N60" s="643"/>
      <c r="P60" s="643">
        <f t="shared" si="1"/>
        <v>20000.000000000029</v>
      </c>
      <c r="Q60" s="122">
        <f t="shared" si="2"/>
        <v>-2.9103830456733704E-11</v>
      </c>
      <c r="R60" s="675">
        <f t="shared" si="0"/>
        <v>-2.9103830456733704E-11</v>
      </c>
    </row>
    <row r="61" spans="1:18">
      <c r="A61" s="650" t="str">
        <f>'[6]Development_Budget_(detail)'!C46</f>
        <v xml:space="preserve">Engineering </v>
      </c>
      <c r="B61" s="674">
        <f>'[6]Development_Budget_(detail)'!G46</f>
        <v>275000</v>
      </c>
      <c r="C61" s="673">
        <v>233348.21</v>
      </c>
      <c r="E61" s="643"/>
      <c r="G61" s="643"/>
      <c r="I61" s="643"/>
      <c r="K61" s="643">
        <v>41651.79</v>
      </c>
      <c r="N61" s="643"/>
      <c r="P61" s="643">
        <f t="shared" si="1"/>
        <v>275000</v>
      </c>
      <c r="Q61" s="122">
        <f t="shared" si="2"/>
        <v>0</v>
      </c>
      <c r="R61" s="675">
        <f t="shared" si="0"/>
        <v>0</v>
      </c>
    </row>
    <row r="62" spans="1:18">
      <c r="A62" s="650" t="str">
        <f>'[6]Development_Budget_(detail)'!C47</f>
        <v>City of Houston Legal</v>
      </c>
      <c r="B62" s="674">
        <f>'[6]Development_Budget_(detail)'!G47</f>
        <v>40000</v>
      </c>
      <c r="C62" s="647"/>
      <c r="E62" s="643"/>
      <c r="G62" s="643"/>
      <c r="I62" s="643"/>
      <c r="K62" s="643">
        <v>30000</v>
      </c>
      <c r="N62" s="643"/>
      <c r="P62" s="643">
        <f t="shared" si="1"/>
        <v>30000</v>
      </c>
      <c r="Q62" s="122">
        <f t="shared" si="2"/>
        <v>10000</v>
      </c>
      <c r="R62" s="675">
        <f t="shared" si="0"/>
        <v>10000</v>
      </c>
    </row>
    <row r="63" spans="1:18">
      <c r="A63" s="650" t="str">
        <f>'[6]Development_Budget_(detail)'!C48</f>
        <v>HHA Legal</v>
      </c>
      <c r="B63" s="674">
        <f>'[6]Development_Budget_(detail)'!G48</f>
        <v>150000</v>
      </c>
      <c r="C63" s="647"/>
      <c r="E63" s="643"/>
      <c r="G63" s="643"/>
      <c r="I63" s="643"/>
      <c r="K63" s="643">
        <v>140000</v>
      </c>
      <c r="N63" s="643"/>
      <c r="P63" s="643">
        <f t="shared" si="1"/>
        <v>140000</v>
      </c>
      <c r="Q63" s="122">
        <f t="shared" si="2"/>
        <v>10000</v>
      </c>
      <c r="R63" s="675">
        <f t="shared" si="0"/>
        <v>10000</v>
      </c>
    </row>
    <row r="64" spans="1:18">
      <c r="A64" s="650" t="str">
        <f>'[6]Development_Budget_(detail)'!C49</f>
        <v>Partnership Legal</v>
      </c>
      <c r="B64" s="674">
        <f>'[6]Development_Budget_(detail)'!G49</f>
        <v>150000</v>
      </c>
      <c r="C64" s="647"/>
      <c r="E64" s="643"/>
      <c r="G64" s="643">
        <v>50000</v>
      </c>
      <c r="I64" s="643"/>
      <c r="K64" s="643">
        <v>56200.03</v>
      </c>
      <c r="N64" s="643"/>
      <c r="P64" s="643">
        <f t="shared" si="1"/>
        <v>106200.03</v>
      </c>
      <c r="Q64" s="122">
        <f t="shared" si="2"/>
        <v>43799.97</v>
      </c>
      <c r="R64" s="675">
        <f t="shared" si="0"/>
        <v>43799.97</v>
      </c>
    </row>
    <row r="65" spans="1:18">
      <c r="A65" s="650" t="str">
        <f>'[6]Development_Budget_(detail)'!C50</f>
        <v>Accounting</v>
      </c>
      <c r="B65" s="674">
        <f>'[6]Development_Budget_(detail)'!G50</f>
        <v>200000</v>
      </c>
      <c r="C65" s="647"/>
      <c r="E65" s="643"/>
      <c r="G65" s="643"/>
      <c r="I65" s="643"/>
      <c r="K65" s="643">
        <f>SUM('[6]Flow of Funds'!J63:AM63)</f>
        <v>142500</v>
      </c>
      <c r="N65" s="643"/>
      <c r="P65" s="643">
        <f t="shared" si="1"/>
        <v>142500</v>
      </c>
      <c r="Q65" s="122">
        <f t="shared" si="2"/>
        <v>57500</v>
      </c>
      <c r="R65" s="675">
        <f t="shared" si="0"/>
        <v>57500</v>
      </c>
    </row>
    <row r="66" spans="1:18">
      <c r="A66" s="650" t="str">
        <f>'[6]Development_Budget_(detail)'!C51</f>
        <v>Green Building Certification/Registration</v>
      </c>
      <c r="B66" s="674">
        <f>'[6]Development_Budget_(detail)'!G51</f>
        <v>50000</v>
      </c>
      <c r="C66" s="673">
        <v>23000</v>
      </c>
      <c r="E66" s="643"/>
      <c r="G66" s="643"/>
      <c r="I66" s="643">
        <f>27000-15000</f>
        <v>12000</v>
      </c>
      <c r="K66" s="643">
        <v>0</v>
      </c>
      <c r="N66" s="643"/>
      <c r="P66" s="643">
        <f t="shared" si="1"/>
        <v>35000</v>
      </c>
      <c r="Q66" s="122">
        <f t="shared" si="2"/>
        <v>15000</v>
      </c>
      <c r="R66" s="675">
        <f t="shared" si="0"/>
        <v>15000</v>
      </c>
    </row>
    <row r="67" spans="1:18">
      <c r="A67" s="650" t="str">
        <f>'[6]Development_Budget_(detail)'!C52</f>
        <v>Construction Inspection Fees</v>
      </c>
      <c r="B67" s="674">
        <f>'[6]Development_Budget_(detail)'!G52</f>
        <v>47600</v>
      </c>
      <c r="C67" s="647"/>
      <c r="E67" s="643"/>
      <c r="G67" s="643">
        <f>B67</f>
        <v>47600</v>
      </c>
      <c r="I67" s="643"/>
      <c r="K67" s="643"/>
      <c r="N67" s="643"/>
      <c r="P67" s="643">
        <f t="shared" si="1"/>
        <v>47600</v>
      </c>
      <c r="Q67" s="122">
        <f t="shared" si="2"/>
        <v>0</v>
      </c>
      <c r="R67" s="675">
        <f t="shared" si="0"/>
        <v>0</v>
      </c>
    </row>
    <row r="68" spans="1:18">
      <c r="A68" s="650" t="str">
        <f>'[6]Development_Budget_(detail)'!C53</f>
        <v>Accessibility Consulting</v>
      </c>
      <c r="B68" s="674">
        <f>'[6]Development_Budget_(detail)'!G53</f>
        <v>50000</v>
      </c>
      <c r="C68" s="673">
        <v>6200</v>
      </c>
      <c r="E68" s="643"/>
      <c r="G68" s="643">
        <f>B68-C68</f>
        <v>43800</v>
      </c>
      <c r="I68" s="643"/>
      <c r="K68" s="643"/>
      <c r="N68" s="643"/>
      <c r="P68" s="643">
        <f t="shared" si="1"/>
        <v>50000</v>
      </c>
      <c r="Q68" s="122">
        <f t="shared" si="2"/>
        <v>0</v>
      </c>
      <c r="R68" s="675">
        <f t="shared" si="0"/>
        <v>0</v>
      </c>
    </row>
    <row r="69" spans="1:18">
      <c r="A69" s="650" t="str">
        <f>'[6]Development_Budget_(detail)'!C54</f>
        <v xml:space="preserve">Construction Materials Testing </v>
      </c>
      <c r="B69" s="674">
        <f>'[6]Development_Budget_(detail)'!G54</f>
        <v>0</v>
      </c>
      <c r="C69" s="647"/>
      <c r="E69" s="643"/>
      <c r="G69" s="643">
        <f>B69</f>
        <v>0</v>
      </c>
      <c r="I69" s="643"/>
      <c r="K69" s="643"/>
      <c r="N69" s="643"/>
      <c r="P69" s="643">
        <f t="shared" si="1"/>
        <v>0</v>
      </c>
      <c r="Q69" s="122">
        <f t="shared" si="2"/>
        <v>0</v>
      </c>
      <c r="R69" s="675">
        <f t="shared" si="0"/>
        <v>0</v>
      </c>
    </row>
    <row r="70" spans="1:18">
      <c r="A70" s="650" t="str">
        <f>'[6]Development_Budget_(detail)'!C57</f>
        <v>Building Permits</v>
      </c>
      <c r="B70" s="674">
        <f>'[6]Development_Budget_(detail)'!G57</f>
        <v>57400</v>
      </c>
      <c r="C70" s="673">
        <v>47935.38</v>
      </c>
      <c r="E70" s="643"/>
      <c r="G70" s="643"/>
      <c r="I70" s="643"/>
      <c r="K70" s="643">
        <v>9464.6200000000008</v>
      </c>
      <c r="N70" s="643"/>
      <c r="P70" s="643">
        <f t="shared" si="1"/>
        <v>57400</v>
      </c>
      <c r="Q70" s="122">
        <f t="shared" si="2"/>
        <v>0</v>
      </c>
      <c r="R70" s="675">
        <f t="shared" si="0"/>
        <v>0</v>
      </c>
    </row>
    <row r="71" spans="1:18">
      <c r="A71" s="650" t="str">
        <f>'[6]Development_Budget_(detail)'!C58</f>
        <v xml:space="preserve">Impact Fees </v>
      </c>
      <c r="B71" s="674">
        <f>'[6]Development_Budget_(detail)'!G58</f>
        <v>152000</v>
      </c>
      <c r="C71" s="647"/>
      <c r="E71" s="643"/>
      <c r="G71" s="643"/>
      <c r="I71" s="643"/>
      <c r="K71" s="643">
        <f>B71</f>
        <v>152000</v>
      </c>
      <c r="N71" s="643"/>
      <c r="P71" s="643">
        <f t="shared" si="1"/>
        <v>152000</v>
      </c>
      <c r="Q71" s="122">
        <f t="shared" si="2"/>
        <v>0</v>
      </c>
      <c r="R71" s="675">
        <f t="shared" si="0"/>
        <v>0</v>
      </c>
    </row>
    <row r="72" spans="1:18">
      <c r="A72" s="650" t="str">
        <f>'[6]Development_Budget_(detail)'!C59</f>
        <v>Plan Review</v>
      </c>
      <c r="B72" s="674">
        <f>'[6]Development_Budget_(detail)'!G59</f>
        <v>15250</v>
      </c>
      <c r="C72" s="647"/>
      <c r="E72" s="643"/>
      <c r="G72" s="643"/>
      <c r="I72" s="643"/>
      <c r="K72" s="643">
        <f>B72</f>
        <v>15250</v>
      </c>
      <c r="N72" s="643"/>
      <c r="P72" s="643">
        <f t="shared" si="1"/>
        <v>15250</v>
      </c>
      <c r="Q72" s="122">
        <f t="shared" si="2"/>
        <v>0</v>
      </c>
      <c r="R72" s="675">
        <f t="shared" si="0"/>
        <v>0</v>
      </c>
    </row>
    <row r="73" spans="1:18">
      <c r="A73" s="650" t="str">
        <f>'[6]Development_Budget_(detail)'!C60</f>
        <v>Other Local fees</v>
      </c>
      <c r="B73" s="674">
        <f>'[6]Development_Budget_(detail)'!G60</f>
        <v>50000</v>
      </c>
      <c r="C73" s="647"/>
      <c r="E73" s="643"/>
      <c r="G73" s="643"/>
      <c r="I73" s="643"/>
      <c r="K73" s="643">
        <v>50000</v>
      </c>
      <c r="N73" s="643"/>
      <c r="P73" s="643">
        <f t="shared" si="1"/>
        <v>50000</v>
      </c>
      <c r="Q73" s="122">
        <f t="shared" si="2"/>
        <v>0</v>
      </c>
      <c r="R73" s="675">
        <f t="shared" si="0"/>
        <v>0</v>
      </c>
    </row>
    <row r="74" spans="1:18">
      <c r="A74" s="650" t="str">
        <f>'[6]Development_Budget_(detail)'!C63</f>
        <v>Permanent Loan Fees</v>
      </c>
      <c r="B74" s="674">
        <f>'[6]Development_Budget_(detail)'!G63</f>
        <v>128700</v>
      </c>
      <c r="C74" s="647"/>
      <c r="E74" s="643"/>
      <c r="G74" s="643"/>
      <c r="I74" s="643"/>
      <c r="K74" s="643">
        <v>112000</v>
      </c>
      <c r="N74" s="643"/>
      <c r="P74" s="643">
        <f t="shared" si="1"/>
        <v>112000</v>
      </c>
      <c r="Q74" s="122">
        <f t="shared" si="2"/>
        <v>16700</v>
      </c>
      <c r="R74" s="675">
        <f t="shared" si="0"/>
        <v>16700</v>
      </c>
    </row>
    <row r="75" spans="1:18">
      <c r="A75" s="650" t="str">
        <f>'[6]Development_Budget_(detail)'!C64</f>
        <v>Permanent Loan Legal Fees</v>
      </c>
      <c r="B75" s="674">
        <f>'[6]Development_Budget_(detail)'!G64</f>
        <v>50000</v>
      </c>
      <c r="C75" s="647"/>
      <c r="E75" s="643"/>
      <c r="G75" s="643"/>
      <c r="I75" s="643"/>
      <c r="K75" s="643">
        <v>30000</v>
      </c>
      <c r="N75" s="643"/>
      <c r="P75" s="643">
        <f t="shared" si="1"/>
        <v>30000</v>
      </c>
      <c r="Q75" s="122">
        <f t="shared" si="2"/>
        <v>20000</v>
      </c>
      <c r="R75" s="675">
        <f t="shared" si="0"/>
        <v>20000</v>
      </c>
    </row>
    <row r="76" spans="1:18">
      <c r="A76" s="650" t="str">
        <f>'[6]Development_Budget_(detail)'!C65</f>
        <v>Title and Recording Fees</v>
      </c>
      <c r="B76" s="674">
        <f>'[6]Development_Budget_(detail)'!G65</f>
        <v>212056</v>
      </c>
      <c r="C76" s="673">
        <v>190492.4</v>
      </c>
      <c r="E76" s="643"/>
      <c r="G76" s="643"/>
      <c r="I76" s="643"/>
      <c r="K76" s="643">
        <v>0</v>
      </c>
      <c r="N76" s="643"/>
      <c r="P76" s="643">
        <f t="shared" si="1"/>
        <v>190492.4</v>
      </c>
      <c r="Q76" s="122">
        <f t="shared" si="2"/>
        <v>21563.600000000006</v>
      </c>
      <c r="R76" s="676">
        <f t="shared" si="0"/>
        <v>21563.600000000006</v>
      </c>
    </row>
    <row r="77" spans="1:18">
      <c r="A77" s="650" t="str">
        <f>'[6]Development_Budget_(detail)'!C66</f>
        <v>As-Built Survey</v>
      </c>
      <c r="B77" s="674">
        <f>'[6]Development_Budget_(detail)'!G66</f>
        <v>5000</v>
      </c>
      <c r="C77" s="647"/>
      <c r="E77" s="643"/>
      <c r="G77" s="643"/>
      <c r="I77" s="643"/>
      <c r="K77" s="643">
        <v>0</v>
      </c>
      <c r="N77" s="643"/>
      <c r="P77" s="643">
        <f t="shared" si="1"/>
        <v>0</v>
      </c>
      <c r="Q77" s="122">
        <f t="shared" si="2"/>
        <v>5000</v>
      </c>
      <c r="R77" s="676"/>
    </row>
    <row r="78" spans="1:18">
      <c r="A78" s="650" t="str">
        <f>'[6]Development_Budget_(detail)'!C67</f>
        <v>Conversion Fee</v>
      </c>
      <c r="B78" s="674">
        <f>'[6]Development_Budget_(detail)'!G67</f>
        <v>10000</v>
      </c>
      <c r="C78" s="647"/>
      <c r="E78" s="643"/>
      <c r="G78" s="643"/>
      <c r="I78" s="643">
        <v>10000</v>
      </c>
      <c r="K78" s="643">
        <v>0</v>
      </c>
      <c r="N78" s="643"/>
      <c r="P78" s="643">
        <f t="shared" si="1"/>
        <v>10000</v>
      </c>
      <c r="Q78" s="122">
        <f t="shared" si="2"/>
        <v>0</v>
      </c>
      <c r="R78" s="675">
        <f t="shared" si="0"/>
        <v>0</v>
      </c>
    </row>
    <row r="79" spans="1:18">
      <c r="A79" s="650" t="str">
        <f>'[6]Development_Budget_(detail)'!C71</f>
        <v>TDHCA Application Fees</v>
      </c>
      <c r="B79" s="674">
        <f>'[6]Development_Budget_(detail)'!G71</f>
        <v>5910</v>
      </c>
      <c r="C79" s="647"/>
      <c r="E79" s="643"/>
      <c r="G79" s="643"/>
      <c r="I79" s="643"/>
      <c r="K79" s="643">
        <f>B79</f>
        <v>5910</v>
      </c>
      <c r="N79" s="643"/>
      <c r="P79" s="643">
        <f t="shared" si="1"/>
        <v>5910</v>
      </c>
      <c r="Q79" s="122">
        <f t="shared" si="2"/>
        <v>0</v>
      </c>
      <c r="R79" s="675">
        <f t="shared" si="0"/>
        <v>0</v>
      </c>
    </row>
    <row r="80" spans="1:18">
      <c r="A80" s="650" t="str">
        <f>'[6]Development_Budget_(detail)'!C72</f>
        <v>TDHCA Commitment Fee</v>
      </c>
      <c r="B80" s="674">
        <f>'[6]Development_Budget_(detail)'!G72</f>
        <v>77750</v>
      </c>
      <c r="C80" s="647"/>
      <c r="E80" s="643"/>
      <c r="G80" s="643"/>
      <c r="I80" s="643"/>
      <c r="K80" s="643">
        <f>B80</f>
        <v>77750</v>
      </c>
      <c r="N80" s="643"/>
      <c r="P80" s="643">
        <f t="shared" si="1"/>
        <v>77750</v>
      </c>
      <c r="Q80" s="122">
        <f t="shared" si="2"/>
        <v>0</v>
      </c>
      <c r="R80" s="675">
        <f t="shared" si="0"/>
        <v>0</v>
      </c>
    </row>
    <row r="81" spans="1:18">
      <c r="A81" s="650" t="str">
        <f>'[6]Development_Budget_(detail)'!C73</f>
        <v>Bond Development Determination Fee</v>
      </c>
      <c r="B81" s="674">
        <f>'[6]Development_Budget_(detail)'!G73</f>
        <v>82974</v>
      </c>
      <c r="C81" s="647"/>
      <c r="E81" s="643"/>
      <c r="G81" s="643"/>
      <c r="I81" s="643"/>
      <c r="K81" s="643">
        <f>B81</f>
        <v>82974</v>
      </c>
      <c r="N81" s="643"/>
      <c r="P81" s="643">
        <f t="shared" si="1"/>
        <v>82974</v>
      </c>
      <c r="Q81" s="122">
        <f t="shared" si="2"/>
        <v>0</v>
      </c>
      <c r="R81" s="675">
        <f t="shared" si="0"/>
        <v>0</v>
      </c>
    </row>
    <row r="82" spans="1:18">
      <c r="A82" s="650" t="str">
        <f>'[6]Development_Budget_(detail)'!C74</f>
        <v>LIHTC Allocation Processing Fee</v>
      </c>
      <c r="B82" s="674">
        <f>'[6]Development_Budget_(detail)'!G74</f>
        <v>50000</v>
      </c>
      <c r="C82" s="647"/>
      <c r="E82" s="643"/>
      <c r="G82" s="643"/>
      <c r="I82" s="643"/>
      <c r="K82" s="643">
        <f>B82</f>
        <v>50000</v>
      </c>
      <c r="N82" s="643"/>
      <c r="P82" s="643">
        <f t="shared" si="1"/>
        <v>50000</v>
      </c>
      <c r="Q82" s="122">
        <f t="shared" si="2"/>
        <v>0</v>
      </c>
      <c r="R82" s="675">
        <f t="shared" si="0"/>
        <v>0</v>
      </c>
    </row>
    <row r="83" spans="1:18">
      <c r="A83" s="650" t="str">
        <f>'[6]Development_Budget_(detail)'!C75</f>
        <v>LIHTC Complaince Monitoring Fee</v>
      </c>
      <c r="B83" s="674">
        <f>'[6]Development_Budget_(detail)'!G75</f>
        <v>6360</v>
      </c>
      <c r="C83" s="647"/>
      <c r="E83" s="643"/>
      <c r="G83" s="643"/>
      <c r="I83" s="643"/>
      <c r="K83" s="643">
        <v>0</v>
      </c>
      <c r="N83" s="643"/>
      <c r="P83" s="643">
        <f t="shared" si="1"/>
        <v>0</v>
      </c>
      <c r="Q83" s="122">
        <f t="shared" si="2"/>
        <v>6360</v>
      </c>
      <c r="R83" s="675">
        <f t="shared" si="0"/>
        <v>6360</v>
      </c>
    </row>
    <row r="84" spans="1:18">
      <c r="A84" s="650" t="str">
        <f>'[6]Development_Budget_(detail)'!C78</f>
        <v>Partnership Organization Fees</v>
      </c>
      <c r="B84" s="674">
        <f>'[6]Development_Budget_(detail)'!G78</f>
        <v>0</v>
      </c>
      <c r="C84" s="647"/>
      <c r="E84" s="643"/>
      <c r="G84" s="643"/>
      <c r="I84" s="643"/>
      <c r="K84" s="643">
        <v>0</v>
      </c>
      <c r="N84" s="643"/>
      <c r="P84" s="643">
        <f t="shared" si="1"/>
        <v>0</v>
      </c>
      <c r="Q84" s="122">
        <f t="shared" si="2"/>
        <v>0</v>
      </c>
      <c r="R84" s="675">
        <f t="shared" si="0"/>
        <v>0</v>
      </c>
    </row>
    <row r="85" spans="1:18">
      <c r="A85" s="650" t="str">
        <f>'[6]Development_Budget_(detail)'!C79</f>
        <v>Tax Credit Legal Opinion</v>
      </c>
      <c r="B85" s="674">
        <f>'[6]Development_Budget_(detail)'!G79</f>
        <v>0</v>
      </c>
      <c r="C85" s="647"/>
      <c r="E85" s="643"/>
      <c r="G85" s="643"/>
      <c r="I85" s="643"/>
      <c r="K85" s="643">
        <v>0</v>
      </c>
      <c r="N85" s="643"/>
      <c r="P85" s="643">
        <f t="shared" si="1"/>
        <v>0</v>
      </c>
      <c r="Q85" s="122">
        <f t="shared" si="2"/>
        <v>0</v>
      </c>
      <c r="R85" s="675">
        <f t="shared" si="0"/>
        <v>0</v>
      </c>
    </row>
    <row r="86" spans="1:18">
      <c r="A86" s="650" t="str">
        <f>'[6]Development_Budget_(detail)'!C80</f>
        <v>Syndicator Legal Fees</v>
      </c>
      <c r="B86" s="674">
        <f>'[6]Development_Budget_(detail)'!G80</f>
        <v>0</v>
      </c>
      <c r="C86" s="647"/>
      <c r="E86" s="643"/>
      <c r="G86" s="643"/>
      <c r="I86" s="643"/>
      <c r="K86" s="643">
        <f>SUM('[6]Flow of Funds'!J84:AM84)</f>
        <v>0</v>
      </c>
      <c r="N86" s="643"/>
      <c r="P86" s="643">
        <f t="shared" si="1"/>
        <v>0</v>
      </c>
      <c r="Q86" s="122">
        <f t="shared" si="2"/>
        <v>0</v>
      </c>
      <c r="R86" s="675">
        <f t="shared" si="0"/>
        <v>0</v>
      </c>
    </row>
    <row r="87" spans="1:18">
      <c r="A87" s="650" t="str">
        <f>'[6]Development_Budget_(detail)'!C81</f>
        <v>Syndicator Due Diligence Fee</v>
      </c>
      <c r="B87" s="674">
        <f>'[6]Development_Budget_(detail)'!G81</f>
        <v>55000</v>
      </c>
      <c r="C87" s="647"/>
      <c r="E87" s="643"/>
      <c r="G87" s="643"/>
      <c r="I87" s="643"/>
      <c r="K87" s="643">
        <v>55000</v>
      </c>
      <c r="N87" s="643"/>
      <c r="P87" s="643">
        <f t="shared" si="1"/>
        <v>55000</v>
      </c>
      <c r="Q87" s="122">
        <f t="shared" si="2"/>
        <v>0</v>
      </c>
      <c r="R87" s="675">
        <f t="shared" si="0"/>
        <v>0</v>
      </c>
    </row>
    <row r="88" spans="1:18">
      <c r="A88" s="650" t="str">
        <f>'[6]Development_Budget_(detail)'!C84</f>
        <v>Marketing</v>
      </c>
      <c r="B88" s="674">
        <f>'[6]Development_Budget_(detail)'!G84</f>
        <v>75000</v>
      </c>
      <c r="C88" s="647"/>
      <c r="E88" s="643"/>
      <c r="G88" s="643"/>
      <c r="I88" s="643"/>
      <c r="K88" s="643">
        <f>SUM('[6]Flow of Funds'!J86:AM86)</f>
        <v>0</v>
      </c>
      <c r="N88" s="643"/>
      <c r="P88" s="643">
        <f t="shared" si="1"/>
        <v>0</v>
      </c>
      <c r="Q88" s="122">
        <f t="shared" si="2"/>
        <v>75000</v>
      </c>
      <c r="R88" s="676">
        <f t="shared" si="0"/>
        <v>75000</v>
      </c>
    </row>
    <row r="89" spans="1:18">
      <c r="A89" s="650" t="str">
        <f>'[6]Development_Budget_(detail)'!C85</f>
        <v>Rent -Up Reserves (3mos exp)</v>
      </c>
      <c r="B89" s="674">
        <f>'[6]Development_Budget_(detail)'!G85</f>
        <v>565804</v>
      </c>
      <c r="C89" s="647"/>
      <c r="E89" s="643"/>
      <c r="G89" s="643"/>
      <c r="I89" s="643"/>
      <c r="K89" s="643">
        <v>198031</v>
      </c>
      <c r="N89" s="643"/>
      <c r="P89" s="643">
        <f t="shared" si="1"/>
        <v>198031</v>
      </c>
      <c r="Q89" s="122">
        <f t="shared" si="2"/>
        <v>367773</v>
      </c>
      <c r="R89" s="675">
        <f t="shared" si="0"/>
        <v>367773</v>
      </c>
    </row>
    <row r="90" spans="1:18">
      <c r="A90" s="650" t="str">
        <f>'[6]Development_Budget_(detail)'!C86</f>
        <v>Operating Deficit Reserve</v>
      </c>
      <c r="B90" s="674">
        <f>'[6]Development_Budget_(detail)'!G86</f>
        <v>921000</v>
      </c>
      <c r="C90" s="647"/>
      <c r="E90" s="643"/>
      <c r="G90" s="643"/>
      <c r="I90" s="643">
        <v>0</v>
      </c>
      <c r="K90" s="643">
        <f>SUM('[6]Flow of Funds'!J88:AM88)</f>
        <v>0</v>
      </c>
      <c r="N90" s="643"/>
      <c r="P90" s="643">
        <f t="shared" si="1"/>
        <v>0</v>
      </c>
      <c r="Q90" s="122">
        <f t="shared" si="2"/>
        <v>921000</v>
      </c>
      <c r="R90" s="59">
        <f t="shared" si="0"/>
        <v>921000</v>
      </c>
    </row>
    <row r="91" spans="1:18">
      <c r="A91" s="650" t="str">
        <f>'[6]Development_Budget_(detail)'!C87</f>
        <v>Replacement Reserve</v>
      </c>
      <c r="B91" s="674">
        <f>'[6]Development_Budget_(detail)'!G87</f>
        <v>59100</v>
      </c>
      <c r="C91" s="647"/>
      <c r="E91" s="643"/>
      <c r="G91" s="643"/>
      <c r="I91" s="643">
        <v>0</v>
      </c>
      <c r="K91" s="643">
        <f>SUM('[6]Flow of Funds'!J89:AM89)</f>
        <v>55000</v>
      </c>
      <c r="N91" s="643"/>
      <c r="P91" s="643">
        <f t="shared" si="1"/>
        <v>55000</v>
      </c>
      <c r="Q91" s="122">
        <f t="shared" si="2"/>
        <v>4100</v>
      </c>
      <c r="R91" s="59">
        <f t="shared" si="0"/>
        <v>4100</v>
      </c>
    </row>
    <row r="92" spans="1:18">
      <c r="A92" s="650" t="str">
        <f>'[6]Development_Budget_(detail)'!C88</f>
        <v>Furniture, Fixtures and Equipment</v>
      </c>
      <c r="B92" s="674">
        <f>'[6]Development_Budget_(detail)'!G88</f>
        <v>500000</v>
      </c>
      <c r="C92" s="673">
        <v>8000</v>
      </c>
      <c r="E92" s="643"/>
      <c r="G92" s="643">
        <f>SUM('[6]Flow of Funds'!J95:AM95)-C92</f>
        <v>492000</v>
      </c>
      <c r="I92" s="643"/>
      <c r="K92" s="643"/>
      <c r="N92" s="643"/>
      <c r="P92" s="643">
        <f t="shared" si="1"/>
        <v>500000</v>
      </c>
      <c r="Q92" s="122">
        <f t="shared" si="2"/>
        <v>0</v>
      </c>
      <c r="R92" s="59"/>
    </row>
    <row r="93" spans="1:18" ht="14.25" customHeight="1">
      <c r="A93" s="650" t="str">
        <f>'[6]Development_Budget_(detail)'!C91</f>
        <v>Relocation</v>
      </c>
      <c r="B93" s="674">
        <f>'[6]Development_Budget_(detail)'!G91</f>
        <v>0</v>
      </c>
      <c r="C93" s="647"/>
      <c r="E93" s="643"/>
      <c r="G93" s="643"/>
      <c r="I93" s="643"/>
      <c r="K93" s="643"/>
      <c r="N93" s="643"/>
      <c r="P93" s="643">
        <f t="shared" si="1"/>
        <v>0</v>
      </c>
      <c r="Q93" s="122">
        <f t="shared" si="2"/>
        <v>0</v>
      </c>
      <c r="R93" s="59">
        <f>B93-P93</f>
        <v>0</v>
      </c>
    </row>
    <row r="94" spans="1:18">
      <c r="A94" s="650" t="str">
        <f>'[6]Development_Budget_(detail)'!C92</f>
        <v>Soft cost contingecy</v>
      </c>
      <c r="B94" s="674">
        <f>'[6]Development_Budget_(detail)'!G92</f>
        <v>97146</v>
      </c>
      <c r="C94" s="647"/>
      <c r="E94" s="643"/>
      <c r="G94" s="643"/>
      <c r="I94" s="643">
        <v>75000</v>
      </c>
      <c r="K94" s="643">
        <v>0</v>
      </c>
      <c r="N94" s="643"/>
      <c r="P94" s="643">
        <f>SUM(C94:O94)</f>
        <v>75000</v>
      </c>
      <c r="Q94" s="122">
        <f>B94-P94</f>
        <v>22146</v>
      </c>
      <c r="R94" s="59">
        <f>B94-P94</f>
        <v>22146</v>
      </c>
    </row>
    <row r="95" spans="1:18">
      <c r="A95" s="399" t="s">
        <v>459</v>
      </c>
      <c r="B95" s="643">
        <f>'[6]Development_Budget_(detail)'!G99*0.2</f>
        <v>1360000</v>
      </c>
      <c r="C95" s="673">
        <v>303796.78000000003</v>
      </c>
      <c r="E95" s="643"/>
      <c r="G95" s="643">
        <f>115193.5+15256.4</f>
        <v>130449.9</v>
      </c>
      <c r="I95" s="643">
        <v>875212.32</v>
      </c>
      <c r="K95" s="643">
        <v>50541</v>
      </c>
      <c r="N95" s="643"/>
      <c r="P95" s="643">
        <f>SUM(C95:O95)</f>
        <v>1360000</v>
      </c>
      <c r="Q95" s="122">
        <f>B95-P95</f>
        <v>0</v>
      </c>
      <c r="R95" s="59">
        <f>B95-P95</f>
        <v>0</v>
      </c>
    </row>
    <row r="96" spans="1:18">
      <c r="A96" s="399" t="s">
        <v>114</v>
      </c>
      <c r="B96" s="643">
        <f>'[6]Development_Budget_(detail)'!G99-'[6]Construction Sources &amp; Uses'!B95</f>
        <v>5440000</v>
      </c>
      <c r="C96" s="647"/>
      <c r="E96" s="643"/>
      <c r="G96" s="643">
        <f>'[6]Flow of Funds'!AM100-15256.4</f>
        <v>1366215.6</v>
      </c>
      <c r="I96" s="643"/>
      <c r="K96" s="643"/>
      <c r="N96" s="643"/>
      <c r="P96" s="643">
        <f>SUM(C96:O96)</f>
        <v>1366215.6</v>
      </c>
      <c r="Q96" s="122">
        <f>B96-P96</f>
        <v>4073784.4</v>
      </c>
      <c r="R96" s="677">
        <f>B96-P96</f>
        <v>4073784.4</v>
      </c>
    </row>
    <row r="97" spans="1:18" ht="9" customHeight="1">
      <c r="A97" s="399"/>
      <c r="B97" s="643"/>
      <c r="C97" s="647"/>
      <c r="E97" s="643"/>
      <c r="G97" s="643"/>
      <c r="I97" s="643"/>
      <c r="K97" s="643"/>
      <c r="N97" s="643"/>
      <c r="P97" s="643"/>
      <c r="Q97" s="122">
        <f>B97-P97</f>
        <v>0</v>
      </c>
    </row>
    <row r="98" spans="1:18">
      <c r="A98" s="678" t="s">
        <v>460</v>
      </c>
      <c r="B98" s="679">
        <f>SUM(B21:B97)</f>
        <v>62000656.600000001</v>
      </c>
      <c r="C98" s="660">
        <f>SUM(C21:C97)</f>
        <v>31990000</v>
      </c>
      <c r="D98" s="680"/>
      <c r="E98" s="662">
        <f>SUM(E21:E97)</f>
        <v>0</v>
      </c>
      <c r="F98" s="680"/>
      <c r="G98" s="662">
        <f>SUM(G21:G97)</f>
        <v>15524498.879999999</v>
      </c>
      <c r="H98" s="662">
        <f>SUM(H22:H96)</f>
        <v>0</v>
      </c>
      <c r="I98" s="662">
        <f>SUM(I17:I97)</f>
        <v>5092079</v>
      </c>
      <c r="J98" s="662"/>
      <c r="K98" s="662">
        <f>SUM(K17:K97)</f>
        <v>3164132.75</v>
      </c>
      <c r="L98" s="662">
        <f>SUM(L22:L96)</f>
        <v>0</v>
      </c>
      <c r="M98" s="662">
        <f>SUM(M22:M96)</f>
        <v>0</v>
      </c>
      <c r="N98" s="662">
        <f>SUM(N21:N97)</f>
        <v>0</v>
      </c>
      <c r="O98" s="662">
        <f>SUM(O22:O96)</f>
        <v>0</v>
      </c>
      <c r="P98" s="662">
        <f>SUM(P21:P97)</f>
        <v>55770710.630000003</v>
      </c>
      <c r="Q98" s="122">
        <f>B98-P98</f>
        <v>6229945.9699999988</v>
      </c>
      <c r="R98" s="681">
        <f>SUM(R21:R97)</f>
        <v>6224945.9699999997</v>
      </c>
    </row>
    <row r="99" spans="1:18">
      <c r="A99" s="682"/>
      <c r="B99" s="683">
        <f>B98-'[6]Development_Budget_(detail)'!G96</f>
        <v>-44083.329999998212</v>
      </c>
      <c r="C99" s="627">
        <f t="shared" ref="C99:I99" si="4">C16-C98</f>
        <v>10000</v>
      </c>
      <c r="D99" s="627">
        <f t="shared" si="4"/>
        <v>0</v>
      </c>
      <c r="E99" s="627">
        <f t="shared" si="4"/>
        <v>0</v>
      </c>
      <c r="F99" s="627">
        <f t="shared" si="4"/>
        <v>0</v>
      </c>
      <c r="G99" s="627">
        <f t="shared" si="4"/>
        <v>44304</v>
      </c>
      <c r="H99" s="627">
        <f t="shared" si="4"/>
        <v>0</v>
      </c>
      <c r="I99" s="627">
        <f t="shared" si="4"/>
        <v>0</v>
      </c>
      <c r="K99" s="627">
        <f t="shared" ref="K99:P99" si="5">K16-K98</f>
        <v>412358.25</v>
      </c>
      <c r="L99" s="627">
        <f t="shared" si="5"/>
        <v>0</v>
      </c>
      <c r="M99" s="627">
        <f t="shared" si="5"/>
        <v>0</v>
      </c>
      <c r="N99" s="627">
        <f t="shared" si="5"/>
        <v>0</v>
      </c>
      <c r="O99" s="627">
        <f t="shared" si="5"/>
        <v>0</v>
      </c>
      <c r="P99" s="627">
        <f t="shared" si="5"/>
        <v>466662.25</v>
      </c>
      <c r="R99" s="1"/>
    </row>
    <row r="100" spans="1:18">
      <c r="B100" s="684"/>
      <c r="P100" s="5" t="s">
        <v>461</v>
      </c>
    </row>
    <row r="101" spans="1:18" ht="17" thickBot="1">
      <c r="A101" s="685" t="s">
        <v>182</v>
      </c>
      <c r="B101" s="686">
        <f>B98-B100</f>
        <v>62000656.600000001</v>
      </c>
      <c r="C101" s="687" t="s">
        <v>462</v>
      </c>
      <c r="D101" s="688"/>
      <c r="E101" s="687" t="s">
        <v>463</v>
      </c>
    </row>
    <row r="102" spans="1:18" ht="16" thickBot="1">
      <c r="I102" s="689" t="s">
        <v>464</v>
      </c>
      <c r="J102" s="690"/>
      <c r="K102" s="691">
        <f>C98/B98</f>
        <v>0.51596227772852332</v>
      </c>
    </row>
    <row r="103" spans="1:18">
      <c r="A103" t="s">
        <v>465</v>
      </c>
      <c r="C103" s="684">
        <f>'[6]Credit Delivery &amp; Pay-Ins'!M15</f>
        <v>2846768</v>
      </c>
      <c r="E103" s="692">
        <v>44378</v>
      </c>
    </row>
    <row r="104" spans="1:18">
      <c r="A104" t="s">
        <v>466</v>
      </c>
      <c r="C104" s="684">
        <f>'[6]Credit Delivery &amp; Pay-Ins'!M44</f>
        <v>9738021</v>
      </c>
      <c r="E104" s="692">
        <v>45261</v>
      </c>
      <c r="K104" s="627" t="s">
        <v>467</v>
      </c>
    </row>
    <row r="105" spans="1:18">
      <c r="A105" t="s">
        <v>468</v>
      </c>
      <c r="C105" s="684">
        <f>'[6]Credit Delivery &amp; Pay-Ins'!M59</f>
        <v>5711793</v>
      </c>
      <c r="E105" s="692">
        <v>45717</v>
      </c>
    </row>
    <row r="106" spans="1:18">
      <c r="A106" t="s">
        <v>469</v>
      </c>
      <c r="C106" s="684">
        <f>'[6]Credit Delivery &amp; Pay-Ins'!M62</f>
        <v>276294</v>
      </c>
      <c r="E106" s="692">
        <v>45809</v>
      </c>
    </row>
    <row r="107" spans="1:18" hidden="1">
      <c r="A107" t="s">
        <v>470</v>
      </c>
      <c r="C107" s="684">
        <v>0</v>
      </c>
      <c r="E107" s="692"/>
    </row>
    <row r="108" spans="1:18">
      <c r="C108" s="684"/>
      <c r="E108" s="692"/>
    </row>
    <row r="109" spans="1:18" ht="16">
      <c r="A109" s="693" t="s">
        <v>277</v>
      </c>
      <c r="B109" s="694"/>
      <c r="C109" s="695">
        <f>SUM(C103:C108)</f>
        <v>18572876</v>
      </c>
    </row>
    <row r="111" spans="1:18" ht="16">
      <c r="A111" s="685" t="s">
        <v>471</v>
      </c>
      <c r="B111" s="687"/>
      <c r="C111" s="687" t="s">
        <v>462</v>
      </c>
      <c r="D111" s="696"/>
      <c r="E111" s="687" t="s">
        <v>463</v>
      </c>
    </row>
    <row r="113" spans="1:5">
      <c r="A113" t="s">
        <v>472</v>
      </c>
      <c r="B113" s="697">
        <v>0.25</v>
      </c>
      <c r="C113" s="684">
        <f>'[6]Flow of Funds'!J99+'[6]Flow of Funds'!J100</f>
        <v>1381473</v>
      </c>
      <c r="E113" s="692">
        <f>E103</f>
        <v>44378</v>
      </c>
    </row>
    <row r="114" spans="1:5">
      <c r="A114" t="s">
        <v>473</v>
      </c>
      <c r="B114" s="697">
        <v>0.25</v>
      </c>
      <c r="C114" s="684">
        <f>'[6]Flow of Funds'!AM99+'[6]Flow of Funds'!AM100</f>
        <v>1381472</v>
      </c>
      <c r="E114" s="692">
        <f>E104</f>
        <v>45261</v>
      </c>
    </row>
    <row r="115" spans="1:5">
      <c r="A115" t="s">
        <v>474</v>
      </c>
      <c r="B115" s="697">
        <v>0.45</v>
      </c>
      <c r="C115" s="684">
        <f>'[6]Flow of Funds'!BB100</f>
        <v>2486650</v>
      </c>
      <c r="E115" s="692">
        <f>E105</f>
        <v>45717</v>
      </c>
    </row>
    <row r="116" spans="1:5" ht="18">
      <c r="A116" t="s">
        <v>475</v>
      </c>
      <c r="B116" s="697">
        <v>0.05</v>
      </c>
      <c r="C116" s="698">
        <f>'[6]Flow of Funds'!BE100</f>
        <v>276294</v>
      </c>
      <c r="E116" s="692">
        <f>E106</f>
        <v>45809</v>
      </c>
    </row>
    <row r="117" spans="1:5" hidden="1">
      <c r="A117" t="s">
        <v>470</v>
      </c>
      <c r="C117" s="684">
        <v>0</v>
      </c>
      <c r="E117" s="692"/>
    </row>
    <row r="118" spans="1:5">
      <c r="A118" s="699" t="s">
        <v>476</v>
      </c>
      <c r="B118" s="700"/>
      <c r="C118" s="701">
        <f>SUM(C113:C117)</f>
        <v>5525889</v>
      </c>
      <c r="E118" s="692"/>
    </row>
    <row r="119" spans="1:5" ht="5.25" customHeight="1">
      <c r="A119" s="702"/>
      <c r="B119" s="703"/>
      <c r="C119" s="701"/>
    </row>
    <row r="120" spans="1:5">
      <c r="A120" t="s">
        <v>423</v>
      </c>
      <c r="C120" s="684">
        <f>'[6]Flow of Funds'!C109</f>
        <v>1274111</v>
      </c>
    </row>
    <row r="121" spans="1:5" ht="17" thickBot="1">
      <c r="A121" s="693" t="s">
        <v>477</v>
      </c>
      <c r="B121" s="694"/>
      <c r="C121" s="704">
        <f>SUM(C118:C120)</f>
        <v>6800000</v>
      </c>
    </row>
    <row r="122" spans="1:5" ht="16" thickTop="1"/>
    <row r="125" spans="1:5" ht="16">
      <c r="C125" s="630"/>
    </row>
    <row r="126" spans="1:5" ht="16">
      <c r="C126" s="63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64</vt:i4>
      </vt:variant>
    </vt:vector>
  </HeadingPairs>
  <TitlesOfParts>
    <vt:vector size="77" baseType="lpstr">
      <vt:lpstr>Inputs</vt:lpstr>
      <vt:lpstr>Summary Sources-Uses</vt:lpstr>
      <vt:lpstr>Development Budget</vt:lpstr>
      <vt:lpstr>Rent Schedule</vt:lpstr>
      <vt:lpstr>Operating Expense</vt:lpstr>
      <vt:lpstr>20yr Proforma</vt:lpstr>
      <vt:lpstr>Credit Delivery &amp; Pay-Ins</vt:lpstr>
      <vt:lpstr>Flow of Funds</vt:lpstr>
      <vt:lpstr>Developer Fee Schedule</vt:lpstr>
      <vt:lpstr>50% Test</vt:lpstr>
      <vt:lpstr>Income (2)</vt:lpstr>
      <vt:lpstr>Income</vt:lpstr>
      <vt:lpstr>Construction Sources-Uses</vt:lpstr>
      <vt:lpstr>AddRevY1</vt:lpstr>
      <vt:lpstr>ApplFrac</vt:lpstr>
      <vt:lpstr>'Income (2)'!AvgIncome</vt:lpstr>
      <vt:lpstr>AvgIncome</vt:lpstr>
      <vt:lpstr>ConstDur</vt:lpstr>
      <vt:lpstr>Conting</vt:lpstr>
      <vt:lpstr>'Income (2)'!CountyAMI</vt:lpstr>
      <vt:lpstr>CountyAMI</vt:lpstr>
      <vt:lpstr>DateModel</vt:lpstr>
      <vt:lpstr>'Development Budget'!DEVCOSTS</vt:lpstr>
      <vt:lpstr>DevFeeInt</vt:lpstr>
      <vt:lpstr>DevFeeSchedule</vt:lpstr>
      <vt:lpstr>'Income (2)'!EGI</vt:lpstr>
      <vt:lpstr>EGI</vt:lpstr>
      <vt:lpstr>EquitySchedule</vt:lpstr>
      <vt:lpstr>ExpInfl</vt:lpstr>
      <vt:lpstr>ExpTotalY1</vt:lpstr>
      <vt:lpstr>'Income (2)'!GPI</vt:lpstr>
      <vt:lpstr>GPI</vt:lpstr>
      <vt:lpstr>GPIY1</vt:lpstr>
      <vt:lpstr>'Income (2)'!GRI</vt:lpstr>
      <vt:lpstr>GRI</vt:lpstr>
      <vt:lpstr>GrossRentIncomeY1</vt:lpstr>
      <vt:lpstr>HardCostUnit</vt:lpstr>
      <vt:lpstr>IncomeLimits</vt:lpstr>
      <vt:lpstr>LeaseUpTime</vt:lpstr>
      <vt:lpstr>LIShare</vt:lpstr>
      <vt:lpstr>LIUnits</vt:lpstr>
      <vt:lpstr>MaxAlloc</vt:lpstr>
      <vt:lpstr>MaxDevFee</vt:lpstr>
      <vt:lpstr>NetIncomeY1</vt:lpstr>
      <vt:lpstr>'Income (2)'!NNMMI</vt:lpstr>
      <vt:lpstr>NNMMI</vt:lpstr>
      <vt:lpstr>'Income (2)'!NOI</vt:lpstr>
      <vt:lpstr>NOI</vt:lpstr>
      <vt:lpstr>'20yr Proforma'!Print_Area</vt:lpstr>
      <vt:lpstr>'Credit Delivery &amp; Pay-Ins'!Print_Area</vt:lpstr>
      <vt:lpstr>'Developer Fee Schedule'!Print_Area</vt:lpstr>
      <vt:lpstr>'Development Budget'!Print_Area</vt:lpstr>
      <vt:lpstr>'Flow of Funds'!Print_Area</vt:lpstr>
      <vt:lpstr>'Operating Expense'!Print_Area</vt:lpstr>
      <vt:lpstr>'Rent Schedule'!Print_Area</vt:lpstr>
      <vt:lpstr>'Summary Sources-Uses'!Print_Area</vt:lpstr>
      <vt:lpstr>'Flow of Funds'!Print_Titles</vt:lpstr>
      <vt:lpstr>ProjName</vt:lpstr>
      <vt:lpstr>RentColumn</vt:lpstr>
      <vt:lpstr>RentRange</vt:lpstr>
      <vt:lpstr>RentRow</vt:lpstr>
      <vt:lpstr>ReplReserve</vt:lpstr>
      <vt:lpstr>RevInfl</vt:lpstr>
      <vt:lpstr>SetAsides</vt:lpstr>
      <vt:lpstr>SF</vt:lpstr>
      <vt:lpstr>Timeline</vt:lpstr>
      <vt:lpstr>TimelineMatch</vt:lpstr>
      <vt:lpstr>TotalUnitCount</vt:lpstr>
      <vt:lpstr>TypeAlloc</vt:lpstr>
      <vt:lpstr>UARow</vt:lpstr>
      <vt:lpstr>unitmix</vt:lpstr>
      <vt:lpstr>UnitMixCount</vt:lpstr>
      <vt:lpstr>UnitMixRow</vt:lpstr>
      <vt:lpstr>UnitSFAvg</vt:lpstr>
      <vt:lpstr>UnitTypes</vt:lpstr>
      <vt:lpstr>VacancyRate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King</dc:creator>
  <cp:lastModifiedBy>Steven Kennedy</cp:lastModifiedBy>
  <cp:lastPrinted>2025-03-14T19:23:10Z</cp:lastPrinted>
  <dcterms:created xsi:type="dcterms:W3CDTF">2013-11-02T15:37:57Z</dcterms:created>
  <dcterms:modified xsi:type="dcterms:W3CDTF">2026-04-05T17:35:41Z</dcterms:modified>
</cp:coreProperties>
</file>